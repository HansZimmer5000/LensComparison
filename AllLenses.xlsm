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 activeTab="1"/>
  </bookViews>
  <sheets>
    <sheet name="GUI Draft" sheetId="3" r:id="rId1"/>
    <sheet name="RawData" sheetId="1" r:id="rId2"/>
  </sheets>
  <functionGroups builtInGroupCount="18"/>
  <definedNames>
    <definedName name="_xlnm._FilterDatabase" localSheetId="1" hidden="1">RawData!$A$1:$O$272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" i="1"/>
  <c r="D3" i="1" l="1"/>
  <c r="D4" i="1"/>
  <c r="D5" i="1"/>
  <c r="D6" i="1"/>
  <c r="D7" i="1"/>
  <c r="D8" i="1"/>
  <c r="D9" i="1"/>
  <c r="D10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7" i="1"/>
  <c r="D38" i="1"/>
  <c r="D42" i="1"/>
  <c r="D43" i="1"/>
  <c r="D44" i="1"/>
  <c r="D45" i="1"/>
  <c r="D46" i="1"/>
  <c r="D51" i="1"/>
  <c r="D52" i="1"/>
  <c r="D53" i="1"/>
  <c r="D54" i="1"/>
  <c r="D55" i="1"/>
  <c r="D56" i="1"/>
  <c r="D57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103" i="1"/>
  <c r="D104" i="1"/>
  <c r="D105" i="1"/>
  <c r="D106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34" i="1"/>
  <c r="D135" i="1"/>
  <c r="D136" i="1"/>
  <c r="D137" i="1"/>
  <c r="D138" i="1"/>
  <c r="D139" i="1"/>
  <c r="D140" i="1"/>
  <c r="D146" i="1"/>
  <c r="D168" i="1"/>
  <c r="D169" i="1"/>
  <c r="D170" i="1"/>
  <c r="D171" i="1"/>
  <c r="D172" i="1"/>
  <c r="D173" i="1"/>
  <c r="D189" i="1"/>
  <c r="D190" i="1"/>
  <c r="D191" i="1"/>
  <c r="D192" i="1"/>
  <c r="D193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8" i="1"/>
  <c r="D219" i="1"/>
  <c r="D220" i="1"/>
  <c r="D221" i="1"/>
  <c r="D222" i="1"/>
  <c r="D223" i="1"/>
  <c r="D261" i="1"/>
  <c r="D260" i="1"/>
  <c r="C3" i="1"/>
  <c r="C4" i="1"/>
  <c r="C5" i="1"/>
  <c r="C6" i="1"/>
  <c r="C7" i="1"/>
  <c r="C8" i="1"/>
  <c r="C9" i="1"/>
  <c r="C10" i="1"/>
  <c r="C11" i="1"/>
  <c r="D11" i="1" s="1"/>
  <c r="C12" i="1"/>
  <c r="D12" i="1" s="1"/>
  <c r="C13" i="1"/>
  <c r="D13" i="1" s="1"/>
  <c r="C14" i="1"/>
  <c r="D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D33" i="1" s="1"/>
  <c r="C34" i="1"/>
  <c r="D34" i="1" s="1"/>
  <c r="C35" i="1"/>
  <c r="D35" i="1" s="1"/>
  <c r="C36" i="1"/>
  <c r="D36" i="1" s="1"/>
  <c r="C37" i="1"/>
  <c r="C38" i="1"/>
  <c r="C39" i="1"/>
  <c r="D39" i="1" s="1"/>
  <c r="C40" i="1"/>
  <c r="D40" i="1" s="1"/>
  <c r="C41" i="1"/>
  <c r="D41" i="1" s="1"/>
  <c r="C42" i="1"/>
  <c r="C43" i="1"/>
  <c r="C44" i="1"/>
  <c r="C45" i="1"/>
  <c r="C46" i="1"/>
  <c r="C47" i="1"/>
  <c r="D47" i="1" s="1"/>
  <c r="C48" i="1"/>
  <c r="D48" i="1" s="1"/>
  <c r="C49" i="1"/>
  <c r="D49" i="1" s="1"/>
  <c r="C50" i="1"/>
  <c r="D50" i="1" s="1"/>
  <c r="C51" i="1"/>
  <c r="C52" i="1"/>
  <c r="C53" i="1"/>
  <c r="C54" i="1"/>
  <c r="C55" i="1"/>
  <c r="C56" i="1"/>
  <c r="C57" i="1"/>
  <c r="C58" i="1"/>
  <c r="D58" i="1" s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D98" i="1" s="1"/>
  <c r="C99" i="1"/>
  <c r="D99" i="1" s="1"/>
  <c r="C100" i="1"/>
  <c r="D100" i="1" s="1"/>
  <c r="C101" i="1"/>
  <c r="D101" i="1" s="1"/>
  <c r="C102" i="1"/>
  <c r="D102" i="1" s="1"/>
  <c r="C103" i="1"/>
  <c r="C104" i="1"/>
  <c r="C105" i="1"/>
  <c r="C106" i="1"/>
  <c r="C107" i="1"/>
  <c r="D107" i="1" s="1"/>
  <c r="C108" i="1"/>
  <c r="D108" i="1" s="1"/>
  <c r="C109" i="1"/>
  <c r="D109" i="1" s="1"/>
  <c r="C110" i="1"/>
  <c r="D110" i="1" s="1"/>
  <c r="C111" i="1"/>
  <c r="D111" i="1" s="1"/>
  <c r="C112" i="1"/>
  <c r="D112" i="1" s="1"/>
  <c r="C113" i="1"/>
  <c r="D113" i="1" s="1"/>
  <c r="C114" i="1"/>
  <c r="D114" i="1" s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D128" i="1" s="1"/>
  <c r="C129" i="1"/>
  <c r="D129" i="1" s="1"/>
  <c r="C130" i="1"/>
  <c r="D130" i="1" s="1"/>
  <c r="C131" i="1"/>
  <c r="D131" i="1" s="1"/>
  <c r="C132" i="1"/>
  <c r="D132" i="1" s="1"/>
  <c r="C133" i="1"/>
  <c r="D133" i="1" s="1"/>
  <c r="C134" i="1"/>
  <c r="C135" i="1"/>
  <c r="C136" i="1"/>
  <c r="C137" i="1"/>
  <c r="C138" i="1"/>
  <c r="C139" i="1"/>
  <c r="C140" i="1"/>
  <c r="C141" i="1"/>
  <c r="D141" i="1" s="1"/>
  <c r="C142" i="1"/>
  <c r="D142" i="1" s="1"/>
  <c r="C143" i="1"/>
  <c r="D143" i="1" s="1"/>
  <c r="C144" i="1"/>
  <c r="D144" i="1" s="1"/>
  <c r="C145" i="1"/>
  <c r="D145" i="1" s="1"/>
  <c r="C146" i="1"/>
  <c r="C147" i="1"/>
  <c r="D147" i="1" s="1"/>
  <c r="C148" i="1"/>
  <c r="D148" i="1" s="1"/>
  <c r="C149" i="1"/>
  <c r="D149" i="1" s="1"/>
  <c r="C150" i="1"/>
  <c r="D150" i="1" s="1"/>
  <c r="C151" i="1"/>
  <c r="D151" i="1" s="1"/>
  <c r="C152" i="1"/>
  <c r="D152" i="1" s="1"/>
  <c r="C153" i="1"/>
  <c r="D153" i="1" s="1"/>
  <c r="C154" i="1"/>
  <c r="D154" i="1" s="1"/>
  <c r="C155" i="1"/>
  <c r="D155" i="1" s="1"/>
  <c r="C156" i="1"/>
  <c r="D156" i="1" s="1"/>
  <c r="C157" i="1"/>
  <c r="D157" i="1" s="1"/>
  <c r="C158" i="1"/>
  <c r="D158" i="1" s="1"/>
  <c r="C159" i="1"/>
  <c r="D159" i="1" s="1"/>
  <c r="C160" i="1"/>
  <c r="D160" i="1" s="1"/>
  <c r="C161" i="1"/>
  <c r="D161" i="1" s="1"/>
  <c r="C162" i="1"/>
  <c r="D162" i="1" s="1"/>
  <c r="C163" i="1"/>
  <c r="D163" i="1" s="1"/>
  <c r="C164" i="1"/>
  <c r="D164" i="1" s="1"/>
  <c r="C165" i="1"/>
  <c r="D165" i="1" s="1"/>
  <c r="C166" i="1"/>
  <c r="D166" i="1" s="1"/>
  <c r="C167" i="1"/>
  <c r="D167" i="1" s="1"/>
  <c r="C168" i="1"/>
  <c r="C169" i="1"/>
  <c r="C170" i="1"/>
  <c r="C171" i="1"/>
  <c r="C172" i="1"/>
  <c r="C173" i="1"/>
  <c r="C174" i="1"/>
  <c r="D174" i="1" s="1"/>
  <c r="C175" i="1"/>
  <c r="D175" i="1" s="1"/>
  <c r="C176" i="1"/>
  <c r="D176" i="1" s="1"/>
  <c r="C177" i="1"/>
  <c r="D177" i="1" s="1"/>
  <c r="C178" i="1"/>
  <c r="D178" i="1" s="1"/>
  <c r="C179" i="1"/>
  <c r="D179" i="1" s="1"/>
  <c r="C180" i="1"/>
  <c r="D180" i="1" s="1"/>
  <c r="C181" i="1"/>
  <c r="D181" i="1" s="1"/>
  <c r="C182" i="1"/>
  <c r="D182" i="1" s="1"/>
  <c r="C183" i="1"/>
  <c r="D183" i="1" s="1"/>
  <c r="C184" i="1"/>
  <c r="D184" i="1" s="1"/>
  <c r="C185" i="1"/>
  <c r="D185" i="1" s="1"/>
  <c r="C186" i="1"/>
  <c r="D186" i="1" s="1"/>
  <c r="C187" i="1"/>
  <c r="D187" i="1" s="1"/>
  <c r="C188" i="1"/>
  <c r="D188" i="1" s="1"/>
  <c r="C189" i="1"/>
  <c r="C190" i="1"/>
  <c r="C191" i="1"/>
  <c r="C192" i="1"/>
  <c r="C193" i="1"/>
  <c r="C194" i="1"/>
  <c r="D194" i="1" s="1"/>
  <c r="C195" i="1"/>
  <c r="D195" i="1" s="1"/>
  <c r="C196" i="1"/>
  <c r="D196" i="1" s="1"/>
  <c r="C197" i="1"/>
  <c r="D197" i="1" s="1"/>
  <c r="C198" i="1"/>
  <c r="D198" i="1" s="1"/>
  <c r="C199" i="1"/>
  <c r="D199" i="1" s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D217" i="1" s="1"/>
  <c r="C218" i="1"/>
  <c r="C219" i="1"/>
  <c r="C220" i="1"/>
  <c r="C221" i="1"/>
  <c r="C222" i="1"/>
  <c r="C223" i="1"/>
  <c r="C224" i="1"/>
  <c r="D224" i="1" s="1"/>
  <c r="C225" i="1"/>
  <c r="D225" i="1" s="1"/>
  <c r="C226" i="1"/>
  <c r="D226" i="1" s="1"/>
  <c r="C227" i="1"/>
  <c r="D227" i="1" s="1"/>
  <c r="C228" i="1"/>
  <c r="D228" i="1" s="1"/>
  <c r="C229" i="1"/>
  <c r="D229" i="1" s="1"/>
  <c r="C230" i="1"/>
  <c r="D230" i="1" s="1"/>
  <c r="C231" i="1"/>
  <c r="D231" i="1" s="1"/>
  <c r="C232" i="1"/>
  <c r="D232" i="1" s="1"/>
  <c r="C233" i="1"/>
  <c r="D233" i="1" s="1"/>
  <c r="C234" i="1"/>
  <c r="D234" i="1" s="1"/>
  <c r="C235" i="1"/>
  <c r="D235" i="1" s="1"/>
  <c r="C236" i="1"/>
  <c r="D236" i="1" s="1"/>
  <c r="C237" i="1"/>
  <c r="D237" i="1" s="1"/>
  <c r="C238" i="1"/>
  <c r="D238" i="1" s="1"/>
  <c r="C239" i="1"/>
  <c r="D239" i="1" s="1"/>
  <c r="C240" i="1"/>
  <c r="D240" i="1" s="1"/>
  <c r="C241" i="1"/>
  <c r="D241" i="1" s="1"/>
  <c r="C242" i="1"/>
  <c r="D242" i="1" s="1"/>
  <c r="C243" i="1"/>
  <c r="D243" i="1" s="1"/>
  <c r="C255" i="1"/>
  <c r="D255" i="1" s="1"/>
  <c r="C244" i="1"/>
  <c r="D244" i="1" s="1"/>
  <c r="C256" i="1"/>
  <c r="D256" i="1" s="1"/>
  <c r="C261" i="1"/>
  <c r="C260" i="1"/>
  <c r="C263" i="1"/>
  <c r="D263" i="1" s="1"/>
  <c r="C245" i="1"/>
  <c r="D245" i="1" s="1"/>
  <c r="C269" i="1"/>
  <c r="D269" i="1" s="1"/>
  <c r="C246" i="1"/>
  <c r="D246" i="1" s="1"/>
  <c r="C247" i="1"/>
  <c r="D247" i="1" s="1"/>
  <c r="C264" i="1"/>
  <c r="D264" i="1" s="1"/>
  <c r="C254" i="1"/>
  <c r="D254" i="1" s="1"/>
  <c r="C257" i="1"/>
  <c r="D257" i="1" s="1"/>
  <c r="C265" i="1"/>
  <c r="D265" i="1" s="1"/>
  <c r="C266" i="1"/>
  <c r="D266" i="1" s="1"/>
  <c r="C267" i="1"/>
  <c r="D267" i="1" s="1"/>
  <c r="C248" i="1"/>
  <c r="D248" i="1" s="1"/>
  <c r="C249" i="1"/>
  <c r="D249" i="1" s="1"/>
  <c r="C258" i="1"/>
  <c r="D258" i="1" s="1"/>
  <c r="C262" i="1"/>
  <c r="D262" i="1" s="1"/>
  <c r="C268" i="1"/>
  <c r="D268" i="1" s="1"/>
  <c r="C250" i="1"/>
  <c r="D250" i="1" s="1"/>
  <c r="C251" i="1"/>
  <c r="D251" i="1" s="1"/>
  <c r="C271" i="1"/>
  <c r="D271" i="1" s="1"/>
  <c r="C270" i="1"/>
  <c r="D270" i="1" s="1"/>
  <c r="C252" i="1"/>
  <c r="D252" i="1" s="1"/>
  <c r="C272" i="1"/>
  <c r="D272" i="1" s="1"/>
  <c r="C253" i="1"/>
  <c r="D253" i="1" s="1"/>
  <c r="C259" i="1"/>
  <c r="D259" i="1" s="1"/>
  <c r="F2" i="1"/>
  <c r="G8" i="1"/>
  <c r="C2" i="1" l="1"/>
  <c r="D2" i="1"/>
  <c r="F97" i="1"/>
  <c r="F126" i="1"/>
  <c r="G80" i="1"/>
  <c r="F264" i="1"/>
  <c r="F181" i="1"/>
  <c r="G233" i="1"/>
  <c r="F259" i="1"/>
  <c r="F69" i="1"/>
  <c r="J105" i="1"/>
  <c r="F25" i="1"/>
  <c r="G50" i="1"/>
  <c r="J102" i="1"/>
  <c r="F165" i="1"/>
  <c r="G30" i="1"/>
  <c r="F66" i="1"/>
  <c r="G59" i="1"/>
  <c r="J16" i="1"/>
  <c r="F76" i="1"/>
  <c r="G102" i="1"/>
  <c r="G185" i="1"/>
  <c r="J27" i="1"/>
  <c r="G137" i="1"/>
  <c r="F145" i="1"/>
  <c r="J173" i="1"/>
  <c r="J40" i="1"/>
  <c r="F109" i="1"/>
  <c r="F120" i="1"/>
  <c r="G75" i="1"/>
  <c r="F79" i="1"/>
  <c r="J71" i="1"/>
  <c r="J74" i="1"/>
  <c r="F9" i="1"/>
  <c r="F154" i="1"/>
  <c r="G174" i="1"/>
  <c r="J46" i="1"/>
  <c r="G90" i="1"/>
  <c r="F166" i="1"/>
  <c r="J90" i="1"/>
  <c r="G165" i="1"/>
  <c r="G114" i="1"/>
  <c r="G85" i="1"/>
  <c r="J228" i="1"/>
  <c r="G191" i="1"/>
  <c r="G60" i="1"/>
  <c r="G238" i="1"/>
  <c r="G58" i="1"/>
  <c r="J216" i="1"/>
  <c r="F75" i="1"/>
  <c r="F245" i="1"/>
  <c r="G221" i="1"/>
  <c r="G142" i="1"/>
  <c r="F267" i="1"/>
  <c r="J3" i="1"/>
  <c r="J42" i="1"/>
  <c r="J11" i="1"/>
  <c r="F206" i="1"/>
  <c r="F55" i="1"/>
  <c r="G61" i="1"/>
  <c r="J60" i="1"/>
  <c r="G234" i="1"/>
  <c r="G161" i="1"/>
  <c r="G144" i="1"/>
  <c r="J229" i="1"/>
  <c r="G145" i="1"/>
  <c r="F81" i="1"/>
  <c r="G240" i="1"/>
  <c r="J153" i="1"/>
  <c r="F252" i="1"/>
  <c r="F238" i="1"/>
  <c r="G196" i="1"/>
  <c r="G251" i="1"/>
  <c r="F193" i="1"/>
  <c r="G181" i="1"/>
  <c r="F272" i="1"/>
  <c r="F131" i="1"/>
  <c r="F251" i="1"/>
  <c r="G265" i="1"/>
  <c r="J96" i="1"/>
  <c r="J86" i="1"/>
  <c r="F250" i="1"/>
  <c r="G38" i="1"/>
  <c r="F155" i="1"/>
  <c r="G103" i="1"/>
  <c r="F257" i="1"/>
  <c r="J123" i="1"/>
  <c r="G155" i="1"/>
  <c r="F107" i="1"/>
  <c r="J66" i="1"/>
  <c r="J120" i="1"/>
  <c r="J149" i="1"/>
  <c r="F60" i="1"/>
  <c r="F208" i="1"/>
  <c r="G104" i="1"/>
  <c r="G207" i="1"/>
  <c r="J121" i="1"/>
  <c r="J208" i="1"/>
  <c r="F129" i="1"/>
  <c r="G93" i="1"/>
  <c r="G222" i="1"/>
  <c r="F10" i="1"/>
  <c r="G66" i="1"/>
  <c r="G57" i="1"/>
  <c r="F271" i="1"/>
  <c r="G257" i="1"/>
  <c r="F201" i="1"/>
  <c r="J130" i="1"/>
  <c r="G130" i="1"/>
  <c r="G239" i="1"/>
  <c r="F77" i="1"/>
  <c r="J232" i="1"/>
  <c r="G147" i="1"/>
  <c r="G34" i="1"/>
  <c r="G56" i="1"/>
  <c r="J101" i="1"/>
  <c r="F63" i="1"/>
  <c r="G124" i="1"/>
  <c r="F41" i="1"/>
  <c r="G229" i="1"/>
  <c r="G42" i="1"/>
  <c r="F222" i="1"/>
  <c r="G205" i="1"/>
  <c r="G65" i="1"/>
  <c r="J193" i="1"/>
  <c r="G254" i="1"/>
  <c r="G9" i="1"/>
  <c r="G190" i="1"/>
  <c r="F197" i="1"/>
  <c r="G236" i="1"/>
  <c r="J111" i="1"/>
  <c r="F73" i="1"/>
  <c r="F148" i="1"/>
  <c r="G213" i="1"/>
  <c r="G49" i="1"/>
  <c r="F98" i="1"/>
  <c r="F169" i="1"/>
  <c r="G35" i="1"/>
  <c r="G135" i="1"/>
  <c r="G195" i="1"/>
  <c r="J52" i="1"/>
  <c r="J2" i="1"/>
  <c r="G160" i="1"/>
  <c r="G45" i="1"/>
  <c r="J23" i="1"/>
  <c r="F90" i="1"/>
  <c r="J211" i="1"/>
  <c r="F94" i="1"/>
  <c r="G91" i="1"/>
  <c r="J231" i="1"/>
  <c r="J133" i="1"/>
  <c r="J51" i="1"/>
  <c r="J221" i="1"/>
  <c r="G39" i="1"/>
  <c r="F26" i="1"/>
  <c r="F70" i="1"/>
  <c r="G26" i="1"/>
  <c r="G112" i="1"/>
  <c r="J166" i="1"/>
  <c r="F87" i="1"/>
  <c r="G76" i="1"/>
  <c r="J24" i="1"/>
  <c r="G24" i="1"/>
  <c r="F57" i="1"/>
  <c r="F132" i="1"/>
  <c r="J18" i="1"/>
  <c r="G163" i="1"/>
  <c r="G23" i="1"/>
  <c r="G6" i="1"/>
  <c r="F116" i="1"/>
  <c r="G166" i="1"/>
  <c r="G21" i="1"/>
  <c r="J224" i="1"/>
  <c r="G73" i="1"/>
  <c r="J240" i="1"/>
  <c r="G175" i="1"/>
  <c r="G3" i="1"/>
  <c r="F49" i="1"/>
  <c r="F23" i="1"/>
  <c r="G105" i="1"/>
  <c r="F139" i="1"/>
  <c r="J35" i="1"/>
  <c r="J234" i="1"/>
  <c r="G47" i="1"/>
  <c r="F179" i="1"/>
  <c r="J190" i="1"/>
  <c r="G82" i="1"/>
  <c r="J239" i="1"/>
  <c r="F262" i="1"/>
  <c r="G11" i="1"/>
  <c r="J210" i="1"/>
  <c r="J155" i="1"/>
  <c r="F161" i="1"/>
  <c r="F19" i="1"/>
  <c r="J12" i="1"/>
  <c r="G131" i="1"/>
  <c r="F204" i="1"/>
  <c r="J197" i="1"/>
  <c r="F89" i="1"/>
  <c r="G74" i="1"/>
  <c r="J55" i="1"/>
  <c r="F229" i="1"/>
  <c r="F106" i="1"/>
  <c r="J7" i="1"/>
  <c r="G194" i="1"/>
  <c r="F62" i="1"/>
  <c r="G97" i="1"/>
  <c r="F235" i="1"/>
  <c r="J62" i="1"/>
  <c r="F43" i="1"/>
  <c r="F119" i="1"/>
  <c r="F202" i="1"/>
  <c r="F198" i="1"/>
  <c r="F246" i="1"/>
  <c r="G198" i="1"/>
  <c r="J134" i="1"/>
  <c r="G220" i="1"/>
  <c r="J20" i="1"/>
  <c r="J159" i="1"/>
  <c r="F142" i="1"/>
  <c r="G110" i="1"/>
  <c r="J162" i="1"/>
  <c r="J80" i="1"/>
  <c r="G247" i="1"/>
  <c r="J87" i="1"/>
  <c r="J30" i="1"/>
  <c r="G88" i="1"/>
  <c r="G212" i="1"/>
  <c r="G162" i="1"/>
  <c r="J118" i="1"/>
  <c r="F31" i="1"/>
  <c r="G107" i="1"/>
  <c r="G129" i="1"/>
  <c r="J203" i="1"/>
  <c r="F232" i="1"/>
  <c r="G183" i="1"/>
  <c r="G99" i="1"/>
  <c r="F27" i="1"/>
  <c r="F196" i="1"/>
  <c r="F153" i="1"/>
  <c r="F199" i="1"/>
  <c r="G94" i="1"/>
  <c r="J146" i="1"/>
  <c r="J135" i="1"/>
  <c r="G262" i="1"/>
  <c r="J132" i="1"/>
  <c r="G48" i="1"/>
  <c r="J236" i="1"/>
  <c r="G154" i="1"/>
  <c r="J79" i="1"/>
  <c r="F209" i="1"/>
  <c r="J187" i="1"/>
  <c r="J109" i="1"/>
  <c r="G176" i="1"/>
  <c r="J88" i="1"/>
  <c r="J68" i="1"/>
  <c r="G71" i="1"/>
  <c r="J21" i="1"/>
  <c r="J185" i="1"/>
  <c r="G52" i="1"/>
  <c r="G217" i="1"/>
  <c r="F44" i="1"/>
  <c r="J91" i="1"/>
  <c r="J48" i="1"/>
  <c r="F136" i="1"/>
  <c r="F152" i="1"/>
  <c r="G17" i="1"/>
  <c r="J107" i="1"/>
  <c r="G118" i="1"/>
  <c r="G151" i="1"/>
  <c r="J127" i="1"/>
  <c r="G264" i="1"/>
  <c r="G13" i="1"/>
  <c r="F205" i="1"/>
  <c r="G31" i="1"/>
  <c r="J73" i="1"/>
  <c r="F188" i="1"/>
  <c r="G158" i="1"/>
  <c r="J227" i="1"/>
  <c r="F237" i="1"/>
  <c r="F48" i="1"/>
  <c r="G139" i="1"/>
  <c r="F269" i="1"/>
  <c r="J180" i="1"/>
  <c r="J171" i="1"/>
  <c r="G178" i="1"/>
  <c r="G224" i="1"/>
  <c r="G78" i="1"/>
  <c r="G146" i="1"/>
  <c r="J124" i="1"/>
  <c r="F217" i="1"/>
  <c r="G106" i="1"/>
  <c r="F58" i="1"/>
  <c r="J94" i="1"/>
  <c r="F21" i="1"/>
  <c r="F178" i="1"/>
  <c r="F13" i="1"/>
  <c r="J142" i="1"/>
  <c r="G25" i="1"/>
  <c r="J138" i="1"/>
  <c r="F7" i="1"/>
  <c r="J43" i="1"/>
  <c r="F121" i="1"/>
  <c r="J174" i="1"/>
  <c r="F242" i="1"/>
  <c r="G188" i="1"/>
  <c r="F224" i="1"/>
  <c r="F127" i="1"/>
  <c r="F266" i="1"/>
  <c r="G177" i="1"/>
  <c r="G218" i="1"/>
  <c r="G189" i="1"/>
  <c r="J69" i="1"/>
  <c r="G245" i="1"/>
  <c r="F17" i="1"/>
  <c r="G5" i="1"/>
  <c r="J59" i="1"/>
  <c r="G255" i="1"/>
  <c r="F149" i="1"/>
  <c r="G184" i="1"/>
  <c r="J163" i="1"/>
  <c r="F143" i="1"/>
  <c r="F78" i="1"/>
  <c r="F103" i="1"/>
  <c r="J205" i="1"/>
  <c r="F150" i="1"/>
  <c r="G69" i="1"/>
  <c r="G256" i="1"/>
  <c r="F225" i="1"/>
  <c r="J170" i="1"/>
  <c r="F33" i="1"/>
  <c r="F253" i="1"/>
  <c r="F270" i="1"/>
  <c r="G149" i="1"/>
  <c r="J98" i="1"/>
  <c r="J148" i="1"/>
  <c r="F29" i="1"/>
  <c r="F112" i="1"/>
  <c r="F111" i="1"/>
  <c r="G111" i="1"/>
  <c r="F226" i="1"/>
  <c r="G18" i="1"/>
  <c r="F51" i="1"/>
  <c r="F260" i="1"/>
  <c r="G40" i="1"/>
  <c r="J183" i="1"/>
  <c r="G54" i="1"/>
  <c r="J225" i="1"/>
  <c r="J76" i="1"/>
  <c r="F14" i="1"/>
  <c r="F118" i="1"/>
  <c r="J235" i="1"/>
  <c r="J230" i="1"/>
  <c r="J70" i="1"/>
  <c r="F134" i="1"/>
  <c r="F39" i="1"/>
  <c r="G253" i="1"/>
  <c r="F4" i="1"/>
  <c r="J139" i="1"/>
  <c r="G200" i="1"/>
  <c r="G148" i="1"/>
  <c r="F173" i="1"/>
  <c r="J84" i="1"/>
  <c r="F230" i="1"/>
  <c r="J144" i="1"/>
  <c r="F220" i="1"/>
  <c r="F64" i="1"/>
  <c r="J19" i="1"/>
  <c r="J192" i="1"/>
  <c r="G133" i="1"/>
  <c r="F215" i="1"/>
  <c r="J106" i="1"/>
  <c r="F133" i="1"/>
  <c r="G119" i="1"/>
  <c r="G100" i="1"/>
  <c r="F37" i="1"/>
  <c r="J201" i="1"/>
  <c r="F170" i="1"/>
  <c r="G226" i="1"/>
  <c r="J167" i="1"/>
  <c r="G43" i="1"/>
  <c r="G171" i="1"/>
  <c r="F241" i="1"/>
  <c r="F53" i="1"/>
  <c r="F92" i="1"/>
  <c r="F247" i="1"/>
  <c r="G244" i="1"/>
  <c r="J169" i="1"/>
  <c r="F95" i="1"/>
  <c r="G87" i="1"/>
  <c r="F115" i="1"/>
  <c r="F216" i="1"/>
  <c r="J104" i="1"/>
  <c r="G206" i="1"/>
  <c r="G159" i="1"/>
  <c r="G108" i="1"/>
  <c r="G7" i="1"/>
  <c r="G269" i="1"/>
  <c r="F167" i="1"/>
  <c r="G53" i="1"/>
  <c r="G208" i="1"/>
  <c r="J81" i="1"/>
  <c r="G204" i="1"/>
  <c r="F141" i="1"/>
  <c r="G22" i="1"/>
  <c r="F83" i="1"/>
  <c r="J165" i="1"/>
  <c r="J117" i="1"/>
  <c r="G113" i="1"/>
  <c r="F104" i="1"/>
  <c r="G138" i="1"/>
  <c r="G15" i="1"/>
  <c r="G127" i="1"/>
  <c r="F68" i="1"/>
  <c r="F146" i="1"/>
  <c r="F239" i="1"/>
  <c r="G242" i="1"/>
  <c r="G167" i="1"/>
  <c r="F86" i="1"/>
  <c r="J44" i="1"/>
  <c r="F218" i="1"/>
  <c r="G10" i="1"/>
  <c r="G228" i="1"/>
  <c r="J113" i="1"/>
  <c r="J199" i="1"/>
  <c r="F50" i="1"/>
  <c r="F268" i="1"/>
  <c r="F30" i="1"/>
  <c r="F71" i="1"/>
  <c r="G209" i="1"/>
  <c r="F228" i="1"/>
  <c r="F6" i="1"/>
  <c r="F100" i="1"/>
  <c r="G259" i="1"/>
  <c r="G225" i="1"/>
  <c r="J143" i="1"/>
  <c r="F244" i="1"/>
  <c r="G187" i="1"/>
  <c r="J82" i="1"/>
  <c r="J17" i="1"/>
  <c r="G193" i="1"/>
  <c r="J158" i="1"/>
  <c r="G51" i="1"/>
  <c r="G84" i="1"/>
  <c r="F80" i="1"/>
  <c r="G272" i="1"/>
  <c r="J49" i="1"/>
  <c r="J64" i="1"/>
  <c r="J126" i="1"/>
  <c r="G271" i="1"/>
  <c r="G12" i="1"/>
  <c r="J89" i="1"/>
  <c r="F236" i="1"/>
  <c r="G263" i="1"/>
  <c r="G235" i="1"/>
  <c r="J226" i="1"/>
  <c r="F18" i="1"/>
  <c r="G223" i="1"/>
  <c r="F243" i="1"/>
  <c r="G219" i="1"/>
  <c r="F255" i="1"/>
  <c r="J37" i="1"/>
  <c r="F16" i="1"/>
  <c r="F56" i="1"/>
  <c r="F5" i="1"/>
  <c r="F261" i="1"/>
  <c r="F263" i="1"/>
  <c r="F105" i="1"/>
  <c r="J191" i="1"/>
  <c r="G250" i="1"/>
  <c r="J177" i="1"/>
  <c r="F189" i="1"/>
  <c r="G44" i="1"/>
  <c r="J168" i="1"/>
  <c r="J147" i="1"/>
  <c r="G115" i="1"/>
  <c r="F32" i="1"/>
  <c r="J217" i="1"/>
  <c r="G89" i="1"/>
  <c r="J14" i="1"/>
  <c r="J61" i="1"/>
  <c r="J213" i="1"/>
  <c r="J36" i="1"/>
  <c r="F88" i="1"/>
  <c r="J10" i="1"/>
  <c r="F162" i="1"/>
  <c r="G55" i="1"/>
  <c r="G64" i="1"/>
  <c r="F182" i="1"/>
  <c r="F192" i="1"/>
  <c r="J220" i="1"/>
  <c r="G246" i="1"/>
  <c r="F160" i="1"/>
  <c r="F158" i="1"/>
  <c r="G267" i="1"/>
  <c r="G141" i="1"/>
  <c r="G252" i="1"/>
  <c r="G77" i="1"/>
  <c r="G179" i="1"/>
  <c r="G63" i="1"/>
  <c r="J103" i="1"/>
  <c r="F42" i="1"/>
  <c r="G4" i="1"/>
  <c r="G101" i="1"/>
  <c r="F93" i="1"/>
  <c r="J93" i="1"/>
  <c r="J188" i="1"/>
  <c r="J53" i="1"/>
  <c r="F213" i="1"/>
  <c r="F101" i="1"/>
  <c r="F210" i="1"/>
  <c r="F203" i="1"/>
  <c r="G243" i="1"/>
  <c r="F159" i="1"/>
  <c r="F137" i="1"/>
  <c r="G143" i="1"/>
  <c r="F185" i="1"/>
  <c r="G140" i="1"/>
  <c r="J122" i="1"/>
  <c r="F256" i="1"/>
  <c r="J156" i="1"/>
  <c r="J233" i="1"/>
  <c r="G230" i="1"/>
  <c r="J176" i="1"/>
  <c r="F124" i="1"/>
  <c r="F91" i="1"/>
  <c r="J237" i="1"/>
  <c r="G86" i="1"/>
  <c r="G19" i="1"/>
  <c r="G173" i="1"/>
  <c r="G186" i="1"/>
  <c r="F211" i="1"/>
  <c r="G215" i="1"/>
  <c r="F47" i="1"/>
  <c r="J9" i="1"/>
  <c r="J33" i="1"/>
  <c r="F110" i="1"/>
  <c r="J39" i="1"/>
  <c r="F99" i="1"/>
  <c r="J45" i="1"/>
  <c r="G29" i="1"/>
  <c r="G72" i="1"/>
  <c r="G261" i="1"/>
  <c r="F54" i="1"/>
  <c r="G270" i="1"/>
  <c r="J125" i="1"/>
  <c r="F265" i="1"/>
  <c r="F258" i="1"/>
  <c r="G203" i="1"/>
  <c r="F46" i="1"/>
  <c r="F117" i="1"/>
  <c r="F177" i="1"/>
  <c r="F207" i="1"/>
  <c r="F3" i="1"/>
  <c r="F233" i="1"/>
  <c r="F144" i="1"/>
  <c r="G96" i="1"/>
  <c r="G211" i="1"/>
  <c r="J178" i="1"/>
  <c r="G2" i="1"/>
  <c r="G197" i="1"/>
  <c r="J57" i="1"/>
  <c r="G156" i="1"/>
  <c r="F11" i="1"/>
  <c r="F223" i="1"/>
  <c r="G153" i="1"/>
  <c r="J72" i="1"/>
  <c r="F36" i="1"/>
  <c r="G258" i="1"/>
  <c r="G231" i="1"/>
  <c r="G32" i="1"/>
  <c r="G169" i="1"/>
  <c r="G120" i="1"/>
  <c r="J137" i="1"/>
  <c r="F157" i="1"/>
  <c r="J212" i="1"/>
  <c r="J15" i="1"/>
  <c r="J194" i="1"/>
  <c r="F40" i="1"/>
  <c r="F221" i="1"/>
  <c r="F52" i="1"/>
  <c r="J67" i="1"/>
  <c r="J25" i="1"/>
  <c r="F219" i="1"/>
  <c r="F114" i="1"/>
  <c r="J114" i="1"/>
  <c r="G132" i="1"/>
  <c r="J65" i="1"/>
  <c r="G237" i="1"/>
  <c r="J161" i="1"/>
  <c r="G79" i="1"/>
  <c r="G168" i="1"/>
  <c r="J131" i="1"/>
  <c r="G268" i="1"/>
  <c r="J13" i="1"/>
  <c r="F22" i="1"/>
  <c r="G232" i="1"/>
  <c r="F20" i="1"/>
  <c r="G266" i="1"/>
  <c r="F28" i="1"/>
  <c r="G121" i="1"/>
  <c r="J223" i="1"/>
  <c r="F72" i="1"/>
  <c r="G16" i="1"/>
  <c r="J28" i="1"/>
  <c r="F65" i="1"/>
  <c r="G180" i="1"/>
  <c r="G67" i="1"/>
  <c r="J182" i="1"/>
  <c r="G70" i="1"/>
  <c r="F113" i="1"/>
  <c r="G122" i="1"/>
  <c r="F74" i="1"/>
  <c r="F59" i="1"/>
  <c r="J214" i="1"/>
  <c r="F171" i="1"/>
  <c r="J115" i="1"/>
  <c r="G227" i="1"/>
  <c r="J145" i="1"/>
  <c r="J151" i="1"/>
  <c r="G109" i="1"/>
  <c r="J116" i="1"/>
  <c r="J54" i="1"/>
  <c r="G33" i="1"/>
  <c r="F85" i="1"/>
  <c r="F82" i="1"/>
  <c r="G117" i="1"/>
  <c r="G216" i="1"/>
  <c r="J152" i="1"/>
  <c r="G241" i="1"/>
  <c r="J154" i="1"/>
  <c r="F249" i="1"/>
  <c r="F24" i="1"/>
  <c r="G164" i="1"/>
  <c r="J77" i="1"/>
  <c r="F186" i="1"/>
  <c r="G201" i="1"/>
  <c r="F156" i="1"/>
  <c r="J160" i="1"/>
  <c r="J189" i="1"/>
  <c r="J196" i="1"/>
  <c r="F67" i="1"/>
  <c r="G62" i="1"/>
  <c r="J222" i="1"/>
  <c r="F138" i="1"/>
  <c r="J22" i="1"/>
  <c r="G182" i="1"/>
  <c r="G123" i="1"/>
  <c r="J34" i="1"/>
  <c r="J209" i="1"/>
  <c r="J181" i="1"/>
  <c r="G150" i="1"/>
  <c r="F163" i="1"/>
  <c r="J119" i="1"/>
  <c r="F8" i="1"/>
  <c r="F214" i="1"/>
  <c r="F234" i="1"/>
  <c r="G152" i="1"/>
  <c r="J97" i="1"/>
  <c r="F191" i="1"/>
  <c r="F174" i="1"/>
  <c r="F123" i="1"/>
  <c r="G36" i="1"/>
  <c r="G249" i="1"/>
  <c r="J38" i="1"/>
  <c r="J99" i="1"/>
  <c r="J206" i="1"/>
  <c r="J128" i="1"/>
  <c r="G210" i="1"/>
  <c r="J29" i="1"/>
  <c r="G199" i="1"/>
  <c r="J207" i="1"/>
  <c r="J129" i="1"/>
  <c r="J219" i="1"/>
  <c r="J112" i="1"/>
  <c r="G14" i="1"/>
  <c r="F180" i="1"/>
  <c r="F184" i="1"/>
  <c r="J164" i="1"/>
  <c r="F176" i="1"/>
  <c r="J75" i="1"/>
  <c r="F108" i="1"/>
  <c r="F168" i="1"/>
  <c r="J85" i="1"/>
  <c r="G202" i="1"/>
  <c r="G134" i="1"/>
  <c r="F96" i="1"/>
  <c r="G170" i="1"/>
  <c r="F102" i="1"/>
  <c r="J136" i="1"/>
  <c r="J50" i="1"/>
  <c r="G20" i="1"/>
  <c r="J202" i="1"/>
  <c r="G128" i="1"/>
  <c r="F183" i="1"/>
  <c r="F147" i="1"/>
  <c r="J110" i="1"/>
  <c r="F35" i="1"/>
  <c r="F34" i="1"/>
  <c r="J95" i="1"/>
  <c r="F187" i="1"/>
  <c r="G83" i="1"/>
  <c r="G27" i="1"/>
  <c r="J5" i="1"/>
  <c r="J63" i="1"/>
  <c r="J218" i="1"/>
  <c r="F254" i="1"/>
  <c r="F248" i="1"/>
  <c r="J195" i="1"/>
  <c r="J108" i="1"/>
  <c r="G172" i="1"/>
  <c r="J204" i="1"/>
  <c r="J32" i="1"/>
  <c r="F130" i="1"/>
  <c r="G81" i="1"/>
  <c r="J56" i="1"/>
  <c r="J47" i="1"/>
  <c r="G214" i="1"/>
  <c r="G95" i="1"/>
  <c r="J186" i="1"/>
  <c r="J215" i="1"/>
  <c r="F195" i="1"/>
  <c r="G46" i="1"/>
  <c r="G68" i="1"/>
  <c r="G248" i="1"/>
  <c r="F38" i="1"/>
  <c r="J175" i="1"/>
  <c r="F190" i="1"/>
  <c r="F12" i="1"/>
  <c r="J179" i="1"/>
  <c r="F125" i="1"/>
  <c r="F151" i="1"/>
  <c r="J78" i="1"/>
  <c r="F175" i="1"/>
  <c r="F140" i="1"/>
  <c r="F128" i="1"/>
  <c r="G41" i="1"/>
  <c r="G125" i="1"/>
  <c r="F164" i="1"/>
  <c r="F240" i="1"/>
  <c r="F200" i="1"/>
  <c r="J100" i="1"/>
  <c r="G98" i="1"/>
  <c r="F45" i="1"/>
  <c r="J150" i="1"/>
  <c r="J6" i="1"/>
  <c r="F61" i="1"/>
  <c r="F15" i="1"/>
  <c r="J157" i="1"/>
  <c r="F172" i="1"/>
  <c r="F231" i="1"/>
  <c r="G37" i="1"/>
  <c r="J4" i="1"/>
  <c r="G192" i="1"/>
  <c r="F135" i="1"/>
  <c r="J184" i="1"/>
  <c r="J83" i="1"/>
  <c r="G157" i="1"/>
  <c r="F84" i="1"/>
  <c r="J140" i="1"/>
  <c r="G92" i="1"/>
  <c r="G260" i="1"/>
  <c r="G136" i="1"/>
  <c r="G116" i="1"/>
  <c r="J41" i="1"/>
  <c r="J238" i="1"/>
  <c r="J92" i="1"/>
  <c r="F122" i="1"/>
  <c r="F194" i="1"/>
  <c r="G28" i="1"/>
  <c r="J58" i="1"/>
  <c r="F227" i="1"/>
  <c r="J26" i="1"/>
  <c r="J31" i="1"/>
  <c r="G126" i="1"/>
  <c r="J198" i="1"/>
  <c r="J200" i="1"/>
  <c r="J141" i="1"/>
  <c r="J8" i="1"/>
  <c r="J172" i="1"/>
  <c r="F212" i="1"/>
  <c r="K172" i="1" l="1"/>
  <c r="K8" i="1"/>
  <c r="K141" i="1"/>
  <c r="K200" i="1"/>
  <c r="K198" i="1"/>
  <c r="K31" i="1"/>
  <c r="K26" i="1"/>
  <c r="K58" i="1"/>
  <c r="K92" i="1"/>
  <c r="K238" i="1"/>
  <c r="K41" i="1"/>
  <c r="K140" i="1"/>
  <c r="K83" i="1"/>
  <c r="K184" i="1"/>
  <c r="K4" i="1"/>
  <c r="K157" i="1"/>
  <c r="K6" i="1"/>
  <c r="K150" i="1"/>
  <c r="K100" i="1"/>
  <c r="K78" i="1"/>
  <c r="K179" i="1"/>
  <c r="K175" i="1"/>
  <c r="K215" i="1"/>
  <c r="K186" i="1"/>
  <c r="K47" i="1"/>
  <c r="K56" i="1"/>
  <c r="K32" i="1"/>
  <c r="K204" i="1"/>
  <c r="K108" i="1"/>
  <c r="K195" i="1"/>
  <c r="K218" i="1"/>
  <c r="K63" i="1"/>
  <c r="K5" i="1"/>
  <c r="K95" i="1"/>
  <c r="K110" i="1"/>
  <c r="K202" i="1"/>
  <c r="K50" i="1"/>
  <c r="K136" i="1"/>
  <c r="K85" i="1"/>
  <c r="K75" i="1"/>
  <c r="K164" i="1"/>
  <c r="K112" i="1"/>
  <c r="K219" i="1"/>
  <c r="K129" i="1"/>
  <c r="K207" i="1"/>
  <c r="K29" i="1"/>
  <c r="K128" i="1"/>
  <c r="K206" i="1"/>
  <c r="K99" i="1"/>
  <c r="K38" i="1"/>
  <c r="K97" i="1"/>
  <c r="K119" i="1"/>
  <c r="K181" i="1"/>
  <c r="K209" i="1"/>
  <c r="K34" i="1"/>
  <c r="K22" i="1"/>
  <c r="K222" i="1"/>
  <c r="K196" i="1"/>
  <c r="K189" i="1"/>
  <c r="K160" i="1"/>
  <c r="K77" i="1"/>
  <c r="K154" i="1"/>
  <c r="K152" i="1"/>
  <c r="K54" i="1"/>
  <c r="K116" i="1"/>
  <c r="K151" i="1"/>
  <c r="K145" i="1"/>
  <c r="K115" i="1"/>
  <c r="K214" i="1"/>
  <c r="K182" i="1"/>
  <c r="K28" i="1"/>
  <c r="K223" i="1"/>
  <c r="K13" i="1"/>
  <c r="K131" i="1"/>
  <c r="K161" i="1"/>
  <c r="K65" i="1"/>
  <c r="K114" i="1"/>
  <c r="K25" i="1"/>
  <c r="K67" i="1"/>
  <c r="K194" i="1"/>
  <c r="K15" i="1"/>
  <c r="K212" i="1"/>
  <c r="K137" i="1"/>
  <c r="K72" i="1"/>
  <c r="K57" i="1"/>
  <c r="K178" i="1"/>
  <c r="K125" i="1"/>
  <c r="K45" i="1"/>
  <c r="K39" i="1"/>
  <c r="K33" i="1"/>
  <c r="K9" i="1"/>
  <c r="K237" i="1"/>
  <c r="K176" i="1"/>
  <c r="K233" i="1"/>
  <c r="K156" i="1"/>
  <c r="K122" i="1"/>
  <c r="K53" i="1"/>
  <c r="K188" i="1"/>
  <c r="K93" i="1"/>
  <c r="K103" i="1"/>
  <c r="K220" i="1"/>
  <c r="K10" i="1"/>
  <c r="K36" i="1"/>
  <c r="K213" i="1"/>
  <c r="K61" i="1"/>
  <c r="K14" i="1"/>
  <c r="K217" i="1"/>
  <c r="K147" i="1"/>
  <c r="K168" i="1"/>
  <c r="K177" i="1"/>
  <c r="K191" i="1"/>
  <c r="K37" i="1"/>
  <c r="K226" i="1"/>
  <c r="K89" i="1"/>
  <c r="K126" i="1"/>
  <c r="K64" i="1"/>
  <c r="K49" i="1"/>
  <c r="K158" i="1"/>
  <c r="K17" i="1"/>
  <c r="K82" i="1"/>
  <c r="K143" i="1"/>
  <c r="K199" i="1"/>
  <c r="K113" i="1"/>
  <c r="K44" i="1"/>
  <c r="K117" i="1"/>
  <c r="K165" i="1"/>
  <c r="K81" i="1"/>
  <c r="K104" i="1"/>
  <c r="K169" i="1"/>
  <c r="K167" i="1"/>
  <c r="K201" i="1"/>
  <c r="K106" i="1"/>
  <c r="K192" i="1"/>
  <c r="K19" i="1"/>
  <c r="K144" i="1"/>
  <c r="K84" i="1"/>
  <c r="K139" i="1"/>
  <c r="K70" i="1"/>
  <c r="K230" i="1"/>
  <c r="K235" i="1"/>
  <c r="K76" i="1"/>
  <c r="K225" i="1"/>
  <c r="K183" i="1"/>
  <c r="K148" i="1"/>
  <c r="K98" i="1"/>
  <c r="K170" i="1"/>
  <c r="K205" i="1"/>
  <c r="K163" i="1"/>
  <c r="K59" i="1"/>
  <c r="K69" i="1"/>
  <c r="K174" i="1"/>
  <c r="K43" i="1"/>
  <c r="K138" i="1"/>
  <c r="K142" i="1"/>
  <c r="K94" i="1"/>
  <c r="K124" i="1"/>
  <c r="K171" i="1"/>
  <c r="K180" i="1"/>
  <c r="K227" i="1"/>
  <c r="K73" i="1"/>
  <c r="K127" i="1"/>
  <c r="K107" i="1"/>
  <c r="K48" i="1"/>
  <c r="K91" i="1"/>
  <c r="K185" i="1"/>
  <c r="K21" i="1"/>
  <c r="K68" i="1"/>
  <c r="K88" i="1"/>
  <c r="K109" i="1"/>
  <c r="K187" i="1"/>
  <c r="K79" i="1"/>
  <c r="K236" i="1"/>
  <c r="K132" i="1"/>
  <c r="K135" i="1"/>
  <c r="K146" i="1"/>
  <c r="K203" i="1"/>
  <c r="K118" i="1"/>
  <c r="K30" i="1"/>
  <c r="K87" i="1"/>
  <c r="K80" i="1"/>
  <c r="K162" i="1"/>
  <c r="K159" i="1"/>
  <c r="K20" i="1"/>
  <c r="K134" i="1"/>
  <c r="K62" i="1"/>
  <c r="K7" i="1"/>
  <c r="K55" i="1"/>
  <c r="K197" i="1"/>
  <c r="K12" i="1"/>
  <c r="K155" i="1"/>
  <c r="K210" i="1"/>
  <c r="K239" i="1"/>
  <c r="K190" i="1"/>
  <c r="K234" i="1"/>
  <c r="K35" i="1"/>
  <c r="K240" i="1"/>
  <c r="K224" i="1"/>
  <c r="K18" i="1"/>
  <c r="K24" i="1"/>
  <c r="K166" i="1"/>
  <c r="K221" i="1"/>
  <c r="K51" i="1"/>
  <c r="K133" i="1"/>
  <c r="K231" i="1"/>
  <c r="K211" i="1"/>
  <c r="K23" i="1"/>
  <c r="K2" i="1"/>
  <c r="K52" i="1"/>
  <c r="K111" i="1"/>
  <c r="K193" i="1"/>
  <c r="K101" i="1"/>
  <c r="K232" i="1"/>
  <c r="K130" i="1"/>
  <c r="K208" i="1"/>
  <c r="K121" i="1"/>
  <c r="K149" i="1"/>
  <c r="K120" i="1"/>
  <c r="K66" i="1"/>
  <c r="K123" i="1"/>
  <c r="K86" i="1"/>
  <c r="K96" i="1"/>
  <c r="K153" i="1"/>
  <c r="K229" i="1"/>
  <c r="K60" i="1"/>
  <c r="K11" i="1"/>
  <c r="K42" i="1"/>
  <c r="K3" i="1"/>
  <c r="K216" i="1"/>
  <c r="K228" i="1"/>
  <c r="K90" i="1"/>
  <c r="K46" i="1"/>
  <c r="K74" i="1"/>
  <c r="K71" i="1"/>
  <c r="K40" i="1"/>
  <c r="K173" i="1"/>
  <c r="K27" i="1"/>
  <c r="K16" i="1"/>
  <c r="K102" i="1"/>
  <c r="K105" i="1"/>
</calcChain>
</file>

<file path=xl/sharedStrings.xml><?xml version="1.0" encoding="utf-8"?>
<sst xmlns="http://schemas.openxmlformats.org/spreadsheetml/2006/main" count="2477" uniqueCount="899">
  <si>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</si>
  <si>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</si>
  <si>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</si>
  <si>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</si>
  <si>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</si>
  <si>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</si>
  <si>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</si>
  <si>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</si>
  <si>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</si>
  <si>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</si>
  <si>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</si>
  <si>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</si>
  <si>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</si>
  <si>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</si>
  <si>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</si>
  <si>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</si>
  <si>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</si>
  <si>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</si>
  <si>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</si>
  <si>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</si>
  <si>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</si>
  <si>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</si>
  <si>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</si>
  <si>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</si>
  <si>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</si>
  <si>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</si>
  <si>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</si>
  <si>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</si>
  <si>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</si>
  <si>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</si>
  <si>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</si>
  <si>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</si>
  <si>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</si>
  <si>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</si>
  <si>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</si>
  <si>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</si>
  <si>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</si>
  <si>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</si>
  <si>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</si>
  <si>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</si>
  <si>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</si>
  <si>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</si>
  <si>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</si>
  <si>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</si>
  <si>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</si>
  <si>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</si>
  <si>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</si>
  <si>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</si>
  <si>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</si>
  <si>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</si>
  <si>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</si>
  <si>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</si>
  <si>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</si>
  <si>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</si>
  <si>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</si>
  <si>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</si>
  <si>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</si>
  <si>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</si>
  <si>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</si>
  <si>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</si>
  <si>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</si>
  <si>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</si>
  <si>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</si>
  <si>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</si>
  <si>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</si>
  <si>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</si>
  <si>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</si>
  <si>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</si>
  <si>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</si>
  <si>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</si>
  <si>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</si>
  <si>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</si>
  <si>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</si>
  <si>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</si>
  <si>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</si>
  <si>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</si>
  <si>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</si>
  <si>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</si>
  <si>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</si>
  <si>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</si>
  <si>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</si>
  <si>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</si>
  <si>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</si>
  <si>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</si>
  <si>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</si>
  <si>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</si>
  <si>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</si>
  <si>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</si>
  <si>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</si>
  <si>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</si>
  <si>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</si>
  <si>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</si>
  <si>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</si>
  <si>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</si>
  <si>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</si>
  <si>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</si>
  <si>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</si>
  <si>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</si>
  <si>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</si>
  <si>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</si>
  <si>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</si>
  <si>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</si>
  <si>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</si>
  <si>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</si>
  <si>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</si>
  <si>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</si>
  <si>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</si>
  <si>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</si>
  <si>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</si>
  <si>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</si>
  <si>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</si>
  <si>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</si>
  <si>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</si>
  <si>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</si>
  <si>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</si>
  <si>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</si>
  <si>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</si>
  <si>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</si>
  <si>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</si>
  <si>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</si>
  <si>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</si>
  <si>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</si>
  <si>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</si>
  <si>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</si>
  <si>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</si>
  <si>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</si>
  <si>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</si>
  <si>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</si>
  <si>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</si>
  <si>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</si>
  <si>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</si>
  <si>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</si>
  <si>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</si>
  <si>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</si>
  <si>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</si>
  <si>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</si>
  <si>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</si>
  <si>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</si>
  <si>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</si>
  <si>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</si>
  <si>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</si>
  <si>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</si>
  <si>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</si>
  <si>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</si>
  <si>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</si>
  <si>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</si>
  <si>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</si>
  <si>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</si>
  <si>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</si>
  <si>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</si>
  <si>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</si>
  <si>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</si>
  <si>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</si>
  <si>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</si>
  <si>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</si>
  <si>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</si>
  <si>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</si>
  <si>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</si>
  <si>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</si>
  <si>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</si>
  <si>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</si>
  <si>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</si>
  <si>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</si>
  <si>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</si>
  <si>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</si>
  <si>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</si>
  <si>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</si>
  <si>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</si>
  <si>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</si>
  <si>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</si>
  <si>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</si>
  <si>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</si>
  <si>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</si>
  <si>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</si>
  <si>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</si>
  <si>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</si>
  <si>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</si>
  <si>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</si>
  <si>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</si>
  <si>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</si>
  <si>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</si>
  <si>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</si>
  <si>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</si>
  <si>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</si>
  <si>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</si>
  <si>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</si>
  <si>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</si>
  <si>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</si>
  <si>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</si>
  <si>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</si>
  <si>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</si>
  <si>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</si>
  <si>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</si>
  <si>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</si>
  <si>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</si>
  <si>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</si>
  <si>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</si>
  <si>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</si>
  <si>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</si>
  <si>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</si>
  <si>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</si>
  <si>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</si>
  <si>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</si>
  <si>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</si>
  <si>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</si>
  <si>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</si>
  <si>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</si>
  <si>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</si>
  <si>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</si>
  <si>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</si>
  <si>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</si>
  <si>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</si>
  <si>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</si>
  <si>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</si>
  <si>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</si>
  <si>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</si>
  <si>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</si>
  <si>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</si>
  <si>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</si>
  <si>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</si>
  <si>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</si>
  <si>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</si>
  <si>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</si>
  <si>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</si>
  <si>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</si>
  <si>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</si>
  <si>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</si>
  <si>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</si>
  <si>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</si>
  <si>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</si>
  <si>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</si>
  <si>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</si>
  <si>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</si>
  <si>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</si>
  <si>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</si>
  <si>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</si>
  <si>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</si>
  <si>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</si>
  <si>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</si>
  <si>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</si>
  <si>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</si>
  <si>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</si>
  <si>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</si>
  <si>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</si>
  <si>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</si>
  <si>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</si>
  <si>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</si>
  <si>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</si>
  <si>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</si>
  <si>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</si>
  <si>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</si>
  <si>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</si>
  <si>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</si>
  <si>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</si>
  <si>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</si>
  <si>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</si>
  <si>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</si>
  <si>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</si>
  <si>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</si>
  <si>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</si>
  <si>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</si>
  <si>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</si>
  <si>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</si>
  <si>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</si>
  <si>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</si>
  <si>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</si>
  <si>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</si>
  <si>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</si>
  <si>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</si>
  <si>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</si>
  <si>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</si>
  <si>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</si>
  <si>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</si>
  <si>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</si>
  <si>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</si>
  <si>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</si>
  <si>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</si>
  <si>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</si>
  <si>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</si>
  <si>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</si>
  <si>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</si>
  <si>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</si>
  <si>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</si>
  <si>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</si>
  <si>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</si>
  <si>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</si>
  <si>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</si>
  <si>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</si>
  <si>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</si>
  <si>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</si>
  <si>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</si>
  <si>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</si>
  <si>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</si>
  <si>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</si>
  <si>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</si>
  <si>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</si>
  <si>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</si>
  <si>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</si>
  <si>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</si>
  <si>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</si>
  <si>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</si>
  <si>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</si>
  <si>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</si>
  <si>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</si>
  <si>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</si>
  <si>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</si>
  <si>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</si>
  <si>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</si>
  <si>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</si>
  <si>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</si>
  <si>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</si>
  <si>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</si>
  <si>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</si>
  <si>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</si>
  <si>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</si>
  <si>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</si>
  <si>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</si>
  <si>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</si>
  <si>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</si>
  <si>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</si>
  <si>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</si>
  <si>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</si>
  <si>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</si>
  <si>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</si>
  <si>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</si>
  <si>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</si>
  <si>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</si>
  <si>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</si>
  <si>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</si>
  <si>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</si>
  <si>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</si>
  <si>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</si>
  <si>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</si>
  <si>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</si>
  <si>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</si>
  <si>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</si>
  <si>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</si>
  <si>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</si>
  <si>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</si>
  <si>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</si>
  <si>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</si>
  <si>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</si>
  <si>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</si>
  <si>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</si>
  <si>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</si>
  <si>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</si>
  <si>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</si>
  <si>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</si>
  <si>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</si>
  <si>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</si>
  <si>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</si>
  <si>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</si>
  <si>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</si>
  <si>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</si>
  <si>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</si>
  <si>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</si>
  <si>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</si>
  <si>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</si>
  <si>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</si>
  <si>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</si>
  <si>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</si>
  <si>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</si>
  <si>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</si>
  <si>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</si>
  <si>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</si>
  <si>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</si>
  <si>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</si>
  <si>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</si>
  <si>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</si>
  <si>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</si>
  <si>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</si>
  <si>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</si>
  <si>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</si>
  <si>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</si>
  <si>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</si>
  <si>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</si>
  <si>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</si>
  <si>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</si>
  <si>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</si>
  <si>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</si>
  <si>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</si>
  <si>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</si>
  <si>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</si>
  <si>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</si>
  <si>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</si>
  <si>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</si>
  <si>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</si>
  <si>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</si>
  <si>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</si>
  <si>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</si>
  <si>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</si>
  <si>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</si>
  <si>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</si>
  <si>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</si>
  <si>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</si>
  <si>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</si>
  <si>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</si>
  <si>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</si>
  <si>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</si>
  <si>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</si>
  <si>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</si>
  <si>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</si>
  <si>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</si>
  <si>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</si>
  <si>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</si>
  <si>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</si>
  <si>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</si>
  <si>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</si>
  <si>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</si>
  <si>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</si>
  <si>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</si>
  <si>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</si>
  <si>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</si>
  <si>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</si>
  <si>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</si>
  <si>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</si>
  <si>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</si>
  <si>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</si>
  <si>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</si>
  <si>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</si>
  <si>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</si>
  <si>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</si>
  <si>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</si>
  <si>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</si>
  <si>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</si>
  <si>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</si>
  <si>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</si>
  <si>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</si>
  <si>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</si>
  <si>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</si>
  <si>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</si>
  <si>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</si>
  <si>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</si>
  <si>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</si>
  <si>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</si>
  <si>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</si>
  <si>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</si>
  <si>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</si>
  <si>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</si>
  <si>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</si>
  <si>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</si>
  <si>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</si>
  <si>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</si>
  <si>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</si>
  <si>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</si>
  <si>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</si>
  <si>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</si>
  <si>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</si>
  <si>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</si>
  <si>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</si>
  <si>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</si>
  <si>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</si>
  <si>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</si>
  <si>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</si>
  <si>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</si>
  <si>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</si>
  <si>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</si>
  <si>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</si>
  <si>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</si>
  <si>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</si>
  <si>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</si>
  <si>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</si>
  <si>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</si>
  <si>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</si>
  <si>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</si>
  <si>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</si>
  <si>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</si>
  <si>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</si>
  <si>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</si>
  <si>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</si>
  <si>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</si>
  <si>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</si>
  <si>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</si>
  <si>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</si>
  <si>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</si>
  <si>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</si>
  <si>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</si>
  <si>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</si>
  <si>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</si>
  <si>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</si>
  <si>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</si>
  <si>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</si>
  <si>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</si>
  <si>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</si>
  <si>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</si>
  <si>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</si>
  <si>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</si>
  <si>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</si>
  <si>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</si>
  <si>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</si>
  <si>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</si>
  <si>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</si>
  <si>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</si>
  <si>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</si>
  <si>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</si>
  <si>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</si>
  <si>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</si>
  <si>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</si>
  <si>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</si>
  <si>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</si>
  <si>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</si>
  <si>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</si>
  <si>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</si>
  <si>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</si>
  <si>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</si>
  <si>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</si>
  <si>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</si>
  <si>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</si>
  <si>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</si>
  <si>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</si>
  <si>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</si>
  <si>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</si>
  <si>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</si>
  <si>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</si>
  <si>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</si>
  <si>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</si>
  <si>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</si>
  <si>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</si>
  <si>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</si>
  <si>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</si>
  <si>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</si>
  <si>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</si>
  <si>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</si>
  <si>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</si>
  <si>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</si>
  <si>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</si>
  <si>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</si>
  <si>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</si>
  <si>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</si>
  <si>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</si>
  <si>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</si>
  <si>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</si>
  <si>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</si>
  <si>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</si>
  <si>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</si>
  <si>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</si>
  <si>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</si>
  <si>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</si>
  <si>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</si>
  <si>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</si>
  <si>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</si>
  <si>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</si>
  <si>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</si>
  <si>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</si>
  <si>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</si>
  <si>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</si>
  <si>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</si>
  <si>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</si>
  <si>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</si>
  <si>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</si>
  <si>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</si>
  <si>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</si>
  <si>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</si>
  <si>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</si>
  <si>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</si>
  <si>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</si>
  <si>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</si>
  <si>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</si>
  <si>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</si>
  <si>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</si>
  <si>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</si>
  <si>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</si>
  <si>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</si>
  <si>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</si>
  <si>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</si>
  <si>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</si>
  <si>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</si>
  <si>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</si>
  <si>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</si>
  <si>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</si>
  <si>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</si>
  <si>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</si>
  <si>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</si>
  <si>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</si>
  <si>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</si>
  <si>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</si>
  <si>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</si>
  <si>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</si>
  <si>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</si>
  <si>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</si>
  <si>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</si>
  <si>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</si>
  <si>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</si>
  <si>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</si>
  <si>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</si>
  <si>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</si>
  <si>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</si>
  <si>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</si>
  <si>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</si>
  <si>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</si>
  <si>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</si>
  <si>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</si>
  <si>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</si>
  <si>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</si>
  <si>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</si>
  <si>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</si>
  <si>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</si>
  <si>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</si>
  <si>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</si>
  <si>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</si>
  <si>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</si>
  <si>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</si>
  <si>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</si>
  <si>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</si>
  <si>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</si>
  <si>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</si>
  <si>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</si>
  <si>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</si>
  <si>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</si>
  <si>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</si>
  <si>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</si>
  <si>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</si>
  <si>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</si>
  <si>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</si>
  <si>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</si>
  <si>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</si>
  <si>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</si>
  <si>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</si>
  <si>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</si>
  <si>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</si>
  <si>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</si>
  <si>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</si>
  <si>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</si>
  <si>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</si>
  <si>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</si>
  <si>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</si>
  <si>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</si>
  <si>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</si>
  <si>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</si>
  <si>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</si>
  <si>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</si>
  <si>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</si>
  <si>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</si>
  <si>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</si>
  <si>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</si>
  <si>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</si>
  <si>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</si>
  <si>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</si>
  <si>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</si>
  <si>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</si>
  <si>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</si>
  <si>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</si>
  <si>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</si>
  <si>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</si>
  <si>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</si>
  <si>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</si>
  <si>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</si>
  <si>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</si>
  <si>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</si>
  <si>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</si>
  <si>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</si>
  <si>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</si>
  <si>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</si>
  <si>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</si>
  <si>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</si>
  <si>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</si>
  <si>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</si>
  <si>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</si>
  <si>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</si>
  <si>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</si>
  <si>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</si>
  <si>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</si>
  <si>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</si>
  <si>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</si>
  <si>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</si>
  <si>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</si>
  <si>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</si>
  <si>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</si>
  <si>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</si>
  <si>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</si>
  <si>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</si>
  <si>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</si>
  <si>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</si>
  <si>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</si>
  <si>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</si>
  <si>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</si>
  <si>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</si>
  <si>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</si>
  <si>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</si>
  <si>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</si>
  <si>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</si>
  <si>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</si>
  <si>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</si>
  <si>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</si>
  <si>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</si>
  <si>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</si>
  <si>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</si>
  <si>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</si>
  <si>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</si>
  <si>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</si>
  <si>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</si>
  <si>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</si>
  <si>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</si>
  <si>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</si>
  <si>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</si>
  <si>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</si>
  <si>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</si>
  <si>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</si>
  <si>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</si>
  <si>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</si>
  <si>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</si>
  <si>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</si>
  <si>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</si>
  <si>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</si>
  <si>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</si>
  <si>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</si>
  <si>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</si>
  <si>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</si>
  <si>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</si>
  <si>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</si>
  <si>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</si>
  <si>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</si>
  <si>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</si>
  <si>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</si>
  <si>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</si>
  <si>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</si>
  <si>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</si>
  <si>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</si>
  <si>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</si>
  <si>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</si>
  <si>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</si>
  <si>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</si>
  <si>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</si>
  <si>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</si>
  <si>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</si>
  <si>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</si>
  <si>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</si>
  <si>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</si>
  <si>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</si>
  <si>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</si>
  <si>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</si>
  <si>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</si>
  <si>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</si>
  <si>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</si>
  <si>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</si>
  <si>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</si>
  <si>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</si>
  <si>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</si>
  <si>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</si>
  <si>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</si>
  <si>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</si>
  <si>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</si>
  <si>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</si>
  <si>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</si>
  <si>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</si>
  <si>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</si>
  <si>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</si>
  <si>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</si>
  <si>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</si>
  <si>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</si>
  <si>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</si>
  <si>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</si>
  <si>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</si>
  <si>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</si>
  <si>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</si>
  <si>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</si>
  <si>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</si>
  <si>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</si>
  <si>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</si>
  <si>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</si>
  <si>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</si>
  <si>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</si>
  <si>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</si>
  <si>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</si>
  <si>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</si>
  <si>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</si>
  <si>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</si>
  <si>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</si>
  <si>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</si>
  <si>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</si>
  <si>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</si>
  <si>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</si>
  <si>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</si>
  <si>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</si>
  <si>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</si>
  <si>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</si>
  <si>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</si>
  <si>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</si>
  <si>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</si>
  <si>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</si>
  <si>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</si>
  <si>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</si>
  <si>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</si>
  <si>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</si>
  <si>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</si>
  <si>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</si>
  <si>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</si>
  <si>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</si>
  <si>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</si>
  <si>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</si>
  <si>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</si>
  <si>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</si>
  <si>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</si>
  <si>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</si>
  <si>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</si>
  <si>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</si>
  <si>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</si>
  <si>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</si>
  <si>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</si>
  <si>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</si>
  <si>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</si>
  <si>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</si>
  <si>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</si>
  <si>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</si>
  <si>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</si>
  <si>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</si>
  <si>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</si>
  <si>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</si>
  <si>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</si>
  <si>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</si>
  <si>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</si>
  <si>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</si>
  <si>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</si>
  <si>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</si>
  <si>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</si>
  <si>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</si>
  <si>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</si>
  <si>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</si>
  <si>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</si>
  <si>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</si>
  <si>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</si>
  <si>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</si>
  <si>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</si>
  <si>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</si>
  <si>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</si>
  <si>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</si>
  <si>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</si>
  <si>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</si>
  <si>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</si>
  <si>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</si>
  <si>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</si>
  <si>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</si>
  <si>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</si>
  <si>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</si>
  <si>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</si>
  <si>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</si>
  <si>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</si>
  <si>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</si>
  <si>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</si>
  <si>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</si>
  <si>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</si>
  <si>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</si>
  <si>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</si>
  <si>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</si>
  <si>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</si>
  <si>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</si>
  <si>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</si>
  <si>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</si>
  <si>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</si>
  <si>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</si>
  <si>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</si>
  <si>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</si>
  <si>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</si>
  <si>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</si>
  <si>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</si>
  <si>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</si>
  <si>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</si>
  <si>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</si>
  <si>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</si>
  <si>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</si>
  <si>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</si>
  <si>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</si>
  <si>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</si>
  <si>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</si>
  <si>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</si>
  <si>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</si>
  <si>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</si>
  <si>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</si>
  <si>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</si>
  <si>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</si>
  <si>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</si>
  <si>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</si>
  <si>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</si>
  <si>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</si>
  <si>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Nikon DX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</si>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</sst>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&quot;1:&quot;#0.00"/>
    <numFmt numFmtId="166" formatCode="0&quot;mm&quot;"/>
  </numFmts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5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2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1" xfId="0" applyNumberFormat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P59"/>
  <sheetViews>
    <sheetView workbookViewId="0">
      <selection activeCell="F11" sqref="F11"/>
    </sheetView>
  </sheetViews>
  <sheetFormatPr baseColWidth="10" defaultRowHeight="15" x14ac:dyDescent="0.25"/>
  <cols>
    <col min="1" max="1" width="3" customWidth="1"/>
    <col min="2" max="2" width="21.7109375" style="18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8" bestFit="1" customWidth="1"/>
    <col min="7" max="7" width="7.7109375" bestFit="1" customWidth="1"/>
    <col min="8" max="8" width="25.42578125" bestFit="1" customWidth="1"/>
    <col min="9" max="10" width="24" bestFit="1" customWidth="1"/>
    <col min="11" max="11" width="9.42578125" bestFit="1" customWidth="1"/>
    <col min="12" max="12" width="9.28515625" bestFit="1" customWidth="1"/>
    <col min="13" max="13" width="9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6" ht="26.25" x14ac:dyDescent="0.4">
      <c r="B1" s="46" t="s">
        <v>0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2:16" ht="17.25" x14ac:dyDescent="0.3">
      <c r="B2" s="23"/>
      <c r="C2" s="24" t="s">
        <v>896</v>
      </c>
      <c r="D2" s="24" t="s">
        <v>897</v>
      </c>
      <c r="E2" s="19"/>
      <c r="F2" s="42" t="s">
        <v>893</v>
      </c>
      <c r="G2" s="43"/>
      <c r="H2" s="43"/>
      <c r="I2" s="43"/>
      <c r="J2" s="43"/>
      <c r="K2" s="43"/>
      <c r="L2" s="43"/>
      <c r="M2" s="43"/>
      <c r="N2" s="43"/>
      <c r="O2" s="44"/>
    </row>
    <row r="3" spans="2:16" ht="17.25" x14ac:dyDescent="0.3">
      <c r="B3" s="20" t="s">
        <v>895</v>
      </c>
      <c r="C3" s="21"/>
      <c r="D3" s="21"/>
      <c r="E3" s="16"/>
      <c r="F3" s="20" t="s">
        <v>1</v>
      </c>
      <c r="G3" s="21" t="s">
        <v>8</v>
      </c>
      <c r="H3" s="21"/>
      <c r="I3" s="21"/>
      <c r="J3" s="21"/>
      <c r="K3" s="21"/>
      <c r="L3" s="21"/>
      <c r="M3" s="21"/>
      <c r="N3" s="21"/>
      <c r="O3" s="21"/>
    </row>
    <row r="4" spans="2:16" ht="17.25" x14ac:dyDescent="0.3">
      <c r="B4" s="23" t="s">
        <v>887</v>
      </c>
      <c r="C4" s="25"/>
      <c r="D4" s="25"/>
      <c r="E4" s="16"/>
      <c r="F4" s="23" t="s">
        <v>890</v>
      </c>
      <c r="G4" s="25" t="s">
        <v>873</v>
      </c>
      <c r="H4" s="25" t="s">
        <v>874</v>
      </c>
      <c r="I4" s="25"/>
      <c r="J4" s="25"/>
      <c r="K4" s="25"/>
      <c r="L4" s="25"/>
      <c r="M4" s="25"/>
      <c r="N4" s="25"/>
      <c r="O4" s="25"/>
    </row>
    <row r="5" spans="2:16" ht="17.25" x14ac:dyDescent="0.3">
      <c r="B5" s="20" t="s">
        <v>0</v>
      </c>
      <c r="C5" s="21"/>
      <c r="D5" s="21"/>
      <c r="E5" s="16"/>
      <c r="F5" s="20" t="s">
        <v>894</v>
      </c>
      <c r="G5" s="21" t="s">
        <v>882</v>
      </c>
      <c r="H5" s="21" t="s">
        <v>881</v>
      </c>
      <c r="I5" s="21"/>
      <c r="J5" s="21"/>
      <c r="K5" s="21"/>
      <c r="L5" s="21"/>
      <c r="M5" s="21"/>
      <c r="N5" s="21"/>
      <c r="O5" s="21"/>
    </row>
    <row r="6" spans="2:16" ht="17.25" x14ac:dyDescent="0.3">
      <c r="B6" s="23" t="s">
        <v>868</v>
      </c>
      <c r="C6" s="25"/>
      <c r="D6" s="25"/>
      <c r="E6" s="16"/>
      <c r="F6" s="23" t="s">
        <v>875</v>
      </c>
      <c r="G6" s="25" t="s">
        <v>876</v>
      </c>
      <c r="H6" s="25" t="s">
        <v>877</v>
      </c>
      <c r="I6" s="25" t="s">
        <v>878</v>
      </c>
      <c r="J6" s="25"/>
      <c r="K6" s="25"/>
      <c r="L6" s="25"/>
      <c r="M6" s="25"/>
      <c r="N6" s="25"/>
      <c r="O6" s="25"/>
    </row>
    <row r="7" spans="2:16" ht="17.25" x14ac:dyDescent="0.3">
      <c r="B7" s="20" t="s">
        <v>871</v>
      </c>
      <c r="C7" s="21"/>
      <c r="D7" s="21"/>
      <c r="E7" s="16"/>
      <c r="F7" s="20" t="s">
        <v>879</v>
      </c>
      <c r="G7" s="21" t="s">
        <v>876</v>
      </c>
      <c r="H7" s="21" t="s">
        <v>880</v>
      </c>
      <c r="I7" s="21"/>
      <c r="J7" s="21"/>
      <c r="K7" s="21"/>
      <c r="L7" s="21"/>
      <c r="M7" s="21"/>
      <c r="N7" s="21"/>
      <c r="O7" s="21"/>
    </row>
    <row r="8" spans="2:16" ht="17.25" x14ac:dyDescent="0.3">
      <c r="B8" s="23" t="s">
        <v>869</v>
      </c>
      <c r="C8" s="25"/>
      <c r="D8" s="25"/>
      <c r="E8" s="16"/>
      <c r="F8" s="15"/>
      <c r="G8" s="7"/>
      <c r="H8" s="2"/>
      <c r="I8" s="2"/>
      <c r="J8" s="2"/>
      <c r="K8" s="2"/>
      <c r="L8" s="3"/>
      <c r="M8" s="3"/>
      <c r="N8" s="2"/>
      <c r="O8" s="2"/>
    </row>
    <row r="9" spans="2:16" ht="17.25" x14ac:dyDescent="0.3">
      <c r="B9" s="20" t="s">
        <v>2</v>
      </c>
      <c r="C9" s="21"/>
      <c r="D9" s="21"/>
      <c r="E9" s="16"/>
      <c r="F9" s="15"/>
      <c r="G9" s="7"/>
      <c r="H9" s="2"/>
      <c r="I9" s="2"/>
      <c r="J9" s="2"/>
      <c r="K9" s="2"/>
      <c r="L9" s="3"/>
      <c r="M9" s="3"/>
      <c r="N9" s="2"/>
      <c r="O9" s="2"/>
    </row>
    <row r="10" spans="2:16" ht="17.25" x14ac:dyDescent="0.3">
      <c r="B10" s="23" t="s">
        <v>892</v>
      </c>
      <c r="C10" s="25"/>
      <c r="D10" s="25"/>
      <c r="E10" s="16"/>
      <c r="F10" s="15"/>
      <c r="G10" s="7"/>
      <c r="H10" s="2"/>
      <c r="I10" s="2"/>
      <c r="J10" s="2"/>
      <c r="K10" s="2"/>
      <c r="L10" s="3"/>
      <c r="M10" s="3"/>
      <c r="N10" s="2"/>
      <c r="O10" s="2"/>
    </row>
    <row r="11" spans="2:16" ht="17.25" x14ac:dyDescent="0.3">
      <c r="B11" s="20" t="s">
        <v>891</v>
      </c>
      <c r="C11" s="21"/>
      <c r="D11" s="21"/>
      <c r="E11" s="16"/>
      <c r="F11" s="15"/>
      <c r="G11" s="7"/>
      <c r="H11" s="2"/>
      <c r="I11" s="2"/>
      <c r="J11" s="2"/>
      <c r="K11" s="2"/>
      <c r="L11" s="3"/>
      <c r="M11" s="3"/>
      <c r="N11" s="2"/>
      <c r="O11" s="2"/>
    </row>
    <row r="12" spans="2:16" x14ac:dyDescent="0.25">
      <c r="B12" s="15"/>
      <c r="C12" s="7"/>
      <c r="D12" s="2"/>
      <c r="E12" s="2"/>
      <c r="F12" s="15"/>
      <c r="G12" s="7"/>
      <c r="H12" s="2"/>
      <c r="I12" s="2"/>
      <c r="J12" s="2"/>
      <c r="K12" s="2"/>
      <c r="L12" s="3"/>
      <c r="M12" s="3"/>
      <c r="N12" s="2"/>
      <c r="O12" s="2"/>
    </row>
    <row r="13" spans="2:16" x14ac:dyDescent="0.2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2:16" ht="26.25" x14ac:dyDescent="0.4">
      <c r="B14" s="45" t="s">
        <v>898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</row>
    <row r="15" spans="2:16" s="30" customFormat="1" ht="19.5" x14ac:dyDescent="0.25">
      <c r="B15" s="35" t="s">
        <v>883</v>
      </c>
      <c r="C15" s="35" t="s">
        <v>885</v>
      </c>
      <c r="D15" s="35" t="s">
        <v>886</v>
      </c>
      <c r="E15" s="36" t="s">
        <v>888</v>
      </c>
      <c r="F15" s="36" t="s">
        <v>889</v>
      </c>
      <c r="G15" s="35" t="s">
        <v>0</v>
      </c>
      <c r="H15" s="35" t="s">
        <v>868</v>
      </c>
      <c r="I15" s="35" t="s">
        <v>871</v>
      </c>
      <c r="J15" s="35" t="s">
        <v>869</v>
      </c>
      <c r="K15" s="35" t="s">
        <v>1</v>
      </c>
      <c r="L15" s="35" t="s">
        <v>890</v>
      </c>
      <c r="M15" s="35" t="s">
        <v>2</v>
      </c>
      <c r="N15" s="37" t="s">
        <v>892</v>
      </c>
      <c r="O15" s="37" t="s">
        <v>891</v>
      </c>
      <c r="P15" s="31"/>
    </row>
    <row r="16" spans="2:16" x14ac:dyDescent="0.25">
      <c r="B16" s="32"/>
      <c r="C16" s="33"/>
      <c r="D16" s="22"/>
      <c r="E16" s="22"/>
      <c r="F16" s="32"/>
      <c r="G16" s="33"/>
      <c r="H16" s="22"/>
      <c r="I16" s="22"/>
      <c r="J16" s="22"/>
      <c r="K16" s="22"/>
      <c r="L16" s="34"/>
      <c r="M16" s="34"/>
      <c r="N16" s="22"/>
      <c r="O16" s="22"/>
    </row>
    <row r="17" spans="2:15" x14ac:dyDescent="0.25">
      <c r="B17" s="38"/>
      <c r="C17" s="39"/>
      <c r="D17" s="40"/>
      <c r="E17" s="40"/>
      <c r="F17" s="38"/>
      <c r="G17" s="39"/>
      <c r="H17" s="40"/>
      <c r="I17" s="40"/>
      <c r="J17" s="40"/>
      <c r="K17" s="40"/>
      <c r="L17" s="41"/>
      <c r="M17" s="41"/>
      <c r="N17" s="40"/>
      <c r="O17" s="40"/>
    </row>
    <row r="18" spans="2:15" x14ac:dyDescent="0.25">
      <c r="B18" s="32"/>
      <c r="C18" s="33"/>
      <c r="D18" s="22"/>
      <c r="E18" s="22"/>
      <c r="F18" s="32"/>
      <c r="G18" s="33"/>
      <c r="H18" s="22"/>
      <c r="I18" s="22"/>
      <c r="J18" s="22"/>
      <c r="K18" s="22"/>
      <c r="L18" s="34"/>
      <c r="M18" s="34"/>
      <c r="N18" s="22"/>
      <c r="O18" s="22"/>
    </row>
    <row r="19" spans="2:15" x14ac:dyDescent="0.25">
      <c r="B19" s="38"/>
      <c r="C19" s="39"/>
      <c r="D19" s="40"/>
      <c r="E19" s="40"/>
      <c r="F19" s="38"/>
      <c r="G19" s="39"/>
      <c r="H19" s="40"/>
      <c r="I19" s="40"/>
      <c r="J19" s="40"/>
      <c r="K19" s="40"/>
      <c r="L19" s="41"/>
      <c r="M19" s="41"/>
      <c r="N19" s="40"/>
      <c r="O19" s="40"/>
    </row>
    <row r="20" spans="2:15" x14ac:dyDescent="0.25">
      <c r="B20" s="32"/>
      <c r="C20" s="33"/>
      <c r="D20" s="22"/>
      <c r="E20" s="22"/>
      <c r="F20" s="32"/>
      <c r="G20" s="33"/>
      <c r="H20" s="22"/>
      <c r="I20" s="22"/>
      <c r="J20" s="22"/>
      <c r="K20" s="22"/>
      <c r="L20" s="34"/>
      <c r="M20" s="34"/>
      <c r="N20" s="22"/>
      <c r="O20" s="22"/>
    </row>
    <row r="21" spans="2:15" x14ac:dyDescent="0.25">
      <c r="B21" s="38"/>
      <c r="C21" s="39"/>
      <c r="D21" s="40"/>
      <c r="E21" s="40"/>
      <c r="F21" s="38"/>
      <c r="G21" s="39"/>
      <c r="H21" s="40"/>
      <c r="I21" s="40"/>
      <c r="J21" s="40"/>
      <c r="K21" s="40"/>
      <c r="L21" s="41"/>
      <c r="M21" s="41"/>
      <c r="N21" s="40"/>
      <c r="O21" s="40"/>
    </row>
    <row r="22" spans="2:15" x14ac:dyDescent="0.25">
      <c r="B22" s="32"/>
      <c r="C22" s="33"/>
      <c r="D22" s="22"/>
      <c r="E22" s="22"/>
      <c r="F22" s="32"/>
      <c r="G22" s="33"/>
      <c r="H22" s="22"/>
      <c r="I22" s="22"/>
      <c r="J22" s="22"/>
      <c r="K22" s="22"/>
      <c r="L22" s="34"/>
      <c r="M22" s="34"/>
      <c r="N22" s="22"/>
      <c r="O22" s="22"/>
    </row>
    <row r="23" spans="2:15" x14ac:dyDescent="0.25">
      <c r="B23" s="38"/>
      <c r="C23" s="39"/>
      <c r="D23" s="40"/>
      <c r="E23" s="40"/>
      <c r="F23" s="38"/>
      <c r="G23" s="39"/>
      <c r="H23" s="40"/>
      <c r="I23" s="40"/>
      <c r="J23" s="40"/>
      <c r="K23" s="40"/>
      <c r="L23" s="41"/>
      <c r="M23" s="41"/>
      <c r="N23" s="40"/>
      <c r="O23" s="40"/>
    </row>
    <row r="24" spans="2:15" x14ac:dyDescent="0.25">
      <c r="B24" s="32"/>
      <c r="C24" s="33"/>
      <c r="D24" s="22"/>
      <c r="E24" s="22"/>
      <c r="F24" s="32"/>
      <c r="G24" s="33"/>
      <c r="H24" s="22"/>
      <c r="I24" s="22"/>
      <c r="J24" s="22"/>
      <c r="K24" s="22"/>
      <c r="L24" s="34"/>
      <c r="M24" s="34"/>
      <c r="N24" s="22"/>
      <c r="O24" s="22"/>
    </row>
    <row r="25" spans="2:15" x14ac:dyDescent="0.25">
      <c r="B25" s="38"/>
      <c r="C25" s="39"/>
      <c r="D25" s="40"/>
      <c r="E25" s="40"/>
      <c r="F25" s="38"/>
      <c r="G25" s="39"/>
      <c r="H25" s="40"/>
      <c r="I25" s="40"/>
      <c r="J25" s="40"/>
      <c r="K25" s="40"/>
      <c r="L25" s="41"/>
      <c r="M25" s="41"/>
      <c r="N25" s="40"/>
      <c r="O25" s="40"/>
    </row>
    <row r="26" spans="2:15" x14ac:dyDescent="0.25">
      <c r="B26" s="32"/>
      <c r="C26" s="33"/>
      <c r="D26" s="22"/>
      <c r="E26" s="22"/>
      <c r="F26" s="32"/>
      <c r="G26" s="33"/>
      <c r="H26" s="22"/>
      <c r="I26" s="22"/>
      <c r="J26" s="22"/>
      <c r="K26" s="22"/>
      <c r="L26" s="34"/>
      <c r="M26" s="34"/>
      <c r="N26" s="22"/>
      <c r="O26" s="22"/>
    </row>
    <row r="27" spans="2:15" x14ac:dyDescent="0.25">
      <c r="B27" s="38"/>
      <c r="C27" s="39"/>
      <c r="D27" s="40"/>
      <c r="E27" s="40"/>
      <c r="F27" s="38"/>
      <c r="G27" s="39"/>
      <c r="H27" s="40"/>
      <c r="I27" s="40"/>
      <c r="J27" s="40"/>
      <c r="K27" s="40"/>
      <c r="L27" s="41"/>
      <c r="M27" s="41"/>
      <c r="N27" s="40"/>
      <c r="O27" s="40"/>
    </row>
    <row r="28" spans="2:15" x14ac:dyDescent="0.25">
      <c r="B28" s="32"/>
      <c r="C28" s="33"/>
      <c r="D28" s="22"/>
      <c r="E28" s="22"/>
      <c r="F28" s="32"/>
      <c r="G28" s="33"/>
      <c r="H28" s="22"/>
      <c r="I28" s="22"/>
      <c r="J28" s="22"/>
      <c r="K28" s="22"/>
      <c r="L28" s="34"/>
      <c r="M28" s="34"/>
      <c r="N28" s="22"/>
      <c r="O28" s="22"/>
    </row>
    <row r="29" spans="2:15" x14ac:dyDescent="0.25">
      <c r="B29" s="38"/>
      <c r="C29" s="39"/>
      <c r="D29" s="40"/>
      <c r="E29" s="40"/>
      <c r="F29" s="38"/>
      <c r="G29" s="39"/>
      <c r="H29" s="40"/>
      <c r="I29" s="40"/>
      <c r="J29" s="40"/>
      <c r="K29" s="40"/>
      <c r="L29" s="41"/>
      <c r="M29" s="41"/>
      <c r="N29" s="40"/>
      <c r="O29" s="40"/>
    </row>
    <row r="30" spans="2:15" x14ac:dyDescent="0.25">
      <c r="B30" s="32"/>
      <c r="C30" s="33"/>
      <c r="D30" s="22"/>
      <c r="E30" s="22"/>
      <c r="F30" s="32"/>
      <c r="G30" s="33"/>
      <c r="H30" s="22"/>
      <c r="I30" s="22"/>
      <c r="J30" s="22"/>
      <c r="K30" s="22"/>
      <c r="L30" s="34"/>
      <c r="M30" s="34"/>
      <c r="N30" s="22"/>
      <c r="O30" s="22"/>
    </row>
    <row r="31" spans="2:15" x14ac:dyDescent="0.25">
      <c r="B31" s="38"/>
      <c r="C31" s="39"/>
      <c r="D31" s="40"/>
      <c r="E31" s="40"/>
      <c r="F31" s="38"/>
      <c r="G31" s="39"/>
      <c r="H31" s="40"/>
      <c r="I31" s="40"/>
      <c r="J31" s="40"/>
      <c r="K31" s="40"/>
      <c r="L31" s="41"/>
      <c r="M31" s="41"/>
      <c r="N31" s="40"/>
      <c r="O31" s="40"/>
    </row>
    <row r="32" spans="2:15" x14ac:dyDescent="0.25">
      <c r="B32" s="32"/>
      <c r="C32" s="33"/>
      <c r="D32" s="22"/>
      <c r="E32" s="22"/>
      <c r="F32" s="32"/>
      <c r="G32" s="33"/>
      <c r="H32" s="22"/>
      <c r="I32" s="22"/>
      <c r="J32" s="22"/>
      <c r="K32" s="22"/>
      <c r="L32" s="34"/>
      <c r="M32" s="34"/>
      <c r="N32" s="22"/>
      <c r="O32" s="22"/>
    </row>
    <row r="33" spans="2:15" x14ac:dyDescent="0.25">
      <c r="B33" s="38"/>
      <c r="C33" s="39"/>
      <c r="D33" s="40"/>
      <c r="E33" s="40"/>
      <c r="F33" s="38"/>
      <c r="G33" s="39"/>
      <c r="H33" s="40"/>
      <c r="I33" s="40"/>
      <c r="J33" s="40"/>
      <c r="K33" s="40"/>
      <c r="L33" s="41"/>
      <c r="M33" s="41"/>
      <c r="N33" s="40"/>
      <c r="O33" s="40"/>
    </row>
    <row r="34" spans="2:15" x14ac:dyDescent="0.25">
      <c r="B34" s="32"/>
      <c r="C34" s="33"/>
      <c r="D34" s="22"/>
      <c r="E34" s="22"/>
      <c r="F34" s="32"/>
      <c r="G34" s="33"/>
      <c r="H34" s="22"/>
      <c r="I34" s="22"/>
      <c r="J34" s="22"/>
      <c r="K34" s="22"/>
      <c r="L34" s="34"/>
      <c r="M34" s="34"/>
      <c r="N34" s="22"/>
      <c r="O34" s="22"/>
    </row>
    <row r="35" spans="2:15" x14ac:dyDescent="0.25">
      <c r="B35" s="38"/>
      <c r="C35" s="39"/>
      <c r="D35" s="40"/>
      <c r="E35" s="40"/>
      <c r="F35" s="38"/>
      <c r="G35" s="39"/>
      <c r="H35" s="40"/>
      <c r="I35" s="40"/>
      <c r="J35" s="40"/>
      <c r="K35" s="40"/>
      <c r="L35" s="41"/>
      <c r="M35" s="41"/>
      <c r="N35" s="40"/>
      <c r="O35" s="40"/>
    </row>
    <row r="36" spans="2:15" x14ac:dyDescent="0.25">
      <c r="B36" s="32"/>
      <c r="C36" s="33"/>
      <c r="D36" s="22"/>
      <c r="E36" s="22"/>
      <c r="F36" s="32"/>
      <c r="G36" s="33"/>
      <c r="H36" s="22"/>
      <c r="I36" s="22"/>
      <c r="J36" s="22"/>
      <c r="K36" s="22"/>
      <c r="L36" s="34"/>
      <c r="M36" s="34"/>
      <c r="N36" s="22"/>
      <c r="O36" s="22"/>
    </row>
    <row r="37" spans="2:15" x14ac:dyDescent="0.25">
      <c r="B37" s="38"/>
      <c r="C37" s="39"/>
      <c r="D37" s="40"/>
      <c r="E37" s="40"/>
      <c r="F37" s="38"/>
      <c r="G37" s="39"/>
      <c r="H37" s="40"/>
      <c r="I37" s="40"/>
      <c r="J37" s="40"/>
      <c r="K37" s="40"/>
      <c r="L37" s="41"/>
      <c r="M37" s="41"/>
      <c r="N37" s="40"/>
      <c r="O37" s="40"/>
    </row>
    <row r="38" spans="2:15" x14ac:dyDescent="0.25">
      <c r="B38" s="32"/>
      <c r="C38" s="33"/>
      <c r="D38" s="22"/>
      <c r="E38" s="22"/>
      <c r="F38" s="32"/>
      <c r="G38" s="33"/>
      <c r="H38" s="22"/>
      <c r="I38" s="22"/>
      <c r="J38" s="22"/>
      <c r="K38" s="22"/>
      <c r="L38" s="34"/>
      <c r="M38" s="34"/>
      <c r="N38" s="22"/>
      <c r="O38" s="22"/>
    </row>
    <row r="39" spans="2:15" x14ac:dyDescent="0.25">
      <c r="B39" s="38"/>
      <c r="C39" s="39"/>
      <c r="D39" s="40"/>
      <c r="E39" s="40"/>
      <c r="F39" s="38"/>
      <c r="G39" s="39"/>
      <c r="H39" s="40"/>
      <c r="I39" s="40"/>
      <c r="J39" s="40"/>
      <c r="K39" s="40"/>
      <c r="L39" s="41"/>
      <c r="M39" s="41"/>
      <c r="N39" s="40"/>
      <c r="O39" s="40"/>
    </row>
    <row r="40" spans="2:15" x14ac:dyDescent="0.25">
      <c r="B40" s="32"/>
      <c r="C40" s="33"/>
      <c r="D40" s="22"/>
      <c r="E40" s="22"/>
      <c r="F40" s="32"/>
      <c r="G40" s="33"/>
      <c r="H40" s="22"/>
      <c r="I40" s="22"/>
      <c r="J40" s="22"/>
      <c r="K40" s="22"/>
      <c r="L40" s="34"/>
      <c r="M40" s="34"/>
      <c r="N40" s="22"/>
      <c r="O40" s="22"/>
    </row>
    <row r="41" spans="2:15" x14ac:dyDescent="0.25">
      <c r="B41" s="38"/>
      <c r="C41" s="39"/>
      <c r="D41" s="40"/>
      <c r="E41" s="40"/>
      <c r="F41" s="38"/>
      <c r="G41" s="39"/>
      <c r="H41" s="40"/>
      <c r="I41" s="40"/>
      <c r="J41" s="40"/>
      <c r="K41" s="40"/>
      <c r="L41" s="41"/>
      <c r="M41" s="41"/>
      <c r="N41" s="40"/>
      <c r="O41" s="40"/>
    </row>
    <row r="42" spans="2:15" x14ac:dyDescent="0.25">
      <c r="B42" s="32"/>
      <c r="C42" s="33"/>
      <c r="D42" s="22"/>
      <c r="E42" s="22"/>
      <c r="F42" s="32"/>
      <c r="G42" s="33"/>
      <c r="H42" s="22"/>
      <c r="I42" s="22"/>
      <c r="J42" s="22"/>
      <c r="K42" s="22"/>
      <c r="L42" s="34"/>
      <c r="M42" s="34"/>
      <c r="N42" s="22"/>
      <c r="O42" s="22"/>
    </row>
    <row r="43" spans="2:15" x14ac:dyDescent="0.25">
      <c r="B43" s="38"/>
      <c r="C43" s="39"/>
      <c r="D43" s="40"/>
      <c r="E43" s="40"/>
      <c r="F43" s="38"/>
      <c r="G43" s="39"/>
      <c r="H43" s="40"/>
      <c r="I43" s="40"/>
      <c r="J43" s="40"/>
      <c r="K43" s="40"/>
      <c r="L43" s="41"/>
      <c r="M43" s="41"/>
      <c r="N43" s="40"/>
      <c r="O43" s="40"/>
    </row>
    <row r="44" spans="2:15" x14ac:dyDescent="0.25">
      <c r="B44" s="32"/>
      <c r="C44" s="33"/>
      <c r="D44" s="22"/>
      <c r="E44" s="22"/>
      <c r="F44" s="32"/>
      <c r="G44" s="33"/>
      <c r="H44" s="22"/>
      <c r="I44" s="22"/>
      <c r="J44" s="22"/>
      <c r="K44" s="22"/>
      <c r="L44" s="34"/>
      <c r="M44" s="34"/>
      <c r="N44" s="22"/>
      <c r="O44" s="22"/>
    </row>
    <row r="45" spans="2:15" x14ac:dyDescent="0.25">
      <c r="B45" s="38"/>
      <c r="C45" s="39"/>
      <c r="D45" s="40"/>
      <c r="E45" s="40"/>
      <c r="F45" s="38"/>
      <c r="G45" s="39"/>
      <c r="H45" s="40"/>
      <c r="I45" s="40"/>
      <c r="J45" s="40"/>
      <c r="K45" s="40"/>
      <c r="L45" s="41"/>
      <c r="M45" s="41"/>
      <c r="N45" s="40"/>
      <c r="O45" s="40"/>
    </row>
    <row r="46" spans="2:15" x14ac:dyDescent="0.25">
      <c r="B46" s="32"/>
      <c r="C46" s="33"/>
      <c r="D46" s="22"/>
      <c r="E46" s="22"/>
      <c r="F46" s="32"/>
      <c r="G46" s="33"/>
      <c r="H46" s="22"/>
      <c r="I46" s="22"/>
      <c r="J46" s="22"/>
      <c r="K46" s="22"/>
      <c r="L46" s="34"/>
      <c r="M46" s="34"/>
      <c r="N46" s="22"/>
      <c r="O46" s="22"/>
    </row>
    <row r="47" spans="2:15" x14ac:dyDescent="0.25">
      <c r="B47" s="38"/>
      <c r="C47" s="39"/>
      <c r="D47" s="40"/>
      <c r="E47" s="40"/>
      <c r="F47" s="38"/>
      <c r="G47" s="39"/>
      <c r="H47" s="40"/>
      <c r="I47" s="40"/>
      <c r="J47" s="40"/>
      <c r="K47" s="40"/>
      <c r="L47" s="41"/>
      <c r="M47" s="41"/>
      <c r="N47" s="40"/>
      <c r="O47" s="40"/>
    </row>
    <row r="48" spans="2:15" x14ac:dyDescent="0.25">
      <c r="B48" s="32"/>
      <c r="C48" s="33"/>
      <c r="D48" s="22"/>
      <c r="E48" s="22"/>
      <c r="F48" s="32"/>
      <c r="G48" s="33"/>
      <c r="H48" s="22"/>
      <c r="I48" s="22"/>
      <c r="J48" s="22"/>
      <c r="K48" s="22"/>
      <c r="L48" s="34"/>
      <c r="M48" s="34"/>
      <c r="N48" s="22"/>
      <c r="O48" s="22"/>
    </row>
    <row r="49" spans="2:15" x14ac:dyDescent="0.25">
      <c r="B49" s="38"/>
      <c r="C49" s="39"/>
      <c r="D49" s="40"/>
      <c r="E49" s="40"/>
      <c r="F49" s="38"/>
      <c r="G49" s="39"/>
      <c r="H49" s="40"/>
      <c r="I49" s="40"/>
      <c r="J49" s="40"/>
      <c r="K49" s="40"/>
      <c r="L49" s="41"/>
      <c r="M49" s="41"/>
      <c r="N49" s="40"/>
      <c r="O49" s="40"/>
    </row>
    <row r="50" spans="2:15" x14ac:dyDescent="0.25">
      <c r="B50" s="32"/>
      <c r="C50" s="33"/>
      <c r="D50" s="22"/>
      <c r="E50" s="22"/>
      <c r="F50" s="32"/>
      <c r="G50" s="33"/>
      <c r="H50" s="22"/>
      <c r="I50" s="22"/>
      <c r="J50" s="22"/>
      <c r="K50" s="22"/>
      <c r="L50" s="34"/>
      <c r="M50" s="34"/>
      <c r="N50" s="22"/>
      <c r="O50" s="22"/>
    </row>
    <row r="51" spans="2:15" x14ac:dyDescent="0.25">
      <c r="B51" s="38"/>
      <c r="C51" s="39"/>
      <c r="D51" s="40"/>
      <c r="E51" s="40"/>
      <c r="F51" s="38"/>
      <c r="G51" s="39"/>
      <c r="H51" s="40"/>
      <c r="I51" s="40"/>
      <c r="J51" s="40"/>
      <c r="K51" s="40"/>
      <c r="L51" s="41"/>
      <c r="M51" s="41"/>
      <c r="N51" s="40"/>
      <c r="O51" s="40"/>
    </row>
    <row r="52" spans="2:15" x14ac:dyDescent="0.25">
      <c r="B52" s="32"/>
      <c r="C52" s="33"/>
      <c r="D52" s="22"/>
      <c r="E52" s="22"/>
      <c r="F52" s="32"/>
      <c r="G52" s="33"/>
      <c r="H52" s="22"/>
      <c r="I52" s="22"/>
      <c r="J52" s="22"/>
      <c r="K52" s="22"/>
      <c r="L52" s="34"/>
      <c r="M52" s="34"/>
      <c r="N52" s="22"/>
      <c r="O52" s="22"/>
    </row>
    <row r="53" spans="2:15" x14ac:dyDescent="0.25">
      <c r="B53" s="38"/>
      <c r="C53" s="39"/>
      <c r="D53" s="40"/>
      <c r="E53" s="40"/>
      <c r="F53" s="38"/>
      <c r="G53" s="39"/>
      <c r="H53" s="40"/>
      <c r="I53" s="40"/>
      <c r="J53" s="40"/>
      <c r="K53" s="40"/>
      <c r="L53" s="41"/>
      <c r="M53" s="41"/>
      <c r="N53" s="40"/>
      <c r="O53" s="40"/>
    </row>
    <row r="54" spans="2:15" x14ac:dyDescent="0.25">
      <c r="B54" s="32"/>
      <c r="C54" s="33"/>
      <c r="D54" s="22"/>
      <c r="E54" s="22"/>
      <c r="F54" s="32"/>
      <c r="G54" s="33"/>
      <c r="H54" s="22"/>
      <c r="I54" s="22"/>
      <c r="J54" s="22"/>
      <c r="K54" s="22"/>
      <c r="L54" s="34"/>
      <c r="M54" s="34"/>
      <c r="N54" s="22"/>
      <c r="O54" s="22"/>
    </row>
    <row r="55" spans="2:15" x14ac:dyDescent="0.25">
      <c r="B55" s="38"/>
      <c r="C55" s="39"/>
      <c r="D55" s="40"/>
      <c r="E55" s="40"/>
      <c r="F55" s="38"/>
      <c r="G55" s="39"/>
      <c r="H55" s="40"/>
      <c r="I55" s="40"/>
      <c r="J55" s="40"/>
      <c r="K55" s="40"/>
      <c r="L55" s="41"/>
      <c r="M55" s="41"/>
      <c r="N55" s="40"/>
      <c r="O55" s="40"/>
    </row>
    <row r="56" spans="2:15" x14ac:dyDescent="0.25">
      <c r="B56" s="32"/>
      <c r="C56" s="33"/>
      <c r="D56" s="22"/>
      <c r="E56" s="22"/>
      <c r="F56" s="32"/>
      <c r="G56" s="33"/>
      <c r="H56" s="22"/>
      <c r="I56" s="22"/>
      <c r="J56" s="22"/>
      <c r="K56" s="22"/>
      <c r="L56" s="34"/>
      <c r="M56" s="34"/>
      <c r="N56" s="22"/>
      <c r="O56" s="22"/>
    </row>
    <row r="57" spans="2:15" x14ac:dyDescent="0.25">
      <c r="B57" s="38"/>
      <c r="C57" s="39"/>
      <c r="D57" s="40"/>
      <c r="E57" s="40"/>
      <c r="F57" s="38"/>
      <c r="G57" s="39"/>
      <c r="H57" s="40"/>
      <c r="I57" s="40"/>
      <c r="J57" s="40"/>
      <c r="K57" s="40"/>
      <c r="L57" s="41"/>
      <c r="M57" s="41"/>
      <c r="N57" s="40"/>
      <c r="O57" s="40"/>
    </row>
    <row r="58" spans="2:15" x14ac:dyDescent="0.25">
      <c r="B58" s="32"/>
      <c r="C58" s="33"/>
      <c r="D58" s="22"/>
      <c r="E58" s="22"/>
      <c r="F58" s="32"/>
      <c r="G58" s="33"/>
      <c r="H58" s="22"/>
      <c r="I58" s="22"/>
      <c r="J58" s="22"/>
      <c r="K58" s="22"/>
      <c r="L58" s="34"/>
      <c r="M58" s="34"/>
      <c r="N58" s="22"/>
      <c r="O58" s="22"/>
    </row>
    <row r="59" spans="2:15" x14ac:dyDescent="0.25">
      <c r="B59" s="38"/>
      <c r="C59" s="39"/>
      <c r="D59" s="40"/>
      <c r="E59" s="40"/>
      <c r="F59" s="38"/>
      <c r="G59" s="39"/>
      <c r="H59" s="40"/>
      <c r="I59" s="40"/>
      <c r="J59" s="40"/>
      <c r="K59" s="40"/>
      <c r="L59" s="41"/>
      <c r="M59" s="41"/>
      <c r="N59" s="40"/>
      <c r="O59" s="40"/>
    </row>
  </sheetData>
  <dataConsolidate/>
  <mergeCells count="3">
    <mergeCell ref="F2:O2"/>
    <mergeCell ref="B14:O14"/>
    <mergeCell ref="B1:O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R273"/>
  <sheetViews>
    <sheetView tabSelected="1" workbookViewId="0">
      <pane ySplit="1" topLeftCell="A2" activePane="bottomLeft" state="frozen"/>
      <selection pane="bottomLeft" activeCell="C11" sqref="C11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8" width="7.42578125" style="2" bestFit="1" customWidth="1"/>
    <col min="9" max="9" width="25.42578125" style="2" bestFit="1" customWidth="1"/>
    <col min="10" max="11" width="24" style="2" bestFit="1" customWidth="1"/>
    <col min="12" max="12" width="9.42578125" style="3" bestFit="1" customWidth="1"/>
    <col min="13" max="13" width="11.85546875" style="3" bestFit="1" customWidth="1"/>
    <col min="14" max="14" width="9.85546875" style="2" bestFit="1" customWidth="1"/>
    <col min="15" max="15" width="12.28515625" style="2" bestFit="1" customWidth="1"/>
    <col min="16" max="16" width="12.28515625" style="26" bestFit="1" customWidth="1"/>
    <col min="17" max="17" width="9.28515625" style="26" bestFit="1" customWidth="1"/>
    <col min="18" max="18" width="43.28515625" style="8"/>
    <col min="19" max="16384" width="43.28515625" style="1"/>
  </cols>
  <sheetData>
    <row r="1" spans="1:18" s="27" customFormat="1" ht="19.5" x14ac:dyDescent="0.25">
      <c r="A1" s="27" t="s">
        <v>883</v>
      </c>
      <c r="B1" s="27" t="s">
        <v>884</v>
      </c>
      <c r="C1" s="27" t="s">
        <v>885</v>
      </c>
      <c r="D1" s="27" t="s">
        <v>886</v>
      </c>
      <c r="E1" s="27" t="s">
        <v>887</v>
      </c>
      <c r="F1" s="28" t="s">
        <v>888</v>
      </c>
      <c r="G1" s="28" t="s">
        <v>889</v>
      </c>
      <c r="H1" s="27" t="s">
        <v>0</v>
      </c>
      <c r="I1" s="27" t="s">
        <v>868</v>
      </c>
      <c r="J1" s="27" t="s">
        <v>871</v>
      </c>
      <c r="K1" s="27" t="s">
        <v>869</v>
      </c>
      <c r="L1" s="27" t="s">
        <v>1</v>
      </c>
      <c r="M1" s="27" t="s">
        <v>890</v>
      </c>
      <c r="N1" s="27" t="s">
        <v>2</v>
      </c>
      <c r="O1" s="27" t="s">
        <v>867</v>
      </c>
      <c r="P1" s="29" t="s">
        <v>892</v>
      </c>
      <c r="Q1" s="29" t="s">
        <v>891</v>
      </c>
      <c r="R1" s="28"/>
    </row>
    <row r="2" spans="1:18" ht="15" customHeight="1" x14ac:dyDescent="0.25">
      <c r="A2" s="4" t="s">
        <v>3</v>
      </c>
      <c r="B2" s="5" t="s">
        <v>4</v>
      </c>
      <c r="C2" s="5" t="str">
        <f t="shared" ref="C2:C65" si="0">IFERROR(LEFT(B2,(FIND("-",B2)-1)),LEFT(B2,FIND("mm",B2)-1))</f>
        <v xml:space="preserve">10 </v>
      </c>
      <c r="D2" s="5" t="str">
        <f>IFERROR(RIGHT(LEFT(B2,FIND("m",B2)-1),LEN(LEFT(B2,FIND("m",B2)-1))-FIND("-",LEFT(B2,FIND("m",B2)-1))-1),C2)</f>
        <v>17</v>
      </c>
      <c r="E2" s="6" t="s">
        <v>5</v>
      </c>
      <c r="F2" s="9">
        <f>convertStringPointToComma(LEFT(MID(E2,3,9),IFERROR(FIND("-",MID(E2,3,9))-2,3)))</f>
        <v>3.5</v>
      </c>
      <c r="G2" s="9">
        <f>convertStringPointToComma(RIGHT(E2,IF(ISERROR(FIND(".",RIGHT(E2,3))),1,3)))</f>
        <v>4.5</v>
      </c>
      <c r="H2" s="5" t="s">
        <v>6</v>
      </c>
      <c r="I2" s="5" t="s">
        <v>7</v>
      </c>
      <c r="J2" s="10">
        <f>convertStringPointToComma(LEFT(I2,LEN(I2)-1))</f>
        <v>0.39</v>
      </c>
      <c r="K2" s="11">
        <f>ROUND(1/J2,1)</f>
        <v>2.6</v>
      </c>
      <c r="L2" s="6" t="s">
        <v>8</v>
      </c>
      <c r="M2" s="6" t="s">
        <v>9</v>
      </c>
      <c r="N2" s="5" t="s">
        <v>10</v>
      </c>
      <c r="O2" s="5" t="s">
        <v>11</v>
      </c>
      <c r="P2" s="26">
        <f>_xlfn.NUMBERVALUE(LEFT(O2,FIND("x",O2)-2))</f>
        <v>70</v>
      </c>
      <c r="Q2" s="26">
        <f>_xlfn.NUMBERVALUE(LEFT(RIGHT(O2,LEN(O2)-FIND("x",O2)-1),LEN(RIGHT(O2,LEN(O2)-FIND("x",O2)-1))-2))</f>
        <v>71</v>
      </c>
      <c r="R2" s="10"/>
    </row>
    <row r="3" spans="1:18" ht="15" customHeight="1" x14ac:dyDescent="0.25">
      <c r="A3" s="4" t="s">
        <v>12</v>
      </c>
      <c r="B3" s="5" t="s">
        <v>13</v>
      </c>
      <c r="C3" s="5" t="str">
        <f t="shared" si="0"/>
        <v xml:space="preserve">10 </v>
      </c>
      <c r="D3" s="5" t="str">
        <f t="shared" ref="D3:D66" si="1">IFERROR(RIGHT(LEFT(B3,FIND("m",B3)-1),LEN(LEFT(B3,FIND("m",B3)-1))-FIND("-",LEFT(B3,FIND("m",B3)-1))-1),C3)</f>
        <v>20</v>
      </c>
      <c r="E3" s="6" t="s">
        <v>14</v>
      </c>
      <c r="F3" s="9">
        <f t="shared" ref="F3:F66" si="2">convertStringPointToComma(LEFT(MID(E3,3,9),IFERROR(FIND("-",MID(E3,3,9))-2,3)))</f>
        <v>4.5</v>
      </c>
      <c r="G3" s="9">
        <f t="shared" ref="G3:G66" si="3">convertStringPointToComma(RIGHT(E3,IF(ISERROR(FIND(".",RIGHT(E3,3))),1,3)))</f>
        <v>5.6</v>
      </c>
      <c r="H3" s="5" t="s">
        <v>15</v>
      </c>
      <c r="I3" s="5" t="s">
        <v>16</v>
      </c>
      <c r="J3" s="10">
        <f t="shared" ref="J3:J66" si="4">convertStringPointToComma(LEFT(I3,LEN(I3)-1))</f>
        <v>0.17</v>
      </c>
      <c r="K3" s="11">
        <f>ROUND(1/J3,1)</f>
        <v>5.9</v>
      </c>
      <c r="L3" s="6" t="s">
        <v>8</v>
      </c>
      <c r="M3" s="6" t="s">
        <v>9</v>
      </c>
      <c r="N3" s="5" t="s">
        <v>17</v>
      </c>
      <c r="O3" s="5" t="s">
        <v>18</v>
      </c>
      <c r="P3" s="26">
        <f t="shared" ref="P3:P66" si="5">_xlfn.NUMBERVALUE(LEFT(O3,FIND("x",O3)-2))</f>
        <v>77</v>
      </c>
      <c r="Q3" s="26">
        <f t="shared" ref="Q3:Q66" si="6">_xlfn.NUMBERVALUE(LEFT(RIGHT(O3,LEN(O3)-FIND("x",O3)-1),LEN(RIGHT(O3,LEN(O3)-FIND("x",O3)-1))-2))</f>
        <v>73</v>
      </c>
      <c r="R3" s="10"/>
    </row>
    <row r="4" spans="1:18" ht="15" customHeight="1" x14ac:dyDescent="0.25">
      <c r="A4" s="4" t="s">
        <v>19</v>
      </c>
      <c r="B4" s="5" t="s">
        <v>13</v>
      </c>
      <c r="C4" s="5" t="str">
        <f t="shared" si="0"/>
        <v xml:space="preserve">10 </v>
      </c>
      <c r="D4" s="5" t="str">
        <f t="shared" si="1"/>
        <v>20</v>
      </c>
      <c r="E4" s="6" t="s">
        <v>20</v>
      </c>
      <c r="F4" s="9">
        <f t="shared" si="2"/>
        <v>3.5</v>
      </c>
      <c r="G4" s="9">
        <f>convertStringPointToComma(RIGHT(E4,IF(ISERROR(FIND(".",RIGHT(E4,3))),1,3)))</f>
        <v>3.5</v>
      </c>
      <c r="H4" s="5" t="s">
        <v>21</v>
      </c>
      <c r="I4" s="5" t="s">
        <v>22</v>
      </c>
      <c r="J4" s="10">
        <f t="shared" si="4"/>
        <v>0.15</v>
      </c>
      <c r="K4" s="11">
        <f>ROUND(1/J4,1)</f>
        <v>6.7</v>
      </c>
      <c r="L4" s="6" t="s">
        <v>8</v>
      </c>
      <c r="M4" s="6" t="s">
        <v>9</v>
      </c>
      <c r="N4" s="5" t="s">
        <v>23</v>
      </c>
      <c r="O4" s="5" t="s">
        <v>24</v>
      </c>
      <c r="P4" s="26">
        <f t="shared" si="5"/>
        <v>88</v>
      </c>
      <c r="Q4" s="26">
        <f t="shared" si="6"/>
        <v>88</v>
      </c>
      <c r="R4" s="10"/>
    </row>
    <row r="5" spans="1:18" ht="15" customHeight="1" x14ac:dyDescent="0.25">
      <c r="A5" s="4" t="s">
        <v>25</v>
      </c>
      <c r="B5" s="5" t="s">
        <v>13</v>
      </c>
      <c r="C5" s="5" t="str">
        <f t="shared" si="0"/>
        <v xml:space="preserve">10 </v>
      </c>
      <c r="D5" s="5" t="str">
        <f t="shared" si="1"/>
        <v>20</v>
      </c>
      <c r="E5" s="6" t="s">
        <v>26</v>
      </c>
      <c r="F5" s="9">
        <f t="shared" si="2"/>
        <v>4</v>
      </c>
      <c r="G5" s="9">
        <f t="shared" si="3"/>
        <v>4.5</v>
      </c>
      <c r="H5" s="5" t="s">
        <v>27</v>
      </c>
      <c r="I5" s="5" t="s">
        <v>22</v>
      </c>
      <c r="J5" s="10">
        <f t="shared" si="4"/>
        <v>0.15</v>
      </c>
      <c r="K5" s="11">
        <f t="shared" ref="K5:K67" si="7">ROUND(1/J5,1)</f>
        <v>6.7</v>
      </c>
      <c r="L5" s="6" t="s">
        <v>8</v>
      </c>
      <c r="M5" s="6" t="s">
        <v>9</v>
      </c>
      <c r="N5" s="5" t="s">
        <v>28</v>
      </c>
      <c r="O5" s="5" t="s">
        <v>29</v>
      </c>
      <c r="P5" s="26">
        <f t="shared" si="5"/>
        <v>84</v>
      </c>
      <c r="Q5" s="26">
        <f t="shared" si="6"/>
        <v>81</v>
      </c>
      <c r="R5" s="10"/>
    </row>
    <row r="6" spans="1:18" ht="15" customHeight="1" x14ac:dyDescent="0.25">
      <c r="A6" s="4" t="s">
        <v>30</v>
      </c>
      <c r="B6" s="5" t="s">
        <v>31</v>
      </c>
      <c r="C6" s="5" t="str">
        <f t="shared" si="0"/>
        <v xml:space="preserve">10 </v>
      </c>
      <c r="D6" s="5" t="str">
        <f t="shared" si="1"/>
        <v>24</v>
      </c>
      <c r="E6" s="6" t="s">
        <v>5</v>
      </c>
      <c r="F6" s="9">
        <f t="shared" si="2"/>
        <v>3.5</v>
      </c>
      <c r="G6" s="9">
        <f t="shared" si="3"/>
        <v>4.5</v>
      </c>
      <c r="H6" s="5" t="s">
        <v>27</v>
      </c>
      <c r="I6" s="5" t="s">
        <v>32</v>
      </c>
      <c r="J6" s="10">
        <f t="shared" si="4"/>
        <v>0.12</v>
      </c>
      <c r="K6" s="11">
        <f t="shared" si="7"/>
        <v>8.3000000000000007</v>
      </c>
      <c r="L6" s="6" t="s">
        <v>8</v>
      </c>
      <c r="M6" s="6" t="s">
        <v>9</v>
      </c>
      <c r="N6" s="5" t="s">
        <v>33</v>
      </c>
      <c r="O6" s="5" t="s">
        <v>34</v>
      </c>
      <c r="P6" s="26">
        <f t="shared" si="5"/>
        <v>83</v>
      </c>
      <c r="Q6" s="26">
        <f t="shared" si="6"/>
        <v>87</v>
      </c>
      <c r="R6" s="10"/>
    </row>
    <row r="7" spans="1:18" ht="15" customHeight="1" x14ac:dyDescent="0.25">
      <c r="A7" s="4" t="s">
        <v>35</v>
      </c>
      <c r="B7" s="5" t="s">
        <v>31</v>
      </c>
      <c r="C7" s="5" t="str">
        <f t="shared" si="0"/>
        <v xml:space="preserve">10 </v>
      </c>
      <c r="D7" s="5" t="str">
        <f t="shared" si="1"/>
        <v>24</v>
      </c>
      <c r="E7" s="6" t="s">
        <v>5</v>
      </c>
      <c r="F7" s="9">
        <f t="shared" si="2"/>
        <v>3.5</v>
      </c>
      <c r="G7" s="9">
        <f t="shared" si="3"/>
        <v>4.5</v>
      </c>
      <c r="H7" s="5" t="s">
        <v>27</v>
      </c>
      <c r="I7" s="5" t="s">
        <v>36</v>
      </c>
      <c r="J7" s="10">
        <f t="shared" si="4"/>
        <v>0.18</v>
      </c>
      <c r="K7" s="11">
        <f t="shared" si="7"/>
        <v>5.6</v>
      </c>
      <c r="L7" s="6" t="s">
        <v>8</v>
      </c>
      <c r="M7" s="6" t="s">
        <v>9</v>
      </c>
      <c r="N7" s="5" t="s">
        <v>37</v>
      </c>
      <c r="O7" s="5" t="s">
        <v>38</v>
      </c>
      <c r="P7" s="26">
        <f t="shared" si="5"/>
        <v>84</v>
      </c>
      <c r="Q7" s="26">
        <f t="shared" si="6"/>
        <v>85</v>
      </c>
      <c r="R7" s="10"/>
    </row>
    <row r="8" spans="1:18" ht="15" customHeight="1" x14ac:dyDescent="0.25">
      <c r="A8" s="4" t="s">
        <v>39</v>
      </c>
      <c r="B8" s="5" t="s">
        <v>31</v>
      </c>
      <c r="C8" s="5" t="str">
        <f t="shared" si="0"/>
        <v xml:space="preserve">10 </v>
      </c>
      <c r="D8" s="5" t="str">
        <f t="shared" si="1"/>
        <v>24</v>
      </c>
      <c r="E8" s="6" t="s">
        <v>5</v>
      </c>
      <c r="F8" s="9">
        <f t="shared" si="2"/>
        <v>3.5</v>
      </c>
      <c r="G8" s="9">
        <f>convertStringPointToComma(RIGHT(E8,IF(ISERROR(FIND(".",RIGHT(E8,3))),1,3)))</f>
        <v>4.5</v>
      </c>
      <c r="H8" s="5" t="s">
        <v>27</v>
      </c>
      <c r="I8" s="5" t="s">
        <v>40</v>
      </c>
      <c r="J8" s="10">
        <f t="shared" si="4"/>
        <v>0.2</v>
      </c>
      <c r="K8" s="11">
        <f t="shared" si="7"/>
        <v>5</v>
      </c>
      <c r="L8" s="6" t="s">
        <v>8</v>
      </c>
      <c r="M8" s="6" t="s">
        <v>9</v>
      </c>
      <c r="N8" s="5" t="s">
        <v>41</v>
      </c>
      <c r="O8" s="5" t="s">
        <v>34</v>
      </c>
      <c r="P8" s="26">
        <f t="shared" si="5"/>
        <v>83</v>
      </c>
      <c r="Q8" s="26">
        <f t="shared" si="6"/>
        <v>87</v>
      </c>
      <c r="R8" s="10"/>
    </row>
    <row r="9" spans="1:18" x14ac:dyDescent="0.25">
      <c r="A9" s="4" t="s">
        <v>47</v>
      </c>
      <c r="B9" s="5" t="s">
        <v>48</v>
      </c>
      <c r="C9" s="5" t="str">
        <f t="shared" si="0"/>
        <v xml:space="preserve">100 </v>
      </c>
      <c r="D9" s="5" t="str">
        <f t="shared" si="1"/>
        <v>300</v>
      </c>
      <c r="E9" s="6" t="s">
        <v>49</v>
      </c>
      <c r="F9" s="9">
        <f t="shared" si="2"/>
        <v>4</v>
      </c>
      <c r="G9" s="9">
        <f t="shared" si="3"/>
        <v>4</v>
      </c>
      <c r="H9" s="5" t="s">
        <v>21</v>
      </c>
      <c r="I9" s="5" t="s">
        <v>40</v>
      </c>
      <c r="J9" s="10">
        <f t="shared" si="4"/>
        <v>0.2</v>
      </c>
      <c r="K9" s="11">
        <f t="shared" si="7"/>
        <v>5</v>
      </c>
      <c r="L9" s="6" t="s">
        <v>8</v>
      </c>
      <c r="M9" s="6" t="s">
        <v>50</v>
      </c>
      <c r="N9" s="5" t="s">
        <v>51</v>
      </c>
      <c r="O9" s="5" t="s">
        <v>52</v>
      </c>
      <c r="P9" s="26">
        <f t="shared" si="5"/>
        <v>93</v>
      </c>
      <c r="Q9" s="26">
        <f t="shared" si="6"/>
        <v>224</v>
      </c>
      <c r="R9" s="10"/>
    </row>
    <row r="10" spans="1:18" ht="15" customHeight="1" x14ac:dyDescent="0.25">
      <c r="A10" s="4" t="s">
        <v>53</v>
      </c>
      <c r="B10" s="5" t="s">
        <v>54</v>
      </c>
      <c r="C10" s="5" t="str">
        <f t="shared" si="0"/>
        <v xml:space="preserve">100 </v>
      </c>
      <c r="D10" s="5" t="str">
        <f t="shared" si="1"/>
        <v>400</v>
      </c>
      <c r="E10" s="6" t="s">
        <v>55</v>
      </c>
      <c r="F10" s="9">
        <f t="shared" si="2"/>
        <v>5</v>
      </c>
      <c r="G10" s="9">
        <f t="shared" si="3"/>
        <v>6.3</v>
      </c>
      <c r="H10" s="5" t="s">
        <v>56</v>
      </c>
      <c r="I10" s="5" t="s">
        <v>57</v>
      </c>
      <c r="J10" s="10">
        <f t="shared" si="4"/>
        <v>0.26</v>
      </c>
      <c r="K10" s="11">
        <f t="shared" si="7"/>
        <v>3.8</v>
      </c>
      <c r="L10" s="6" t="s">
        <v>8</v>
      </c>
      <c r="M10" s="6" t="s">
        <v>50</v>
      </c>
      <c r="N10" s="5" t="s">
        <v>58</v>
      </c>
      <c r="O10" s="5" t="s">
        <v>59</v>
      </c>
      <c r="P10" s="26">
        <f t="shared" si="5"/>
        <v>87</v>
      </c>
      <c r="Q10" s="26">
        <f t="shared" si="6"/>
        <v>183</v>
      </c>
      <c r="R10" s="10"/>
    </row>
    <row r="11" spans="1:18" ht="15" customHeight="1" x14ac:dyDescent="0.25">
      <c r="A11" s="4" t="s">
        <v>60</v>
      </c>
      <c r="B11" s="5" t="s">
        <v>61</v>
      </c>
      <c r="C11" s="5" t="str">
        <f t="shared" si="0"/>
        <v>100</v>
      </c>
      <c r="D11" s="5" t="str">
        <f t="shared" si="1"/>
        <v>100</v>
      </c>
      <c r="E11" s="6" t="s">
        <v>44</v>
      </c>
      <c r="F11" s="9">
        <f t="shared" si="2"/>
        <v>2.8</v>
      </c>
      <c r="G11" s="9">
        <f t="shared" si="3"/>
        <v>2.8</v>
      </c>
      <c r="H11" s="5" t="s">
        <v>62</v>
      </c>
      <c r="I11" s="5" t="s">
        <v>63</v>
      </c>
      <c r="J11" s="10">
        <f t="shared" si="4"/>
        <v>1</v>
      </c>
      <c r="K11" s="11">
        <f t="shared" si="7"/>
        <v>1</v>
      </c>
      <c r="L11" s="6" t="s">
        <v>8</v>
      </c>
      <c r="M11" s="6" t="s">
        <v>9</v>
      </c>
      <c r="N11" s="5" t="s">
        <v>64</v>
      </c>
      <c r="O11" s="5" t="s">
        <v>65</v>
      </c>
      <c r="P11" s="26">
        <f t="shared" si="5"/>
        <v>73</v>
      </c>
      <c r="Q11" s="26">
        <f t="shared" si="6"/>
        <v>95</v>
      </c>
      <c r="R11" s="10"/>
    </row>
    <row r="12" spans="1:18" ht="15" customHeight="1" x14ac:dyDescent="0.25">
      <c r="A12" s="4" t="s">
        <v>66</v>
      </c>
      <c r="B12" s="5" t="s">
        <v>61</v>
      </c>
      <c r="C12" s="5" t="str">
        <f t="shared" si="0"/>
        <v>100</v>
      </c>
      <c r="D12" s="5" t="str">
        <f t="shared" si="1"/>
        <v>100</v>
      </c>
      <c r="E12" s="6" t="s">
        <v>67</v>
      </c>
      <c r="F12" s="9">
        <f t="shared" si="2"/>
        <v>2</v>
      </c>
      <c r="G12" s="9">
        <f t="shared" si="3"/>
        <v>2</v>
      </c>
      <c r="H12" s="5" t="s">
        <v>56</v>
      </c>
      <c r="I12" s="5" t="s">
        <v>68</v>
      </c>
      <c r="J12" s="10">
        <f t="shared" si="4"/>
        <v>0.5</v>
      </c>
      <c r="K12" s="11">
        <f t="shared" si="7"/>
        <v>2</v>
      </c>
      <c r="L12" s="6" t="s">
        <v>8</v>
      </c>
      <c r="M12" s="6" t="s">
        <v>50</v>
      </c>
      <c r="N12" s="5" t="s">
        <v>69</v>
      </c>
      <c r="O12" s="5" t="s">
        <v>70</v>
      </c>
      <c r="P12" s="26">
        <f t="shared" si="5"/>
        <v>76</v>
      </c>
      <c r="Q12" s="26">
        <f t="shared" si="6"/>
        <v>115</v>
      </c>
      <c r="R12" s="10"/>
    </row>
    <row r="13" spans="1:18" ht="15" customHeight="1" x14ac:dyDescent="0.25">
      <c r="A13" s="4" t="s">
        <v>71</v>
      </c>
      <c r="B13" s="5" t="s">
        <v>61</v>
      </c>
      <c r="C13" s="5" t="str">
        <f t="shared" si="0"/>
        <v>100</v>
      </c>
      <c r="D13" s="5" t="str">
        <f t="shared" si="1"/>
        <v>100</v>
      </c>
      <c r="E13" s="6" t="s">
        <v>67</v>
      </c>
      <c r="F13" s="9">
        <f t="shared" si="2"/>
        <v>2</v>
      </c>
      <c r="G13" s="9">
        <f t="shared" si="3"/>
        <v>2</v>
      </c>
      <c r="H13" s="5" t="s">
        <v>56</v>
      </c>
      <c r="I13" s="5" t="s">
        <v>68</v>
      </c>
      <c r="J13" s="10">
        <f t="shared" si="4"/>
        <v>0.5</v>
      </c>
      <c r="K13" s="11">
        <f t="shared" si="7"/>
        <v>2</v>
      </c>
      <c r="L13" s="6" t="s">
        <v>8</v>
      </c>
      <c r="M13" s="6" t="s">
        <v>50</v>
      </c>
      <c r="N13" s="5" t="s">
        <v>72</v>
      </c>
      <c r="O13" s="5" t="s">
        <v>73</v>
      </c>
      <c r="P13" s="26">
        <f t="shared" si="5"/>
        <v>81</v>
      </c>
      <c r="Q13" s="26">
        <f t="shared" si="6"/>
        <v>103</v>
      </c>
      <c r="R13" s="10"/>
    </row>
    <row r="14" spans="1:18" ht="15" customHeight="1" x14ac:dyDescent="0.25">
      <c r="A14" s="4" t="s">
        <v>74</v>
      </c>
      <c r="B14" s="5" t="s">
        <v>75</v>
      </c>
      <c r="C14" s="5" t="str">
        <f t="shared" si="0"/>
        <v>105</v>
      </c>
      <c r="D14" s="5" t="str">
        <f t="shared" si="1"/>
        <v>105</v>
      </c>
      <c r="E14" s="6" t="s">
        <v>67</v>
      </c>
      <c r="F14" s="9">
        <f t="shared" si="2"/>
        <v>2</v>
      </c>
      <c r="G14" s="9">
        <f t="shared" si="3"/>
        <v>2</v>
      </c>
      <c r="H14" s="5" t="s">
        <v>15</v>
      </c>
      <c r="I14" s="5" t="s">
        <v>76</v>
      </c>
      <c r="J14" s="10">
        <f t="shared" si="4"/>
        <v>0.13</v>
      </c>
      <c r="K14" s="11">
        <f t="shared" si="7"/>
        <v>7.7</v>
      </c>
      <c r="L14" s="6" t="s">
        <v>8</v>
      </c>
      <c r="M14" s="6" t="s">
        <v>50</v>
      </c>
      <c r="N14" s="5" t="s">
        <v>77</v>
      </c>
      <c r="O14" s="5" t="s">
        <v>78</v>
      </c>
      <c r="P14" s="26">
        <f t="shared" si="5"/>
        <v>79</v>
      </c>
      <c r="Q14" s="26">
        <f t="shared" si="6"/>
        <v>111</v>
      </c>
      <c r="R14" s="10"/>
    </row>
    <row r="15" spans="1:18" ht="15" customHeight="1" x14ac:dyDescent="0.25">
      <c r="A15" s="4" t="s">
        <v>79</v>
      </c>
      <c r="B15" s="5" t="s">
        <v>75</v>
      </c>
      <c r="C15" s="5" t="str">
        <f t="shared" si="0"/>
        <v>105</v>
      </c>
      <c r="D15" s="5" t="str">
        <f t="shared" si="1"/>
        <v>105</v>
      </c>
      <c r="E15" s="6" t="s">
        <v>80</v>
      </c>
      <c r="F15" s="9">
        <f t="shared" si="2"/>
        <v>1.4</v>
      </c>
      <c r="G15" s="9">
        <f t="shared" si="3"/>
        <v>1.4</v>
      </c>
      <c r="H15" s="5" t="s">
        <v>21</v>
      </c>
      <c r="I15" s="5" t="s">
        <v>76</v>
      </c>
      <c r="J15" s="10">
        <f t="shared" si="4"/>
        <v>0.13</v>
      </c>
      <c r="K15" s="11">
        <f t="shared" si="7"/>
        <v>7.7</v>
      </c>
      <c r="L15" s="6" t="s">
        <v>8</v>
      </c>
      <c r="M15" s="6" t="s">
        <v>50</v>
      </c>
      <c r="N15" s="5" t="s">
        <v>81</v>
      </c>
      <c r="O15" s="5" t="s">
        <v>82</v>
      </c>
      <c r="P15" s="26">
        <f t="shared" si="5"/>
        <v>95</v>
      </c>
      <c r="Q15" s="26">
        <f t="shared" si="6"/>
        <v>106</v>
      </c>
      <c r="R15" s="10"/>
    </row>
    <row r="16" spans="1:18" ht="15" customHeight="1" x14ac:dyDescent="0.25">
      <c r="A16" s="4" t="s">
        <v>83</v>
      </c>
      <c r="B16" s="5" t="s">
        <v>75</v>
      </c>
      <c r="C16" s="5" t="str">
        <f t="shared" si="0"/>
        <v>105</v>
      </c>
      <c r="D16" s="5" t="str">
        <f t="shared" si="1"/>
        <v>105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84</v>
      </c>
      <c r="I16" s="5" t="s">
        <v>63</v>
      </c>
      <c r="J16" s="10">
        <f t="shared" si="4"/>
        <v>1</v>
      </c>
      <c r="K16" s="11">
        <f t="shared" si="7"/>
        <v>1</v>
      </c>
      <c r="L16" s="6" t="s">
        <v>8</v>
      </c>
      <c r="M16" s="6" t="s">
        <v>50</v>
      </c>
      <c r="N16" s="5" t="s">
        <v>85</v>
      </c>
      <c r="O16" s="5" t="s">
        <v>86</v>
      </c>
      <c r="P16" s="26">
        <f t="shared" si="5"/>
        <v>83</v>
      </c>
      <c r="Q16" s="26">
        <f t="shared" si="6"/>
        <v>116</v>
      </c>
      <c r="R16" s="10"/>
    </row>
    <row r="17" spans="1:18" ht="15" customHeight="1" x14ac:dyDescent="0.25">
      <c r="A17" s="4" t="s">
        <v>87</v>
      </c>
      <c r="B17" s="5" t="s">
        <v>75</v>
      </c>
      <c r="C17" s="5" t="str">
        <f t="shared" si="0"/>
        <v>105</v>
      </c>
      <c r="D17" s="5" t="str">
        <f t="shared" si="1"/>
        <v>105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84</v>
      </c>
      <c r="I17" s="5" t="s">
        <v>63</v>
      </c>
      <c r="J17" s="10">
        <f t="shared" si="4"/>
        <v>1</v>
      </c>
      <c r="K17" s="11">
        <f t="shared" si="7"/>
        <v>1</v>
      </c>
      <c r="L17" s="6" t="s">
        <v>8</v>
      </c>
      <c r="M17" s="6" t="s">
        <v>50</v>
      </c>
      <c r="N17" s="5" t="s">
        <v>88</v>
      </c>
      <c r="O17" s="5" t="s">
        <v>89</v>
      </c>
      <c r="P17" s="26">
        <f t="shared" si="5"/>
        <v>79</v>
      </c>
      <c r="Q17" s="26">
        <f t="shared" si="6"/>
        <v>127</v>
      </c>
      <c r="R17" s="10"/>
    </row>
    <row r="18" spans="1:18" ht="15" customHeight="1" x14ac:dyDescent="0.25">
      <c r="A18" s="4" t="s">
        <v>90</v>
      </c>
      <c r="B18" s="5" t="s">
        <v>75</v>
      </c>
      <c r="C18" s="5" t="str">
        <f t="shared" si="0"/>
        <v>105</v>
      </c>
      <c r="D18" s="5" t="str">
        <f t="shared" si="1"/>
        <v>105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91</v>
      </c>
      <c r="I18" s="5" t="s">
        <v>63</v>
      </c>
      <c r="J18" s="10">
        <f t="shared" si="4"/>
        <v>1</v>
      </c>
      <c r="K18" s="11">
        <f t="shared" si="7"/>
        <v>1</v>
      </c>
      <c r="L18" s="6" t="s">
        <v>8</v>
      </c>
      <c r="M18" s="6" t="s">
        <v>50</v>
      </c>
      <c r="N18" s="5" t="s">
        <v>92</v>
      </c>
      <c r="O18" s="5" t="s">
        <v>93</v>
      </c>
      <c r="P18" s="26">
        <f t="shared" si="5"/>
        <v>74</v>
      </c>
      <c r="Q18" s="26">
        <f t="shared" si="6"/>
        <v>95</v>
      </c>
      <c r="R18" s="10"/>
    </row>
    <row r="19" spans="1:18" ht="15" customHeight="1" x14ac:dyDescent="0.25">
      <c r="A19" s="4" t="s">
        <v>98</v>
      </c>
      <c r="B19" s="5" t="s">
        <v>95</v>
      </c>
      <c r="C19" s="5" t="str">
        <f t="shared" si="0"/>
        <v>10</v>
      </c>
      <c r="D19" s="5" t="str">
        <f t="shared" si="1"/>
        <v>10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6</v>
      </c>
      <c r="I19" s="5" t="s">
        <v>99</v>
      </c>
      <c r="J19" s="10">
        <f t="shared" si="4"/>
        <v>0.3</v>
      </c>
      <c r="K19" s="11">
        <f t="shared" si="7"/>
        <v>3.3</v>
      </c>
      <c r="L19" s="6" t="s">
        <v>8</v>
      </c>
      <c r="M19" s="6" t="s">
        <v>9</v>
      </c>
      <c r="N19" s="5" t="s">
        <v>100</v>
      </c>
      <c r="O19" s="5" t="s">
        <v>101</v>
      </c>
      <c r="P19" s="26">
        <f t="shared" si="5"/>
        <v>76</v>
      </c>
      <c r="Q19" s="26">
        <f t="shared" si="6"/>
        <v>83</v>
      </c>
      <c r="R19" s="10"/>
    </row>
    <row r="20" spans="1:18" x14ac:dyDescent="0.25">
      <c r="A20" s="4" t="s">
        <v>102</v>
      </c>
      <c r="B20" s="5" t="s">
        <v>103</v>
      </c>
      <c r="C20" s="5" t="str">
        <f t="shared" si="0"/>
        <v xml:space="preserve">11 </v>
      </c>
      <c r="D20" s="5" t="str">
        <f t="shared" si="1"/>
        <v>16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27</v>
      </c>
      <c r="I20" s="5" t="s">
        <v>104</v>
      </c>
      <c r="J20" s="10">
        <f t="shared" si="4"/>
        <v>0.8</v>
      </c>
      <c r="K20" s="11">
        <f t="shared" si="7"/>
        <v>1.3</v>
      </c>
      <c r="L20" s="6" t="s">
        <v>8</v>
      </c>
      <c r="M20" s="6" t="s">
        <v>9</v>
      </c>
      <c r="N20" s="5" t="s">
        <v>105</v>
      </c>
      <c r="O20" s="5" t="s">
        <v>106</v>
      </c>
      <c r="P20" s="26">
        <f t="shared" si="5"/>
        <v>84</v>
      </c>
      <c r="Q20" s="26">
        <f t="shared" si="6"/>
        <v>90</v>
      </c>
      <c r="R20" s="10"/>
    </row>
    <row r="21" spans="1:18" ht="15" customHeight="1" x14ac:dyDescent="0.25">
      <c r="A21" s="4" t="s">
        <v>107</v>
      </c>
      <c r="B21" s="5" t="s">
        <v>103</v>
      </c>
      <c r="C21" s="5" t="str">
        <f t="shared" si="0"/>
        <v xml:space="preserve">11 </v>
      </c>
      <c r="D21" s="5" t="str">
        <f t="shared" si="1"/>
        <v>16</v>
      </c>
      <c r="E21" s="6" t="s">
        <v>44</v>
      </c>
      <c r="F21" s="9">
        <f t="shared" si="2"/>
        <v>2.8</v>
      </c>
      <c r="G21" s="9">
        <f t="shared" si="3"/>
        <v>2.8</v>
      </c>
      <c r="H21" s="5" t="s">
        <v>27</v>
      </c>
      <c r="I21" s="5" t="s">
        <v>104</v>
      </c>
      <c r="J21" s="10">
        <f t="shared" si="4"/>
        <v>0.8</v>
      </c>
      <c r="K21" s="11">
        <f t="shared" si="7"/>
        <v>1.3</v>
      </c>
      <c r="L21" s="6" t="s">
        <v>8</v>
      </c>
      <c r="M21" s="6" t="s">
        <v>9</v>
      </c>
      <c r="N21" s="5" t="s">
        <v>108</v>
      </c>
      <c r="O21" s="5" t="s">
        <v>106</v>
      </c>
      <c r="P21" s="26">
        <f t="shared" si="5"/>
        <v>84</v>
      </c>
      <c r="Q21" s="26">
        <f t="shared" si="6"/>
        <v>90</v>
      </c>
      <c r="R21" s="10"/>
    </row>
    <row r="22" spans="1:18" ht="15" customHeight="1" x14ac:dyDescent="0.25">
      <c r="A22" s="4" t="s">
        <v>109</v>
      </c>
      <c r="B22" s="5" t="s">
        <v>110</v>
      </c>
      <c r="C22" s="5" t="str">
        <f t="shared" si="0"/>
        <v xml:space="preserve">11 </v>
      </c>
      <c r="D22" s="5" t="str">
        <f t="shared" si="1"/>
        <v>20</v>
      </c>
      <c r="E22" s="6" t="s">
        <v>44</v>
      </c>
      <c r="F22" s="9">
        <f t="shared" si="2"/>
        <v>2.8</v>
      </c>
      <c r="G22" s="9">
        <f t="shared" si="3"/>
        <v>2.8</v>
      </c>
      <c r="H22" s="5" t="s">
        <v>21</v>
      </c>
      <c r="I22" s="5" t="s">
        <v>32</v>
      </c>
      <c r="J22" s="10">
        <f t="shared" si="4"/>
        <v>0.12</v>
      </c>
      <c r="K22" s="11">
        <f t="shared" si="7"/>
        <v>8.3000000000000007</v>
      </c>
      <c r="L22" s="6" t="s">
        <v>8</v>
      </c>
      <c r="M22" s="6" t="s">
        <v>9</v>
      </c>
      <c r="N22" s="5" t="s">
        <v>111</v>
      </c>
      <c r="O22" s="5" t="s">
        <v>112</v>
      </c>
      <c r="P22" s="26">
        <f t="shared" si="5"/>
        <v>89</v>
      </c>
      <c r="Q22" s="26">
        <f t="shared" si="6"/>
        <v>92</v>
      </c>
      <c r="R22" s="10"/>
    </row>
    <row r="23" spans="1:18" ht="15" customHeight="1" x14ac:dyDescent="0.25">
      <c r="A23" s="4" t="s">
        <v>113</v>
      </c>
      <c r="B23" s="5" t="s">
        <v>114</v>
      </c>
      <c r="C23" s="5" t="str">
        <f t="shared" si="0"/>
        <v xml:space="preserve">12 </v>
      </c>
      <c r="D23" s="5" t="str">
        <f t="shared" si="1"/>
        <v>24</v>
      </c>
      <c r="E23" s="6" t="s">
        <v>49</v>
      </c>
      <c r="F23" s="9">
        <f t="shared" si="2"/>
        <v>4</v>
      </c>
      <c r="G23" s="9">
        <f t="shared" si="3"/>
        <v>4</v>
      </c>
      <c r="H23" s="5" t="s">
        <v>27</v>
      </c>
      <c r="I23" s="5" t="s">
        <v>32</v>
      </c>
      <c r="J23" s="10">
        <f t="shared" si="4"/>
        <v>0.12</v>
      </c>
      <c r="K23" s="11">
        <f t="shared" si="7"/>
        <v>8.3000000000000007</v>
      </c>
      <c r="L23" s="6" t="s">
        <v>8</v>
      </c>
      <c r="M23" s="6" t="s">
        <v>9</v>
      </c>
      <c r="N23" s="5" t="s">
        <v>115</v>
      </c>
      <c r="O23" s="5" t="s">
        <v>116</v>
      </c>
      <c r="P23" s="26">
        <f t="shared" si="5"/>
        <v>83</v>
      </c>
      <c r="Q23" s="26">
        <f t="shared" si="6"/>
        <v>90</v>
      </c>
      <c r="R23" s="10"/>
    </row>
    <row r="24" spans="1:18" ht="15" customHeight="1" x14ac:dyDescent="0.25">
      <c r="A24" s="4" t="s">
        <v>117</v>
      </c>
      <c r="B24" s="5" t="s">
        <v>114</v>
      </c>
      <c r="C24" s="5" t="str">
        <f t="shared" si="0"/>
        <v xml:space="preserve">12 </v>
      </c>
      <c r="D24" s="5" t="str">
        <f t="shared" si="1"/>
        <v>24</v>
      </c>
      <c r="E24" s="6" t="s">
        <v>14</v>
      </c>
      <c r="F24" s="9">
        <f t="shared" si="2"/>
        <v>4.5</v>
      </c>
      <c r="G24" s="9">
        <f t="shared" si="3"/>
        <v>5.6</v>
      </c>
      <c r="H24" s="5" t="s">
        <v>6</v>
      </c>
      <c r="I24" s="5" t="s">
        <v>118</v>
      </c>
      <c r="J24" s="10">
        <f t="shared" si="4"/>
        <v>0.16</v>
      </c>
      <c r="K24" s="11">
        <f t="shared" si="7"/>
        <v>6.3</v>
      </c>
      <c r="L24" s="6" t="s">
        <v>8</v>
      </c>
      <c r="M24" s="6" t="s">
        <v>50</v>
      </c>
      <c r="N24" s="5" t="s">
        <v>119</v>
      </c>
      <c r="O24" s="5" t="s">
        <v>120</v>
      </c>
      <c r="P24" s="26">
        <f t="shared" si="5"/>
        <v>85</v>
      </c>
      <c r="Q24" s="26">
        <f t="shared" si="6"/>
        <v>120</v>
      </c>
      <c r="R24" s="10"/>
    </row>
    <row r="25" spans="1:18" ht="15" customHeight="1" x14ac:dyDescent="0.25">
      <c r="A25" s="4" t="s">
        <v>121</v>
      </c>
      <c r="B25" s="5" t="s">
        <v>114</v>
      </c>
      <c r="C25" s="5" t="str">
        <f t="shared" si="0"/>
        <v xml:space="preserve">12 </v>
      </c>
      <c r="D25" s="5" t="str">
        <f t="shared" si="1"/>
        <v>24</v>
      </c>
      <c r="E25" s="6" t="s">
        <v>14</v>
      </c>
      <c r="F25" s="9">
        <f t="shared" si="2"/>
        <v>4.5</v>
      </c>
      <c r="G25" s="9">
        <f t="shared" si="3"/>
        <v>5.6</v>
      </c>
      <c r="H25" s="5" t="s">
        <v>6</v>
      </c>
      <c r="I25" s="5" t="s">
        <v>122</v>
      </c>
      <c r="J25" s="10">
        <f t="shared" si="4"/>
        <v>0.14000000000000001</v>
      </c>
      <c r="K25" s="11">
        <f t="shared" si="7"/>
        <v>7.1</v>
      </c>
      <c r="L25" s="6" t="s">
        <v>8</v>
      </c>
      <c r="M25" s="6" t="s">
        <v>50</v>
      </c>
      <c r="N25" s="5" t="s">
        <v>123</v>
      </c>
      <c r="O25" s="5" t="s">
        <v>124</v>
      </c>
      <c r="P25" s="26">
        <f t="shared" si="5"/>
        <v>88</v>
      </c>
      <c r="Q25" s="26">
        <f t="shared" si="6"/>
        <v>103</v>
      </c>
      <c r="R25" s="10"/>
    </row>
    <row r="26" spans="1:18" ht="15" customHeight="1" x14ac:dyDescent="0.25">
      <c r="A26" s="4" t="s">
        <v>125</v>
      </c>
      <c r="B26" s="5" t="s">
        <v>114</v>
      </c>
      <c r="C26" s="5" t="str">
        <f t="shared" si="0"/>
        <v xml:space="preserve">12 </v>
      </c>
      <c r="D26" s="5" t="str">
        <f t="shared" si="1"/>
        <v>24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6</v>
      </c>
      <c r="I26" s="5" t="s">
        <v>40</v>
      </c>
      <c r="J26" s="10">
        <f t="shared" si="4"/>
        <v>0.2</v>
      </c>
      <c r="K26" s="11">
        <f t="shared" si="7"/>
        <v>5</v>
      </c>
      <c r="L26" s="6" t="s">
        <v>8</v>
      </c>
      <c r="M26" s="6" t="s">
        <v>50</v>
      </c>
      <c r="N26" s="5" t="s">
        <v>126</v>
      </c>
      <c r="O26" s="5" t="s">
        <v>127</v>
      </c>
      <c r="P26" s="26">
        <f t="shared" si="5"/>
        <v>102</v>
      </c>
      <c r="Q26" s="26">
        <f t="shared" si="6"/>
        <v>132</v>
      </c>
      <c r="R26" s="10"/>
    </row>
    <row r="27" spans="1:18" ht="15" customHeight="1" x14ac:dyDescent="0.25">
      <c r="A27" s="4" t="s">
        <v>128</v>
      </c>
      <c r="B27" s="5" t="s">
        <v>114</v>
      </c>
      <c r="C27" s="5" t="str">
        <f t="shared" si="0"/>
        <v xml:space="preserve">12 </v>
      </c>
      <c r="D27" s="5" t="str">
        <f t="shared" si="1"/>
        <v>24</v>
      </c>
      <c r="E27" s="6" t="s">
        <v>49</v>
      </c>
      <c r="F27" s="9">
        <f t="shared" si="2"/>
        <v>4</v>
      </c>
      <c r="G27" s="9">
        <f t="shared" si="3"/>
        <v>4</v>
      </c>
      <c r="H27" s="5" t="s">
        <v>27</v>
      </c>
      <c r="I27" s="5" t="s">
        <v>32</v>
      </c>
      <c r="J27" s="10">
        <f t="shared" si="4"/>
        <v>0.12</v>
      </c>
      <c r="K27" s="11">
        <f t="shared" si="7"/>
        <v>8.3000000000000007</v>
      </c>
      <c r="L27" s="6" t="s">
        <v>8</v>
      </c>
      <c r="M27" s="6" t="s">
        <v>9</v>
      </c>
      <c r="N27" s="5" t="s">
        <v>64</v>
      </c>
      <c r="O27" s="5" t="s">
        <v>106</v>
      </c>
      <c r="P27" s="26">
        <f t="shared" si="5"/>
        <v>84</v>
      </c>
      <c r="Q27" s="26">
        <f t="shared" si="6"/>
        <v>90</v>
      </c>
      <c r="R27" s="10"/>
    </row>
    <row r="28" spans="1:18" ht="15" customHeight="1" x14ac:dyDescent="0.25">
      <c r="A28" s="4" t="s">
        <v>129</v>
      </c>
      <c r="B28" s="5" t="s">
        <v>130</v>
      </c>
      <c r="C28" s="5" t="str">
        <f t="shared" si="0"/>
        <v xml:space="preserve">12 </v>
      </c>
      <c r="D28" s="5" t="str">
        <f t="shared" si="1"/>
        <v>28</v>
      </c>
      <c r="E28" s="6" t="s">
        <v>49</v>
      </c>
      <c r="F28" s="9">
        <f t="shared" si="2"/>
        <v>4</v>
      </c>
      <c r="G28" s="9">
        <f t="shared" si="3"/>
        <v>4</v>
      </c>
      <c r="H28" s="5" t="s">
        <v>27</v>
      </c>
      <c r="I28" s="5" t="s">
        <v>40</v>
      </c>
      <c r="J28" s="10">
        <f t="shared" si="4"/>
        <v>0.2</v>
      </c>
      <c r="K28" s="11">
        <f t="shared" si="7"/>
        <v>5</v>
      </c>
      <c r="L28" s="6" t="s">
        <v>8</v>
      </c>
      <c r="M28" s="6" t="s">
        <v>9</v>
      </c>
      <c r="N28" s="5" t="s">
        <v>123</v>
      </c>
      <c r="O28" s="5" t="s">
        <v>106</v>
      </c>
      <c r="P28" s="26">
        <f t="shared" si="5"/>
        <v>84</v>
      </c>
      <c r="Q28" s="26">
        <f t="shared" si="6"/>
        <v>90</v>
      </c>
      <c r="R28" s="10"/>
    </row>
    <row r="29" spans="1:18" ht="15" customHeight="1" x14ac:dyDescent="0.25">
      <c r="A29" s="4" t="s">
        <v>131</v>
      </c>
      <c r="B29" s="5" t="s">
        <v>132</v>
      </c>
      <c r="C29" s="5" t="str">
        <f t="shared" si="0"/>
        <v xml:space="preserve">120 </v>
      </c>
      <c r="D29" s="5" t="str">
        <f t="shared" si="1"/>
        <v>300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75</v>
      </c>
      <c r="I29" s="5" t="s">
        <v>133</v>
      </c>
      <c r="J29" s="10">
        <f t="shared" si="4"/>
        <v>0.125</v>
      </c>
      <c r="K29" s="11">
        <f t="shared" si="7"/>
        <v>8</v>
      </c>
      <c r="L29" s="6" t="s">
        <v>8</v>
      </c>
      <c r="M29" s="6" t="s">
        <v>50</v>
      </c>
      <c r="N29" s="5" t="s">
        <v>134</v>
      </c>
      <c r="O29" s="5" t="s">
        <v>135</v>
      </c>
      <c r="P29" s="26">
        <f t="shared" si="5"/>
        <v>115</v>
      </c>
      <c r="Q29" s="26">
        <f t="shared" si="6"/>
        <v>289</v>
      </c>
      <c r="R29" s="10"/>
    </row>
    <row r="30" spans="1:18" ht="15" customHeight="1" x14ac:dyDescent="0.25">
      <c r="A30" s="4" t="s">
        <v>136</v>
      </c>
      <c r="B30" s="5" t="s">
        <v>132</v>
      </c>
      <c r="C30" s="5" t="str">
        <f t="shared" si="0"/>
        <v xml:space="preserve">120 </v>
      </c>
      <c r="D30" s="5" t="str">
        <f t="shared" si="1"/>
        <v>300</v>
      </c>
      <c r="E30" s="6" t="s">
        <v>44</v>
      </c>
      <c r="F30" s="9">
        <f t="shared" si="2"/>
        <v>2.8</v>
      </c>
      <c r="G30" s="9">
        <f t="shared" si="3"/>
        <v>2.8</v>
      </c>
      <c r="H30" s="5" t="s">
        <v>75</v>
      </c>
      <c r="I30" s="5" t="s">
        <v>32</v>
      </c>
      <c r="J30" s="10">
        <f t="shared" si="4"/>
        <v>0.12</v>
      </c>
      <c r="K30" s="11">
        <f t="shared" si="7"/>
        <v>8.3000000000000007</v>
      </c>
      <c r="L30" s="6" t="s">
        <v>8</v>
      </c>
      <c r="M30" s="6" t="s">
        <v>50</v>
      </c>
      <c r="N30" s="5" t="s">
        <v>137</v>
      </c>
      <c r="O30" s="5" t="s">
        <v>138</v>
      </c>
      <c r="P30" s="26">
        <f t="shared" si="5"/>
        <v>113</v>
      </c>
      <c r="Q30" s="26">
        <f t="shared" si="6"/>
        <v>269</v>
      </c>
      <c r="R30" s="10"/>
    </row>
    <row r="31" spans="1:18" ht="15" customHeight="1" x14ac:dyDescent="0.25">
      <c r="A31" s="4" t="s">
        <v>139</v>
      </c>
      <c r="B31" s="5" t="s">
        <v>132</v>
      </c>
      <c r="C31" s="5" t="str">
        <f t="shared" si="0"/>
        <v xml:space="preserve">120 </v>
      </c>
      <c r="D31" s="5" t="str">
        <f t="shared" si="1"/>
        <v>300</v>
      </c>
      <c r="E31" s="6" t="s">
        <v>44</v>
      </c>
      <c r="F31" s="9">
        <f t="shared" si="2"/>
        <v>2.8</v>
      </c>
      <c r="G31" s="9">
        <f t="shared" si="3"/>
        <v>2.8</v>
      </c>
      <c r="H31" s="5" t="s">
        <v>6</v>
      </c>
      <c r="I31" s="5" t="s">
        <v>133</v>
      </c>
      <c r="J31" s="10">
        <f t="shared" si="4"/>
        <v>0.125</v>
      </c>
      <c r="K31" s="11">
        <f t="shared" si="7"/>
        <v>8</v>
      </c>
      <c r="L31" s="6" t="s">
        <v>8</v>
      </c>
      <c r="M31" s="6" t="s">
        <v>50</v>
      </c>
      <c r="N31" s="5" t="s">
        <v>140</v>
      </c>
      <c r="O31" s="5" t="s">
        <v>141</v>
      </c>
      <c r="P31" s="26">
        <f t="shared" si="5"/>
        <v>122</v>
      </c>
      <c r="Q31" s="26">
        <f t="shared" si="6"/>
        <v>291</v>
      </c>
      <c r="R31" s="10"/>
    </row>
    <row r="32" spans="1:18" ht="15" customHeight="1" x14ac:dyDescent="0.25">
      <c r="A32" s="4" t="s">
        <v>142</v>
      </c>
      <c r="B32" s="5" t="s">
        <v>143</v>
      </c>
      <c r="C32" s="5" t="str">
        <f t="shared" si="0"/>
        <v xml:space="preserve">120 </v>
      </c>
      <c r="D32" s="5" t="str">
        <f t="shared" si="1"/>
        <v>400</v>
      </c>
      <c r="E32" s="6" t="s">
        <v>14</v>
      </c>
      <c r="F32" s="9">
        <f t="shared" si="2"/>
        <v>4.5</v>
      </c>
      <c r="G32" s="9">
        <f t="shared" si="3"/>
        <v>5.6</v>
      </c>
      <c r="H32" s="5" t="s">
        <v>27</v>
      </c>
      <c r="I32" s="5" t="s">
        <v>144</v>
      </c>
      <c r="J32" s="10">
        <f t="shared" si="4"/>
        <v>0.24</v>
      </c>
      <c r="K32" s="11">
        <f t="shared" si="7"/>
        <v>4.2</v>
      </c>
      <c r="L32" s="6" t="s">
        <v>8</v>
      </c>
      <c r="M32" s="6" t="s">
        <v>50</v>
      </c>
      <c r="N32" s="5" t="s">
        <v>145</v>
      </c>
      <c r="O32" s="5" t="s">
        <v>146</v>
      </c>
      <c r="P32" s="26">
        <f t="shared" si="5"/>
        <v>93</v>
      </c>
      <c r="Q32" s="26">
        <f t="shared" si="6"/>
        <v>204</v>
      </c>
      <c r="R32" s="10"/>
    </row>
    <row r="33" spans="1:18" ht="15" customHeight="1" x14ac:dyDescent="0.25">
      <c r="A33" s="4" t="s">
        <v>147</v>
      </c>
      <c r="B33" s="5" t="s">
        <v>148</v>
      </c>
      <c r="C33" s="5" t="str">
        <f t="shared" si="0"/>
        <v>135</v>
      </c>
      <c r="D33" s="5" t="str">
        <f t="shared" si="1"/>
        <v>135</v>
      </c>
      <c r="E33" s="6" t="s">
        <v>67</v>
      </c>
      <c r="F33" s="9">
        <f t="shared" si="2"/>
        <v>2</v>
      </c>
      <c r="G33" s="9">
        <f t="shared" si="3"/>
        <v>2</v>
      </c>
      <c r="H33" s="5" t="s">
        <v>15</v>
      </c>
      <c r="I33" s="5" t="s">
        <v>149</v>
      </c>
      <c r="J33" s="10">
        <f t="shared" si="4"/>
        <v>0.48</v>
      </c>
      <c r="K33" s="11">
        <f t="shared" si="7"/>
        <v>2.1</v>
      </c>
      <c r="L33" s="6" t="s">
        <v>8</v>
      </c>
      <c r="M33" s="6" t="s">
        <v>50</v>
      </c>
      <c r="N33" s="5" t="s">
        <v>150</v>
      </c>
      <c r="O33" s="5" t="s">
        <v>151</v>
      </c>
      <c r="P33" s="26">
        <f t="shared" si="5"/>
        <v>79</v>
      </c>
      <c r="Q33" s="26">
        <f t="shared" si="6"/>
        <v>120</v>
      </c>
      <c r="R33" s="10"/>
    </row>
    <row r="34" spans="1:18" ht="15" customHeight="1" x14ac:dyDescent="0.25">
      <c r="A34" s="4" t="s">
        <v>156</v>
      </c>
      <c r="B34" s="5" t="s">
        <v>148</v>
      </c>
      <c r="C34" s="5" t="str">
        <f t="shared" si="0"/>
        <v>135</v>
      </c>
      <c r="D34" s="5" t="str">
        <f t="shared" si="1"/>
        <v>135</v>
      </c>
      <c r="E34" s="6" t="s">
        <v>157</v>
      </c>
      <c r="F34" s="9">
        <f t="shared" si="2"/>
        <v>1.8</v>
      </c>
      <c r="G34" s="9">
        <f t="shared" si="3"/>
        <v>1.8</v>
      </c>
      <c r="H34" s="5" t="s">
        <v>21</v>
      </c>
      <c r="I34" s="5" t="s">
        <v>158</v>
      </c>
      <c r="J34" s="10">
        <f t="shared" si="4"/>
        <v>0.23</v>
      </c>
      <c r="K34" s="11">
        <f t="shared" si="7"/>
        <v>4.3</v>
      </c>
      <c r="L34" s="6" t="s">
        <v>8</v>
      </c>
      <c r="M34" s="6" t="s">
        <v>50</v>
      </c>
      <c r="N34" s="5" t="s">
        <v>159</v>
      </c>
      <c r="O34" s="5" t="s">
        <v>160</v>
      </c>
      <c r="P34" s="26">
        <f t="shared" si="5"/>
        <v>92</v>
      </c>
      <c r="Q34" s="26">
        <f t="shared" si="6"/>
        <v>115</v>
      </c>
      <c r="R34" s="10"/>
    </row>
    <row r="35" spans="1:18" ht="15" customHeight="1" x14ac:dyDescent="0.25">
      <c r="A35" s="4" t="s">
        <v>161</v>
      </c>
      <c r="B35" s="5" t="s">
        <v>148</v>
      </c>
      <c r="C35" s="5" t="str">
        <f t="shared" si="0"/>
        <v>135</v>
      </c>
      <c r="D35" s="5" t="str">
        <f t="shared" si="1"/>
        <v>135</v>
      </c>
      <c r="E35" s="6" t="s">
        <v>67</v>
      </c>
      <c r="F35" s="9">
        <f t="shared" si="2"/>
        <v>2</v>
      </c>
      <c r="G35" s="9">
        <f t="shared" si="3"/>
        <v>2</v>
      </c>
      <c r="H35" s="5" t="s">
        <v>27</v>
      </c>
      <c r="I35" s="5" t="s">
        <v>162</v>
      </c>
      <c r="J35" s="10">
        <f t="shared" si="4"/>
        <v>0.25</v>
      </c>
      <c r="K35" s="11">
        <f t="shared" si="7"/>
        <v>4</v>
      </c>
      <c r="L35" s="6" t="s">
        <v>8</v>
      </c>
      <c r="M35" s="6" t="s">
        <v>50</v>
      </c>
      <c r="N35" s="5" t="s">
        <v>163</v>
      </c>
      <c r="O35" s="5" t="s">
        <v>164</v>
      </c>
      <c r="P35" s="26">
        <f t="shared" si="5"/>
        <v>128</v>
      </c>
      <c r="Q35" s="26">
        <f t="shared" si="6"/>
        <v>79</v>
      </c>
      <c r="R35" s="10"/>
    </row>
    <row r="36" spans="1:18" x14ac:dyDescent="0.25">
      <c r="A36" s="4" t="s">
        <v>165</v>
      </c>
      <c r="B36" s="5" t="s">
        <v>148</v>
      </c>
      <c r="C36" s="5" t="str">
        <f t="shared" si="0"/>
        <v>135</v>
      </c>
      <c r="D36" s="5" t="str">
        <f t="shared" si="1"/>
        <v>135</v>
      </c>
      <c r="E36" s="6" t="s">
        <v>67</v>
      </c>
      <c r="F36" s="9">
        <f t="shared" si="2"/>
        <v>2</v>
      </c>
      <c r="G36" s="9">
        <f t="shared" si="3"/>
        <v>2</v>
      </c>
      <c r="H36" s="5" t="s">
        <v>27</v>
      </c>
      <c r="I36" s="5" t="s">
        <v>162</v>
      </c>
      <c r="J36" s="10">
        <f t="shared" si="4"/>
        <v>0.25</v>
      </c>
      <c r="K36" s="11">
        <f t="shared" si="7"/>
        <v>4</v>
      </c>
      <c r="L36" s="6" t="s">
        <v>8</v>
      </c>
      <c r="M36" s="6" t="s">
        <v>50</v>
      </c>
      <c r="N36" s="5" t="s">
        <v>166</v>
      </c>
      <c r="O36" s="5" t="s">
        <v>167</v>
      </c>
      <c r="P36" s="26">
        <f t="shared" si="5"/>
        <v>90</v>
      </c>
      <c r="Q36" s="26">
        <f t="shared" si="6"/>
        <v>114</v>
      </c>
      <c r="R36" s="10"/>
    </row>
    <row r="37" spans="1:18" x14ac:dyDescent="0.25">
      <c r="A37" s="4" t="s">
        <v>168</v>
      </c>
      <c r="B37" s="5" t="s">
        <v>169</v>
      </c>
      <c r="C37" s="5" t="str">
        <f t="shared" si="0"/>
        <v xml:space="preserve">14 </v>
      </c>
      <c r="D37" s="5" t="str">
        <f t="shared" si="1"/>
        <v>20</v>
      </c>
      <c r="E37" s="6" t="s">
        <v>67</v>
      </c>
      <c r="F37" s="9">
        <f t="shared" si="2"/>
        <v>2</v>
      </c>
      <c r="G37" s="9">
        <f t="shared" si="3"/>
        <v>2</v>
      </c>
      <c r="H37" s="5" t="s">
        <v>21</v>
      </c>
      <c r="I37" s="5" t="s">
        <v>32</v>
      </c>
      <c r="J37" s="10">
        <f t="shared" si="4"/>
        <v>0.12</v>
      </c>
      <c r="K37" s="11">
        <f t="shared" si="7"/>
        <v>8.3000000000000007</v>
      </c>
      <c r="L37" s="6" t="s">
        <v>8</v>
      </c>
      <c r="M37" s="6" t="s">
        <v>9</v>
      </c>
      <c r="N37" s="5" t="s">
        <v>88</v>
      </c>
      <c r="O37" s="5" t="s">
        <v>170</v>
      </c>
      <c r="P37" s="26">
        <f t="shared" si="5"/>
        <v>89</v>
      </c>
      <c r="Q37" s="26">
        <f t="shared" si="6"/>
        <v>106</v>
      </c>
      <c r="R37" s="10"/>
    </row>
    <row r="38" spans="1:18" ht="15" customHeight="1" x14ac:dyDescent="0.25">
      <c r="A38" s="4" t="s">
        <v>171</v>
      </c>
      <c r="B38" s="5" t="s">
        <v>172</v>
      </c>
      <c r="C38" s="5" t="str">
        <f t="shared" si="0"/>
        <v xml:space="preserve">14 </v>
      </c>
      <c r="D38" s="5" t="str">
        <f t="shared" si="1"/>
        <v>24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 t="s">
        <v>22</v>
      </c>
      <c r="J38" s="10">
        <f t="shared" si="4"/>
        <v>0.15</v>
      </c>
      <c r="K38" s="11">
        <f t="shared" si="7"/>
        <v>6.7</v>
      </c>
      <c r="L38" s="6" t="s">
        <v>8</v>
      </c>
      <c r="M38" s="6" t="s">
        <v>50</v>
      </c>
      <c r="N38" s="5" t="s">
        <v>173</v>
      </c>
      <c r="O38" s="5" t="s">
        <v>174</v>
      </c>
      <c r="P38" s="26">
        <f t="shared" si="5"/>
        <v>98</v>
      </c>
      <c r="Q38" s="26">
        <f t="shared" si="6"/>
        <v>132</v>
      </c>
      <c r="R38" s="10"/>
    </row>
    <row r="39" spans="1:18" ht="15" customHeight="1" x14ac:dyDescent="0.25">
      <c r="A39" s="4" t="s">
        <v>175</v>
      </c>
      <c r="B39" s="5" t="s">
        <v>176</v>
      </c>
      <c r="C39" s="5" t="str">
        <f t="shared" si="0"/>
        <v>14</v>
      </c>
      <c r="D39" s="5" t="str">
        <f t="shared" si="1"/>
        <v>14</v>
      </c>
      <c r="E39" s="6" t="s">
        <v>44</v>
      </c>
      <c r="F39" s="9">
        <f t="shared" si="2"/>
        <v>2.8</v>
      </c>
      <c r="G39" s="9">
        <f t="shared" si="3"/>
        <v>2.8</v>
      </c>
      <c r="H39" s="5" t="s">
        <v>6</v>
      </c>
      <c r="I39" s="5" t="s">
        <v>22</v>
      </c>
      <c r="J39" s="10">
        <f t="shared" si="4"/>
        <v>0.15</v>
      </c>
      <c r="K39" s="11">
        <f t="shared" si="7"/>
        <v>6.7</v>
      </c>
      <c r="L39" s="6" t="s">
        <v>8</v>
      </c>
      <c r="M39" s="6" t="s">
        <v>50</v>
      </c>
      <c r="N39" s="5" t="s">
        <v>119</v>
      </c>
      <c r="O39" s="5" t="s">
        <v>177</v>
      </c>
      <c r="P39" s="26">
        <f t="shared" si="5"/>
        <v>87</v>
      </c>
      <c r="Q39" s="26">
        <f t="shared" si="6"/>
        <v>87</v>
      </c>
      <c r="R39" s="10"/>
    </row>
    <row r="40" spans="1:18" ht="15" customHeight="1" x14ac:dyDescent="0.25">
      <c r="A40" s="4" t="s">
        <v>181</v>
      </c>
      <c r="B40" s="5" t="s">
        <v>176</v>
      </c>
      <c r="C40" s="5" t="str">
        <f t="shared" si="0"/>
        <v>14</v>
      </c>
      <c r="D40" s="5" t="str">
        <f t="shared" si="1"/>
        <v>14</v>
      </c>
      <c r="E40" s="6" t="s">
        <v>182</v>
      </c>
      <c r="F40" s="9">
        <f t="shared" si="2"/>
        <v>2.4</v>
      </c>
      <c r="G40" s="9">
        <f t="shared" si="3"/>
        <v>2.4</v>
      </c>
      <c r="H40" s="5" t="s">
        <v>6</v>
      </c>
      <c r="I40" s="5" t="s">
        <v>104</v>
      </c>
      <c r="J40" s="10">
        <f t="shared" si="4"/>
        <v>0.8</v>
      </c>
      <c r="K40" s="11">
        <f t="shared" si="7"/>
        <v>1.3</v>
      </c>
      <c r="L40" s="6" t="s">
        <v>8</v>
      </c>
      <c r="M40" s="6" t="s">
        <v>50</v>
      </c>
      <c r="N40" s="5" t="s">
        <v>183</v>
      </c>
      <c r="O40" s="5" t="s">
        <v>184</v>
      </c>
      <c r="P40" s="26">
        <f t="shared" si="5"/>
        <v>95</v>
      </c>
      <c r="Q40" s="26">
        <f t="shared" si="6"/>
        <v>110</v>
      </c>
      <c r="R40" s="10"/>
    </row>
    <row r="41" spans="1:18" ht="15" customHeight="1" x14ac:dyDescent="0.25">
      <c r="A41" s="4" t="s">
        <v>187</v>
      </c>
      <c r="B41" s="5" t="s">
        <v>176</v>
      </c>
      <c r="C41" s="5" t="str">
        <f t="shared" si="0"/>
        <v>14</v>
      </c>
      <c r="D41" s="5" t="str">
        <f t="shared" si="1"/>
        <v>14</v>
      </c>
      <c r="E41" s="6" t="s">
        <v>157</v>
      </c>
      <c r="F41" s="9">
        <f t="shared" si="2"/>
        <v>1.8</v>
      </c>
      <c r="G41" s="9">
        <f t="shared" si="3"/>
        <v>1.8</v>
      </c>
      <c r="H41" s="5" t="s">
        <v>6</v>
      </c>
      <c r="I41" s="5" t="s">
        <v>188</v>
      </c>
      <c r="J41" s="10">
        <f t="shared" si="4"/>
        <v>0.11</v>
      </c>
      <c r="K41" s="11">
        <f t="shared" si="7"/>
        <v>9.1</v>
      </c>
      <c r="L41" s="6" t="s">
        <v>8</v>
      </c>
      <c r="M41" s="6" t="s">
        <v>50</v>
      </c>
      <c r="N41" s="5" t="s">
        <v>189</v>
      </c>
      <c r="O41" s="5" t="s">
        <v>190</v>
      </c>
      <c r="P41" s="26">
        <f t="shared" si="5"/>
        <v>97</v>
      </c>
      <c r="Q41" s="26">
        <f t="shared" si="6"/>
        <v>127</v>
      </c>
      <c r="R41" s="10"/>
    </row>
    <row r="42" spans="1:18" ht="15" customHeight="1" x14ac:dyDescent="0.25">
      <c r="A42" s="4" t="s">
        <v>195</v>
      </c>
      <c r="B42" s="5" t="s">
        <v>196</v>
      </c>
      <c r="C42" s="5" t="str">
        <f t="shared" si="0"/>
        <v xml:space="preserve">150 </v>
      </c>
      <c r="D42" s="5" t="str">
        <f t="shared" si="1"/>
        <v>500</v>
      </c>
      <c r="E42" s="6" t="s">
        <v>55</v>
      </c>
      <c r="F42" s="9">
        <f t="shared" si="2"/>
        <v>5</v>
      </c>
      <c r="G42" s="9">
        <f t="shared" si="3"/>
        <v>6.3</v>
      </c>
      <c r="H42" s="5" t="s">
        <v>197</v>
      </c>
      <c r="I42" s="5" t="s">
        <v>198</v>
      </c>
      <c r="J42" s="10">
        <f t="shared" si="4"/>
        <v>0.19</v>
      </c>
      <c r="K42" s="11">
        <f t="shared" si="7"/>
        <v>5.3</v>
      </c>
      <c r="L42" s="6" t="s">
        <v>8</v>
      </c>
      <c r="M42" s="6" t="s">
        <v>50</v>
      </c>
      <c r="N42" s="5" t="s">
        <v>199</v>
      </c>
      <c r="O42" s="5" t="s">
        <v>200</v>
      </c>
      <c r="P42" s="26">
        <f t="shared" si="5"/>
        <v>96</v>
      </c>
      <c r="Q42" s="26">
        <f t="shared" si="6"/>
        <v>252</v>
      </c>
      <c r="R42" s="10"/>
    </row>
    <row r="43" spans="1:18" ht="15" customHeight="1" x14ac:dyDescent="0.25">
      <c r="A43" s="4" t="s">
        <v>201</v>
      </c>
      <c r="B43" s="5" t="s">
        <v>202</v>
      </c>
      <c r="C43" s="5" t="str">
        <f t="shared" si="0"/>
        <v xml:space="preserve">150 </v>
      </c>
      <c r="D43" s="5" t="str">
        <f t="shared" si="1"/>
        <v>600</v>
      </c>
      <c r="E43" s="6" t="s">
        <v>55</v>
      </c>
      <c r="F43" s="9">
        <f t="shared" si="2"/>
        <v>5</v>
      </c>
      <c r="G43" s="9">
        <f t="shared" si="3"/>
        <v>6.3</v>
      </c>
      <c r="H43" s="5" t="s">
        <v>203</v>
      </c>
      <c r="I43" s="5" t="s">
        <v>40</v>
      </c>
      <c r="J43" s="10">
        <f t="shared" si="4"/>
        <v>0.2</v>
      </c>
      <c r="K43" s="11">
        <f t="shared" si="7"/>
        <v>5</v>
      </c>
      <c r="L43" s="6" t="s">
        <v>8</v>
      </c>
      <c r="M43" s="6" t="s">
        <v>50</v>
      </c>
      <c r="N43" s="5" t="s">
        <v>204</v>
      </c>
      <c r="O43" s="5" t="s">
        <v>205</v>
      </c>
      <c r="P43" s="26">
        <f t="shared" si="5"/>
        <v>105</v>
      </c>
      <c r="Q43" s="26">
        <f t="shared" si="6"/>
        <v>260</v>
      </c>
      <c r="R43" s="10"/>
    </row>
    <row r="44" spans="1:18" x14ac:dyDescent="0.25">
      <c r="A44" s="4" t="s">
        <v>206</v>
      </c>
      <c r="B44" s="5" t="s">
        <v>202</v>
      </c>
      <c r="C44" s="5" t="str">
        <f t="shared" si="0"/>
        <v xml:space="preserve">150 </v>
      </c>
      <c r="D44" s="5" t="str">
        <f t="shared" si="1"/>
        <v>600</v>
      </c>
      <c r="E44" s="6" t="s">
        <v>55</v>
      </c>
      <c r="F44" s="9">
        <f t="shared" si="2"/>
        <v>5</v>
      </c>
      <c r="G44" s="9">
        <f t="shared" si="3"/>
        <v>6.3</v>
      </c>
      <c r="H44" s="5" t="s">
        <v>75</v>
      </c>
      <c r="I44" s="5" t="s">
        <v>40</v>
      </c>
      <c r="J44" s="10">
        <f t="shared" si="4"/>
        <v>0.2</v>
      </c>
      <c r="K44" s="11">
        <f t="shared" si="7"/>
        <v>5</v>
      </c>
      <c r="L44" s="6" t="s">
        <v>8</v>
      </c>
      <c r="M44" s="6" t="s">
        <v>50</v>
      </c>
      <c r="N44" s="5" t="s">
        <v>207</v>
      </c>
      <c r="O44" s="5" t="s">
        <v>205</v>
      </c>
      <c r="P44" s="26">
        <f t="shared" si="5"/>
        <v>105</v>
      </c>
      <c r="Q44" s="26">
        <f t="shared" si="6"/>
        <v>260</v>
      </c>
      <c r="R44" s="10"/>
    </row>
    <row r="45" spans="1:18" ht="15" customHeight="1" x14ac:dyDescent="0.25">
      <c r="A45" s="4" t="s">
        <v>206</v>
      </c>
      <c r="B45" s="5" t="s">
        <v>202</v>
      </c>
      <c r="C45" s="5" t="str">
        <f t="shared" si="0"/>
        <v xml:space="preserve">150 </v>
      </c>
      <c r="D45" s="5" t="str">
        <f t="shared" si="1"/>
        <v>600</v>
      </c>
      <c r="E45" s="6" t="s">
        <v>55</v>
      </c>
      <c r="F45" s="9">
        <f t="shared" si="2"/>
        <v>5</v>
      </c>
      <c r="G45" s="9">
        <f t="shared" si="3"/>
        <v>6.3</v>
      </c>
      <c r="H45" s="5" t="s">
        <v>75</v>
      </c>
      <c r="I45" s="5" t="s">
        <v>40</v>
      </c>
      <c r="J45" s="10">
        <f t="shared" si="4"/>
        <v>0.2</v>
      </c>
      <c r="K45" s="11">
        <f t="shared" si="7"/>
        <v>5</v>
      </c>
      <c r="L45" s="6" t="s">
        <v>8</v>
      </c>
      <c r="M45" s="6" t="s">
        <v>50</v>
      </c>
      <c r="N45" s="5" t="s">
        <v>207</v>
      </c>
      <c r="O45" s="5" t="s">
        <v>208</v>
      </c>
      <c r="P45" s="26">
        <f t="shared" si="5"/>
        <v>121</v>
      </c>
      <c r="Q45" s="26">
        <f t="shared" si="6"/>
        <v>290</v>
      </c>
      <c r="R45" s="10"/>
    </row>
    <row r="46" spans="1:18" x14ac:dyDescent="0.25">
      <c r="A46" s="4" t="s">
        <v>212</v>
      </c>
      <c r="B46" s="5" t="s">
        <v>202</v>
      </c>
      <c r="C46" s="5" t="str">
        <f t="shared" si="0"/>
        <v xml:space="preserve">150 </v>
      </c>
      <c r="D46" s="5" t="str">
        <f t="shared" si="1"/>
        <v>600</v>
      </c>
      <c r="E46" s="6" t="s">
        <v>55</v>
      </c>
      <c r="F46" s="9">
        <f t="shared" si="2"/>
        <v>5</v>
      </c>
      <c r="G46" s="9">
        <f t="shared" si="3"/>
        <v>6.3</v>
      </c>
      <c r="H46" s="5" t="s">
        <v>203</v>
      </c>
      <c r="I46" s="5" t="s">
        <v>162</v>
      </c>
      <c r="J46" s="10">
        <f t="shared" si="4"/>
        <v>0.25</v>
      </c>
      <c r="K46" s="11">
        <f t="shared" si="7"/>
        <v>4</v>
      </c>
      <c r="L46" s="6" t="s">
        <v>8</v>
      </c>
      <c r="M46" s="6" t="s">
        <v>50</v>
      </c>
      <c r="N46" s="5" t="s">
        <v>213</v>
      </c>
      <c r="O46" s="5" t="s">
        <v>214</v>
      </c>
      <c r="P46" s="26">
        <f t="shared" si="5"/>
        <v>109</v>
      </c>
      <c r="Q46" s="26">
        <f t="shared" si="6"/>
        <v>260</v>
      </c>
      <c r="R46" s="10"/>
    </row>
    <row r="47" spans="1:18" ht="15" customHeight="1" x14ac:dyDescent="0.25">
      <c r="A47" s="4" t="s">
        <v>215</v>
      </c>
      <c r="B47" s="5" t="s">
        <v>216</v>
      </c>
      <c r="C47" s="5" t="str">
        <f t="shared" si="0"/>
        <v>150</v>
      </c>
      <c r="D47" s="5" t="str">
        <f t="shared" si="1"/>
        <v>150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15</v>
      </c>
      <c r="I47" s="5" t="s">
        <v>63</v>
      </c>
      <c r="J47" s="10">
        <f t="shared" si="4"/>
        <v>1</v>
      </c>
      <c r="K47" s="11">
        <f t="shared" si="7"/>
        <v>1</v>
      </c>
      <c r="L47" s="6" t="s">
        <v>8</v>
      </c>
      <c r="M47" s="6" t="s">
        <v>50</v>
      </c>
      <c r="N47" s="5" t="s">
        <v>217</v>
      </c>
      <c r="O47" s="5" t="s">
        <v>218</v>
      </c>
      <c r="P47" s="26">
        <f t="shared" si="5"/>
        <v>80</v>
      </c>
      <c r="Q47" s="26">
        <f t="shared" si="6"/>
        <v>150</v>
      </c>
      <c r="R47" s="10"/>
    </row>
    <row r="48" spans="1:18" x14ac:dyDescent="0.25">
      <c r="A48" s="4" t="s">
        <v>219</v>
      </c>
      <c r="B48" s="5" t="s">
        <v>216</v>
      </c>
      <c r="C48" s="5" t="str">
        <f t="shared" si="0"/>
        <v>150</v>
      </c>
      <c r="D48" s="5" t="str">
        <f t="shared" si="1"/>
        <v>150</v>
      </c>
      <c r="E48" s="6" t="s">
        <v>44</v>
      </c>
      <c r="F48" s="9">
        <f t="shared" si="2"/>
        <v>2.8</v>
      </c>
      <c r="G48" s="9">
        <f t="shared" si="3"/>
        <v>2.8</v>
      </c>
      <c r="H48" s="5" t="s">
        <v>15</v>
      </c>
      <c r="I48" s="5" t="s">
        <v>63</v>
      </c>
      <c r="J48" s="10">
        <f t="shared" si="4"/>
        <v>1</v>
      </c>
      <c r="K48" s="11">
        <f t="shared" si="7"/>
        <v>1</v>
      </c>
      <c r="L48" s="6" t="s">
        <v>8</v>
      </c>
      <c r="M48" s="6" t="s">
        <v>50</v>
      </c>
      <c r="N48" s="5" t="s">
        <v>217</v>
      </c>
      <c r="O48" s="5" t="s">
        <v>220</v>
      </c>
      <c r="P48" s="26">
        <f t="shared" si="5"/>
        <v>80</v>
      </c>
      <c r="Q48" s="26">
        <f t="shared" si="6"/>
        <v>137</v>
      </c>
      <c r="R48" s="10"/>
    </row>
    <row r="49" spans="1:18" ht="15" customHeight="1" x14ac:dyDescent="0.25">
      <c r="A49" s="4" t="s">
        <v>221</v>
      </c>
      <c r="B49" s="5" t="s">
        <v>222</v>
      </c>
      <c r="C49" s="5" t="str">
        <f t="shared" si="0"/>
        <v>15</v>
      </c>
      <c r="D49" s="5" t="str">
        <f t="shared" si="1"/>
        <v>15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6</v>
      </c>
      <c r="I49" s="5" t="s">
        <v>57</v>
      </c>
      <c r="J49" s="10">
        <f t="shared" si="4"/>
        <v>0.26</v>
      </c>
      <c r="K49" s="11">
        <f t="shared" si="7"/>
        <v>3.8</v>
      </c>
      <c r="L49" s="6" t="s">
        <v>8</v>
      </c>
      <c r="M49" s="6" t="s">
        <v>50</v>
      </c>
      <c r="N49" s="5" t="s">
        <v>223</v>
      </c>
      <c r="O49" s="5" t="s">
        <v>224</v>
      </c>
      <c r="P49" s="26">
        <f t="shared" si="5"/>
        <v>74</v>
      </c>
      <c r="Q49" s="26">
        <f t="shared" si="6"/>
        <v>71</v>
      </c>
      <c r="R49" s="10"/>
    </row>
    <row r="50" spans="1:18" ht="15" customHeight="1" x14ac:dyDescent="0.25">
      <c r="A50" s="4" t="s">
        <v>228</v>
      </c>
      <c r="B50" s="5" t="s">
        <v>222</v>
      </c>
      <c r="C50" s="5" t="str">
        <f t="shared" si="0"/>
        <v>15</v>
      </c>
      <c r="D50" s="5" t="str">
        <f t="shared" si="1"/>
        <v>15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203</v>
      </c>
      <c r="I50" s="5" t="s">
        <v>188</v>
      </c>
      <c r="J50" s="10">
        <f t="shared" si="4"/>
        <v>0.11</v>
      </c>
      <c r="K50" s="11">
        <f t="shared" si="7"/>
        <v>9.1</v>
      </c>
      <c r="L50" s="6" t="s">
        <v>8</v>
      </c>
      <c r="M50" s="6" t="s">
        <v>50</v>
      </c>
      <c r="N50" s="5" t="s">
        <v>229</v>
      </c>
      <c r="O50" s="5" t="s">
        <v>230</v>
      </c>
      <c r="P50" s="26">
        <f t="shared" si="5"/>
        <v>103</v>
      </c>
      <c r="Q50" s="26">
        <f t="shared" si="6"/>
        <v>99</v>
      </c>
      <c r="R50" s="10"/>
    </row>
    <row r="51" spans="1:18" ht="15" customHeight="1" x14ac:dyDescent="0.25">
      <c r="A51" s="4" t="s">
        <v>231</v>
      </c>
      <c r="B51" s="5" t="s">
        <v>232</v>
      </c>
      <c r="C51" s="5" t="str">
        <f t="shared" si="0"/>
        <v xml:space="preserve">16 </v>
      </c>
      <c r="D51" s="5" t="str">
        <f t="shared" si="1"/>
        <v>28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6</v>
      </c>
      <c r="I51" s="5" t="s">
        <v>198</v>
      </c>
      <c r="J51" s="10">
        <f t="shared" si="4"/>
        <v>0.19</v>
      </c>
      <c r="K51" s="11">
        <f t="shared" si="7"/>
        <v>5.3</v>
      </c>
      <c r="L51" s="6" t="s">
        <v>8</v>
      </c>
      <c r="M51" s="6" t="s">
        <v>50</v>
      </c>
      <c r="N51" s="5" t="s">
        <v>233</v>
      </c>
      <c r="O51" s="5" t="s">
        <v>234</v>
      </c>
      <c r="P51" s="26">
        <f t="shared" si="5"/>
        <v>90</v>
      </c>
      <c r="Q51" s="26">
        <f t="shared" si="6"/>
        <v>134</v>
      </c>
      <c r="R51" s="10"/>
    </row>
    <row r="52" spans="1:18" ht="15" customHeight="1" x14ac:dyDescent="0.25">
      <c r="A52" s="4" t="s">
        <v>235</v>
      </c>
      <c r="B52" s="5" t="s">
        <v>236</v>
      </c>
      <c r="C52" s="5" t="str">
        <f t="shared" si="0"/>
        <v xml:space="preserve">16 </v>
      </c>
      <c r="D52" s="5" t="str">
        <f t="shared" si="1"/>
        <v>300</v>
      </c>
      <c r="E52" s="6" t="s">
        <v>237</v>
      </c>
      <c r="F52" s="9">
        <f t="shared" si="2"/>
        <v>3.5</v>
      </c>
      <c r="G52" s="9">
        <f t="shared" si="3"/>
        <v>6.3</v>
      </c>
      <c r="H52" s="5" t="s">
        <v>56</v>
      </c>
      <c r="I52" s="5" t="s">
        <v>238</v>
      </c>
      <c r="J52" s="10">
        <f t="shared" si="4"/>
        <v>0.34</v>
      </c>
      <c r="K52" s="11">
        <f t="shared" si="7"/>
        <v>2.9</v>
      </c>
      <c r="L52" s="6" t="s">
        <v>8</v>
      </c>
      <c r="M52" s="6" t="s">
        <v>9</v>
      </c>
      <c r="N52" s="5" t="s">
        <v>64</v>
      </c>
      <c r="O52" s="5" t="s">
        <v>239</v>
      </c>
      <c r="P52" s="26">
        <f t="shared" si="5"/>
        <v>75</v>
      </c>
      <c r="Q52" s="26">
        <f t="shared" si="6"/>
        <v>100</v>
      </c>
      <c r="R52" s="10"/>
    </row>
    <row r="53" spans="1:18" x14ac:dyDescent="0.25">
      <c r="A53" s="4" t="s">
        <v>240</v>
      </c>
      <c r="B53" s="5" t="s">
        <v>241</v>
      </c>
      <c r="C53" s="5" t="str">
        <f t="shared" si="0"/>
        <v xml:space="preserve">16 </v>
      </c>
      <c r="D53" s="5" t="str">
        <f t="shared" si="1"/>
        <v>35</v>
      </c>
      <c r="E53" s="6" t="s">
        <v>49</v>
      </c>
      <c r="F53" s="9">
        <f t="shared" si="2"/>
        <v>4</v>
      </c>
      <c r="G53" s="9">
        <f t="shared" si="3"/>
        <v>4</v>
      </c>
      <c r="H53" s="5" t="s">
        <v>27</v>
      </c>
      <c r="I53" s="5" t="s">
        <v>162</v>
      </c>
      <c r="J53" s="10">
        <f t="shared" si="4"/>
        <v>0.25</v>
      </c>
      <c r="K53" s="11">
        <f t="shared" si="7"/>
        <v>4</v>
      </c>
      <c r="L53" s="6" t="s">
        <v>8</v>
      </c>
      <c r="M53" s="6" t="s">
        <v>50</v>
      </c>
      <c r="N53" s="5" t="s">
        <v>242</v>
      </c>
      <c r="O53" s="5" t="s">
        <v>243</v>
      </c>
      <c r="P53" s="26">
        <f t="shared" si="5"/>
        <v>83</v>
      </c>
      <c r="Q53" s="26">
        <f t="shared" si="6"/>
        <v>125</v>
      </c>
      <c r="R53" s="10"/>
    </row>
    <row r="54" spans="1:18" ht="15" customHeight="1" x14ac:dyDescent="0.25">
      <c r="A54" s="4" t="s">
        <v>244</v>
      </c>
      <c r="B54" s="5" t="s">
        <v>245</v>
      </c>
      <c r="C54" s="5" t="str">
        <f t="shared" si="0"/>
        <v xml:space="preserve">16 </v>
      </c>
      <c r="D54" s="5" t="str">
        <f t="shared" si="1"/>
        <v>50</v>
      </c>
      <c r="E54" s="6" t="s">
        <v>44</v>
      </c>
      <c r="F54" s="9">
        <f t="shared" si="2"/>
        <v>2.8</v>
      </c>
      <c r="G54" s="9">
        <f t="shared" si="3"/>
        <v>2.8</v>
      </c>
      <c r="H54" s="5" t="s">
        <v>27</v>
      </c>
      <c r="I54" s="5" t="s">
        <v>40</v>
      </c>
      <c r="J54" s="10">
        <f t="shared" si="4"/>
        <v>0.2</v>
      </c>
      <c r="K54" s="11">
        <f t="shared" si="7"/>
        <v>5</v>
      </c>
      <c r="L54" s="6" t="s">
        <v>8</v>
      </c>
      <c r="M54" s="6" t="s">
        <v>9</v>
      </c>
      <c r="N54" s="5" t="s">
        <v>246</v>
      </c>
      <c r="O54" s="5" t="s">
        <v>247</v>
      </c>
      <c r="P54" s="26">
        <f t="shared" si="5"/>
        <v>84</v>
      </c>
      <c r="Q54" s="26">
        <f t="shared" si="6"/>
        <v>98</v>
      </c>
      <c r="R54" s="10"/>
    </row>
    <row r="55" spans="1:18" ht="15" customHeight="1" x14ac:dyDescent="0.25">
      <c r="A55" s="4" t="s">
        <v>248</v>
      </c>
      <c r="B55" s="5" t="s">
        <v>249</v>
      </c>
      <c r="C55" s="5" t="str">
        <f t="shared" si="0"/>
        <v xml:space="preserve">16 </v>
      </c>
      <c r="D55" s="5" t="str">
        <f t="shared" si="1"/>
        <v>80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">
        <v>251</v>
      </c>
      <c r="J55" s="10">
        <f t="shared" si="4"/>
        <v>0.22</v>
      </c>
      <c r="K55" s="11">
        <f t="shared" si="7"/>
        <v>4.5</v>
      </c>
      <c r="L55" s="6" t="s">
        <v>8</v>
      </c>
      <c r="M55" s="6" t="s">
        <v>9</v>
      </c>
      <c r="N55" s="5" t="s">
        <v>252</v>
      </c>
      <c r="O55" s="5" t="s">
        <v>253</v>
      </c>
      <c r="P55" s="26">
        <f t="shared" si="5"/>
        <v>80</v>
      </c>
      <c r="Q55" s="26">
        <f t="shared" si="6"/>
        <v>86</v>
      </c>
      <c r="R55" s="10"/>
    </row>
    <row r="56" spans="1:18" ht="15" customHeight="1" x14ac:dyDescent="0.25">
      <c r="A56" s="4" t="s">
        <v>254</v>
      </c>
      <c r="B56" s="5" t="s">
        <v>255</v>
      </c>
      <c r="C56" s="5" t="str">
        <f t="shared" si="0"/>
        <v xml:space="preserve">16 </v>
      </c>
      <c r="D56" s="5" t="str">
        <f t="shared" si="1"/>
        <v>85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">
        <v>251</v>
      </c>
      <c r="J56" s="10">
        <f t="shared" si="4"/>
        <v>0.22</v>
      </c>
      <c r="K56" s="11">
        <f t="shared" si="7"/>
        <v>4.5</v>
      </c>
      <c r="L56" s="6" t="s">
        <v>8</v>
      </c>
      <c r="M56" s="6" t="s">
        <v>9</v>
      </c>
      <c r="N56" s="5" t="s">
        <v>257</v>
      </c>
      <c r="O56" s="5" t="s">
        <v>258</v>
      </c>
      <c r="P56" s="26">
        <f t="shared" si="5"/>
        <v>72</v>
      </c>
      <c r="Q56" s="26">
        <f t="shared" si="6"/>
        <v>85</v>
      </c>
      <c r="R56" s="10"/>
    </row>
    <row r="57" spans="1:18" ht="15" customHeight="1" x14ac:dyDescent="0.25">
      <c r="A57" s="4" t="s">
        <v>259</v>
      </c>
      <c r="B57" s="5" t="s">
        <v>260</v>
      </c>
      <c r="C57" s="5" t="str">
        <f t="shared" si="0"/>
        <v xml:space="preserve">16.5 </v>
      </c>
      <c r="D57" s="5" t="str">
        <f t="shared" si="1"/>
        <v>135</v>
      </c>
      <c r="E57" s="6" t="s">
        <v>256</v>
      </c>
      <c r="F57" s="9">
        <f t="shared" si="2"/>
        <v>3.5</v>
      </c>
      <c r="G57" s="9">
        <f t="shared" si="3"/>
        <v>5.6</v>
      </c>
      <c r="H57" s="5" t="s">
        <v>27</v>
      </c>
      <c r="I57" s="5" t="s">
        <v>36</v>
      </c>
      <c r="J57" s="10">
        <f t="shared" si="4"/>
        <v>0.18</v>
      </c>
      <c r="K57" s="11">
        <f t="shared" si="7"/>
        <v>5.6</v>
      </c>
      <c r="L57" s="6" t="s">
        <v>8</v>
      </c>
      <c r="M57" s="6" t="s">
        <v>9</v>
      </c>
      <c r="N57" s="5" t="s">
        <v>246</v>
      </c>
      <c r="O57" s="5" t="s">
        <v>261</v>
      </c>
      <c r="P57" s="26">
        <f t="shared" si="5"/>
        <v>84</v>
      </c>
      <c r="Q57" s="26">
        <f t="shared" si="6"/>
        <v>78</v>
      </c>
      <c r="R57" s="10"/>
    </row>
    <row r="58" spans="1:18" x14ac:dyDescent="0.25">
      <c r="A58" s="4" t="s">
        <v>262</v>
      </c>
      <c r="B58" s="5" t="s">
        <v>263</v>
      </c>
      <c r="C58" s="5" t="str">
        <f t="shared" si="0"/>
        <v>16</v>
      </c>
      <c r="D58" s="5" t="str">
        <f t="shared" si="1"/>
        <v>16</v>
      </c>
      <c r="E58" s="6" t="s">
        <v>44</v>
      </c>
      <c r="F58" s="9">
        <f t="shared" si="2"/>
        <v>2.8</v>
      </c>
      <c r="G58" s="9">
        <f t="shared" si="3"/>
        <v>2.8</v>
      </c>
      <c r="H58" s="5" t="s">
        <v>6</v>
      </c>
      <c r="I58" s="5" t="s">
        <v>264</v>
      </c>
      <c r="J58" s="10">
        <f t="shared" si="4"/>
        <v>0.1</v>
      </c>
      <c r="K58" s="11">
        <f t="shared" si="7"/>
        <v>10</v>
      </c>
      <c r="L58" s="6" t="s">
        <v>8</v>
      </c>
      <c r="M58" s="6" t="s">
        <v>50</v>
      </c>
      <c r="N58" s="5" t="s">
        <v>265</v>
      </c>
      <c r="O58" s="5" t="s">
        <v>266</v>
      </c>
      <c r="P58" s="26">
        <f t="shared" si="5"/>
        <v>63</v>
      </c>
      <c r="Q58" s="26">
        <f t="shared" si="6"/>
        <v>57</v>
      </c>
      <c r="R58" s="10"/>
    </row>
    <row r="59" spans="1:18" ht="15" customHeight="1" x14ac:dyDescent="0.25">
      <c r="A59" s="4" t="s">
        <v>270</v>
      </c>
      <c r="B59" s="5" t="s">
        <v>271</v>
      </c>
      <c r="C59" s="5" t="str">
        <f t="shared" si="0"/>
        <v xml:space="preserve">17 </v>
      </c>
      <c r="D59" s="5" t="str">
        <f t="shared" si="1"/>
        <v>35</v>
      </c>
      <c r="E59" s="6" t="s">
        <v>44</v>
      </c>
      <c r="F59" s="9">
        <f t="shared" si="2"/>
        <v>2.8</v>
      </c>
      <c r="G59" s="9">
        <f t="shared" si="3"/>
        <v>2.8</v>
      </c>
      <c r="H59" s="5" t="s">
        <v>27</v>
      </c>
      <c r="I59" s="5" t="s">
        <v>251</v>
      </c>
      <c r="J59" s="10">
        <f t="shared" si="4"/>
        <v>0.22</v>
      </c>
      <c r="K59" s="11">
        <f t="shared" si="7"/>
        <v>4.5</v>
      </c>
      <c r="L59" s="6" t="s">
        <v>8</v>
      </c>
      <c r="M59" s="6" t="s">
        <v>50</v>
      </c>
      <c r="N59" s="5" t="s">
        <v>272</v>
      </c>
      <c r="O59" s="5" t="s">
        <v>273</v>
      </c>
      <c r="P59" s="26">
        <f t="shared" si="5"/>
        <v>83</v>
      </c>
      <c r="Q59" s="26">
        <f t="shared" si="6"/>
        <v>106</v>
      </c>
      <c r="R59" s="10"/>
    </row>
    <row r="60" spans="1:18" ht="15" customHeight="1" x14ac:dyDescent="0.25">
      <c r="A60" s="4" t="s">
        <v>274</v>
      </c>
      <c r="B60" s="5" t="s">
        <v>271</v>
      </c>
      <c r="C60" s="5" t="str">
        <f t="shared" si="0"/>
        <v xml:space="preserve">17 </v>
      </c>
      <c r="D60" s="5" t="str">
        <f t="shared" si="1"/>
        <v>35</v>
      </c>
      <c r="E60" s="6" t="s">
        <v>49</v>
      </c>
      <c r="F60" s="9">
        <f t="shared" si="2"/>
        <v>4</v>
      </c>
      <c r="G60" s="9">
        <f t="shared" si="3"/>
        <v>4</v>
      </c>
      <c r="H60" s="5" t="s">
        <v>21</v>
      </c>
      <c r="I60" s="5" t="s">
        <v>40</v>
      </c>
      <c r="J60" s="10">
        <f t="shared" si="4"/>
        <v>0.2</v>
      </c>
      <c r="K60" s="11">
        <f t="shared" si="7"/>
        <v>5</v>
      </c>
      <c r="L60" s="6" t="s">
        <v>8</v>
      </c>
      <c r="M60" s="6" t="s">
        <v>50</v>
      </c>
      <c r="N60" s="5" t="s">
        <v>123</v>
      </c>
      <c r="O60" s="5" t="s">
        <v>275</v>
      </c>
      <c r="P60" s="26">
        <f t="shared" si="5"/>
        <v>89</v>
      </c>
      <c r="Q60" s="26">
        <f t="shared" si="6"/>
        <v>95</v>
      </c>
      <c r="R60" s="10"/>
    </row>
    <row r="61" spans="1:18" ht="15" customHeight="1" x14ac:dyDescent="0.25">
      <c r="A61" s="4" t="s">
        <v>276</v>
      </c>
      <c r="B61" s="5" t="s">
        <v>277</v>
      </c>
      <c r="C61" s="5" t="str">
        <f t="shared" si="0"/>
        <v xml:space="preserve">17 </v>
      </c>
      <c r="D61" s="5" t="str">
        <f t="shared" si="1"/>
        <v>50</v>
      </c>
      <c r="E61" s="6" t="s">
        <v>44</v>
      </c>
      <c r="F61" s="9">
        <f t="shared" si="2"/>
        <v>2.8</v>
      </c>
      <c r="G61" s="9">
        <f t="shared" si="3"/>
        <v>2.8</v>
      </c>
      <c r="H61" s="5" t="s">
        <v>27</v>
      </c>
      <c r="I61" s="5" t="s">
        <v>40</v>
      </c>
      <c r="J61" s="10">
        <f t="shared" si="4"/>
        <v>0.2</v>
      </c>
      <c r="K61" s="11">
        <f t="shared" si="7"/>
        <v>5</v>
      </c>
      <c r="L61" s="6" t="s">
        <v>8</v>
      </c>
      <c r="M61" s="6" t="s">
        <v>9</v>
      </c>
      <c r="N61" s="5" t="s">
        <v>278</v>
      </c>
      <c r="O61" s="5" t="s">
        <v>279</v>
      </c>
      <c r="P61" s="26">
        <f t="shared" si="5"/>
        <v>84</v>
      </c>
      <c r="Q61" s="26">
        <f t="shared" si="6"/>
        <v>92</v>
      </c>
      <c r="R61" s="10"/>
    </row>
    <row r="62" spans="1:18" ht="15" customHeight="1" x14ac:dyDescent="0.25">
      <c r="A62" s="4" t="s">
        <v>280</v>
      </c>
      <c r="B62" s="5" t="s">
        <v>277</v>
      </c>
      <c r="C62" s="5" t="str">
        <f t="shared" si="0"/>
        <v xml:space="preserve">17 </v>
      </c>
      <c r="D62" s="5" t="str">
        <f t="shared" si="1"/>
        <v>50</v>
      </c>
      <c r="E62" s="6" t="s">
        <v>44</v>
      </c>
      <c r="F62" s="9">
        <f t="shared" si="2"/>
        <v>2.8</v>
      </c>
      <c r="G62" s="9">
        <f t="shared" si="3"/>
        <v>2.8</v>
      </c>
      <c r="H62" s="5" t="s">
        <v>56</v>
      </c>
      <c r="I62" s="5" t="s">
        <v>251</v>
      </c>
      <c r="J62" s="10">
        <f t="shared" si="4"/>
        <v>0.22</v>
      </c>
      <c r="K62" s="11">
        <f t="shared" si="7"/>
        <v>4.5</v>
      </c>
      <c r="L62" s="6" t="s">
        <v>8</v>
      </c>
      <c r="M62" s="6" t="s">
        <v>9</v>
      </c>
      <c r="N62" s="5" t="s">
        <v>281</v>
      </c>
      <c r="O62" s="5" t="s">
        <v>282</v>
      </c>
      <c r="P62" s="26">
        <f t="shared" si="5"/>
        <v>74</v>
      </c>
      <c r="Q62" s="26">
        <f t="shared" si="6"/>
        <v>82</v>
      </c>
      <c r="R62" s="10"/>
    </row>
    <row r="63" spans="1:18" ht="15" customHeight="1" x14ac:dyDescent="0.25">
      <c r="A63" s="4" t="s">
        <v>283</v>
      </c>
      <c r="B63" s="5" t="s">
        <v>277</v>
      </c>
      <c r="C63" s="5" t="str">
        <f t="shared" si="0"/>
        <v xml:space="preserve">17 </v>
      </c>
      <c r="D63" s="5" t="str">
        <f t="shared" si="1"/>
        <v>50</v>
      </c>
      <c r="E63" s="6" t="s">
        <v>44</v>
      </c>
      <c r="F63" s="9">
        <f t="shared" si="2"/>
        <v>2.8</v>
      </c>
      <c r="G63" s="9">
        <f t="shared" si="3"/>
        <v>2.8</v>
      </c>
      <c r="H63" s="5" t="s">
        <v>15</v>
      </c>
      <c r="I63" s="5" t="s">
        <v>40</v>
      </c>
      <c r="J63" s="10">
        <f t="shared" si="4"/>
        <v>0.2</v>
      </c>
      <c r="K63" s="11">
        <f t="shared" si="7"/>
        <v>5</v>
      </c>
      <c r="L63" s="6" t="s">
        <v>8</v>
      </c>
      <c r="M63" s="6" t="s">
        <v>9</v>
      </c>
      <c r="N63" s="5" t="s">
        <v>105</v>
      </c>
      <c r="O63" s="5" t="s">
        <v>284</v>
      </c>
      <c r="P63" s="26">
        <f t="shared" si="5"/>
        <v>80</v>
      </c>
      <c r="Q63" s="26">
        <f t="shared" si="6"/>
        <v>95</v>
      </c>
      <c r="R63" s="10"/>
    </row>
    <row r="64" spans="1:18" ht="15" customHeight="1" x14ac:dyDescent="0.25">
      <c r="A64" s="4" t="s">
        <v>285</v>
      </c>
      <c r="B64" s="5" t="s">
        <v>286</v>
      </c>
      <c r="C64" s="5" t="str">
        <f t="shared" si="0"/>
        <v xml:space="preserve">17 </v>
      </c>
      <c r="D64" s="5" t="str">
        <f t="shared" si="1"/>
        <v>55</v>
      </c>
      <c r="E64" s="6" t="s">
        <v>44</v>
      </c>
      <c r="F64" s="9">
        <f t="shared" si="2"/>
        <v>2.8</v>
      </c>
      <c r="G64" s="9">
        <f t="shared" si="3"/>
        <v>2.8</v>
      </c>
      <c r="H64" s="5" t="s">
        <v>27</v>
      </c>
      <c r="I64" s="5" t="s">
        <v>40</v>
      </c>
      <c r="J64" s="10">
        <f t="shared" si="4"/>
        <v>0.2</v>
      </c>
      <c r="K64" s="11">
        <f t="shared" si="7"/>
        <v>5</v>
      </c>
      <c r="L64" s="6" t="s">
        <v>8</v>
      </c>
      <c r="M64" s="6" t="s">
        <v>9</v>
      </c>
      <c r="N64" s="5" t="s">
        <v>287</v>
      </c>
      <c r="O64" s="5" t="s">
        <v>288</v>
      </c>
      <c r="P64" s="26">
        <f t="shared" si="5"/>
        <v>86</v>
      </c>
      <c r="Q64" s="26">
        <f t="shared" si="6"/>
        <v>111</v>
      </c>
      <c r="R64" s="10"/>
    </row>
    <row r="65" spans="1:18" ht="15" customHeight="1" x14ac:dyDescent="0.25">
      <c r="A65" s="4" t="s">
        <v>289</v>
      </c>
      <c r="B65" s="5" t="s">
        <v>290</v>
      </c>
      <c r="C65" s="5" t="str">
        <f t="shared" si="0"/>
        <v xml:space="preserve">17 </v>
      </c>
      <c r="D65" s="5" t="str">
        <f t="shared" si="1"/>
        <v>70</v>
      </c>
      <c r="E65" s="6" t="s">
        <v>250</v>
      </c>
      <c r="F65" s="9">
        <f t="shared" si="2"/>
        <v>2.8</v>
      </c>
      <c r="G65" s="9">
        <f t="shared" si="3"/>
        <v>4</v>
      </c>
      <c r="H65" s="5" t="s">
        <v>15</v>
      </c>
      <c r="I65" s="5" t="s">
        <v>291</v>
      </c>
      <c r="J65" s="10">
        <f t="shared" si="4"/>
        <v>0.37</v>
      </c>
      <c r="K65" s="11">
        <f t="shared" si="7"/>
        <v>2.7</v>
      </c>
      <c r="L65" s="6" t="s">
        <v>8</v>
      </c>
      <c r="M65" s="6" t="s">
        <v>9</v>
      </c>
      <c r="N65" s="5" t="s">
        <v>292</v>
      </c>
      <c r="O65" s="5" t="s">
        <v>293</v>
      </c>
      <c r="P65" s="26">
        <f t="shared" si="5"/>
        <v>79</v>
      </c>
      <c r="Q65" s="26">
        <f t="shared" si="6"/>
        <v>89</v>
      </c>
      <c r="R65" s="10"/>
    </row>
    <row r="66" spans="1:18" ht="15" customHeight="1" x14ac:dyDescent="0.25">
      <c r="A66" s="4" t="s">
        <v>294</v>
      </c>
      <c r="B66" s="5" t="s">
        <v>290</v>
      </c>
      <c r="C66" s="5" t="str">
        <f t="shared" ref="C66:C129" si="8">IFERROR(LEFT(B66,(FIND("-",B66)-1)),LEFT(B66,FIND("mm",B66)-1))</f>
        <v xml:space="preserve">17 </v>
      </c>
      <c r="D66" s="5" t="str">
        <f t="shared" si="1"/>
        <v>70</v>
      </c>
      <c r="E66" s="6" t="s">
        <v>295</v>
      </c>
      <c r="F66" s="9">
        <f t="shared" si="2"/>
        <v>2.8</v>
      </c>
      <c r="G66" s="9">
        <f t="shared" si="3"/>
        <v>4.5</v>
      </c>
      <c r="H66" s="5" t="s">
        <v>15</v>
      </c>
      <c r="I66" s="5" t="s">
        <v>296</v>
      </c>
      <c r="J66" s="10">
        <f t="shared" si="4"/>
        <v>0.44</v>
      </c>
      <c r="K66" s="11">
        <f t="shared" si="7"/>
        <v>2.2999999999999998</v>
      </c>
      <c r="L66" s="6" t="s">
        <v>8</v>
      </c>
      <c r="M66" s="6" t="s">
        <v>9</v>
      </c>
      <c r="N66" s="5" t="s">
        <v>297</v>
      </c>
      <c r="O66" s="5" t="s">
        <v>298</v>
      </c>
      <c r="P66" s="26">
        <f t="shared" si="5"/>
        <v>79</v>
      </c>
      <c r="Q66" s="26">
        <f t="shared" si="6"/>
        <v>83</v>
      </c>
      <c r="R66" s="10"/>
    </row>
    <row r="67" spans="1:18" ht="15" customHeight="1" x14ac:dyDescent="0.25">
      <c r="A67" s="4" t="s">
        <v>299</v>
      </c>
      <c r="B67" s="5" t="s">
        <v>290</v>
      </c>
      <c r="C67" s="5" t="str">
        <f t="shared" si="8"/>
        <v xml:space="preserve">17 </v>
      </c>
      <c r="D67" s="5" t="str">
        <f t="shared" ref="D67:D130" si="9">IFERROR(RIGHT(LEFT(B67,FIND("m",B67)-1),LEN(LEFT(B67,FIND("m",B67)-1))-FIND("-",LEFT(B67,FIND("m",B67)-1))-1),C67)</f>
        <v>70</v>
      </c>
      <c r="E67" s="6" t="s">
        <v>250</v>
      </c>
      <c r="F67" s="9">
        <f t="shared" ref="F67:F130" si="10">convertStringPointToComma(LEFT(MID(E67,3,9),IFERROR(FIND("-",MID(E67,3,9))-2,3)))</f>
        <v>2.8</v>
      </c>
      <c r="G67" s="9">
        <f t="shared" ref="G67:G130" si="11">convertStringPointToComma(RIGHT(E67,IF(ISERROR(FIND(".",RIGHT(E67,3))),1,3)))</f>
        <v>4</v>
      </c>
      <c r="H67" s="5" t="s">
        <v>15</v>
      </c>
      <c r="I67" s="5" t="s">
        <v>144</v>
      </c>
      <c r="J67" s="10">
        <f t="shared" ref="J67:J130" si="12">convertStringPointToComma(LEFT(I67,LEN(I67)-1))</f>
        <v>0.24</v>
      </c>
      <c r="K67" s="11">
        <f t="shared" si="7"/>
        <v>4.2</v>
      </c>
      <c r="L67" s="6" t="s">
        <v>8</v>
      </c>
      <c r="M67" s="6" t="s">
        <v>9</v>
      </c>
      <c r="N67" s="5" t="s">
        <v>115</v>
      </c>
      <c r="O67" s="5" t="s">
        <v>300</v>
      </c>
      <c r="P67" s="26">
        <f t="shared" ref="P67:P130" si="13">_xlfn.NUMBERVALUE(LEFT(O67,FIND("x",O67)-2))</f>
        <v>79</v>
      </c>
      <c r="Q67" s="26">
        <f t="shared" ref="Q67:Q130" si="14">_xlfn.NUMBERVALUE(LEFT(RIGHT(O67,LEN(O67)-FIND("x",O67)-1),LEN(RIGHT(O67,LEN(O67)-FIND("x",O67)-1))-2))</f>
        <v>82</v>
      </c>
      <c r="R67" s="10"/>
    </row>
    <row r="68" spans="1:18" x14ac:dyDescent="0.25">
      <c r="A68" s="4" t="s">
        <v>301</v>
      </c>
      <c r="B68" s="5" t="s">
        <v>302</v>
      </c>
      <c r="C68" s="5" t="str">
        <f t="shared" si="8"/>
        <v xml:space="preserve">18 </v>
      </c>
      <c r="D68" s="5" t="str">
        <f t="shared" si="9"/>
        <v>105</v>
      </c>
      <c r="E68" s="6" t="s">
        <v>256</v>
      </c>
      <c r="F68" s="9">
        <f t="shared" si="10"/>
        <v>3.5</v>
      </c>
      <c r="G68" s="9">
        <f t="shared" si="11"/>
        <v>5.6</v>
      </c>
      <c r="H68" s="5" t="s">
        <v>56</v>
      </c>
      <c r="I68" s="5" t="s">
        <v>40</v>
      </c>
      <c r="J68" s="10">
        <f t="shared" si="12"/>
        <v>0.2</v>
      </c>
      <c r="K68" s="11">
        <f t="shared" ref="K68:K131" si="15">ROUND(1/J68,1)</f>
        <v>5</v>
      </c>
      <c r="L68" s="6" t="s">
        <v>8</v>
      </c>
      <c r="M68" s="6" t="s">
        <v>9</v>
      </c>
      <c r="N68" s="5" t="s">
        <v>303</v>
      </c>
      <c r="O68" s="5" t="s">
        <v>304</v>
      </c>
      <c r="P68" s="26">
        <f t="shared" si="13"/>
        <v>76</v>
      </c>
      <c r="Q68" s="26">
        <f t="shared" si="14"/>
        <v>89</v>
      </c>
      <c r="R68" s="10"/>
    </row>
    <row r="69" spans="1:18" ht="15" customHeight="1" x14ac:dyDescent="0.25">
      <c r="A69" s="4" t="s">
        <v>305</v>
      </c>
      <c r="B69" s="5" t="s">
        <v>306</v>
      </c>
      <c r="C69" s="5" t="str">
        <f t="shared" si="8"/>
        <v xml:space="preserve">18 </v>
      </c>
      <c r="D69" s="5" t="str">
        <f t="shared" si="9"/>
        <v>125</v>
      </c>
      <c r="E69" s="6" t="s">
        <v>307</v>
      </c>
      <c r="F69" s="9">
        <f t="shared" si="10"/>
        <v>3.8</v>
      </c>
      <c r="G69" s="9">
        <f t="shared" si="11"/>
        <v>5.6</v>
      </c>
      <c r="H69" s="5" t="s">
        <v>56</v>
      </c>
      <c r="I69" s="5" t="s">
        <v>57</v>
      </c>
      <c r="J69" s="10">
        <f t="shared" si="12"/>
        <v>0.26</v>
      </c>
      <c r="K69" s="11">
        <f t="shared" si="15"/>
        <v>3.8</v>
      </c>
      <c r="L69" s="6" t="s">
        <v>8</v>
      </c>
      <c r="M69" s="6" t="s">
        <v>9</v>
      </c>
      <c r="N69" s="5" t="s">
        <v>308</v>
      </c>
      <c r="O69" s="5" t="s">
        <v>309</v>
      </c>
      <c r="P69" s="26">
        <f t="shared" si="13"/>
        <v>74</v>
      </c>
      <c r="Q69" s="26">
        <f t="shared" si="14"/>
        <v>89</v>
      </c>
      <c r="R69" s="10"/>
    </row>
    <row r="70" spans="1:18" ht="15" customHeight="1" x14ac:dyDescent="0.25">
      <c r="A70" s="4" t="s">
        <v>310</v>
      </c>
      <c r="B70" s="5" t="s">
        <v>311</v>
      </c>
      <c r="C70" s="5" t="str">
        <f t="shared" si="8"/>
        <v xml:space="preserve">18 </v>
      </c>
      <c r="D70" s="5" t="str">
        <f t="shared" si="9"/>
        <v>140</v>
      </c>
      <c r="E70" s="6" t="s">
        <v>256</v>
      </c>
      <c r="F70" s="9">
        <f t="shared" si="10"/>
        <v>3.5</v>
      </c>
      <c r="G70" s="9">
        <f t="shared" si="11"/>
        <v>5.6</v>
      </c>
      <c r="H70" s="5" t="s">
        <v>56</v>
      </c>
      <c r="I70" s="5" t="s">
        <v>158</v>
      </c>
      <c r="J70" s="10">
        <f t="shared" si="12"/>
        <v>0.23</v>
      </c>
      <c r="K70" s="11">
        <f t="shared" si="15"/>
        <v>4.3</v>
      </c>
      <c r="L70" s="6" t="s">
        <v>8</v>
      </c>
      <c r="M70" s="6" t="s">
        <v>9</v>
      </c>
      <c r="N70" s="5" t="s">
        <v>312</v>
      </c>
      <c r="O70" s="5" t="s">
        <v>313</v>
      </c>
      <c r="P70" s="26">
        <f t="shared" si="13"/>
        <v>78</v>
      </c>
      <c r="Q70" s="26">
        <f t="shared" si="14"/>
        <v>97</v>
      </c>
      <c r="R70" s="10"/>
    </row>
    <row r="71" spans="1:18" ht="15" customHeight="1" x14ac:dyDescent="0.25">
      <c r="A71" s="4" t="s">
        <v>314</v>
      </c>
      <c r="B71" s="5" t="s">
        <v>315</v>
      </c>
      <c r="C71" s="5" t="str">
        <f t="shared" si="8"/>
        <v xml:space="preserve">18 </v>
      </c>
      <c r="D71" s="5" t="str">
        <f t="shared" si="9"/>
        <v>200</v>
      </c>
      <c r="E71" s="6" t="s">
        <v>256</v>
      </c>
      <c r="F71" s="9">
        <f t="shared" si="10"/>
        <v>3.5</v>
      </c>
      <c r="G71" s="9">
        <f t="shared" si="11"/>
        <v>5.6</v>
      </c>
      <c r="H71" s="5" t="s">
        <v>15</v>
      </c>
      <c r="I71" s="5" t="s">
        <v>251</v>
      </c>
      <c r="J71" s="10">
        <f t="shared" si="12"/>
        <v>0.22</v>
      </c>
      <c r="K71" s="11">
        <f t="shared" si="15"/>
        <v>4.5</v>
      </c>
      <c r="L71" s="6" t="s">
        <v>8</v>
      </c>
      <c r="M71" s="6" t="s">
        <v>9</v>
      </c>
      <c r="N71" s="5" t="s">
        <v>111</v>
      </c>
      <c r="O71" s="5" t="s">
        <v>316</v>
      </c>
      <c r="P71" s="26">
        <f t="shared" si="13"/>
        <v>77</v>
      </c>
      <c r="Q71" s="26">
        <f t="shared" si="14"/>
        <v>97</v>
      </c>
      <c r="R71" s="10"/>
    </row>
    <row r="72" spans="1:18" ht="15" customHeight="1" x14ac:dyDescent="0.25">
      <c r="A72" s="4" t="s">
        <v>317</v>
      </c>
      <c r="B72" s="5" t="s">
        <v>315</v>
      </c>
      <c r="C72" s="5" t="str">
        <f t="shared" si="8"/>
        <v xml:space="preserve">18 </v>
      </c>
      <c r="D72" s="5" t="str">
        <f t="shared" si="9"/>
        <v>200</v>
      </c>
      <c r="E72" s="6" t="s">
        <v>256</v>
      </c>
      <c r="F72" s="9">
        <f t="shared" si="10"/>
        <v>3.5</v>
      </c>
      <c r="G72" s="9">
        <f t="shared" si="11"/>
        <v>5.6</v>
      </c>
      <c r="H72" s="5" t="s">
        <v>318</v>
      </c>
      <c r="I72" s="5" t="s">
        <v>57</v>
      </c>
      <c r="J72" s="10">
        <f t="shared" si="12"/>
        <v>0.26</v>
      </c>
      <c r="K72" s="11">
        <f t="shared" si="15"/>
        <v>3.8</v>
      </c>
      <c r="L72" s="6" t="s">
        <v>8</v>
      </c>
      <c r="M72" s="6" t="s">
        <v>9</v>
      </c>
      <c r="N72" s="5" t="s">
        <v>312</v>
      </c>
      <c r="O72" s="5" t="s">
        <v>319</v>
      </c>
      <c r="P72" s="26">
        <f t="shared" si="13"/>
        <v>76</v>
      </c>
      <c r="Q72" s="26">
        <f t="shared" si="14"/>
        <v>88</v>
      </c>
      <c r="R72" s="10"/>
    </row>
    <row r="73" spans="1:18" ht="15" customHeight="1" x14ac:dyDescent="0.25">
      <c r="A73" s="4" t="s">
        <v>320</v>
      </c>
      <c r="B73" s="5" t="s">
        <v>315</v>
      </c>
      <c r="C73" s="5" t="str">
        <f t="shared" si="8"/>
        <v xml:space="preserve">18 </v>
      </c>
      <c r="D73" s="5" t="str">
        <f t="shared" si="9"/>
        <v>200</v>
      </c>
      <c r="E73" s="6" t="s">
        <v>237</v>
      </c>
      <c r="F73" s="9">
        <f t="shared" si="10"/>
        <v>3.5</v>
      </c>
      <c r="G73" s="9">
        <f t="shared" si="11"/>
        <v>6.3</v>
      </c>
      <c r="H73" s="5" t="s">
        <v>84</v>
      </c>
      <c r="I73" s="5" t="s">
        <v>251</v>
      </c>
      <c r="J73" s="10">
        <f t="shared" si="12"/>
        <v>0.22</v>
      </c>
      <c r="K73" s="11">
        <f t="shared" si="15"/>
        <v>4.5</v>
      </c>
      <c r="L73" s="6" t="s">
        <v>8</v>
      </c>
      <c r="M73" s="6" t="s">
        <v>9</v>
      </c>
      <c r="N73" s="5" t="s">
        <v>321</v>
      </c>
      <c r="O73" s="5" t="s">
        <v>322</v>
      </c>
      <c r="P73" s="26">
        <f t="shared" si="13"/>
        <v>70</v>
      </c>
      <c r="Q73" s="26">
        <f t="shared" si="14"/>
        <v>78</v>
      </c>
      <c r="R73" s="10"/>
    </row>
    <row r="74" spans="1:18" ht="15" customHeight="1" x14ac:dyDescent="0.25">
      <c r="A74" s="4" t="s">
        <v>323</v>
      </c>
      <c r="B74" s="5" t="s">
        <v>315</v>
      </c>
      <c r="C74" s="5" t="str">
        <f t="shared" si="8"/>
        <v xml:space="preserve">18 </v>
      </c>
      <c r="D74" s="5" t="str">
        <f t="shared" si="9"/>
        <v>200</v>
      </c>
      <c r="E74" s="6" t="s">
        <v>237</v>
      </c>
      <c r="F74" s="9">
        <f t="shared" si="10"/>
        <v>3.5</v>
      </c>
      <c r="G74" s="9">
        <f t="shared" si="11"/>
        <v>6.3</v>
      </c>
      <c r="H74" s="5" t="s">
        <v>15</v>
      </c>
      <c r="I74" s="5" t="s">
        <v>162</v>
      </c>
      <c r="J74" s="10">
        <f t="shared" si="12"/>
        <v>0.25</v>
      </c>
      <c r="K74" s="11">
        <f t="shared" si="15"/>
        <v>4</v>
      </c>
      <c r="L74" s="6" t="s">
        <v>8</v>
      </c>
      <c r="M74" s="6" t="s">
        <v>9</v>
      </c>
      <c r="N74" s="5" t="s">
        <v>246</v>
      </c>
      <c r="O74" s="5" t="s">
        <v>324</v>
      </c>
      <c r="P74" s="26">
        <f t="shared" si="13"/>
        <v>79</v>
      </c>
      <c r="Q74" s="26">
        <f t="shared" si="14"/>
        <v>100</v>
      </c>
      <c r="R74" s="10"/>
    </row>
    <row r="75" spans="1:18" ht="15" customHeight="1" x14ac:dyDescent="0.25">
      <c r="A75" s="4" t="s">
        <v>325</v>
      </c>
      <c r="B75" s="5" t="s">
        <v>315</v>
      </c>
      <c r="C75" s="5" t="str">
        <f t="shared" si="8"/>
        <v xml:space="preserve">18 </v>
      </c>
      <c r="D75" s="5" t="str">
        <f t="shared" si="9"/>
        <v>200</v>
      </c>
      <c r="E75" s="6" t="s">
        <v>237</v>
      </c>
      <c r="F75" s="9">
        <f t="shared" si="10"/>
        <v>3.5</v>
      </c>
      <c r="G75" s="9">
        <f t="shared" si="11"/>
        <v>6.3</v>
      </c>
      <c r="H75" s="5" t="s">
        <v>84</v>
      </c>
      <c r="I75" s="5" t="s">
        <v>326</v>
      </c>
      <c r="J75" s="10">
        <f t="shared" si="12"/>
        <v>0.33</v>
      </c>
      <c r="K75" s="11">
        <f t="shared" si="15"/>
        <v>3</v>
      </c>
      <c r="L75" s="6" t="s">
        <v>8</v>
      </c>
      <c r="M75" s="6" t="s">
        <v>9</v>
      </c>
      <c r="N75" s="5" t="s">
        <v>327</v>
      </c>
      <c r="O75" s="5" t="s">
        <v>328</v>
      </c>
      <c r="P75" s="26">
        <f t="shared" si="13"/>
        <v>71</v>
      </c>
      <c r="Q75" s="26">
        <f t="shared" si="14"/>
        <v>86</v>
      </c>
      <c r="R75" s="10"/>
    </row>
    <row r="76" spans="1:18" ht="15" customHeight="1" x14ac:dyDescent="0.25">
      <c r="A76" s="4" t="s">
        <v>329</v>
      </c>
      <c r="B76" s="5" t="s">
        <v>315</v>
      </c>
      <c r="C76" s="5" t="str">
        <f t="shared" si="8"/>
        <v xml:space="preserve">18 </v>
      </c>
      <c r="D76" s="5" t="str">
        <f t="shared" si="9"/>
        <v>200</v>
      </c>
      <c r="E76" s="6" t="s">
        <v>237</v>
      </c>
      <c r="F76" s="9">
        <f t="shared" si="10"/>
        <v>3.5</v>
      </c>
      <c r="G76" s="9">
        <f t="shared" si="11"/>
        <v>6.3</v>
      </c>
      <c r="H76" s="5" t="s">
        <v>84</v>
      </c>
      <c r="I76" s="5" t="s">
        <v>162</v>
      </c>
      <c r="J76" s="10">
        <f t="shared" si="12"/>
        <v>0.25</v>
      </c>
      <c r="K76" s="11">
        <f t="shared" si="15"/>
        <v>4</v>
      </c>
      <c r="L76" s="6" t="s">
        <v>8</v>
      </c>
      <c r="M76" s="6" t="s">
        <v>9</v>
      </c>
      <c r="N76" s="5" t="s">
        <v>330</v>
      </c>
      <c r="O76" s="5" t="s">
        <v>331</v>
      </c>
      <c r="P76" s="26">
        <f t="shared" si="13"/>
        <v>75</v>
      </c>
      <c r="Q76" s="26">
        <f t="shared" si="14"/>
        <v>97</v>
      </c>
      <c r="R76" s="10"/>
    </row>
    <row r="77" spans="1:18" ht="15" customHeight="1" x14ac:dyDescent="0.25">
      <c r="A77" s="4" t="s">
        <v>332</v>
      </c>
      <c r="B77" s="5" t="s">
        <v>315</v>
      </c>
      <c r="C77" s="5" t="str">
        <f t="shared" si="8"/>
        <v xml:space="preserve">18 </v>
      </c>
      <c r="D77" s="5" t="str">
        <f t="shared" si="9"/>
        <v>200</v>
      </c>
      <c r="E77" s="6" t="s">
        <v>237</v>
      </c>
      <c r="F77" s="9">
        <f t="shared" si="10"/>
        <v>3.5</v>
      </c>
      <c r="G77" s="9">
        <f t="shared" si="11"/>
        <v>6.3</v>
      </c>
      <c r="H77" s="5" t="s">
        <v>84</v>
      </c>
      <c r="I77" s="5" t="s">
        <v>333</v>
      </c>
      <c r="J77" s="10">
        <f t="shared" si="12"/>
        <v>0.27</v>
      </c>
      <c r="K77" s="11">
        <f t="shared" si="15"/>
        <v>3.7</v>
      </c>
      <c r="L77" s="6" t="s">
        <v>8</v>
      </c>
      <c r="M77" s="6" t="s">
        <v>9</v>
      </c>
      <c r="N77" s="5" t="s">
        <v>334</v>
      </c>
      <c r="O77" s="5" t="s">
        <v>335</v>
      </c>
      <c r="P77" s="26">
        <f t="shared" si="13"/>
        <v>84</v>
      </c>
      <c r="Q77" s="26">
        <f t="shared" si="14"/>
        <v>74</v>
      </c>
      <c r="R77" s="10"/>
    </row>
    <row r="78" spans="1:18" ht="15" customHeight="1" x14ac:dyDescent="0.25">
      <c r="A78" s="4" t="s">
        <v>336</v>
      </c>
      <c r="B78" s="5" t="s">
        <v>337</v>
      </c>
      <c r="C78" s="5" t="str">
        <f t="shared" si="8"/>
        <v xml:space="preserve">18 </v>
      </c>
      <c r="D78" s="5" t="str">
        <f t="shared" si="9"/>
        <v>250</v>
      </c>
      <c r="E78" s="6" t="s">
        <v>237</v>
      </c>
      <c r="F78" s="9">
        <f t="shared" si="10"/>
        <v>3.5</v>
      </c>
      <c r="G78" s="9">
        <f t="shared" si="11"/>
        <v>6.3</v>
      </c>
      <c r="H78" s="5" t="s">
        <v>84</v>
      </c>
      <c r="I78" s="5" t="s">
        <v>238</v>
      </c>
      <c r="J78" s="10">
        <f t="shared" si="12"/>
        <v>0.34</v>
      </c>
      <c r="K78" s="11">
        <f t="shared" si="15"/>
        <v>2.9</v>
      </c>
      <c r="L78" s="6" t="s">
        <v>8</v>
      </c>
      <c r="M78" s="6" t="s">
        <v>9</v>
      </c>
      <c r="N78" s="5" t="s">
        <v>28</v>
      </c>
      <c r="O78" s="5" t="s">
        <v>309</v>
      </c>
      <c r="P78" s="26">
        <f t="shared" si="13"/>
        <v>74</v>
      </c>
      <c r="Q78" s="26">
        <f t="shared" si="14"/>
        <v>89</v>
      </c>
      <c r="R78" s="10"/>
    </row>
    <row r="79" spans="1:18" ht="15" customHeight="1" x14ac:dyDescent="0.25">
      <c r="A79" s="4" t="s">
        <v>338</v>
      </c>
      <c r="B79" s="5" t="s">
        <v>337</v>
      </c>
      <c r="C79" s="5" t="str">
        <f t="shared" si="8"/>
        <v xml:space="preserve">18 </v>
      </c>
      <c r="D79" s="5" t="str">
        <f t="shared" si="9"/>
        <v>250</v>
      </c>
      <c r="E79" s="6" t="s">
        <v>237</v>
      </c>
      <c r="F79" s="9">
        <f t="shared" si="10"/>
        <v>3.5</v>
      </c>
      <c r="G79" s="9">
        <f t="shared" si="11"/>
        <v>6.3</v>
      </c>
      <c r="H79" s="5" t="s">
        <v>15</v>
      </c>
      <c r="I79" s="5" t="s">
        <v>99</v>
      </c>
      <c r="J79" s="10">
        <f t="shared" si="12"/>
        <v>0.3</v>
      </c>
      <c r="K79" s="11">
        <f t="shared" si="15"/>
        <v>3.3</v>
      </c>
      <c r="L79" s="6" t="s">
        <v>8</v>
      </c>
      <c r="M79" s="6" t="s">
        <v>9</v>
      </c>
      <c r="N79" s="5" t="s">
        <v>339</v>
      </c>
      <c r="O79" s="5" t="s">
        <v>340</v>
      </c>
      <c r="P79" s="26">
        <f t="shared" si="13"/>
        <v>79</v>
      </c>
      <c r="Q79" s="26">
        <f t="shared" si="14"/>
        <v>101</v>
      </c>
      <c r="R79" s="10"/>
    </row>
    <row r="80" spans="1:18" ht="15" customHeight="1" x14ac:dyDescent="0.25">
      <c r="A80" s="4" t="s">
        <v>341</v>
      </c>
      <c r="B80" s="5" t="s">
        <v>342</v>
      </c>
      <c r="C80" s="5" t="str">
        <f t="shared" si="8"/>
        <v xml:space="preserve">18 </v>
      </c>
      <c r="D80" s="5" t="str">
        <f t="shared" si="9"/>
        <v>270</v>
      </c>
      <c r="E80" s="6" t="s">
        <v>237</v>
      </c>
      <c r="F80" s="9">
        <f t="shared" si="10"/>
        <v>3.5</v>
      </c>
      <c r="G80" s="9">
        <f t="shared" si="11"/>
        <v>6.3</v>
      </c>
      <c r="H80" s="5" t="s">
        <v>84</v>
      </c>
      <c r="I80" s="5" t="s">
        <v>343</v>
      </c>
      <c r="J80" s="10">
        <f t="shared" si="12"/>
        <v>0.28000000000000003</v>
      </c>
      <c r="K80" s="11">
        <f t="shared" si="15"/>
        <v>3.6</v>
      </c>
      <c r="L80" s="6" t="s">
        <v>8</v>
      </c>
      <c r="M80" s="6" t="s">
        <v>9</v>
      </c>
      <c r="N80" s="5" t="s">
        <v>92</v>
      </c>
      <c r="O80" s="5" t="s">
        <v>331</v>
      </c>
      <c r="P80" s="26">
        <f t="shared" si="13"/>
        <v>75</v>
      </c>
      <c r="Q80" s="26">
        <f t="shared" si="14"/>
        <v>97</v>
      </c>
      <c r="R80" s="10"/>
    </row>
    <row r="81" spans="1:18" ht="15" customHeight="1" x14ac:dyDescent="0.25">
      <c r="A81" s="4" t="s">
        <v>341</v>
      </c>
      <c r="B81" s="5" t="s">
        <v>342</v>
      </c>
      <c r="C81" s="5" t="str">
        <f t="shared" si="8"/>
        <v xml:space="preserve">18 </v>
      </c>
      <c r="D81" s="5" t="str">
        <f t="shared" si="9"/>
        <v>270</v>
      </c>
      <c r="E81" s="6" t="s">
        <v>237</v>
      </c>
      <c r="F81" s="9">
        <f t="shared" si="10"/>
        <v>3.5</v>
      </c>
      <c r="G81" s="9">
        <f t="shared" si="11"/>
        <v>6.3</v>
      </c>
      <c r="H81" s="5" t="s">
        <v>84</v>
      </c>
      <c r="I81" s="5" t="s">
        <v>57</v>
      </c>
      <c r="J81" s="10">
        <f t="shared" si="12"/>
        <v>0.26</v>
      </c>
      <c r="K81" s="11">
        <f t="shared" si="15"/>
        <v>3.8</v>
      </c>
      <c r="L81" s="6" t="s">
        <v>8</v>
      </c>
      <c r="M81" s="6" t="s">
        <v>9</v>
      </c>
      <c r="N81" s="5" t="s">
        <v>92</v>
      </c>
      <c r="O81" s="5" t="s">
        <v>344</v>
      </c>
      <c r="P81" s="26">
        <f t="shared" si="13"/>
        <v>75</v>
      </c>
      <c r="Q81" s="26">
        <f t="shared" si="14"/>
        <v>91</v>
      </c>
      <c r="R81" s="10"/>
    </row>
    <row r="82" spans="1:18" ht="15" customHeight="1" x14ac:dyDescent="0.25">
      <c r="A82" s="4" t="s">
        <v>345</v>
      </c>
      <c r="B82" s="5" t="s">
        <v>342</v>
      </c>
      <c r="C82" s="5" t="str">
        <f t="shared" si="8"/>
        <v xml:space="preserve">18 </v>
      </c>
      <c r="D82" s="5" t="str">
        <f t="shared" si="9"/>
        <v>270</v>
      </c>
      <c r="E82" s="6" t="s">
        <v>237</v>
      </c>
      <c r="F82" s="9">
        <f t="shared" si="10"/>
        <v>3.5</v>
      </c>
      <c r="G82" s="9">
        <f t="shared" si="11"/>
        <v>6.3</v>
      </c>
      <c r="H82" s="5" t="s">
        <v>15</v>
      </c>
      <c r="I82" s="5" t="s">
        <v>343</v>
      </c>
      <c r="J82" s="10">
        <f t="shared" si="12"/>
        <v>0.28000000000000003</v>
      </c>
      <c r="K82" s="11">
        <f t="shared" si="15"/>
        <v>3.6</v>
      </c>
      <c r="L82" s="6" t="s">
        <v>8</v>
      </c>
      <c r="M82" s="6" t="s">
        <v>9</v>
      </c>
      <c r="N82" s="5" t="s">
        <v>108</v>
      </c>
      <c r="O82" s="5" t="s">
        <v>346</v>
      </c>
      <c r="P82" s="26">
        <f t="shared" si="13"/>
        <v>80</v>
      </c>
      <c r="Q82" s="26">
        <f t="shared" si="14"/>
        <v>101</v>
      </c>
      <c r="R82" s="10"/>
    </row>
    <row r="83" spans="1:18" ht="15" customHeight="1" x14ac:dyDescent="0.25">
      <c r="A83" s="4" t="s">
        <v>347</v>
      </c>
      <c r="B83" s="5" t="s">
        <v>348</v>
      </c>
      <c r="C83" s="5" t="str">
        <f t="shared" si="8"/>
        <v xml:space="preserve">18 </v>
      </c>
      <c r="D83" s="5" t="str">
        <f t="shared" si="9"/>
        <v>300</v>
      </c>
      <c r="E83" s="6" t="s">
        <v>256</v>
      </c>
      <c r="F83" s="9">
        <f t="shared" si="10"/>
        <v>3.5</v>
      </c>
      <c r="G83" s="9">
        <f t="shared" si="11"/>
        <v>5.6</v>
      </c>
      <c r="H83" s="5" t="s">
        <v>27</v>
      </c>
      <c r="I83" s="5" t="s">
        <v>349</v>
      </c>
      <c r="J83" s="10">
        <f t="shared" si="12"/>
        <v>0.32</v>
      </c>
      <c r="K83" s="11">
        <f t="shared" si="15"/>
        <v>3.1</v>
      </c>
      <c r="L83" s="6" t="s">
        <v>8</v>
      </c>
      <c r="M83" s="6" t="s">
        <v>9</v>
      </c>
      <c r="N83" s="5" t="s">
        <v>350</v>
      </c>
      <c r="O83" s="5" t="s">
        <v>351</v>
      </c>
      <c r="P83" s="26">
        <f t="shared" si="13"/>
        <v>83</v>
      </c>
      <c r="Q83" s="26">
        <f t="shared" si="14"/>
        <v>129</v>
      </c>
      <c r="R83" s="10"/>
    </row>
    <row r="84" spans="1:18" ht="15" customHeight="1" x14ac:dyDescent="0.25">
      <c r="A84" s="4" t="s">
        <v>352</v>
      </c>
      <c r="B84" s="5" t="s">
        <v>348</v>
      </c>
      <c r="C84" s="5" t="str">
        <f t="shared" si="8"/>
        <v xml:space="preserve">18 </v>
      </c>
      <c r="D84" s="5" t="str">
        <f t="shared" si="9"/>
        <v>300</v>
      </c>
      <c r="E84" s="6" t="s">
        <v>237</v>
      </c>
      <c r="F84" s="9">
        <f t="shared" si="10"/>
        <v>3.5</v>
      </c>
      <c r="G84" s="9">
        <f t="shared" si="11"/>
        <v>6.3</v>
      </c>
      <c r="H84" s="5" t="s">
        <v>56</v>
      </c>
      <c r="I84" s="5" t="s">
        <v>353</v>
      </c>
      <c r="J84" s="10">
        <f t="shared" si="12"/>
        <v>0.28999999999999998</v>
      </c>
      <c r="K84" s="11">
        <f t="shared" si="15"/>
        <v>3.4</v>
      </c>
      <c r="L84" s="6" t="s">
        <v>8</v>
      </c>
      <c r="M84" s="6" t="s">
        <v>9</v>
      </c>
      <c r="N84" s="5" t="s">
        <v>108</v>
      </c>
      <c r="O84" s="5" t="s">
        <v>354</v>
      </c>
      <c r="P84" s="26">
        <f t="shared" si="13"/>
        <v>79</v>
      </c>
      <c r="Q84" s="26">
        <f t="shared" si="14"/>
        <v>99</v>
      </c>
      <c r="R84" s="10"/>
    </row>
    <row r="85" spans="1:18" ht="15" customHeight="1" x14ac:dyDescent="0.25">
      <c r="A85" s="4" t="s">
        <v>355</v>
      </c>
      <c r="B85" s="5" t="s">
        <v>348</v>
      </c>
      <c r="C85" s="5" t="str">
        <f t="shared" si="8"/>
        <v xml:space="preserve">18 </v>
      </c>
      <c r="D85" s="5" t="str">
        <f t="shared" si="9"/>
        <v>300</v>
      </c>
      <c r="E85" s="6" t="s">
        <v>870</v>
      </c>
      <c r="F85" s="9">
        <f t="shared" si="10"/>
        <v>3.5</v>
      </c>
      <c r="G85" s="9">
        <f t="shared" si="11"/>
        <v>3</v>
      </c>
      <c r="H85" s="5" t="s">
        <v>15</v>
      </c>
      <c r="I85" s="5" t="s">
        <v>326</v>
      </c>
      <c r="J85" s="10">
        <f t="shared" si="12"/>
        <v>0.33</v>
      </c>
      <c r="K85" s="11">
        <f t="shared" si="15"/>
        <v>3</v>
      </c>
      <c r="L85" s="6" t="s">
        <v>8</v>
      </c>
      <c r="M85" s="6" t="s">
        <v>9</v>
      </c>
      <c r="N85" s="5" t="s">
        <v>356</v>
      </c>
      <c r="O85" s="5" t="s">
        <v>357</v>
      </c>
      <c r="P85" s="26">
        <f t="shared" si="13"/>
        <v>79</v>
      </c>
      <c r="Q85" s="26">
        <f t="shared" si="14"/>
        <v>102</v>
      </c>
      <c r="R85" s="10"/>
    </row>
    <row r="86" spans="1:18" ht="15" customHeight="1" x14ac:dyDescent="0.25">
      <c r="A86" s="4" t="s">
        <v>358</v>
      </c>
      <c r="B86" s="5" t="s">
        <v>359</v>
      </c>
      <c r="C86" s="5" t="str">
        <f t="shared" si="8"/>
        <v xml:space="preserve">18 </v>
      </c>
      <c r="D86" s="5" t="str">
        <f t="shared" si="9"/>
        <v>35</v>
      </c>
      <c r="E86" s="6" t="s">
        <v>5</v>
      </c>
      <c r="F86" s="9">
        <f t="shared" si="10"/>
        <v>3.5</v>
      </c>
      <c r="G86" s="9">
        <f t="shared" si="11"/>
        <v>4.5</v>
      </c>
      <c r="H86" s="5" t="s">
        <v>27</v>
      </c>
      <c r="I86" s="5" t="s">
        <v>22</v>
      </c>
      <c r="J86" s="10">
        <f t="shared" si="12"/>
        <v>0.15</v>
      </c>
      <c r="K86" s="11">
        <f t="shared" si="15"/>
        <v>6.7</v>
      </c>
      <c r="L86" s="6" t="s">
        <v>8</v>
      </c>
      <c r="M86" s="6" t="s">
        <v>50</v>
      </c>
      <c r="N86" s="5" t="s">
        <v>360</v>
      </c>
      <c r="O86" s="5" t="s">
        <v>361</v>
      </c>
      <c r="P86" s="26">
        <f t="shared" si="13"/>
        <v>83</v>
      </c>
      <c r="Q86" s="26">
        <f t="shared" si="14"/>
        <v>83</v>
      </c>
      <c r="R86" s="10"/>
    </row>
    <row r="87" spans="1:18" ht="15" customHeight="1" x14ac:dyDescent="0.25">
      <c r="A87" s="4" t="s">
        <v>362</v>
      </c>
      <c r="B87" s="5" t="s">
        <v>359</v>
      </c>
      <c r="C87" s="5" t="str">
        <f t="shared" si="8"/>
        <v xml:space="preserve">18 </v>
      </c>
      <c r="D87" s="5" t="str">
        <f t="shared" si="9"/>
        <v>35</v>
      </c>
      <c r="E87" s="6" t="s">
        <v>5</v>
      </c>
      <c r="F87" s="9">
        <f t="shared" si="10"/>
        <v>3.5</v>
      </c>
      <c r="G87" s="9">
        <f t="shared" si="11"/>
        <v>4.5</v>
      </c>
      <c r="H87" s="5" t="s">
        <v>27</v>
      </c>
      <c r="I87" s="5" t="s">
        <v>40</v>
      </c>
      <c r="J87" s="10">
        <f t="shared" si="12"/>
        <v>0.2</v>
      </c>
      <c r="K87" s="11">
        <f t="shared" si="15"/>
        <v>5</v>
      </c>
      <c r="L87" s="6" t="s">
        <v>8</v>
      </c>
      <c r="M87" s="6" t="s">
        <v>50</v>
      </c>
      <c r="N87" s="5" t="s">
        <v>363</v>
      </c>
      <c r="O87" s="5" t="s">
        <v>364</v>
      </c>
      <c r="P87" s="26">
        <f t="shared" si="13"/>
        <v>83</v>
      </c>
      <c r="Q87" s="26">
        <f t="shared" si="14"/>
        <v>95</v>
      </c>
      <c r="R87" s="10"/>
    </row>
    <row r="88" spans="1:18" ht="15" customHeight="1" x14ac:dyDescent="0.25">
      <c r="A88" s="4" t="s">
        <v>365</v>
      </c>
      <c r="B88" s="5" t="s">
        <v>359</v>
      </c>
      <c r="C88" s="5" t="str">
        <f t="shared" si="8"/>
        <v xml:space="preserve">18 </v>
      </c>
      <c r="D88" s="5" t="str">
        <f t="shared" si="9"/>
        <v>35</v>
      </c>
      <c r="E88" s="6" t="s">
        <v>157</v>
      </c>
      <c r="F88" s="9">
        <f t="shared" si="10"/>
        <v>1.8</v>
      </c>
      <c r="G88" s="9">
        <f t="shared" si="11"/>
        <v>1.8</v>
      </c>
      <c r="H88" s="5" t="s">
        <v>15</v>
      </c>
      <c r="I88" s="5" t="s">
        <v>158</v>
      </c>
      <c r="J88" s="10">
        <f t="shared" si="12"/>
        <v>0.23</v>
      </c>
      <c r="K88" s="11">
        <f t="shared" si="15"/>
        <v>4.3</v>
      </c>
      <c r="L88" s="6" t="s">
        <v>8</v>
      </c>
      <c r="M88" s="6" t="s">
        <v>9</v>
      </c>
      <c r="N88" s="5" t="s">
        <v>366</v>
      </c>
      <c r="O88" s="5" t="s">
        <v>367</v>
      </c>
      <c r="P88" s="26">
        <f t="shared" si="13"/>
        <v>78</v>
      </c>
      <c r="Q88" s="26">
        <f t="shared" si="14"/>
        <v>121</v>
      </c>
      <c r="R88" s="10"/>
    </row>
    <row r="89" spans="1:18" ht="15" customHeight="1" x14ac:dyDescent="0.25">
      <c r="A89" s="4" t="s">
        <v>368</v>
      </c>
      <c r="B89" s="5" t="s">
        <v>369</v>
      </c>
      <c r="C89" s="5" t="str">
        <f t="shared" si="8"/>
        <v xml:space="preserve">18 </v>
      </c>
      <c r="D89" s="5" t="str">
        <f t="shared" si="9"/>
        <v>400</v>
      </c>
      <c r="E89" s="6" t="s">
        <v>237</v>
      </c>
      <c r="F89" s="9">
        <f t="shared" si="10"/>
        <v>3.5</v>
      </c>
      <c r="G89" s="9">
        <f t="shared" si="11"/>
        <v>6.3</v>
      </c>
      <c r="H89" s="5" t="s">
        <v>15</v>
      </c>
      <c r="I89" s="5" t="s">
        <v>238</v>
      </c>
      <c r="J89" s="10">
        <f t="shared" si="12"/>
        <v>0.34</v>
      </c>
      <c r="K89" s="11">
        <f t="shared" si="15"/>
        <v>2.9</v>
      </c>
      <c r="L89" s="6" t="s">
        <v>8</v>
      </c>
      <c r="M89" s="6" t="s">
        <v>9</v>
      </c>
      <c r="N89" s="5" t="s">
        <v>370</v>
      </c>
      <c r="O89" s="5" t="s">
        <v>371</v>
      </c>
      <c r="P89" s="26">
        <f t="shared" si="13"/>
        <v>79</v>
      </c>
      <c r="Q89" s="26">
        <f t="shared" si="14"/>
        <v>124</v>
      </c>
      <c r="R89" s="10"/>
    </row>
    <row r="90" spans="1:18" ht="15" customHeight="1" x14ac:dyDescent="0.25">
      <c r="A90" s="4" t="s">
        <v>372</v>
      </c>
      <c r="B90" s="5" t="s">
        <v>373</v>
      </c>
      <c r="C90" s="5" t="str">
        <f t="shared" si="8"/>
        <v xml:space="preserve">18 </v>
      </c>
      <c r="D90" s="5" t="str">
        <f t="shared" si="9"/>
        <v>50</v>
      </c>
      <c r="E90" s="6" t="s">
        <v>44</v>
      </c>
      <c r="F90" s="9">
        <f t="shared" si="10"/>
        <v>2.8</v>
      </c>
      <c r="G90" s="9">
        <f t="shared" si="11"/>
        <v>2.8</v>
      </c>
      <c r="H90" s="5" t="s">
        <v>15</v>
      </c>
      <c r="I90" s="5" t="s">
        <v>326</v>
      </c>
      <c r="J90" s="10">
        <f t="shared" si="12"/>
        <v>0.33</v>
      </c>
      <c r="K90" s="11">
        <f t="shared" si="15"/>
        <v>3</v>
      </c>
      <c r="L90" s="6" t="s">
        <v>8</v>
      </c>
      <c r="M90" s="6" t="s">
        <v>9</v>
      </c>
      <c r="N90" s="5" t="s">
        <v>92</v>
      </c>
      <c r="O90" s="5" t="s">
        <v>374</v>
      </c>
      <c r="P90" s="26">
        <f t="shared" si="13"/>
        <v>79</v>
      </c>
      <c r="Q90" s="26">
        <f t="shared" si="14"/>
        <v>86</v>
      </c>
      <c r="R90" s="10"/>
    </row>
    <row r="91" spans="1:18" ht="15" customHeight="1" x14ac:dyDescent="0.25">
      <c r="A91" s="4" t="s">
        <v>375</v>
      </c>
      <c r="B91" s="5" t="s">
        <v>373</v>
      </c>
      <c r="C91" s="5" t="str">
        <f t="shared" si="8"/>
        <v xml:space="preserve">18 </v>
      </c>
      <c r="D91" s="5" t="str">
        <f t="shared" si="9"/>
        <v>50</v>
      </c>
      <c r="E91" s="6" t="s">
        <v>295</v>
      </c>
      <c r="F91" s="9">
        <f t="shared" si="10"/>
        <v>2.8</v>
      </c>
      <c r="G91" s="9">
        <f t="shared" si="11"/>
        <v>4.5</v>
      </c>
      <c r="H91" s="5" t="s">
        <v>56</v>
      </c>
      <c r="I91" s="5" t="s">
        <v>144</v>
      </c>
      <c r="J91" s="10">
        <f t="shared" si="12"/>
        <v>0.24</v>
      </c>
      <c r="K91" s="11">
        <f t="shared" si="15"/>
        <v>4.2</v>
      </c>
      <c r="L91" s="6" t="s">
        <v>8</v>
      </c>
      <c r="M91" s="6" t="s">
        <v>9</v>
      </c>
      <c r="N91" s="5" t="s">
        <v>376</v>
      </c>
      <c r="O91" s="5" t="s">
        <v>309</v>
      </c>
      <c r="P91" s="26">
        <f t="shared" si="13"/>
        <v>74</v>
      </c>
      <c r="Q91" s="26">
        <f t="shared" si="14"/>
        <v>89</v>
      </c>
      <c r="R91" s="10"/>
    </row>
    <row r="92" spans="1:18" ht="15" customHeight="1" x14ac:dyDescent="0.25">
      <c r="A92" s="4" t="s">
        <v>377</v>
      </c>
      <c r="B92" s="5" t="s">
        <v>378</v>
      </c>
      <c r="C92" s="5" t="str">
        <f t="shared" si="8"/>
        <v xml:space="preserve">18 </v>
      </c>
      <c r="D92" s="5" t="str">
        <f t="shared" si="9"/>
        <v>55</v>
      </c>
      <c r="E92" s="6" t="s">
        <v>256</v>
      </c>
      <c r="F92" s="9">
        <f t="shared" si="10"/>
        <v>3.5</v>
      </c>
      <c r="G92" s="9">
        <f t="shared" si="11"/>
        <v>5.6</v>
      </c>
      <c r="H92" s="5" t="s">
        <v>62</v>
      </c>
      <c r="I92" s="5" t="s">
        <v>379</v>
      </c>
      <c r="J92" s="10">
        <f t="shared" si="12"/>
        <v>0.38</v>
      </c>
      <c r="K92" s="11">
        <f t="shared" si="15"/>
        <v>2.6</v>
      </c>
      <c r="L92" s="6" t="s">
        <v>8</v>
      </c>
      <c r="M92" s="6" t="s">
        <v>9</v>
      </c>
      <c r="N92" s="5" t="s">
        <v>380</v>
      </c>
      <c r="O92" s="5" t="s">
        <v>381</v>
      </c>
      <c r="P92" s="26">
        <f t="shared" si="13"/>
        <v>65</v>
      </c>
      <c r="Q92" s="26">
        <f t="shared" si="14"/>
        <v>63</v>
      </c>
      <c r="R92" s="10"/>
    </row>
    <row r="93" spans="1:18" ht="15" customHeight="1" x14ac:dyDescent="0.25">
      <c r="A93" s="4" t="s">
        <v>382</v>
      </c>
      <c r="B93" s="5" t="s">
        <v>378</v>
      </c>
      <c r="C93" s="5" t="str">
        <f t="shared" si="8"/>
        <v xml:space="preserve">18 </v>
      </c>
      <c r="D93" s="5" t="str">
        <f t="shared" si="9"/>
        <v>55</v>
      </c>
      <c r="E93" s="6" t="s">
        <v>256</v>
      </c>
      <c r="F93" s="9">
        <f t="shared" si="10"/>
        <v>3.5</v>
      </c>
      <c r="G93" s="9">
        <f t="shared" si="11"/>
        <v>5.6</v>
      </c>
      <c r="H93" s="5" t="s">
        <v>62</v>
      </c>
      <c r="I93" s="5" t="s">
        <v>379</v>
      </c>
      <c r="J93" s="10">
        <f t="shared" si="12"/>
        <v>0.38</v>
      </c>
      <c r="K93" s="11">
        <f t="shared" si="15"/>
        <v>2.6</v>
      </c>
      <c r="L93" s="6" t="s">
        <v>8</v>
      </c>
      <c r="M93" s="6" t="s">
        <v>9</v>
      </c>
      <c r="N93" s="5" t="s">
        <v>383</v>
      </c>
      <c r="O93" s="5" t="s">
        <v>381</v>
      </c>
      <c r="P93" s="26">
        <f t="shared" si="13"/>
        <v>65</v>
      </c>
      <c r="Q93" s="26">
        <f t="shared" si="14"/>
        <v>63</v>
      </c>
      <c r="R93" s="10"/>
    </row>
    <row r="94" spans="1:18" ht="15" customHeight="1" x14ac:dyDescent="0.25">
      <c r="A94" s="4" t="s">
        <v>384</v>
      </c>
      <c r="B94" s="5" t="s">
        <v>378</v>
      </c>
      <c r="C94" s="5" t="str">
        <f t="shared" si="8"/>
        <v xml:space="preserve">18 </v>
      </c>
      <c r="D94" s="5" t="str">
        <f t="shared" si="9"/>
        <v>55</v>
      </c>
      <c r="E94" s="6" t="s">
        <v>256</v>
      </c>
      <c r="F94" s="9">
        <f t="shared" si="10"/>
        <v>3.5</v>
      </c>
      <c r="G94" s="9">
        <f t="shared" si="11"/>
        <v>5.6</v>
      </c>
      <c r="H94" s="5" t="s">
        <v>318</v>
      </c>
      <c r="I94" s="5" t="s">
        <v>385</v>
      </c>
      <c r="J94" s="10">
        <f t="shared" si="12"/>
        <v>0.31</v>
      </c>
      <c r="K94" s="11">
        <f t="shared" si="15"/>
        <v>3.2</v>
      </c>
      <c r="L94" s="6" t="s">
        <v>8</v>
      </c>
      <c r="M94" s="6" t="s">
        <v>9</v>
      </c>
      <c r="N94" s="5" t="s">
        <v>383</v>
      </c>
      <c r="O94" s="5" t="s">
        <v>386</v>
      </c>
      <c r="P94" s="26">
        <f t="shared" si="13"/>
        <v>71</v>
      </c>
      <c r="Q94" s="26">
        <f t="shared" si="14"/>
        <v>74</v>
      </c>
      <c r="R94" s="10"/>
    </row>
    <row r="95" spans="1:18" ht="15" customHeight="1" x14ac:dyDescent="0.25">
      <c r="A95" s="4" t="s">
        <v>387</v>
      </c>
      <c r="B95" s="5" t="s">
        <v>378</v>
      </c>
      <c r="C95" s="5" t="str">
        <f t="shared" si="8"/>
        <v xml:space="preserve">18 </v>
      </c>
      <c r="D95" s="5" t="str">
        <f t="shared" si="9"/>
        <v>55</v>
      </c>
      <c r="E95" s="6" t="s">
        <v>256</v>
      </c>
      <c r="F95" s="9">
        <f t="shared" si="10"/>
        <v>3.5</v>
      </c>
      <c r="G95" s="9">
        <f t="shared" si="11"/>
        <v>5.6</v>
      </c>
      <c r="H95" s="5" t="s">
        <v>318</v>
      </c>
      <c r="I95" s="5" t="s">
        <v>385</v>
      </c>
      <c r="J95" s="10">
        <f t="shared" si="12"/>
        <v>0.31</v>
      </c>
      <c r="K95" s="11">
        <f t="shared" si="15"/>
        <v>3.2</v>
      </c>
      <c r="L95" s="6" t="s">
        <v>8</v>
      </c>
      <c r="M95" s="6" t="s">
        <v>9</v>
      </c>
      <c r="N95" s="5" t="s">
        <v>388</v>
      </c>
      <c r="O95" s="5" t="s">
        <v>389</v>
      </c>
      <c r="P95" s="26">
        <f t="shared" si="13"/>
        <v>73</v>
      </c>
      <c r="Q95" s="26">
        <f t="shared" si="14"/>
        <v>70</v>
      </c>
      <c r="R95" s="10"/>
    </row>
    <row r="96" spans="1:18" ht="15" customHeight="1" x14ac:dyDescent="0.25">
      <c r="A96" s="4" t="s">
        <v>390</v>
      </c>
      <c r="B96" s="5" t="s">
        <v>378</v>
      </c>
      <c r="C96" s="5" t="str">
        <f t="shared" si="8"/>
        <v xml:space="preserve">18 </v>
      </c>
      <c r="D96" s="5" t="str">
        <f t="shared" si="9"/>
        <v>55</v>
      </c>
      <c r="E96" s="6" t="s">
        <v>256</v>
      </c>
      <c r="F96" s="9">
        <f t="shared" si="10"/>
        <v>3.5</v>
      </c>
      <c r="G96" s="9">
        <f t="shared" si="11"/>
        <v>5.6</v>
      </c>
      <c r="H96" s="5" t="s">
        <v>318</v>
      </c>
      <c r="I96" s="5" t="s">
        <v>391</v>
      </c>
      <c r="J96" s="10">
        <f t="shared" si="12"/>
        <v>0.36</v>
      </c>
      <c r="K96" s="11">
        <f t="shared" si="15"/>
        <v>2.8</v>
      </c>
      <c r="L96" s="6" t="s">
        <v>8</v>
      </c>
      <c r="M96" s="6" t="s">
        <v>9</v>
      </c>
      <c r="N96" s="5" t="s">
        <v>380</v>
      </c>
      <c r="O96" s="5" t="s">
        <v>392</v>
      </c>
      <c r="P96" s="26">
        <f t="shared" si="13"/>
        <v>66</v>
      </c>
      <c r="Q96" s="26">
        <f t="shared" si="14"/>
        <v>60</v>
      </c>
      <c r="R96" s="10"/>
    </row>
    <row r="97" spans="1:18" ht="15" customHeight="1" x14ac:dyDescent="0.25">
      <c r="A97" s="4" t="s">
        <v>393</v>
      </c>
      <c r="B97" s="5" t="s">
        <v>394</v>
      </c>
      <c r="C97" s="5" t="str">
        <f t="shared" si="8"/>
        <v xml:space="preserve">18 </v>
      </c>
      <c r="D97" s="5" t="str">
        <f t="shared" si="9"/>
        <v>70</v>
      </c>
      <c r="E97" s="6" t="s">
        <v>5</v>
      </c>
      <c r="F97" s="9">
        <f t="shared" si="10"/>
        <v>3.5</v>
      </c>
      <c r="G97" s="9">
        <f t="shared" si="11"/>
        <v>4.5</v>
      </c>
      <c r="H97" s="5" t="s">
        <v>56</v>
      </c>
      <c r="I97" s="5" t="s">
        <v>118</v>
      </c>
      <c r="J97" s="10">
        <f t="shared" si="12"/>
        <v>0.16</v>
      </c>
      <c r="K97" s="11">
        <f t="shared" si="15"/>
        <v>6.3</v>
      </c>
      <c r="L97" s="6" t="s">
        <v>8</v>
      </c>
      <c r="M97" s="6" t="s">
        <v>9</v>
      </c>
      <c r="N97" s="5" t="s">
        <v>395</v>
      </c>
      <c r="O97" s="5" t="s">
        <v>396</v>
      </c>
      <c r="P97" s="26">
        <f t="shared" si="13"/>
        <v>73</v>
      </c>
      <c r="Q97" s="26">
        <f t="shared" si="14"/>
        <v>76</v>
      </c>
      <c r="R97" s="10"/>
    </row>
    <row r="98" spans="1:18" ht="15" customHeight="1" x14ac:dyDescent="0.25">
      <c r="A98" s="4" t="s">
        <v>397</v>
      </c>
      <c r="B98" s="5" t="s">
        <v>398</v>
      </c>
      <c r="C98" s="5" t="str">
        <f t="shared" si="8"/>
        <v>180</v>
      </c>
      <c r="D98" s="5" t="str">
        <f t="shared" si="9"/>
        <v>180</v>
      </c>
      <c r="E98" s="6" t="s">
        <v>44</v>
      </c>
      <c r="F98" s="9">
        <f t="shared" si="10"/>
        <v>2.8</v>
      </c>
      <c r="G98" s="9">
        <f t="shared" si="11"/>
        <v>2.8</v>
      </c>
      <c r="H98" s="5" t="s">
        <v>15</v>
      </c>
      <c r="I98" s="5" t="s">
        <v>22</v>
      </c>
      <c r="J98" s="10">
        <f t="shared" si="12"/>
        <v>0.15</v>
      </c>
      <c r="K98" s="11">
        <f t="shared" si="15"/>
        <v>6.7</v>
      </c>
      <c r="L98" s="6" t="s">
        <v>8</v>
      </c>
      <c r="M98" s="6" t="s">
        <v>50</v>
      </c>
      <c r="N98" s="5" t="s">
        <v>399</v>
      </c>
      <c r="O98" s="5" t="s">
        <v>400</v>
      </c>
      <c r="P98" s="26">
        <f t="shared" si="13"/>
        <v>79</v>
      </c>
      <c r="Q98" s="26">
        <f t="shared" si="14"/>
        <v>144</v>
      </c>
      <c r="R98" s="10"/>
    </row>
    <row r="99" spans="1:18" ht="15" customHeight="1" x14ac:dyDescent="0.25">
      <c r="A99" s="4" t="s">
        <v>401</v>
      </c>
      <c r="B99" s="5" t="s">
        <v>398</v>
      </c>
      <c r="C99" s="5" t="str">
        <f t="shared" si="8"/>
        <v>180</v>
      </c>
      <c r="D99" s="5" t="str">
        <f t="shared" si="9"/>
        <v>180</v>
      </c>
      <c r="E99" s="6" t="s">
        <v>44</v>
      </c>
      <c r="F99" s="9">
        <f t="shared" si="10"/>
        <v>2.8</v>
      </c>
      <c r="G99" s="9">
        <f t="shared" si="11"/>
        <v>2.8</v>
      </c>
      <c r="H99" s="5" t="s">
        <v>197</v>
      </c>
      <c r="I99" s="5" t="s">
        <v>63</v>
      </c>
      <c r="J99" s="10">
        <f t="shared" si="12"/>
        <v>1</v>
      </c>
      <c r="K99" s="11">
        <f t="shared" si="15"/>
        <v>1</v>
      </c>
      <c r="L99" s="6" t="s">
        <v>8</v>
      </c>
      <c r="M99" s="6" t="s">
        <v>50</v>
      </c>
      <c r="N99" s="5" t="s">
        <v>402</v>
      </c>
      <c r="O99" s="5" t="s">
        <v>403</v>
      </c>
      <c r="P99" s="26">
        <f t="shared" si="13"/>
        <v>95</v>
      </c>
      <c r="Q99" s="26">
        <f t="shared" si="14"/>
        <v>204</v>
      </c>
      <c r="R99" s="10"/>
    </row>
    <row r="100" spans="1:18" ht="15" customHeight="1" x14ac:dyDescent="0.25">
      <c r="A100" s="4" t="s">
        <v>404</v>
      </c>
      <c r="B100" s="5" t="s">
        <v>398</v>
      </c>
      <c r="C100" s="5" t="str">
        <f t="shared" si="8"/>
        <v>180</v>
      </c>
      <c r="D100" s="5" t="str">
        <f t="shared" si="9"/>
        <v>180</v>
      </c>
      <c r="E100" s="6" t="s">
        <v>20</v>
      </c>
      <c r="F100" s="9">
        <f t="shared" si="10"/>
        <v>3.5</v>
      </c>
      <c r="G100" s="9">
        <f t="shared" si="11"/>
        <v>3.5</v>
      </c>
      <c r="H100" s="5" t="s">
        <v>15</v>
      </c>
      <c r="I100" s="5" t="s">
        <v>63</v>
      </c>
      <c r="J100" s="10">
        <f t="shared" si="12"/>
        <v>1</v>
      </c>
      <c r="K100" s="11">
        <f t="shared" si="15"/>
        <v>1</v>
      </c>
      <c r="L100" s="6" t="s">
        <v>8</v>
      </c>
      <c r="M100" s="6" t="s">
        <v>50</v>
      </c>
      <c r="N100" s="5" t="s">
        <v>163</v>
      </c>
      <c r="O100" s="5" t="s">
        <v>405</v>
      </c>
      <c r="P100" s="26">
        <f t="shared" si="13"/>
        <v>85</v>
      </c>
      <c r="Q100" s="26">
        <f t="shared" si="14"/>
        <v>166</v>
      </c>
      <c r="R100" s="10"/>
    </row>
    <row r="101" spans="1:18" ht="15" customHeight="1" x14ac:dyDescent="0.25">
      <c r="A101" s="4" t="s">
        <v>409</v>
      </c>
      <c r="B101" s="5" t="s">
        <v>407</v>
      </c>
      <c r="C101" s="5" t="str">
        <f t="shared" si="8"/>
        <v>18</v>
      </c>
      <c r="D101" s="5" t="str">
        <f t="shared" si="9"/>
        <v>18</v>
      </c>
      <c r="E101" s="6" t="s">
        <v>44</v>
      </c>
      <c r="F101" s="9">
        <f t="shared" si="10"/>
        <v>2.8</v>
      </c>
      <c r="G101" s="9">
        <f t="shared" si="11"/>
        <v>2.8</v>
      </c>
      <c r="H101" s="5" t="s">
        <v>27</v>
      </c>
      <c r="I101" s="5" t="s">
        <v>122</v>
      </c>
      <c r="J101" s="10">
        <f t="shared" si="12"/>
        <v>0.14000000000000001</v>
      </c>
      <c r="K101" s="11">
        <f t="shared" si="15"/>
        <v>7.1</v>
      </c>
      <c r="L101" s="6" t="s">
        <v>8</v>
      </c>
      <c r="M101" s="6" t="s">
        <v>50</v>
      </c>
      <c r="N101" s="5" t="s">
        <v>410</v>
      </c>
      <c r="O101" s="5" t="s">
        <v>411</v>
      </c>
      <c r="P101" s="26">
        <f t="shared" si="13"/>
        <v>90</v>
      </c>
      <c r="Q101" s="26">
        <f t="shared" si="14"/>
        <v>92</v>
      </c>
      <c r="R101" s="10"/>
    </row>
    <row r="102" spans="1:18" ht="15" customHeight="1" x14ac:dyDescent="0.25">
      <c r="A102" s="4" t="s">
        <v>412</v>
      </c>
      <c r="B102" s="5" t="s">
        <v>413</v>
      </c>
      <c r="C102" s="5" t="str">
        <f t="shared" si="8"/>
        <v>19</v>
      </c>
      <c r="D102" s="5" t="str">
        <f t="shared" si="9"/>
        <v>19</v>
      </c>
      <c r="E102" s="6" t="s">
        <v>49</v>
      </c>
      <c r="F102" s="9">
        <f t="shared" si="10"/>
        <v>4</v>
      </c>
      <c r="G102" s="9">
        <f t="shared" si="11"/>
        <v>4</v>
      </c>
      <c r="H102" s="5" t="s">
        <v>6</v>
      </c>
      <c r="I102" s="5" t="s">
        <v>36</v>
      </c>
      <c r="J102" s="10">
        <f t="shared" si="12"/>
        <v>0.18</v>
      </c>
      <c r="K102" s="11">
        <f t="shared" si="15"/>
        <v>5.6</v>
      </c>
      <c r="L102" s="6" t="s">
        <v>8</v>
      </c>
      <c r="M102" s="6" t="s">
        <v>50</v>
      </c>
      <c r="N102" s="5" t="s">
        <v>414</v>
      </c>
      <c r="O102" s="5" t="s">
        <v>415</v>
      </c>
      <c r="P102" s="26">
        <f t="shared" si="13"/>
        <v>89</v>
      </c>
      <c r="Q102" s="26">
        <f t="shared" si="14"/>
        <v>124</v>
      </c>
      <c r="R102" s="10"/>
    </row>
    <row r="103" spans="1:18" ht="15" customHeight="1" x14ac:dyDescent="0.25">
      <c r="A103" s="4" t="s">
        <v>416</v>
      </c>
      <c r="B103" s="5" t="s">
        <v>417</v>
      </c>
      <c r="C103" s="5" t="str">
        <f t="shared" si="8"/>
        <v xml:space="preserve">200 </v>
      </c>
      <c r="D103" s="5" t="str">
        <f t="shared" si="9"/>
        <v>400</v>
      </c>
      <c r="E103" s="6" t="s">
        <v>49</v>
      </c>
      <c r="F103" s="9">
        <f t="shared" si="10"/>
        <v>4</v>
      </c>
      <c r="G103" s="9">
        <f t="shared" si="11"/>
        <v>4</v>
      </c>
      <c r="H103" s="5" t="s">
        <v>318</v>
      </c>
      <c r="I103" s="5" t="s">
        <v>333</v>
      </c>
      <c r="J103" s="10">
        <f t="shared" si="12"/>
        <v>0.27</v>
      </c>
      <c r="K103" s="11">
        <f t="shared" si="15"/>
        <v>3.7</v>
      </c>
      <c r="L103" s="6" t="s">
        <v>8</v>
      </c>
      <c r="M103" s="6" t="s">
        <v>50</v>
      </c>
      <c r="N103" s="5" t="s">
        <v>418</v>
      </c>
      <c r="O103" s="5" t="s">
        <v>419</v>
      </c>
      <c r="P103" s="26">
        <f t="shared" si="13"/>
        <v>124</v>
      </c>
      <c r="Q103" s="26">
        <f t="shared" si="14"/>
        <v>365</v>
      </c>
      <c r="R103" s="10"/>
    </row>
    <row r="104" spans="1:18" ht="15" customHeight="1" x14ac:dyDescent="0.25">
      <c r="A104" s="4" t="s">
        <v>420</v>
      </c>
      <c r="B104" s="5" t="s">
        <v>421</v>
      </c>
      <c r="C104" s="5" t="str">
        <f t="shared" si="8"/>
        <v xml:space="preserve">200 </v>
      </c>
      <c r="D104" s="5" t="str">
        <f t="shared" si="9"/>
        <v>500</v>
      </c>
      <c r="E104" s="6" t="s">
        <v>422</v>
      </c>
      <c r="F104" s="9">
        <f t="shared" si="10"/>
        <v>5.6</v>
      </c>
      <c r="G104" s="9">
        <f t="shared" si="11"/>
        <v>5.6</v>
      </c>
      <c r="H104" s="5" t="s">
        <v>203</v>
      </c>
      <c r="I104" s="5" t="s">
        <v>251</v>
      </c>
      <c r="J104" s="10">
        <f t="shared" si="12"/>
        <v>0.22</v>
      </c>
      <c r="K104" s="11">
        <f t="shared" si="15"/>
        <v>4.5</v>
      </c>
      <c r="L104" s="6" t="s">
        <v>8</v>
      </c>
      <c r="M104" s="6" t="s">
        <v>50</v>
      </c>
      <c r="N104" s="5" t="s">
        <v>423</v>
      </c>
      <c r="O104" s="5" t="s">
        <v>424</v>
      </c>
      <c r="P104" s="26">
        <f t="shared" si="13"/>
        <v>108</v>
      </c>
      <c r="Q104" s="26">
        <f t="shared" si="14"/>
        <v>268</v>
      </c>
      <c r="R104" s="10"/>
    </row>
    <row r="105" spans="1:18" ht="15" customHeight="1" x14ac:dyDescent="0.25">
      <c r="A105" s="4" t="s">
        <v>425</v>
      </c>
      <c r="B105" s="5" t="s">
        <v>421</v>
      </c>
      <c r="C105" s="5" t="str">
        <f t="shared" si="8"/>
        <v xml:space="preserve">200 </v>
      </c>
      <c r="D105" s="5" t="str">
        <f t="shared" si="9"/>
        <v>500</v>
      </c>
      <c r="E105" s="6" t="s">
        <v>44</v>
      </c>
      <c r="F105" s="9">
        <f t="shared" si="10"/>
        <v>2.8</v>
      </c>
      <c r="G105" s="9">
        <f t="shared" si="11"/>
        <v>2.8</v>
      </c>
      <c r="H105" s="5" t="s">
        <v>15</v>
      </c>
      <c r="I105" s="5" t="s">
        <v>76</v>
      </c>
      <c r="J105" s="10">
        <f t="shared" si="12"/>
        <v>0.13</v>
      </c>
      <c r="K105" s="11">
        <f t="shared" si="15"/>
        <v>7.7</v>
      </c>
      <c r="L105" s="6" t="s">
        <v>8</v>
      </c>
      <c r="M105" s="6" t="s">
        <v>50</v>
      </c>
      <c r="N105" s="5" t="s">
        <v>426</v>
      </c>
      <c r="O105" s="5" t="s">
        <v>427</v>
      </c>
      <c r="P105" s="26">
        <f t="shared" si="13"/>
        <v>237</v>
      </c>
      <c r="Q105" s="26">
        <f t="shared" si="14"/>
        <v>726</v>
      </c>
      <c r="R105" s="10"/>
    </row>
    <row r="106" spans="1:18" ht="15" customHeight="1" x14ac:dyDescent="0.25">
      <c r="A106" s="4" t="s">
        <v>428</v>
      </c>
      <c r="B106" s="5" t="s">
        <v>421</v>
      </c>
      <c r="C106" s="5" t="str">
        <f t="shared" si="8"/>
        <v xml:space="preserve">200 </v>
      </c>
      <c r="D106" s="5" t="str">
        <f t="shared" si="9"/>
        <v>500</v>
      </c>
      <c r="E106" s="6" t="s">
        <v>55</v>
      </c>
      <c r="F106" s="9">
        <f t="shared" si="10"/>
        <v>5</v>
      </c>
      <c r="G106" s="9">
        <f t="shared" si="11"/>
        <v>6.3</v>
      </c>
      <c r="H106" s="5" t="s">
        <v>6</v>
      </c>
      <c r="I106" s="5" t="s">
        <v>40</v>
      </c>
      <c r="J106" s="10">
        <f t="shared" si="12"/>
        <v>0.2</v>
      </c>
      <c r="K106" s="11">
        <f t="shared" si="15"/>
        <v>5</v>
      </c>
      <c r="L106" s="6" t="s">
        <v>8</v>
      </c>
      <c r="M106" s="6" t="s">
        <v>50</v>
      </c>
      <c r="N106" s="5" t="s">
        <v>429</v>
      </c>
      <c r="O106" s="5" t="s">
        <v>430</v>
      </c>
      <c r="P106" s="26">
        <f t="shared" si="13"/>
        <v>94</v>
      </c>
      <c r="Q106" s="26">
        <f t="shared" si="14"/>
        <v>227</v>
      </c>
      <c r="R106" s="10"/>
    </row>
    <row r="107" spans="1:18" ht="15" customHeight="1" x14ac:dyDescent="0.25">
      <c r="A107" s="4" t="s">
        <v>431</v>
      </c>
      <c r="B107" s="5" t="s">
        <v>432</v>
      </c>
      <c r="C107" s="5" t="str">
        <f t="shared" si="8"/>
        <v>200</v>
      </c>
      <c r="D107" s="5" t="str">
        <f t="shared" si="9"/>
        <v>200</v>
      </c>
      <c r="E107" s="6" t="s">
        <v>49</v>
      </c>
      <c r="F107" s="9">
        <f t="shared" si="10"/>
        <v>4</v>
      </c>
      <c r="G107" s="9">
        <f t="shared" si="11"/>
        <v>4</v>
      </c>
      <c r="H107" s="5" t="s">
        <v>84</v>
      </c>
      <c r="I107" s="5" t="s">
        <v>63</v>
      </c>
      <c r="J107" s="10">
        <f t="shared" si="12"/>
        <v>1</v>
      </c>
      <c r="K107" s="11">
        <f t="shared" si="15"/>
        <v>1</v>
      </c>
      <c r="L107" s="6" t="s">
        <v>8</v>
      </c>
      <c r="M107" s="6" t="s">
        <v>50</v>
      </c>
      <c r="N107" s="5" t="s">
        <v>433</v>
      </c>
      <c r="O107" s="5" t="s">
        <v>434</v>
      </c>
      <c r="P107" s="26">
        <f t="shared" si="13"/>
        <v>76</v>
      </c>
      <c r="Q107" s="26">
        <f t="shared" si="14"/>
        <v>193</v>
      </c>
      <c r="R107" s="10"/>
    </row>
    <row r="108" spans="1:18" ht="15" customHeight="1" x14ac:dyDescent="0.25">
      <c r="A108" s="4" t="s">
        <v>435</v>
      </c>
      <c r="B108" s="5" t="s">
        <v>432</v>
      </c>
      <c r="C108" s="5" t="str">
        <f t="shared" si="8"/>
        <v>200</v>
      </c>
      <c r="D108" s="5" t="str">
        <f t="shared" si="9"/>
        <v>200</v>
      </c>
      <c r="E108" s="6" t="s">
        <v>67</v>
      </c>
      <c r="F108" s="9">
        <f t="shared" si="10"/>
        <v>2</v>
      </c>
      <c r="G108" s="9">
        <f t="shared" si="11"/>
        <v>2</v>
      </c>
      <c r="H108" s="5" t="s">
        <v>6</v>
      </c>
      <c r="I108" s="5" t="s">
        <v>32</v>
      </c>
      <c r="J108" s="10">
        <f t="shared" si="12"/>
        <v>0.12</v>
      </c>
      <c r="K108" s="11">
        <f t="shared" si="15"/>
        <v>8.3000000000000007</v>
      </c>
      <c r="L108" s="6" t="s">
        <v>8</v>
      </c>
      <c r="M108" s="6" t="s">
        <v>50</v>
      </c>
      <c r="N108" s="5" t="s">
        <v>436</v>
      </c>
      <c r="O108" s="5" t="s">
        <v>437</v>
      </c>
      <c r="P108" s="26">
        <f t="shared" si="13"/>
        <v>124</v>
      </c>
      <c r="Q108" s="26">
        <f t="shared" si="14"/>
        <v>203</v>
      </c>
      <c r="R108" s="10"/>
    </row>
    <row r="109" spans="1:18" ht="15" customHeight="1" x14ac:dyDescent="0.25">
      <c r="A109" s="4" t="s">
        <v>438</v>
      </c>
      <c r="B109" s="5" t="s">
        <v>432</v>
      </c>
      <c r="C109" s="5" t="str">
        <f t="shared" si="8"/>
        <v>200</v>
      </c>
      <c r="D109" s="5" t="str">
        <f t="shared" si="9"/>
        <v>200</v>
      </c>
      <c r="E109" s="6" t="s">
        <v>67</v>
      </c>
      <c r="F109" s="9">
        <f t="shared" si="10"/>
        <v>2</v>
      </c>
      <c r="G109" s="9">
        <f t="shared" si="11"/>
        <v>2</v>
      </c>
      <c r="H109" s="5" t="s">
        <v>318</v>
      </c>
      <c r="I109" s="5" t="s">
        <v>32</v>
      </c>
      <c r="J109" s="10">
        <f t="shared" si="12"/>
        <v>0.12</v>
      </c>
      <c r="K109" s="11">
        <f t="shared" si="15"/>
        <v>8.3000000000000007</v>
      </c>
      <c r="L109" s="6" t="s">
        <v>8</v>
      </c>
      <c r="M109" s="6" t="s">
        <v>50</v>
      </c>
      <c r="N109" s="5" t="s">
        <v>439</v>
      </c>
      <c r="O109" s="5" t="s">
        <v>437</v>
      </c>
      <c r="P109" s="26">
        <f t="shared" si="13"/>
        <v>124</v>
      </c>
      <c r="Q109" s="26">
        <f t="shared" si="14"/>
        <v>203</v>
      </c>
      <c r="R109" s="10"/>
    </row>
    <row r="110" spans="1:18" ht="15" customHeight="1" x14ac:dyDescent="0.25">
      <c r="A110" s="4" t="s">
        <v>440</v>
      </c>
      <c r="B110" s="5" t="s">
        <v>441</v>
      </c>
      <c r="C110" s="5" t="str">
        <f t="shared" si="8"/>
        <v>20</v>
      </c>
      <c r="D110" s="5" t="str">
        <f t="shared" si="9"/>
        <v>20</v>
      </c>
      <c r="E110" s="6" t="s">
        <v>44</v>
      </c>
      <c r="F110" s="9">
        <f t="shared" si="10"/>
        <v>2.8</v>
      </c>
      <c r="G110" s="9">
        <f t="shared" si="11"/>
        <v>2.8</v>
      </c>
      <c r="H110" s="5" t="s">
        <v>84</v>
      </c>
      <c r="I110" s="5" t="s">
        <v>32</v>
      </c>
      <c r="J110" s="10">
        <f t="shared" si="12"/>
        <v>0.12</v>
      </c>
      <c r="K110" s="11">
        <f t="shared" si="15"/>
        <v>8.3000000000000007</v>
      </c>
      <c r="L110" s="6" t="s">
        <v>8</v>
      </c>
      <c r="M110" s="6" t="s">
        <v>50</v>
      </c>
      <c r="N110" s="5" t="s">
        <v>442</v>
      </c>
      <c r="O110" s="5" t="s">
        <v>443</v>
      </c>
      <c r="P110" s="26">
        <f t="shared" si="13"/>
        <v>69</v>
      </c>
      <c r="Q110" s="26">
        <f t="shared" si="14"/>
        <v>43</v>
      </c>
      <c r="R110" s="10"/>
    </row>
    <row r="111" spans="1:18" x14ac:dyDescent="0.25">
      <c r="A111" s="4" t="s">
        <v>444</v>
      </c>
      <c r="B111" s="5" t="s">
        <v>441</v>
      </c>
      <c r="C111" s="5" t="str">
        <f t="shared" si="8"/>
        <v>20</v>
      </c>
      <c r="D111" s="5" t="str">
        <f t="shared" si="9"/>
        <v>20</v>
      </c>
      <c r="E111" s="6" t="s">
        <v>157</v>
      </c>
      <c r="F111" s="9">
        <f t="shared" si="10"/>
        <v>1.8</v>
      </c>
      <c r="G111" s="9">
        <f t="shared" si="11"/>
        <v>1.8</v>
      </c>
      <c r="H111" s="5" t="s">
        <v>27</v>
      </c>
      <c r="I111" s="5" t="s">
        <v>158</v>
      </c>
      <c r="J111" s="10">
        <f t="shared" si="12"/>
        <v>0.23</v>
      </c>
      <c r="K111" s="11">
        <f t="shared" si="15"/>
        <v>4.3</v>
      </c>
      <c r="L111" s="6" t="s">
        <v>8</v>
      </c>
      <c r="M111" s="6" t="s">
        <v>50</v>
      </c>
      <c r="N111" s="5" t="s">
        <v>445</v>
      </c>
      <c r="O111" s="5" t="s">
        <v>446</v>
      </c>
      <c r="P111" s="26">
        <f t="shared" si="13"/>
        <v>83</v>
      </c>
      <c r="Q111" s="26">
        <f t="shared" si="14"/>
        <v>81</v>
      </c>
      <c r="R111" s="10"/>
    </row>
    <row r="112" spans="1:18" ht="15" customHeight="1" x14ac:dyDescent="0.25">
      <c r="A112" s="4" t="s">
        <v>454</v>
      </c>
      <c r="B112" s="5" t="s">
        <v>441</v>
      </c>
      <c r="C112" s="5" t="str">
        <f t="shared" si="8"/>
        <v>20</v>
      </c>
      <c r="D112" s="5" t="str">
        <f t="shared" si="9"/>
        <v>20</v>
      </c>
      <c r="E112" s="6" t="s">
        <v>157</v>
      </c>
      <c r="F112" s="9">
        <f t="shared" si="10"/>
        <v>1.8</v>
      </c>
      <c r="G112" s="9">
        <f t="shared" si="11"/>
        <v>1.8</v>
      </c>
      <c r="H112" s="5" t="s">
        <v>21</v>
      </c>
      <c r="I112" s="5" t="s">
        <v>162</v>
      </c>
      <c r="J112" s="10">
        <f t="shared" si="12"/>
        <v>0.25</v>
      </c>
      <c r="K112" s="11">
        <f t="shared" si="15"/>
        <v>4</v>
      </c>
      <c r="L112" s="6" t="s">
        <v>8</v>
      </c>
      <c r="M112" s="6" t="s">
        <v>50</v>
      </c>
      <c r="N112" s="5" t="s">
        <v>23</v>
      </c>
      <c r="O112" s="5" t="s">
        <v>455</v>
      </c>
      <c r="P112" s="26">
        <f t="shared" si="13"/>
        <v>89</v>
      </c>
      <c r="Q112" s="26">
        <f t="shared" si="14"/>
        <v>87</v>
      </c>
      <c r="R112" s="10"/>
    </row>
    <row r="113" spans="1:18" ht="15" customHeight="1" x14ac:dyDescent="0.25">
      <c r="A113" s="4" t="s">
        <v>456</v>
      </c>
      <c r="B113" s="5" t="s">
        <v>441</v>
      </c>
      <c r="C113" s="5" t="str">
        <f t="shared" si="8"/>
        <v>20</v>
      </c>
      <c r="D113" s="5" t="str">
        <f t="shared" si="9"/>
        <v>20</v>
      </c>
      <c r="E113" s="6" t="s">
        <v>80</v>
      </c>
      <c r="F113" s="9">
        <f t="shared" si="10"/>
        <v>1.4</v>
      </c>
      <c r="G113" s="9">
        <f t="shared" si="11"/>
        <v>1.4</v>
      </c>
      <c r="H113" s="5" t="s">
        <v>6</v>
      </c>
      <c r="I113" s="5" t="s">
        <v>122</v>
      </c>
      <c r="J113" s="10">
        <f t="shared" si="12"/>
        <v>0.14000000000000001</v>
      </c>
      <c r="K113" s="11">
        <f t="shared" si="15"/>
        <v>7.1</v>
      </c>
      <c r="L113" s="6" t="s">
        <v>8</v>
      </c>
      <c r="M113" s="6" t="s">
        <v>50</v>
      </c>
      <c r="N113" s="5" t="s">
        <v>233</v>
      </c>
      <c r="O113" s="5" t="s">
        <v>457</v>
      </c>
      <c r="P113" s="26">
        <f t="shared" si="13"/>
        <v>92</v>
      </c>
      <c r="Q113" s="26">
        <f t="shared" si="14"/>
        <v>130</v>
      </c>
      <c r="R113" s="10"/>
    </row>
    <row r="114" spans="1:18" ht="15" customHeight="1" x14ac:dyDescent="0.25">
      <c r="A114" s="4" t="s">
        <v>461</v>
      </c>
      <c r="B114" s="5" t="s">
        <v>459</v>
      </c>
      <c r="C114" s="5" t="str">
        <f t="shared" si="8"/>
        <v>21</v>
      </c>
      <c r="D114" s="5" t="str">
        <f t="shared" si="9"/>
        <v>21</v>
      </c>
      <c r="E114" s="6" t="s">
        <v>44</v>
      </c>
      <c r="F114" s="9">
        <f t="shared" si="10"/>
        <v>2.8</v>
      </c>
      <c r="G114" s="9">
        <f t="shared" si="11"/>
        <v>2.8</v>
      </c>
      <c r="H114" s="5" t="s">
        <v>21</v>
      </c>
      <c r="I114" s="5" t="s">
        <v>40</v>
      </c>
      <c r="J114" s="10">
        <f t="shared" si="12"/>
        <v>0.2</v>
      </c>
      <c r="K114" s="11">
        <f t="shared" si="15"/>
        <v>5</v>
      </c>
      <c r="L114" s="6" t="s">
        <v>8</v>
      </c>
      <c r="M114" s="6" t="s">
        <v>50</v>
      </c>
      <c r="N114" s="5" t="s">
        <v>462</v>
      </c>
      <c r="O114" s="5" t="s">
        <v>463</v>
      </c>
      <c r="P114" s="26">
        <f t="shared" si="13"/>
        <v>96</v>
      </c>
      <c r="Q114" s="26">
        <f t="shared" si="14"/>
        <v>95</v>
      </c>
      <c r="R114" s="10"/>
    </row>
    <row r="115" spans="1:18" ht="15" customHeight="1" x14ac:dyDescent="0.25">
      <c r="A115" s="4" t="s">
        <v>464</v>
      </c>
      <c r="B115" s="5" t="s">
        <v>465</v>
      </c>
      <c r="C115" s="5" t="str">
        <f t="shared" si="8"/>
        <v xml:space="preserve">24 </v>
      </c>
      <c r="D115" s="5" t="str">
        <f t="shared" si="9"/>
        <v>105</v>
      </c>
      <c r="E115" s="6" t="s">
        <v>49</v>
      </c>
      <c r="F115" s="9">
        <f t="shared" si="10"/>
        <v>4</v>
      </c>
      <c r="G115" s="9">
        <f t="shared" si="11"/>
        <v>4</v>
      </c>
      <c r="H115" s="5" t="s">
        <v>21</v>
      </c>
      <c r="I115" s="5" t="s">
        <v>466</v>
      </c>
      <c r="J115" s="10">
        <f t="shared" si="12"/>
        <v>0.21</v>
      </c>
      <c r="K115" s="11">
        <f t="shared" si="15"/>
        <v>4.8</v>
      </c>
      <c r="L115" s="6" t="s">
        <v>8</v>
      </c>
      <c r="M115" s="6" t="s">
        <v>50</v>
      </c>
      <c r="N115" s="5" t="s">
        <v>414</v>
      </c>
      <c r="O115" s="5" t="s">
        <v>467</v>
      </c>
      <c r="P115" s="26">
        <f t="shared" si="13"/>
        <v>89</v>
      </c>
      <c r="Q115" s="26">
        <f t="shared" si="14"/>
        <v>110</v>
      </c>
      <c r="R115" s="10"/>
    </row>
    <row r="116" spans="1:18" ht="15" customHeight="1" x14ac:dyDescent="0.25">
      <c r="A116" s="4" t="s">
        <v>468</v>
      </c>
      <c r="B116" s="5" t="s">
        <v>469</v>
      </c>
      <c r="C116" s="5" t="str">
        <f t="shared" si="8"/>
        <v xml:space="preserve">24 </v>
      </c>
      <c r="D116" s="5" t="str">
        <f t="shared" si="9"/>
        <v>120</v>
      </c>
      <c r="E116" s="6" t="s">
        <v>49</v>
      </c>
      <c r="F116" s="9">
        <f t="shared" si="10"/>
        <v>4</v>
      </c>
      <c r="G116" s="9">
        <f t="shared" si="11"/>
        <v>4</v>
      </c>
      <c r="H116" s="5" t="s">
        <v>27</v>
      </c>
      <c r="I116" s="5" t="s">
        <v>144</v>
      </c>
      <c r="J116" s="10">
        <f t="shared" si="12"/>
        <v>0.24</v>
      </c>
      <c r="K116" s="11">
        <f t="shared" si="15"/>
        <v>4.2</v>
      </c>
      <c r="L116" s="6" t="s">
        <v>8</v>
      </c>
      <c r="M116" s="6" t="s">
        <v>50</v>
      </c>
      <c r="N116" s="5" t="s">
        <v>119</v>
      </c>
      <c r="O116" s="5" t="s">
        <v>470</v>
      </c>
      <c r="P116" s="26">
        <f t="shared" si="13"/>
        <v>83</v>
      </c>
      <c r="Q116" s="26">
        <f t="shared" si="14"/>
        <v>103</v>
      </c>
      <c r="R116" s="10"/>
    </row>
    <row r="117" spans="1:18" ht="15" customHeight="1" x14ac:dyDescent="0.25">
      <c r="A117" s="4" t="s">
        <v>471</v>
      </c>
      <c r="B117" s="5" t="s">
        <v>469</v>
      </c>
      <c r="C117" s="5" t="str">
        <f t="shared" si="8"/>
        <v xml:space="preserve">24 </v>
      </c>
      <c r="D117" s="5" t="str">
        <f t="shared" si="9"/>
        <v>120</v>
      </c>
      <c r="E117" s="6" t="s">
        <v>256</v>
      </c>
      <c r="F117" s="9">
        <f t="shared" si="10"/>
        <v>3.5</v>
      </c>
      <c r="G117" s="9">
        <f t="shared" si="11"/>
        <v>5.6</v>
      </c>
      <c r="H117" s="5" t="s">
        <v>15</v>
      </c>
      <c r="I117" s="5" t="s">
        <v>466</v>
      </c>
      <c r="J117" s="10">
        <f t="shared" si="12"/>
        <v>0.21</v>
      </c>
      <c r="K117" s="11">
        <f t="shared" si="15"/>
        <v>4.8</v>
      </c>
      <c r="L117" s="6" t="s">
        <v>8</v>
      </c>
      <c r="M117" s="6" t="s">
        <v>50</v>
      </c>
      <c r="N117" s="5" t="s">
        <v>472</v>
      </c>
      <c r="O117" s="5" t="s">
        <v>473</v>
      </c>
      <c r="P117" s="26">
        <f t="shared" si="13"/>
        <v>77</v>
      </c>
      <c r="Q117" s="26">
        <f t="shared" si="14"/>
        <v>94</v>
      </c>
      <c r="R117" s="10"/>
    </row>
    <row r="118" spans="1:18" ht="15" customHeight="1" x14ac:dyDescent="0.25">
      <c r="A118" s="4" t="s">
        <v>474</v>
      </c>
      <c r="B118" s="5" t="s">
        <v>475</v>
      </c>
      <c r="C118" s="5" t="str">
        <f t="shared" si="8"/>
        <v xml:space="preserve">24 </v>
      </c>
      <c r="D118" s="5" t="str">
        <f t="shared" si="9"/>
        <v>35</v>
      </c>
      <c r="E118" s="6" t="s">
        <v>67</v>
      </c>
      <c r="F118" s="9">
        <f t="shared" si="10"/>
        <v>2</v>
      </c>
      <c r="G118" s="9">
        <f t="shared" si="11"/>
        <v>2</v>
      </c>
      <c r="H118" s="5" t="s">
        <v>21</v>
      </c>
      <c r="I118" s="5" t="s">
        <v>251</v>
      </c>
      <c r="J118" s="10">
        <f t="shared" si="12"/>
        <v>0.22</v>
      </c>
      <c r="K118" s="11">
        <f t="shared" si="15"/>
        <v>4.5</v>
      </c>
      <c r="L118" s="6" t="s">
        <v>8</v>
      </c>
      <c r="M118" s="6" t="s">
        <v>50</v>
      </c>
      <c r="N118" s="5" t="s">
        <v>476</v>
      </c>
      <c r="O118" s="5" t="s">
        <v>477</v>
      </c>
      <c r="P118" s="26">
        <f t="shared" si="13"/>
        <v>88</v>
      </c>
      <c r="Q118" s="26">
        <f t="shared" si="14"/>
        <v>123</v>
      </c>
      <c r="R118" s="10"/>
    </row>
    <row r="119" spans="1:18" ht="15" customHeight="1" x14ac:dyDescent="0.25">
      <c r="A119" s="4" t="s">
        <v>478</v>
      </c>
      <c r="B119" s="5" t="s">
        <v>479</v>
      </c>
      <c r="C119" s="5" t="str">
        <f t="shared" si="8"/>
        <v xml:space="preserve">24 </v>
      </c>
      <c r="D119" s="5" t="str">
        <f t="shared" si="9"/>
        <v>70</v>
      </c>
      <c r="E119" s="6" t="s">
        <v>44</v>
      </c>
      <c r="F119" s="9">
        <f t="shared" si="10"/>
        <v>2.8</v>
      </c>
      <c r="G119" s="9">
        <f t="shared" si="11"/>
        <v>2.8</v>
      </c>
      <c r="H119" s="5" t="s">
        <v>27</v>
      </c>
      <c r="I119" s="5" t="s">
        <v>333</v>
      </c>
      <c r="J119" s="10">
        <f t="shared" si="12"/>
        <v>0.27</v>
      </c>
      <c r="K119" s="11">
        <f t="shared" si="15"/>
        <v>3.7</v>
      </c>
      <c r="L119" s="6" t="s">
        <v>8</v>
      </c>
      <c r="M119" s="6" t="s">
        <v>50</v>
      </c>
      <c r="N119" s="5" t="s">
        <v>480</v>
      </c>
      <c r="O119" s="5" t="s">
        <v>481</v>
      </c>
      <c r="P119" s="26">
        <f t="shared" si="13"/>
        <v>83</v>
      </c>
      <c r="Q119" s="26">
        <f t="shared" si="14"/>
        <v>133</v>
      </c>
      <c r="R119" s="10"/>
    </row>
    <row r="120" spans="1:18" ht="15" customHeight="1" x14ac:dyDescent="0.25">
      <c r="A120" s="4" t="s">
        <v>482</v>
      </c>
      <c r="B120" s="5" t="s">
        <v>479</v>
      </c>
      <c r="C120" s="5" t="str">
        <f t="shared" si="8"/>
        <v xml:space="preserve">24 </v>
      </c>
      <c r="D120" s="5" t="str">
        <f t="shared" si="9"/>
        <v>70</v>
      </c>
      <c r="E120" s="6" t="s">
        <v>44</v>
      </c>
      <c r="F120" s="9">
        <f t="shared" si="10"/>
        <v>2.8</v>
      </c>
      <c r="G120" s="9">
        <f t="shared" si="11"/>
        <v>2.8</v>
      </c>
      <c r="H120" s="5" t="s">
        <v>21</v>
      </c>
      <c r="I120" s="5" t="s">
        <v>333</v>
      </c>
      <c r="J120" s="10">
        <f t="shared" si="12"/>
        <v>0.27</v>
      </c>
      <c r="K120" s="11">
        <f t="shared" si="15"/>
        <v>3.7</v>
      </c>
      <c r="L120" s="6" t="s">
        <v>8</v>
      </c>
      <c r="M120" s="6" t="s">
        <v>50</v>
      </c>
      <c r="N120" s="5" t="s">
        <v>483</v>
      </c>
      <c r="O120" s="5" t="s">
        <v>484</v>
      </c>
      <c r="P120" s="26">
        <f t="shared" si="13"/>
        <v>88</v>
      </c>
      <c r="Q120" s="26">
        <f t="shared" si="14"/>
        <v>155</v>
      </c>
      <c r="R120" s="10"/>
    </row>
    <row r="121" spans="1:18" ht="15" customHeight="1" x14ac:dyDescent="0.25">
      <c r="A121" s="4" t="s">
        <v>485</v>
      </c>
      <c r="B121" s="5" t="s">
        <v>479</v>
      </c>
      <c r="C121" s="5" t="str">
        <f t="shared" si="8"/>
        <v xml:space="preserve">24 </v>
      </c>
      <c r="D121" s="5" t="str">
        <f t="shared" si="9"/>
        <v>70</v>
      </c>
      <c r="E121" s="6" t="s">
        <v>44</v>
      </c>
      <c r="F121" s="9">
        <f t="shared" si="10"/>
        <v>2.8</v>
      </c>
      <c r="G121" s="9">
        <f t="shared" si="11"/>
        <v>2.8</v>
      </c>
      <c r="H121" s="5" t="s">
        <v>21</v>
      </c>
      <c r="I121" s="5" t="s">
        <v>57</v>
      </c>
      <c r="J121" s="10">
        <f t="shared" si="12"/>
        <v>0.26</v>
      </c>
      <c r="K121" s="11">
        <f t="shared" si="15"/>
        <v>3.8</v>
      </c>
      <c r="L121" s="6" t="s">
        <v>8</v>
      </c>
      <c r="M121" s="6" t="s">
        <v>50</v>
      </c>
      <c r="N121" s="5" t="s">
        <v>486</v>
      </c>
      <c r="O121" s="5" t="s">
        <v>487</v>
      </c>
      <c r="P121" s="26">
        <f t="shared" si="13"/>
        <v>89</v>
      </c>
      <c r="Q121" s="26">
        <f t="shared" si="14"/>
        <v>116</v>
      </c>
      <c r="R121" s="10"/>
    </row>
    <row r="122" spans="1:18" ht="15" customHeight="1" x14ac:dyDescent="0.25">
      <c r="A122" s="4" t="s">
        <v>488</v>
      </c>
      <c r="B122" s="5" t="s">
        <v>479</v>
      </c>
      <c r="C122" s="5" t="str">
        <f t="shared" si="8"/>
        <v xml:space="preserve">24 </v>
      </c>
      <c r="D122" s="5" t="str">
        <f t="shared" si="9"/>
        <v>70</v>
      </c>
      <c r="E122" s="6" t="s">
        <v>44</v>
      </c>
      <c r="F122" s="9">
        <f t="shared" si="10"/>
        <v>2.8</v>
      </c>
      <c r="G122" s="9">
        <f t="shared" si="11"/>
        <v>2.8</v>
      </c>
      <c r="H122" s="5" t="s">
        <v>21</v>
      </c>
      <c r="I122" s="5" t="s">
        <v>36</v>
      </c>
      <c r="J122" s="10">
        <f t="shared" si="12"/>
        <v>0.18</v>
      </c>
      <c r="K122" s="11">
        <f t="shared" si="15"/>
        <v>5.6</v>
      </c>
      <c r="L122" s="6" t="s">
        <v>8</v>
      </c>
      <c r="M122" s="6" t="s">
        <v>50</v>
      </c>
      <c r="N122" s="5" t="s">
        <v>85</v>
      </c>
      <c r="O122" s="5" t="s">
        <v>489</v>
      </c>
      <c r="P122" s="26">
        <f t="shared" si="13"/>
        <v>87</v>
      </c>
      <c r="Q122" s="26">
        <f t="shared" si="14"/>
        <v>95</v>
      </c>
      <c r="R122" s="10"/>
    </row>
    <row r="123" spans="1:18" x14ac:dyDescent="0.25">
      <c r="A123" s="4" t="s">
        <v>490</v>
      </c>
      <c r="B123" s="5" t="s">
        <v>479</v>
      </c>
      <c r="C123" s="5" t="str">
        <f t="shared" si="8"/>
        <v xml:space="preserve">24 </v>
      </c>
      <c r="D123" s="5" t="str">
        <f t="shared" si="9"/>
        <v>70</v>
      </c>
      <c r="E123" s="6" t="s">
        <v>44</v>
      </c>
      <c r="F123" s="9">
        <f t="shared" si="10"/>
        <v>2.8</v>
      </c>
      <c r="G123" s="9">
        <f t="shared" si="11"/>
        <v>2.8</v>
      </c>
      <c r="H123" s="5" t="s">
        <v>21</v>
      </c>
      <c r="I123" s="5" t="s">
        <v>40</v>
      </c>
      <c r="J123" s="10">
        <f t="shared" si="12"/>
        <v>0.2</v>
      </c>
      <c r="K123" s="11">
        <f t="shared" si="15"/>
        <v>5</v>
      </c>
      <c r="L123" s="6" t="s">
        <v>8</v>
      </c>
      <c r="M123" s="6" t="s">
        <v>50</v>
      </c>
      <c r="N123" s="5" t="s">
        <v>491</v>
      </c>
      <c r="O123" s="5" t="s">
        <v>492</v>
      </c>
      <c r="P123" s="26">
        <f t="shared" si="13"/>
        <v>89</v>
      </c>
      <c r="Q123" s="26">
        <f t="shared" si="14"/>
        <v>107</v>
      </c>
      <c r="R123" s="10"/>
    </row>
    <row r="124" spans="1:18" x14ac:dyDescent="0.25">
      <c r="A124" s="4" t="s">
        <v>493</v>
      </c>
      <c r="B124" s="5" t="s">
        <v>479</v>
      </c>
      <c r="C124" s="5" t="str">
        <f t="shared" si="8"/>
        <v xml:space="preserve">24 </v>
      </c>
      <c r="D124" s="5" t="str">
        <f t="shared" si="9"/>
        <v>70</v>
      </c>
      <c r="E124" s="6" t="s">
        <v>44</v>
      </c>
      <c r="F124" s="9">
        <f t="shared" si="10"/>
        <v>2.8</v>
      </c>
      <c r="G124" s="9">
        <f t="shared" si="11"/>
        <v>2.8</v>
      </c>
      <c r="H124" s="5" t="s">
        <v>21</v>
      </c>
      <c r="I124" s="5" t="s">
        <v>68</v>
      </c>
      <c r="J124" s="10">
        <f t="shared" si="12"/>
        <v>0.5</v>
      </c>
      <c r="K124" s="11">
        <f t="shared" si="15"/>
        <v>2</v>
      </c>
      <c r="L124" s="6" t="s">
        <v>8</v>
      </c>
      <c r="M124" s="6" t="s">
        <v>50</v>
      </c>
      <c r="N124" s="5" t="s">
        <v>494</v>
      </c>
      <c r="O124" s="5" t="s">
        <v>495</v>
      </c>
      <c r="P124" s="26">
        <f t="shared" si="13"/>
        <v>88</v>
      </c>
      <c r="Q124" s="26">
        <f t="shared" si="14"/>
        <v>117</v>
      </c>
      <c r="R124" s="10"/>
    </row>
    <row r="125" spans="1:18" ht="15" customHeight="1" x14ac:dyDescent="0.25">
      <c r="A125" s="4" t="s">
        <v>496</v>
      </c>
      <c r="B125" s="5" t="s">
        <v>479</v>
      </c>
      <c r="C125" s="5" t="str">
        <f t="shared" si="8"/>
        <v xml:space="preserve">24 </v>
      </c>
      <c r="D125" s="5" t="str">
        <f t="shared" si="9"/>
        <v>70</v>
      </c>
      <c r="E125" s="6" t="s">
        <v>44</v>
      </c>
      <c r="F125" s="9">
        <f t="shared" si="10"/>
        <v>2.8</v>
      </c>
      <c r="G125" s="9">
        <f t="shared" si="11"/>
        <v>2.8</v>
      </c>
      <c r="H125" s="5" t="s">
        <v>21</v>
      </c>
      <c r="I125" s="5" t="s">
        <v>466</v>
      </c>
      <c r="J125" s="10">
        <f t="shared" si="12"/>
        <v>0.21</v>
      </c>
      <c r="K125" s="11">
        <f t="shared" si="15"/>
        <v>4.8</v>
      </c>
      <c r="L125" s="6" t="s">
        <v>8</v>
      </c>
      <c r="M125" s="6" t="s">
        <v>50</v>
      </c>
      <c r="N125" s="5" t="s">
        <v>497</v>
      </c>
      <c r="O125" s="5" t="s">
        <v>498</v>
      </c>
      <c r="P125" s="26">
        <f t="shared" si="13"/>
        <v>90</v>
      </c>
      <c r="Q125" s="26">
        <f t="shared" si="14"/>
        <v>108</v>
      </c>
      <c r="R125" s="10"/>
    </row>
    <row r="126" spans="1:18" ht="15" customHeight="1" x14ac:dyDescent="0.25">
      <c r="A126" s="4" t="s">
        <v>499</v>
      </c>
      <c r="B126" s="5" t="s">
        <v>500</v>
      </c>
      <c r="C126" s="5" t="str">
        <f t="shared" si="8"/>
        <v xml:space="preserve">24 </v>
      </c>
      <c r="D126" s="5" t="str">
        <f t="shared" si="9"/>
        <v>85</v>
      </c>
      <c r="E126" s="6" t="s">
        <v>250</v>
      </c>
      <c r="F126" s="9">
        <f t="shared" si="10"/>
        <v>2.8</v>
      </c>
      <c r="G126" s="9">
        <f t="shared" si="11"/>
        <v>4</v>
      </c>
      <c r="H126" s="5" t="s">
        <v>15</v>
      </c>
      <c r="I126" s="5" t="s">
        <v>16</v>
      </c>
      <c r="J126" s="10">
        <f t="shared" si="12"/>
        <v>0.17</v>
      </c>
      <c r="K126" s="11">
        <f t="shared" si="15"/>
        <v>5.9</v>
      </c>
      <c r="L126" s="6" t="s">
        <v>8</v>
      </c>
      <c r="M126" s="6" t="s">
        <v>50</v>
      </c>
      <c r="N126" s="5" t="s">
        <v>501</v>
      </c>
      <c r="O126" s="5" t="s">
        <v>298</v>
      </c>
      <c r="P126" s="26">
        <f t="shared" si="13"/>
        <v>79</v>
      </c>
      <c r="Q126" s="26">
        <f t="shared" si="14"/>
        <v>83</v>
      </c>
      <c r="R126" s="10"/>
    </row>
    <row r="127" spans="1:18" x14ac:dyDescent="0.25">
      <c r="A127" s="4" t="s">
        <v>502</v>
      </c>
      <c r="B127" s="5" t="s">
        <v>500</v>
      </c>
      <c r="C127" s="5" t="str">
        <f t="shared" si="8"/>
        <v xml:space="preserve">24 </v>
      </c>
      <c r="D127" s="5" t="str">
        <f t="shared" si="9"/>
        <v>85</v>
      </c>
      <c r="E127" s="6" t="s">
        <v>5</v>
      </c>
      <c r="F127" s="9">
        <f t="shared" si="10"/>
        <v>3.5</v>
      </c>
      <c r="G127" s="9">
        <f t="shared" si="11"/>
        <v>4.5</v>
      </c>
      <c r="H127" s="5" t="s">
        <v>15</v>
      </c>
      <c r="I127" s="5" t="s">
        <v>251</v>
      </c>
      <c r="J127" s="10">
        <f t="shared" si="12"/>
        <v>0.22</v>
      </c>
      <c r="K127" s="11">
        <f t="shared" si="15"/>
        <v>4.5</v>
      </c>
      <c r="L127" s="6" t="s">
        <v>8</v>
      </c>
      <c r="M127" s="6" t="s">
        <v>50</v>
      </c>
      <c r="N127" s="5" t="s">
        <v>115</v>
      </c>
      <c r="O127" s="5" t="s">
        <v>503</v>
      </c>
      <c r="P127" s="26">
        <f t="shared" si="13"/>
        <v>78</v>
      </c>
      <c r="Q127" s="26">
        <f t="shared" si="14"/>
        <v>82</v>
      </c>
      <c r="R127" s="10"/>
    </row>
    <row r="128" spans="1:18" ht="15" customHeight="1" x14ac:dyDescent="0.25">
      <c r="A128" s="4" t="s">
        <v>504</v>
      </c>
      <c r="B128" s="5" t="s">
        <v>505</v>
      </c>
      <c r="C128" s="5" t="str">
        <f t="shared" si="8"/>
        <v>24</v>
      </c>
      <c r="D128" s="5" t="str">
        <f t="shared" si="9"/>
        <v>24</v>
      </c>
      <c r="E128" s="6" t="s">
        <v>44</v>
      </c>
      <c r="F128" s="9">
        <f t="shared" si="10"/>
        <v>2.8</v>
      </c>
      <c r="G128" s="9">
        <f t="shared" si="11"/>
        <v>2.8</v>
      </c>
      <c r="H128" s="5" t="s">
        <v>318</v>
      </c>
      <c r="I128" s="5" t="s">
        <v>188</v>
      </c>
      <c r="J128" s="10">
        <f t="shared" si="12"/>
        <v>0.11</v>
      </c>
      <c r="K128" s="11">
        <f t="shared" si="15"/>
        <v>9.1</v>
      </c>
      <c r="L128" s="6" t="s">
        <v>8</v>
      </c>
      <c r="M128" s="6" t="s">
        <v>50</v>
      </c>
      <c r="N128" s="5" t="s">
        <v>442</v>
      </c>
      <c r="O128" s="5" t="s">
        <v>506</v>
      </c>
      <c r="P128" s="26">
        <f t="shared" si="13"/>
        <v>65</v>
      </c>
      <c r="Q128" s="26">
        <f t="shared" si="14"/>
        <v>46</v>
      </c>
      <c r="R128" s="10"/>
    </row>
    <row r="129" spans="1:18" ht="15" customHeight="1" x14ac:dyDescent="0.25">
      <c r="A129" s="4" t="s">
        <v>507</v>
      </c>
      <c r="B129" s="5" t="s">
        <v>505</v>
      </c>
      <c r="C129" s="5" t="str">
        <f t="shared" si="8"/>
        <v>24</v>
      </c>
      <c r="D129" s="5" t="str">
        <f t="shared" si="9"/>
        <v>24</v>
      </c>
      <c r="E129" s="6" t="s">
        <v>80</v>
      </c>
      <c r="F129" s="9">
        <f t="shared" si="10"/>
        <v>1.4</v>
      </c>
      <c r="G129" s="9">
        <f t="shared" si="11"/>
        <v>1.4</v>
      </c>
      <c r="H129" s="5" t="s">
        <v>27</v>
      </c>
      <c r="I129" s="5" t="s">
        <v>36</v>
      </c>
      <c r="J129" s="10">
        <f t="shared" si="12"/>
        <v>0.18</v>
      </c>
      <c r="K129" s="11">
        <f t="shared" si="15"/>
        <v>5.6</v>
      </c>
      <c r="L129" s="6" t="s">
        <v>8</v>
      </c>
      <c r="M129" s="6" t="s">
        <v>50</v>
      </c>
      <c r="N129" s="5" t="s">
        <v>508</v>
      </c>
      <c r="O129" s="5" t="s">
        <v>509</v>
      </c>
      <c r="P129" s="26">
        <f t="shared" si="13"/>
        <v>83</v>
      </c>
      <c r="Q129" s="26">
        <f t="shared" si="14"/>
        <v>89</v>
      </c>
      <c r="R129" s="10"/>
    </row>
    <row r="130" spans="1:18" ht="15" customHeight="1" x14ac:dyDescent="0.25">
      <c r="A130" s="4" t="s">
        <v>510</v>
      </c>
      <c r="B130" s="5" t="s">
        <v>505</v>
      </c>
      <c r="C130" s="5" t="str">
        <f t="shared" ref="C130:C193" si="16">IFERROR(LEFT(B130,(FIND("-",B130)-1)),LEFT(B130,FIND("mm",B130)-1))</f>
        <v>24</v>
      </c>
      <c r="D130" s="5" t="str">
        <f t="shared" si="9"/>
        <v>24</v>
      </c>
      <c r="E130" s="6" t="s">
        <v>157</v>
      </c>
      <c r="F130" s="9">
        <f t="shared" si="10"/>
        <v>1.8</v>
      </c>
      <c r="G130" s="9">
        <f t="shared" si="11"/>
        <v>1.8</v>
      </c>
      <c r="H130" s="5" t="s">
        <v>15</v>
      </c>
      <c r="I130" s="5" t="s">
        <v>40</v>
      </c>
      <c r="J130" s="10">
        <f t="shared" si="12"/>
        <v>0.2</v>
      </c>
      <c r="K130" s="11">
        <f t="shared" si="15"/>
        <v>5</v>
      </c>
      <c r="L130" s="6" t="s">
        <v>8</v>
      </c>
      <c r="M130" s="6" t="s">
        <v>50</v>
      </c>
      <c r="N130" s="5" t="s">
        <v>445</v>
      </c>
      <c r="O130" s="5" t="s">
        <v>511</v>
      </c>
      <c r="P130" s="26">
        <f t="shared" si="13"/>
        <v>78</v>
      </c>
      <c r="Q130" s="26">
        <f t="shared" si="14"/>
        <v>83</v>
      </c>
      <c r="R130" s="10"/>
    </row>
    <row r="131" spans="1:18" ht="15" customHeight="1" x14ac:dyDescent="0.25">
      <c r="A131" s="4" t="s">
        <v>512</v>
      </c>
      <c r="B131" s="5" t="s">
        <v>505</v>
      </c>
      <c r="C131" s="5" t="str">
        <f t="shared" si="16"/>
        <v>24</v>
      </c>
      <c r="D131" s="5" t="str">
        <f t="shared" ref="D131:D194" si="17">IFERROR(RIGHT(LEFT(B131,FIND("m",B131)-1),LEN(LEFT(B131,FIND("m",B131)-1))-FIND("-",LEFT(B131,FIND("m",B131)-1))-1),C131)</f>
        <v>24</v>
      </c>
      <c r="E131" s="6" t="s">
        <v>20</v>
      </c>
      <c r="F131" s="9">
        <f t="shared" ref="F131:F194" si="18">convertStringPointToComma(LEFT(MID(E131,3,9),IFERROR(FIND("-",MID(E131,3,9))-2,3)))</f>
        <v>3.5</v>
      </c>
      <c r="G131" s="9">
        <f t="shared" ref="G131:G194" si="19">convertStringPointToComma(RIGHT(E131,IF(ISERROR(FIND(".",RIGHT(E131,3))),1,3)))</f>
        <v>3.5</v>
      </c>
      <c r="H131" s="5" t="s">
        <v>27</v>
      </c>
      <c r="I131" s="5" t="s">
        <v>291</v>
      </c>
      <c r="J131" s="10">
        <f t="shared" ref="J131:J194" si="20">convertStringPointToComma(LEFT(I131,LEN(I131)-1))</f>
        <v>0.37</v>
      </c>
      <c r="K131" s="11">
        <f t="shared" si="15"/>
        <v>2.7</v>
      </c>
      <c r="L131" s="6" t="s">
        <v>8</v>
      </c>
      <c r="M131" s="6" t="s">
        <v>50</v>
      </c>
      <c r="N131" s="5" t="s">
        <v>513</v>
      </c>
      <c r="O131" s="5" t="s">
        <v>514</v>
      </c>
      <c r="P131" s="26">
        <f t="shared" ref="P131:P194" si="21">_xlfn.NUMBERVALUE(LEFT(O131,FIND("x",O131)-2))</f>
        <v>83</v>
      </c>
      <c r="Q131" s="26">
        <f t="shared" ref="Q131:Q194" si="22">_xlfn.NUMBERVALUE(LEFT(RIGHT(O131,LEN(O131)-FIND("x",O131)-1),LEN(RIGHT(O131,LEN(O131)-FIND("x",O131)-1))-2))</f>
        <v>108</v>
      </c>
      <c r="R131" s="10"/>
    </row>
    <row r="132" spans="1:18" ht="15" customHeight="1" x14ac:dyDescent="0.25">
      <c r="A132" s="4" t="s">
        <v>520</v>
      </c>
      <c r="B132" s="5" t="s">
        <v>505</v>
      </c>
      <c r="C132" s="5" t="str">
        <f t="shared" si="16"/>
        <v>24</v>
      </c>
      <c r="D132" s="5" t="str">
        <f t="shared" si="17"/>
        <v>24</v>
      </c>
      <c r="E132" s="6" t="s">
        <v>157</v>
      </c>
      <c r="F132" s="9">
        <f t="shared" si="18"/>
        <v>1.8</v>
      </c>
      <c r="G132" s="9">
        <f t="shared" si="19"/>
        <v>1.8</v>
      </c>
      <c r="H132" s="5" t="s">
        <v>27</v>
      </c>
      <c r="I132" s="5" t="s">
        <v>291</v>
      </c>
      <c r="J132" s="10">
        <f t="shared" si="20"/>
        <v>0.37</v>
      </c>
      <c r="K132" s="11">
        <f t="shared" ref="K132:K195" si="23">ROUND(1/J132,1)</f>
        <v>2.7</v>
      </c>
      <c r="L132" s="6" t="s">
        <v>8</v>
      </c>
      <c r="M132" s="6" t="s">
        <v>50</v>
      </c>
      <c r="N132" s="5" t="s">
        <v>257</v>
      </c>
      <c r="O132" s="5" t="s">
        <v>521</v>
      </c>
      <c r="P132" s="26">
        <f t="shared" si="21"/>
        <v>83</v>
      </c>
      <c r="Q132" s="26">
        <f t="shared" si="22"/>
        <v>80</v>
      </c>
      <c r="R132" s="10"/>
    </row>
    <row r="133" spans="1:18" ht="15" customHeight="1" x14ac:dyDescent="0.25">
      <c r="A133" s="4" t="s">
        <v>522</v>
      </c>
      <c r="B133" s="5" t="s">
        <v>505</v>
      </c>
      <c r="C133" s="5" t="str">
        <f t="shared" si="16"/>
        <v>24</v>
      </c>
      <c r="D133" s="5" t="str">
        <f t="shared" si="17"/>
        <v>24</v>
      </c>
      <c r="E133" s="6" t="s">
        <v>80</v>
      </c>
      <c r="F133" s="9">
        <f t="shared" si="18"/>
        <v>1.4</v>
      </c>
      <c r="G133" s="9">
        <f t="shared" si="19"/>
        <v>1.4</v>
      </c>
      <c r="H133" s="5" t="s">
        <v>27</v>
      </c>
      <c r="I133" s="5" t="s">
        <v>36</v>
      </c>
      <c r="J133" s="10">
        <f t="shared" si="20"/>
        <v>0.18</v>
      </c>
      <c r="K133" s="11">
        <f t="shared" si="23"/>
        <v>5.6</v>
      </c>
      <c r="L133" s="6" t="s">
        <v>8</v>
      </c>
      <c r="M133" s="6" t="s">
        <v>50</v>
      </c>
      <c r="N133" s="5" t="s">
        <v>523</v>
      </c>
      <c r="O133" s="5" t="s">
        <v>524</v>
      </c>
      <c r="P133" s="26">
        <f t="shared" si="21"/>
        <v>85</v>
      </c>
      <c r="Q133" s="26">
        <f t="shared" si="22"/>
        <v>90</v>
      </c>
      <c r="R133" s="10"/>
    </row>
    <row r="134" spans="1:18" ht="15" customHeight="1" x14ac:dyDescent="0.25">
      <c r="A134" s="4" t="s">
        <v>530</v>
      </c>
      <c r="B134" s="5" t="s">
        <v>531</v>
      </c>
      <c r="C134" s="5" t="str">
        <f t="shared" si="16"/>
        <v xml:space="preserve">28 </v>
      </c>
      <c r="D134" s="5" t="str">
        <f t="shared" si="17"/>
        <v>200</v>
      </c>
      <c r="E134" s="6" t="s">
        <v>307</v>
      </c>
      <c r="F134" s="9">
        <f t="shared" si="18"/>
        <v>3.8</v>
      </c>
      <c r="G134" s="9">
        <f t="shared" si="19"/>
        <v>5.6</v>
      </c>
      <c r="H134" s="5" t="s">
        <v>84</v>
      </c>
      <c r="I134" s="5" t="s">
        <v>162</v>
      </c>
      <c r="J134" s="10">
        <f t="shared" si="20"/>
        <v>0.25</v>
      </c>
      <c r="K134" s="11">
        <f t="shared" si="23"/>
        <v>4</v>
      </c>
      <c r="L134" s="6" t="s">
        <v>8</v>
      </c>
      <c r="M134" s="6" t="s">
        <v>50</v>
      </c>
      <c r="N134" s="5" t="s">
        <v>532</v>
      </c>
      <c r="O134" s="5" t="s">
        <v>533</v>
      </c>
      <c r="P134" s="26">
        <f t="shared" si="21"/>
        <v>71</v>
      </c>
      <c r="Q134" s="26">
        <f t="shared" si="22"/>
        <v>75</v>
      </c>
      <c r="R134" s="10"/>
    </row>
    <row r="135" spans="1:18" ht="15" customHeight="1" x14ac:dyDescent="0.25">
      <c r="A135" s="4" t="s">
        <v>534</v>
      </c>
      <c r="B135" s="5" t="s">
        <v>535</v>
      </c>
      <c r="C135" s="5" t="str">
        <f t="shared" si="16"/>
        <v xml:space="preserve">28 </v>
      </c>
      <c r="D135" s="5" t="str">
        <f t="shared" si="17"/>
        <v>300</v>
      </c>
      <c r="E135" s="6" t="s">
        <v>256</v>
      </c>
      <c r="F135" s="9">
        <f t="shared" si="18"/>
        <v>3.5</v>
      </c>
      <c r="G135" s="9">
        <f t="shared" si="19"/>
        <v>5.6</v>
      </c>
      <c r="H135" s="5" t="s">
        <v>27</v>
      </c>
      <c r="I135" s="5" t="s">
        <v>349</v>
      </c>
      <c r="J135" s="10">
        <f t="shared" si="20"/>
        <v>0.32</v>
      </c>
      <c r="K135" s="11">
        <f t="shared" si="23"/>
        <v>3.1</v>
      </c>
      <c r="L135" s="6" t="s">
        <v>8</v>
      </c>
      <c r="M135" s="6" t="s">
        <v>50</v>
      </c>
      <c r="N135" s="5" t="s">
        <v>536</v>
      </c>
      <c r="O135" s="5" t="s">
        <v>537</v>
      </c>
      <c r="P135" s="26">
        <f t="shared" si="21"/>
        <v>83</v>
      </c>
      <c r="Q135" s="26">
        <f t="shared" si="22"/>
        <v>115</v>
      </c>
      <c r="R135" s="10"/>
    </row>
    <row r="136" spans="1:18" ht="15" customHeight="1" x14ac:dyDescent="0.25">
      <c r="A136" s="4" t="s">
        <v>538</v>
      </c>
      <c r="B136" s="5" t="s">
        <v>535</v>
      </c>
      <c r="C136" s="5" t="str">
        <f t="shared" si="16"/>
        <v xml:space="preserve">28 </v>
      </c>
      <c r="D136" s="5" t="str">
        <f t="shared" si="17"/>
        <v>300</v>
      </c>
      <c r="E136" s="6" t="s">
        <v>237</v>
      </c>
      <c r="F136" s="9">
        <f t="shared" si="18"/>
        <v>3.5</v>
      </c>
      <c r="G136" s="9">
        <f t="shared" si="19"/>
        <v>6.3</v>
      </c>
      <c r="H136" s="5" t="s">
        <v>84</v>
      </c>
      <c r="I136" s="5" t="s">
        <v>326</v>
      </c>
      <c r="J136" s="10">
        <f t="shared" si="20"/>
        <v>0.33</v>
      </c>
      <c r="K136" s="11">
        <f t="shared" si="23"/>
        <v>3</v>
      </c>
      <c r="L136" s="6" t="s">
        <v>8</v>
      </c>
      <c r="M136" s="6" t="s">
        <v>50</v>
      </c>
      <c r="N136" s="5" t="s">
        <v>33</v>
      </c>
      <c r="O136" s="5" t="s">
        <v>539</v>
      </c>
      <c r="P136" s="26">
        <f t="shared" si="21"/>
        <v>74</v>
      </c>
      <c r="Q136" s="26">
        <f t="shared" si="22"/>
        <v>84</v>
      </c>
      <c r="R136" s="10"/>
    </row>
    <row r="137" spans="1:18" ht="15" customHeight="1" x14ac:dyDescent="0.25">
      <c r="A137" s="4" t="s">
        <v>540</v>
      </c>
      <c r="B137" s="5" t="s">
        <v>535</v>
      </c>
      <c r="C137" s="5" t="str">
        <f t="shared" si="16"/>
        <v xml:space="preserve">28 </v>
      </c>
      <c r="D137" s="5" t="str">
        <f t="shared" si="17"/>
        <v>300</v>
      </c>
      <c r="E137" s="6" t="s">
        <v>237</v>
      </c>
      <c r="F137" s="9">
        <f t="shared" si="18"/>
        <v>3.5</v>
      </c>
      <c r="G137" s="9">
        <f t="shared" si="19"/>
        <v>6.3</v>
      </c>
      <c r="H137" s="5" t="s">
        <v>56</v>
      </c>
      <c r="I137" s="5" t="s">
        <v>343</v>
      </c>
      <c r="J137" s="10">
        <f t="shared" si="20"/>
        <v>0.28000000000000003</v>
      </c>
      <c r="K137" s="11">
        <f t="shared" si="23"/>
        <v>3.6</v>
      </c>
      <c r="L137" s="6" t="s">
        <v>8</v>
      </c>
      <c r="M137" s="6" t="s">
        <v>50</v>
      </c>
      <c r="N137" s="5" t="s">
        <v>64</v>
      </c>
      <c r="O137" s="5" t="s">
        <v>541</v>
      </c>
      <c r="P137" s="26">
        <f t="shared" si="21"/>
        <v>75</v>
      </c>
      <c r="Q137" s="26">
        <f t="shared" si="22"/>
        <v>96</v>
      </c>
      <c r="R137" s="10"/>
    </row>
    <row r="138" spans="1:18" ht="15" customHeight="1" x14ac:dyDescent="0.25">
      <c r="A138" s="4" t="s">
        <v>542</v>
      </c>
      <c r="B138" s="5" t="s">
        <v>535</v>
      </c>
      <c r="C138" s="5" t="str">
        <f t="shared" si="16"/>
        <v xml:space="preserve">28 </v>
      </c>
      <c r="D138" s="5" t="str">
        <f t="shared" si="17"/>
        <v>300</v>
      </c>
      <c r="E138" s="6" t="s">
        <v>237</v>
      </c>
      <c r="F138" s="9">
        <f t="shared" si="18"/>
        <v>3.5</v>
      </c>
      <c r="G138" s="9">
        <f t="shared" si="19"/>
        <v>6.3</v>
      </c>
      <c r="H138" s="5" t="s">
        <v>84</v>
      </c>
      <c r="I138" s="5" t="s">
        <v>238</v>
      </c>
      <c r="J138" s="10">
        <f t="shared" si="20"/>
        <v>0.34</v>
      </c>
      <c r="K138" s="11">
        <f t="shared" si="23"/>
        <v>2.9</v>
      </c>
      <c r="L138" s="6" t="s">
        <v>8</v>
      </c>
      <c r="M138" s="6" t="s">
        <v>50</v>
      </c>
      <c r="N138" s="5" t="s">
        <v>303</v>
      </c>
      <c r="O138" s="5" t="s">
        <v>543</v>
      </c>
      <c r="P138" s="26">
        <f t="shared" si="21"/>
        <v>73</v>
      </c>
      <c r="Q138" s="26">
        <f t="shared" si="22"/>
        <v>84</v>
      </c>
      <c r="R138" s="10"/>
    </row>
    <row r="139" spans="1:18" ht="15" customHeight="1" x14ac:dyDescent="0.25">
      <c r="A139" s="4" t="s">
        <v>544</v>
      </c>
      <c r="B139" s="5" t="s">
        <v>535</v>
      </c>
      <c r="C139" s="5" t="str">
        <f t="shared" si="16"/>
        <v xml:space="preserve">28 </v>
      </c>
      <c r="D139" s="5" t="str">
        <f t="shared" si="17"/>
        <v>300</v>
      </c>
      <c r="E139" s="6" t="s">
        <v>237</v>
      </c>
      <c r="F139" s="9">
        <f t="shared" si="18"/>
        <v>3.5</v>
      </c>
      <c r="G139" s="9">
        <f t="shared" si="19"/>
        <v>6.3</v>
      </c>
      <c r="H139" s="5" t="s">
        <v>56</v>
      </c>
      <c r="I139" s="5" t="s">
        <v>326</v>
      </c>
      <c r="J139" s="10">
        <f t="shared" si="20"/>
        <v>0.33</v>
      </c>
      <c r="K139" s="11">
        <f t="shared" si="23"/>
        <v>3</v>
      </c>
      <c r="L139" s="6" t="s">
        <v>8</v>
      </c>
      <c r="M139" s="6" t="s">
        <v>50</v>
      </c>
      <c r="N139" s="5" t="s">
        <v>545</v>
      </c>
      <c r="O139" s="5" t="s">
        <v>546</v>
      </c>
      <c r="P139" s="26">
        <f t="shared" si="21"/>
        <v>78</v>
      </c>
      <c r="Q139" s="26">
        <f t="shared" si="22"/>
        <v>99</v>
      </c>
      <c r="R139" s="10"/>
    </row>
    <row r="140" spans="1:18" ht="15" customHeight="1" x14ac:dyDescent="0.25">
      <c r="A140" s="4" t="s">
        <v>547</v>
      </c>
      <c r="B140" s="5" t="s">
        <v>548</v>
      </c>
      <c r="C140" s="5" t="str">
        <f t="shared" si="16"/>
        <v xml:space="preserve">28 </v>
      </c>
      <c r="D140" s="5" t="str">
        <f t="shared" si="17"/>
        <v>75</v>
      </c>
      <c r="E140" s="6" t="s">
        <v>44</v>
      </c>
      <c r="F140" s="9">
        <f t="shared" si="18"/>
        <v>2.8</v>
      </c>
      <c r="G140" s="9">
        <f t="shared" si="19"/>
        <v>2.8</v>
      </c>
      <c r="H140" s="5" t="s">
        <v>56</v>
      </c>
      <c r="I140" s="5" t="s">
        <v>162</v>
      </c>
      <c r="J140" s="10">
        <f t="shared" si="20"/>
        <v>0.25</v>
      </c>
      <c r="K140" s="11">
        <f t="shared" si="23"/>
        <v>4</v>
      </c>
      <c r="L140" s="6" t="s">
        <v>8</v>
      </c>
      <c r="M140" s="6" t="s">
        <v>50</v>
      </c>
      <c r="N140" s="5" t="s">
        <v>549</v>
      </c>
      <c r="O140" s="5" t="s">
        <v>550</v>
      </c>
      <c r="P140" s="26">
        <f t="shared" si="21"/>
        <v>73</v>
      </c>
      <c r="Q140" s="26">
        <f t="shared" si="22"/>
        <v>92</v>
      </c>
      <c r="R140" s="10"/>
    </row>
    <row r="141" spans="1:18" ht="15" customHeight="1" x14ac:dyDescent="0.25">
      <c r="A141" s="4" t="s">
        <v>551</v>
      </c>
      <c r="B141" s="5" t="s">
        <v>552</v>
      </c>
      <c r="C141" s="5" t="str">
        <f t="shared" si="16"/>
        <v>28</v>
      </c>
      <c r="D141" s="5" t="str">
        <f t="shared" si="17"/>
        <v>28</v>
      </c>
      <c r="E141" s="6" t="s">
        <v>44</v>
      </c>
      <c r="F141" s="9">
        <f t="shared" si="18"/>
        <v>2.8</v>
      </c>
      <c r="G141" s="9">
        <f t="shared" si="19"/>
        <v>2.8</v>
      </c>
      <c r="H141" s="5" t="s">
        <v>318</v>
      </c>
      <c r="I141" s="5" t="s">
        <v>36</v>
      </c>
      <c r="J141" s="10">
        <f t="shared" si="20"/>
        <v>0.18</v>
      </c>
      <c r="K141" s="11">
        <f t="shared" si="23"/>
        <v>5.6</v>
      </c>
      <c r="L141" s="6" t="s">
        <v>8</v>
      </c>
      <c r="M141" s="6" t="s">
        <v>50</v>
      </c>
      <c r="N141" s="5" t="s">
        <v>383</v>
      </c>
      <c r="O141" s="5" t="s">
        <v>553</v>
      </c>
      <c r="P141" s="26">
        <f t="shared" si="21"/>
        <v>65</v>
      </c>
      <c r="Q141" s="26">
        <f t="shared" si="22"/>
        <v>45</v>
      </c>
      <c r="R141" s="10"/>
    </row>
    <row r="142" spans="1:18" ht="15" customHeight="1" x14ac:dyDescent="0.25">
      <c r="A142" s="4" t="s">
        <v>554</v>
      </c>
      <c r="B142" s="5" t="s">
        <v>552</v>
      </c>
      <c r="C142" s="5" t="str">
        <f t="shared" si="16"/>
        <v>28</v>
      </c>
      <c r="D142" s="5" t="str">
        <f t="shared" si="17"/>
        <v>28</v>
      </c>
      <c r="E142" s="6" t="s">
        <v>80</v>
      </c>
      <c r="F142" s="9">
        <f t="shared" si="18"/>
        <v>1.4</v>
      </c>
      <c r="G142" s="9">
        <f t="shared" si="19"/>
        <v>1.4</v>
      </c>
      <c r="H142" s="5" t="s">
        <v>27</v>
      </c>
      <c r="I142" s="5" t="s">
        <v>16</v>
      </c>
      <c r="J142" s="10">
        <f t="shared" si="20"/>
        <v>0.17</v>
      </c>
      <c r="K142" s="11">
        <f t="shared" si="23"/>
        <v>5.9</v>
      </c>
      <c r="L142" s="6" t="s">
        <v>8</v>
      </c>
      <c r="M142" s="6" t="s">
        <v>50</v>
      </c>
      <c r="N142" s="5" t="s">
        <v>555</v>
      </c>
      <c r="O142" s="5" t="s">
        <v>556</v>
      </c>
      <c r="P142" s="26">
        <f t="shared" si="21"/>
        <v>83</v>
      </c>
      <c r="Q142" s="26">
        <f t="shared" si="22"/>
        <v>101</v>
      </c>
      <c r="R142" s="10"/>
    </row>
    <row r="143" spans="1:18" ht="15" customHeight="1" x14ac:dyDescent="0.25">
      <c r="A143" s="4" t="s">
        <v>557</v>
      </c>
      <c r="B143" s="5" t="s">
        <v>552</v>
      </c>
      <c r="C143" s="5" t="str">
        <f t="shared" si="16"/>
        <v>28</v>
      </c>
      <c r="D143" s="5" t="str">
        <f t="shared" si="17"/>
        <v>28</v>
      </c>
      <c r="E143" s="6" t="s">
        <v>157</v>
      </c>
      <c r="F143" s="9">
        <f t="shared" si="18"/>
        <v>1.8</v>
      </c>
      <c r="G143" s="9">
        <f t="shared" si="19"/>
        <v>1.8</v>
      </c>
      <c r="H143" s="5" t="s">
        <v>56</v>
      </c>
      <c r="I143" s="5" t="s">
        <v>251</v>
      </c>
      <c r="J143" s="10">
        <f t="shared" si="20"/>
        <v>0.22</v>
      </c>
      <c r="K143" s="11">
        <f t="shared" si="23"/>
        <v>4.5</v>
      </c>
      <c r="L143" s="6" t="s">
        <v>8</v>
      </c>
      <c r="M143" s="6" t="s">
        <v>50</v>
      </c>
      <c r="N143" s="5" t="s">
        <v>223</v>
      </c>
      <c r="O143" s="5" t="s">
        <v>558</v>
      </c>
      <c r="P143" s="26">
        <f t="shared" si="21"/>
        <v>73</v>
      </c>
      <c r="Q143" s="26">
        <f t="shared" si="22"/>
        <v>81</v>
      </c>
      <c r="R143" s="10"/>
    </row>
    <row r="144" spans="1:18" ht="15" customHeight="1" x14ac:dyDescent="0.25">
      <c r="A144" s="4" t="s">
        <v>559</v>
      </c>
      <c r="B144" s="5" t="s">
        <v>552</v>
      </c>
      <c r="C144" s="5" t="str">
        <f t="shared" si="16"/>
        <v>28</v>
      </c>
      <c r="D144" s="5" t="str">
        <f t="shared" si="17"/>
        <v>28</v>
      </c>
      <c r="E144" s="6" t="s">
        <v>157</v>
      </c>
      <c r="F144" s="9">
        <f t="shared" si="18"/>
        <v>1.8</v>
      </c>
      <c r="G144" s="9">
        <f t="shared" si="19"/>
        <v>1.8</v>
      </c>
      <c r="H144" s="5" t="s">
        <v>27</v>
      </c>
      <c r="I144" s="5" t="s">
        <v>238</v>
      </c>
      <c r="J144" s="10">
        <f t="shared" si="20"/>
        <v>0.34</v>
      </c>
      <c r="K144" s="11">
        <f t="shared" si="23"/>
        <v>2.9</v>
      </c>
      <c r="L144" s="6" t="s">
        <v>8</v>
      </c>
      <c r="M144" s="6" t="s">
        <v>50</v>
      </c>
      <c r="N144" s="5" t="s">
        <v>252</v>
      </c>
      <c r="O144" s="5" t="s">
        <v>560</v>
      </c>
      <c r="P144" s="26">
        <f t="shared" si="21"/>
        <v>84</v>
      </c>
      <c r="Q144" s="26">
        <f t="shared" si="22"/>
        <v>80</v>
      </c>
      <c r="R144" s="10"/>
    </row>
    <row r="145" spans="1:18" ht="15" customHeight="1" x14ac:dyDescent="0.25">
      <c r="A145" s="4" t="s">
        <v>564</v>
      </c>
      <c r="B145" s="5" t="s">
        <v>552</v>
      </c>
      <c r="C145" s="5" t="str">
        <f t="shared" si="16"/>
        <v>28</v>
      </c>
      <c r="D145" s="5" t="str">
        <f t="shared" si="17"/>
        <v>28</v>
      </c>
      <c r="E145" s="6" t="s">
        <v>80</v>
      </c>
      <c r="F145" s="9">
        <f t="shared" si="18"/>
        <v>1.4</v>
      </c>
      <c r="G145" s="9">
        <f t="shared" si="19"/>
        <v>1.4</v>
      </c>
      <c r="H145" s="5" t="s">
        <v>203</v>
      </c>
      <c r="I145" s="5" t="s">
        <v>118</v>
      </c>
      <c r="J145" s="10">
        <f t="shared" si="20"/>
        <v>0.16</v>
      </c>
      <c r="K145" s="11">
        <f t="shared" si="23"/>
        <v>6.3</v>
      </c>
      <c r="L145" s="6" t="s">
        <v>8</v>
      </c>
      <c r="M145" s="6" t="s">
        <v>50</v>
      </c>
      <c r="N145" s="5" t="s">
        <v>565</v>
      </c>
      <c r="O145" s="5" t="s">
        <v>566</v>
      </c>
      <c r="P145" s="26">
        <f t="shared" si="21"/>
        <v>109</v>
      </c>
      <c r="Q145" s="26">
        <f t="shared" si="22"/>
        <v>135</v>
      </c>
      <c r="R145" s="10"/>
    </row>
    <row r="146" spans="1:18" x14ac:dyDescent="0.25">
      <c r="A146" s="4" t="s">
        <v>567</v>
      </c>
      <c r="B146" s="5" t="s">
        <v>568</v>
      </c>
      <c r="C146" s="5" t="str">
        <f t="shared" si="16"/>
        <v xml:space="preserve">300 </v>
      </c>
      <c r="D146" s="5" t="str">
        <f t="shared" si="17"/>
        <v>800</v>
      </c>
      <c r="E146" s="6" t="s">
        <v>422</v>
      </c>
      <c r="F146" s="9">
        <f t="shared" si="18"/>
        <v>5.6</v>
      </c>
      <c r="G146" s="9">
        <f t="shared" si="19"/>
        <v>5.6</v>
      </c>
      <c r="H146" s="5" t="s">
        <v>6</v>
      </c>
      <c r="I146" s="5" t="s">
        <v>122</v>
      </c>
      <c r="J146" s="10">
        <f t="shared" si="20"/>
        <v>0.14000000000000001</v>
      </c>
      <c r="K146" s="11">
        <f t="shared" si="23"/>
        <v>7.1</v>
      </c>
      <c r="L146" s="6" t="s">
        <v>8</v>
      </c>
      <c r="M146" s="6" t="s">
        <v>50</v>
      </c>
      <c r="N146" s="5" t="s">
        <v>569</v>
      </c>
      <c r="O146" s="5" t="s">
        <v>570</v>
      </c>
      <c r="P146" s="26">
        <f t="shared" si="21"/>
        <v>157</v>
      </c>
      <c r="Q146" s="26">
        <f t="shared" si="22"/>
        <v>542</v>
      </c>
      <c r="R146" s="10"/>
    </row>
    <row r="147" spans="1:18" x14ac:dyDescent="0.25">
      <c r="A147" s="4" t="s">
        <v>571</v>
      </c>
      <c r="B147" s="5" t="s">
        <v>572</v>
      </c>
      <c r="C147" s="5" t="str">
        <f t="shared" si="16"/>
        <v>300</v>
      </c>
      <c r="D147" s="5" t="str">
        <f t="shared" si="17"/>
        <v>300</v>
      </c>
      <c r="E147" s="6" t="s">
        <v>44</v>
      </c>
      <c r="F147" s="9">
        <f t="shared" si="18"/>
        <v>2.8</v>
      </c>
      <c r="G147" s="9">
        <f t="shared" si="19"/>
        <v>2.8</v>
      </c>
      <c r="H147" s="5" t="s">
        <v>318</v>
      </c>
      <c r="I147" s="5" t="s">
        <v>118</v>
      </c>
      <c r="J147" s="10">
        <f t="shared" si="20"/>
        <v>0.16</v>
      </c>
      <c r="K147" s="11">
        <f t="shared" si="23"/>
        <v>6.3</v>
      </c>
      <c r="L147" s="6" t="s">
        <v>8</v>
      </c>
      <c r="M147" s="6" t="s">
        <v>50</v>
      </c>
      <c r="N147" s="5" t="s">
        <v>439</v>
      </c>
      <c r="O147" s="5" t="s">
        <v>573</v>
      </c>
      <c r="P147" s="26">
        <f t="shared" si="21"/>
        <v>124</v>
      </c>
      <c r="Q147" s="26">
        <f t="shared" si="22"/>
        <v>268</v>
      </c>
      <c r="R147" s="10"/>
    </row>
    <row r="148" spans="1:18" ht="15" customHeight="1" x14ac:dyDescent="0.25">
      <c r="A148" s="4" t="s">
        <v>574</v>
      </c>
      <c r="B148" s="5" t="s">
        <v>572</v>
      </c>
      <c r="C148" s="5" t="str">
        <f t="shared" si="16"/>
        <v>300</v>
      </c>
      <c r="D148" s="5" t="str">
        <f t="shared" si="17"/>
        <v>300</v>
      </c>
      <c r="E148" s="6" t="s">
        <v>49</v>
      </c>
      <c r="F148" s="9">
        <f t="shared" si="18"/>
        <v>4</v>
      </c>
      <c r="G148" s="9">
        <f t="shared" si="19"/>
        <v>4</v>
      </c>
      <c r="H148" s="5" t="s">
        <v>27</v>
      </c>
      <c r="I148" s="5" t="s">
        <v>333</v>
      </c>
      <c r="J148" s="10">
        <f t="shared" si="20"/>
        <v>0.27</v>
      </c>
      <c r="K148" s="11">
        <f t="shared" si="23"/>
        <v>3.7</v>
      </c>
      <c r="L148" s="6" t="s">
        <v>8</v>
      </c>
      <c r="M148" s="6" t="s">
        <v>50</v>
      </c>
      <c r="N148" s="5" t="s">
        <v>575</v>
      </c>
      <c r="O148" s="5" t="s">
        <v>576</v>
      </c>
      <c r="P148" s="26">
        <f t="shared" si="21"/>
        <v>90</v>
      </c>
      <c r="Q148" s="26">
        <f t="shared" si="22"/>
        <v>223</v>
      </c>
      <c r="R148" s="10"/>
    </row>
    <row r="149" spans="1:18" ht="15" customHeight="1" x14ac:dyDescent="0.25">
      <c r="A149" s="4" t="s">
        <v>577</v>
      </c>
      <c r="B149" s="5" t="s">
        <v>572</v>
      </c>
      <c r="C149" s="5" t="str">
        <f t="shared" si="16"/>
        <v>300</v>
      </c>
      <c r="D149" s="5" t="str">
        <f t="shared" si="17"/>
        <v>300</v>
      </c>
      <c r="E149" s="6" t="s">
        <v>49</v>
      </c>
      <c r="F149" s="9">
        <f t="shared" si="18"/>
        <v>4</v>
      </c>
      <c r="G149" s="9">
        <f t="shared" si="19"/>
        <v>4</v>
      </c>
      <c r="H149" s="5" t="s">
        <v>27</v>
      </c>
      <c r="I149" s="5" t="s">
        <v>144</v>
      </c>
      <c r="J149" s="10">
        <f t="shared" si="20"/>
        <v>0.24</v>
      </c>
      <c r="K149" s="11">
        <f t="shared" si="23"/>
        <v>4.2</v>
      </c>
      <c r="L149" s="6" t="s">
        <v>8</v>
      </c>
      <c r="M149" s="6" t="s">
        <v>50</v>
      </c>
      <c r="N149" s="5" t="s">
        <v>287</v>
      </c>
      <c r="O149" s="5" t="s">
        <v>578</v>
      </c>
      <c r="P149" s="26">
        <f t="shared" si="21"/>
        <v>89</v>
      </c>
      <c r="Q149" s="26">
        <f t="shared" si="22"/>
        <v>148</v>
      </c>
      <c r="R149" s="10"/>
    </row>
    <row r="150" spans="1:18" x14ac:dyDescent="0.25">
      <c r="A150" s="4" t="s">
        <v>582</v>
      </c>
      <c r="B150" s="5" t="s">
        <v>572</v>
      </c>
      <c r="C150" s="5" t="str">
        <f t="shared" si="16"/>
        <v>300</v>
      </c>
      <c r="D150" s="5" t="str">
        <f t="shared" si="17"/>
        <v>300</v>
      </c>
      <c r="E150" s="6" t="s">
        <v>44</v>
      </c>
      <c r="F150" s="9">
        <f t="shared" si="18"/>
        <v>2.8</v>
      </c>
      <c r="G150" s="9">
        <f t="shared" si="19"/>
        <v>2.8</v>
      </c>
      <c r="H150" s="5" t="s">
        <v>6</v>
      </c>
      <c r="I150" s="5" t="s">
        <v>76</v>
      </c>
      <c r="J150" s="10">
        <f t="shared" si="20"/>
        <v>0.13</v>
      </c>
      <c r="K150" s="11">
        <f t="shared" si="23"/>
        <v>7.7</v>
      </c>
      <c r="L150" s="6" t="s">
        <v>8</v>
      </c>
      <c r="M150" s="6" t="s">
        <v>50</v>
      </c>
      <c r="N150" s="5" t="s">
        <v>583</v>
      </c>
      <c r="O150" s="5" t="s">
        <v>584</v>
      </c>
      <c r="P150" s="26">
        <f t="shared" si="21"/>
        <v>119</v>
      </c>
      <c r="Q150" s="26">
        <f t="shared" si="22"/>
        <v>214</v>
      </c>
      <c r="R150" s="10"/>
    </row>
    <row r="151" spans="1:18" x14ac:dyDescent="0.25">
      <c r="A151" s="4" t="s">
        <v>585</v>
      </c>
      <c r="B151" s="5" t="s">
        <v>586</v>
      </c>
      <c r="C151" s="5" t="str">
        <f t="shared" si="16"/>
        <v>30</v>
      </c>
      <c r="D151" s="5" t="str">
        <f t="shared" si="17"/>
        <v>30</v>
      </c>
      <c r="E151" s="6" t="s">
        <v>80</v>
      </c>
      <c r="F151" s="9">
        <f t="shared" si="18"/>
        <v>1.4</v>
      </c>
      <c r="G151" s="9">
        <f t="shared" si="19"/>
        <v>1.4</v>
      </c>
      <c r="H151" s="5" t="s">
        <v>84</v>
      </c>
      <c r="I151" s="5" t="s">
        <v>264</v>
      </c>
      <c r="J151" s="10">
        <f t="shared" si="20"/>
        <v>0.1</v>
      </c>
      <c r="K151" s="11">
        <f t="shared" si="23"/>
        <v>10</v>
      </c>
      <c r="L151" s="6" t="s">
        <v>8</v>
      </c>
      <c r="M151" s="6" t="s">
        <v>9</v>
      </c>
      <c r="N151" s="5" t="s">
        <v>327</v>
      </c>
      <c r="O151" s="5" t="s">
        <v>587</v>
      </c>
      <c r="P151" s="26">
        <f t="shared" si="21"/>
        <v>77</v>
      </c>
      <c r="Q151" s="26">
        <f t="shared" si="22"/>
        <v>59</v>
      </c>
      <c r="R151" s="10"/>
    </row>
    <row r="152" spans="1:18" ht="15" customHeight="1" x14ac:dyDescent="0.25">
      <c r="A152" s="4" t="s">
        <v>588</v>
      </c>
      <c r="B152" s="5" t="s">
        <v>586</v>
      </c>
      <c r="C152" s="5" t="str">
        <f t="shared" si="16"/>
        <v>30</v>
      </c>
      <c r="D152" s="5" t="str">
        <f t="shared" si="17"/>
        <v>30</v>
      </c>
      <c r="E152" s="6" t="s">
        <v>80</v>
      </c>
      <c r="F152" s="9">
        <f t="shared" si="18"/>
        <v>1.4</v>
      </c>
      <c r="G152" s="9">
        <f t="shared" si="19"/>
        <v>1.4</v>
      </c>
      <c r="H152" s="5" t="s">
        <v>84</v>
      </c>
      <c r="I152" s="5" t="s">
        <v>122</v>
      </c>
      <c r="J152" s="10">
        <f t="shared" si="20"/>
        <v>0.14000000000000001</v>
      </c>
      <c r="K152" s="11">
        <f t="shared" si="23"/>
        <v>7.1</v>
      </c>
      <c r="L152" s="6" t="s">
        <v>8</v>
      </c>
      <c r="M152" s="6" t="s">
        <v>50</v>
      </c>
      <c r="N152" s="5" t="s">
        <v>589</v>
      </c>
      <c r="O152" s="5" t="s">
        <v>590</v>
      </c>
      <c r="P152" s="26">
        <f t="shared" si="21"/>
        <v>74</v>
      </c>
      <c r="Q152" s="26">
        <f t="shared" si="22"/>
        <v>64</v>
      </c>
      <c r="R152" s="10"/>
    </row>
    <row r="153" spans="1:18" ht="15" customHeight="1" x14ac:dyDescent="0.25">
      <c r="A153" s="4" t="s">
        <v>591</v>
      </c>
      <c r="B153" s="5" t="s">
        <v>592</v>
      </c>
      <c r="C153" s="5" t="str">
        <f t="shared" si="16"/>
        <v>35</v>
      </c>
      <c r="D153" s="5" t="str">
        <f t="shared" si="17"/>
        <v>35</v>
      </c>
      <c r="E153" s="6" t="s">
        <v>67</v>
      </c>
      <c r="F153" s="9">
        <f t="shared" si="18"/>
        <v>2</v>
      </c>
      <c r="G153" s="9">
        <f t="shared" si="19"/>
        <v>2</v>
      </c>
      <c r="H153" s="5" t="s">
        <v>318</v>
      </c>
      <c r="I153" s="5" t="s">
        <v>144</v>
      </c>
      <c r="J153" s="10">
        <f t="shared" si="20"/>
        <v>0.24</v>
      </c>
      <c r="K153" s="11">
        <f t="shared" si="23"/>
        <v>4.2</v>
      </c>
      <c r="L153" s="6" t="s">
        <v>8</v>
      </c>
      <c r="M153" s="6" t="s">
        <v>50</v>
      </c>
      <c r="N153" s="5" t="s">
        <v>383</v>
      </c>
      <c r="O153" s="5" t="s">
        <v>553</v>
      </c>
      <c r="P153" s="26">
        <f t="shared" si="21"/>
        <v>65</v>
      </c>
      <c r="Q153" s="26">
        <f t="shared" si="22"/>
        <v>45</v>
      </c>
      <c r="R153" s="10"/>
    </row>
    <row r="154" spans="1:18" ht="15" customHeight="1" x14ac:dyDescent="0.25">
      <c r="A154" s="4" t="s">
        <v>593</v>
      </c>
      <c r="B154" s="5" t="s">
        <v>592</v>
      </c>
      <c r="C154" s="5" t="str">
        <f t="shared" si="16"/>
        <v>35</v>
      </c>
      <c r="D154" s="5" t="str">
        <f t="shared" si="17"/>
        <v>35</v>
      </c>
      <c r="E154" s="6" t="s">
        <v>80</v>
      </c>
      <c r="F154" s="9">
        <f t="shared" si="18"/>
        <v>1.4</v>
      </c>
      <c r="G154" s="9">
        <f t="shared" si="19"/>
        <v>1.4</v>
      </c>
      <c r="H154" s="5" t="s">
        <v>56</v>
      </c>
      <c r="I154" s="5" t="s">
        <v>40</v>
      </c>
      <c r="J154" s="10">
        <f t="shared" si="20"/>
        <v>0.2</v>
      </c>
      <c r="K154" s="11">
        <f t="shared" si="23"/>
        <v>5</v>
      </c>
      <c r="L154" s="6" t="s">
        <v>8</v>
      </c>
      <c r="M154" s="6" t="s">
        <v>50</v>
      </c>
      <c r="N154" s="5" t="s">
        <v>123</v>
      </c>
      <c r="O154" s="5" t="s">
        <v>116</v>
      </c>
      <c r="P154" s="26">
        <f t="shared" si="21"/>
        <v>83</v>
      </c>
      <c r="Q154" s="26">
        <f t="shared" si="22"/>
        <v>90</v>
      </c>
      <c r="R154" s="10"/>
    </row>
    <row r="155" spans="1:18" ht="15" customHeight="1" x14ac:dyDescent="0.25">
      <c r="A155" s="4" t="s">
        <v>594</v>
      </c>
      <c r="B155" s="5" t="s">
        <v>592</v>
      </c>
      <c r="C155" s="5" t="str">
        <f t="shared" si="16"/>
        <v>35</v>
      </c>
      <c r="D155" s="5" t="str">
        <f t="shared" si="17"/>
        <v>35</v>
      </c>
      <c r="E155" s="6" t="s">
        <v>157</v>
      </c>
      <c r="F155" s="9">
        <f t="shared" si="18"/>
        <v>1.8</v>
      </c>
      <c r="G155" s="9">
        <f t="shared" si="19"/>
        <v>1.8</v>
      </c>
      <c r="H155" s="5" t="s">
        <v>91</v>
      </c>
      <c r="I155" s="5" t="s">
        <v>144</v>
      </c>
      <c r="J155" s="10">
        <f t="shared" si="20"/>
        <v>0.24</v>
      </c>
      <c r="K155" s="11">
        <f t="shared" si="23"/>
        <v>4.2</v>
      </c>
      <c r="L155" s="6" t="s">
        <v>8</v>
      </c>
      <c r="M155" s="6" t="s">
        <v>50</v>
      </c>
      <c r="N155" s="5" t="s">
        <v>45</v>
      </c>
      <c r="O155" s="5" t="s">
        <v>595</v>
      </c>
      <c r="P155" s="26">
        <f t="shared" si="21"/>
        <v>72</v>
      </c>
      <c r="Q155" s="26">
        <f t="shared" si="22"/>
        <v>72</v>
      </c>
      <c r="R155" s="10"/>
    </row>
    <row r="156" spans="1:18" ht="15" customHeight="1" x14ac:dyDescent="0.25">
      <c r="A156" s="4" t="s">
        <v>596</v>
      </c>
      <c r="B156" s="5" t="s">
        <v>592</v>
      </c>
      <c r="C156" s="5" t="str">
        <f t="shared" si="16"/>
        <v>35</v>
      </c>
      <c r="D156" s="5" t="str">
        <f t="shared" si="17"/>
        <v>35</v>
      </c>
      <c r="E156" s="6" t="s">
        <v>157</v>
      </c>
      <c r="F156" s="9">
        <f t="shared" si="18"/>
        <v>1.8</v>
      </c>
      <c r="G156" s="9">
        <f t="shared" si="19"/>
        <v>1.8</v>
      </c>
      <c r="H156" s="5" t="s">
        <v>318</v>
      </c>
      <c r="I156" s="5" t="s">
        <v>118</v>
      </c>
      <c r="J156" s="10">
        <f t="shared" si="20"/>
        <v>0.16</v>
      </c>
      <c r="K156" s="11">
        <f t="shared" si="23"/>
        <v>6.3</v>
      </c>
      <c r="L156" s="6" t="s">
        <v>8</v>
      </c>
      <c r="M156" s="6" t="s">
        <v>9</v>
      </c>
      <c r="N156" s="5" t="s">
        <v>597</v>
      </c>
      <c r="O156" s="5" t="s">
        <v>598</v>
      </c>
      <c r="P156" s="26">
        <f t="shared" si="21"/>
        <v>70</v>
      </c>
      <c r="Q156" s="26">
        <f t="shared" si="22"/>
        <v>53</v>
      </c>
      <c r="R156" s="10"/>
    </row>
    <row r="157" spans="1:18" ht="15" customHeight="1" x14ac:dyDescent="0.25">
      <c r="A157" s="4" t="s">
        <v>602</v>
      </c>
      <c r="B157" s="5" t="s">
        <v>592</v>
      </c>
      <c r="C157" s="5" t="str">
        <f t="shared" si="16"/>
        <v>35</v>
      </c>
      <c r="D157" s="5" t="str">
        <f t="shared" si="17"/>
        <v>35</v>
      </c>
      <c r="E157" s="6" t="s">
        <v>80</v>
      </c>
      <c r="F157" s="9">
        <f t="shared" si="18"/>
        <v>1.4</v>
      </c>
      <c r="G157" s="9">
        <f t="shared" si="19"/>
        <v>1.4</v>
      </c>
      <c r="H157" s="5" t="s">
        <v>56</v>
      </c>
      <c r="I157" s="5" t="s">
        <v>198</v>
      </c>
      <c r="J157" s="10">
        <f t="shared" si="20"/>
        <v>0.19</v>
      </c>
      <c r="K157" s="11">
        <f t="shared" si="23"/>
        <v>5.3</v>
      </c>
      <c r="L157" s="6" t="s">
        <v>8</v>
      </c>
      <c r="M157" s="6" t="s">
        <v>50</v>
      </c>
      <c r="N157" s="5" t="s">
        <v>523</v>
      </c>
      <c r="O157" s="5" t="s">
        <v>473</v>
      </c>
      <c r="P157" s="26">
        <f t="shared" si="21"/>
        <v>77</v>
      </c>
      <c r="Q157" s="26">
        <f t="shared" si="22"/>
        <v>94</v>
      </c>
      <c r="R157" s="10"/>
    </row>
    <row r="158" spans="1:18" ht="15" customHeight="1" x14ac:dyDescent="0.25">
      <c r="A158" s="4" t="s">
        <v>603</v>
      </c>
      <c r="B158" s="5" t="s">
        <v>592</v>
      </c>
      <c r="C158" s="5" t="str">
        <f t="shared" si="16"/>
        <v>35</v>
      </c>
      <c r="D158" s="5" t="str">
        <f t="shared" si="17"/>
        <v>35</v>
      </c>
      <c r="E158" s="6" t="s">
        <v>157</v>
      </c>
      <c r="F158" s="9">
        <f t="shared" si="18"/>
        <v>1.8</v>
      </c>
      <c r="G158" s="9">
        <f t="shared" si="19"/>
        <v>1.8</v>
      </c>
      <c r="H158" s="5" t="s">
        <v>56</v>
      </c>
      <c r="I158" s="5" t="s">
        <v>604</v>
      </c>
      <c r="J158" s="10">
        <f t="shared" si="20"/>
        <v>0.4</v>
      </c>
      <c r="K158" s="11">
        <f t="shared" si="23"/>
        <v>2.5</v>
      </c>
      <c r="L158" s="6" t="s">
        <v>8</v>
      </c>
      <c r="M158" s="6" t="s">
        <v>50</v>
      </c>
      <c r="N158" s="5" t="s">
        <v>92</v>
      </c>
      <c r="O158" s="5" t="s">
        <v>605</v>
      </c>
      <c r="P158" s="26">
        <f t="shared" si="21"/>
        <v>81</v>
      </c>
      <c r="Q158" s="26">
        <f t="shared" si="22"/>
        <v>81</v>
      </c>
      <c r="R158" s="10"/>
    </row>
    <row r="159" spans="1:18" ht="15" customHeight="1" x14ac:dyDescent="0.25">
      <c r="A159" s="4" t="s">
        <v>606</v>
      </c>
      <c r="B159" s="5" t="s">
        <v>592</v>
      </c>
      <c r="C159" s="5" t="str">
        <f t="shared" si="16"/>
        <v>35</v>
      </c>
      <c r="D159" s="5" t="str">
        <f t="shared" si="17"/>
        <v>35</v>
      </c>
      <c r="E159" s="6" t="s">
        <v>44</v>
      </c>
      <c r="F159" s="9">
        <f t="shared" si="18"/>
        <v>2.8</v>
      </c>
      <c r="G159" s="9">
        <f t="shared" si="19"/>
        <v>2.8</v>
      </c>
      <c r="H159" s="5" t="s">
        <v>318</v>
      </c>
      <c r="I159" s="5" t="s">
        <v>63</v>
      </c>
      <c r="J159" s="10">
        <f t="shared" si="20"/>
        <v>1</v>
      </c>
      <c r="K159" s="11">
        <f t="shared" si="23"/>
        <v>1</v>
      </c>
      <c r="L159" s="6" t="s">
        <v>8</v>
      </c>
      <c r="M159" s="6" t="s">
        <v>9</v>
      </c>
      <c r="N159" s="5" t="s">
        <v>607</v>
      </c>
      <c r="O159" s="5" t="s">
        <v>608</v>
      </c>
      <c r="P159" s="26">
        <f t="shared" si="21"/>
        <v>73</v>
      </c>
      <c r="Q159" s="26">
        <f t="shared" si="22"/>
        <v>60</v>
      </c>
      <c r="R159" s="10"/>
    </row>
    <row r="160" spans="1:18" ht="15" customHeight="1" x14ac:dyDescent="0.25">
      <c r="A160" s="4" t="s">
        <v>614</v>
      </c>
      <c r="B160" s="5" t="s">
        <v>592</v>
      </c>
      <c r="C160" s="5" t="str">
        <f t="shared" si="16"/>
        <v>35</v>
      </c>
      <c r="D160" s="5" t="str">
        <f t="shared" si="17"/>
        <v>35</v>
      </c>
      <c r="E160" s="6" t="s">
        <v>80</v>
      </c>
      <c r="F160" s="9">
        <f t="shared" si="18"/>
        <v>1.4</v>
      </c>
      <c r="G160" s="9">
        <f t="shared" si="19"/>
        <v>1.4</v>
      </c>
      <c r="H160" s="5" t="s">
        <v>15</v>
      </c>
      <c r="I160" s="5" t="s">
        <v>466</v>
      </c>
      <c r="J160" s="10">
        <f t="shared" si="20"/>
        <v>0.21</v>
      </c>
      <c r="K160" s="11">
        <f t="shared" si="23"/>
        <v>4.8</v>
      </c>
      <c r="L160" s="6" t="s">
        <v>8</v>
      </c>
      <c r="M160" s="6" t="s">
        <v>50</v>
      </c>
      <c r="N160" s="5" t="s">
        <v>615</v>
      </c>
      <c r="O160" s="5" t="s">
        <v>616</v>
      </c>
      <c r="P160" s="26">
        <f t="shared" si="21"/>
        <v>85</v>
      </c>
      <c r="Q160" s="26">
        <f t="shared" si="22"/>
        <v>144</v>
      </c>
      <c r="R160" s="10"/>
    </row>
    <row r="161" spans="1:18" ht="15" customHeight="1" x14ac:dyDescent="0.25">
      <c r="A161" s="4" t="s">
        <v>617</v>
      </c>
      <c r="B161" s="5" t="s">
        <v>592</v>
      </c>
      <c r="C161" s="5" t="str">
        <f t="shared" si="16"/>
        <v>35</v>
      </c>
      <c r="D161" s="5" t="str">
        <f t="shared" si="17"/>
        <v>35</v>
      </c>
      <c r="E161" s="6" t="s">
        <v>67</v>
      </c>
      <c r="F161" s="9">
        <f t="shared" si="18"/>
        <v>2</v>
      </c>
      <c r="G161" s="9">
        <f t="shared" si="19"/>
        <v>2</v>
      </c>
      <c r="H161" s="5" t="s">
        <v>91</v>
      </c>
      <c r="I161" s="5" t="s">
        <v>36</v>
      </c>
      <c r="J161" s="10">
        <f t="shared" si="20"/>
        <v>0.18</v>
      </c>
      <c r="K161" s="11">
        <f t="shared" si="23"/>
        <v>5.6</v>
      </c>
      <c r="L161" s="6" t="s">
        <v>8</v>
      </c>
      <c r="M161" s="6" t="s">
        <v>50</v>
      </c>
      <c r="N161" s="5" t="s">
        <v>618</v>
      </c>
      <c r="O161" s="5" t="s">
        <v>619</v>
      </c>
      <c r="P161" s="26">
        <f t="shared" si="21"/>
        <v>77</v>
      </c>
      <c r="Q161" s="26">
        <f t="shared" si="22"/>
        <v>83</v>
      </c>
      <c r="R161" s="10"/>
    </row>
    <row r="162" spans="1:18" ht="15" customHeight="1" x14ac:dyDescent="0.25">
      <c r="A162" s="4" t="s">
        <v>620</v>
      </c>
      <c r="B162" s="5" t="s">
        <v>621</v>
      </c>
      <c r="C162" s="5" t="str">
        <f t="shared" si="16"/>
        <v>4.5</v>
      </c>
      <c r="D162" s="5" t="str">
        <f t="shared" si="17"/>
        <v>4.5</v>
      </c>
      <c r="E162" s="6" t="s">
        <v>44</v>
      </c>
      <c r="F162" s="9">
        <f t="shared" si="18"/>
        <v>2.8</v>
      </c>
      <c r="G162" s="9">
        <f t="shared" si="19"/>
        <v>2.8</v>
      </c>
      <c r="H162" s="5" t="s">
        <v>6</v>
      </c>
      <c r="I162" s="5" t="s">
        <v>118</v>
      </c>
      <c r="J162" s="10">
        <f t="shared" si="20"/>
        <v>0.16</v>
      </c>
      <c r="K162" s="11">
        <f t="shared" si="23"/>
        <v>6.3</v>
      </c>
      <c r="L162" s="6" t="s">
        <v>8</v>
      </c>
      <c r="M162" s="6" t="s">
        <v>9</v>
      </c>
      <c r="N162" s="5" t="s">
        <v>28</v>
      </c>
      <c r="O162" s="5" t="s">
        <v>622</v>
      </c>
      <c r="P162" s="26">
        <f t="shared" si="21"/>
        <v>76</v>
      </c>
      <c r="Q162" s="26">
        <f t="shared" si="22"/>
        <v>78</v>
      </c>
      <c r="R162" s="10"/>
    </row>
    <row r="163" spans="1:18" x14ac:dyDescent="0.25">
      <c r="A163" s="4" t="s">
        <v>623</v>
      </c>
      <c r="B163" s="5" t="s">
        <v>624</v>
      </c>
      <c r="C163" s="5" t="str">
        <f t="shared" si="16"/>
        <v>400</v>
      </c>
      <c r="D163" s="5" t="str">
        <f t="shared" si="17"/>
        <v>400</v>
      </c>
      <c r="E163" s="6" t="s">
        <v>44</v>
      </c>
      <c r="F163" s="9">
        <f t="shared" si="18"/>
        <v>2.8</v>
      </c>
      <c r="G163" s="9">
        <f t="shared" si="19"/>
        <v>2.8</v>
      </c>
      <c r="H163" s="5" t="s">
        <v>6</v>
      </c>
      <c r="I163" s="5" t="s">
        <v>118</v>
      </c>
      <c r="J163" s="10">
        <f t="shared" si="20"/>
        <v>0.16</v>
      </c>
      <c r="K163" s="11">
        <f t="shared" si="23"/>
        <v>6.3</v>
      </c>
      <c r="L163" s="6" t="s">
        <v>8</v>
      </c>
      <c r="M163" s="6" t="s">
        <v>50</v>
      </c>
      <c r="N163" s="5" t="s">
        <v>625</v>
      </c>
      <c r="O163" s="5" t="s">
        <v>626</v>
      </c>
      <c r="P163" s="26">
        <f t="shared" si="21"/>
        <v>160</v>
      </c>
      <c r="Q163" s="26">
        <f t="shared" si="22"/>
        <v>358</v>
      </c>
      <c r="R163" s="10"/>
    </row>
    <row r="164" spans="1:18" ht="15" customHeight="1" x14ac:dyDescent="0.25">
      <c r="A164" s="4" t="s">
        <v>627</v>
      </c>
      <c r="B164" s="5" t="s">
        <v>624</v>
      </c>
      <c r="C164" s="5" t="str">
        <f t="shared" si="16"/>
        <v>400</v>
      </c>
      <c r="D164" s="5" t="str">
        <f t="shared" si="17"/>
        <v>400</v>
      </c>
      <c r="E164" s="6" t="s">
        <v>44</v>
      </c>
      <c r="F164" s="9">
        <f t="shared" si="18"/>
        <v>2.8</v>
      </c>
      <c r="G164" s="9">
        <f t="shared" si="19"/>
        <v>2.8</v>
      </c>
      <c r="H164" s="5" t="s">
        <v>318</v>
      </c>
      <c r="I164" s="5" t="s">
        <v>118</v>
      </c>
      <c r="J164" s="10">
        <f t="shared" si="20"/>
        <v>0.16</v>
      </c>
      <c r="K164" s="11">
        <f t="shared" si="23"/>
        <v>6.3</v>
      </c>
      <c r="L164" s="6" t="s">
        <v>8</v>
      </c>
      <c r="M164" s="6" t="s">
        <v>50</v>
      </c>
      <c r="N164" s="5" t="s">
        <v>628</v>
      </c>
      <c r="O164" s="5" t="s">
        <v>629</v>
      </c>
      <c r="P164" s="26">
        <f t="shared" si="21"/>
        <v>160</v>
      </c>
      <c r="Q164" s="26">
        <f t="shared" si="22"/>
        <v>368</v>
      </c>
      <c r="R164" s="10"/>
    </row>
    <row r="165" spans="1:18" ht="15" customHeight="1" x14ac:dyDescent="0.25">
      <c r="A165" s="4" t="s">
        <v>630</v>
      </c>
      <c r="B165" s="5" t="s">
        <v>631</v>
      </c>
      <c r="C165" s="5" t="str">
        <f t="shared" si="16"/>
        <v>40</v>
      </c>
      <c r="D165" s="5" t="str">
        <f t="shared" si="17"/>
        <v>40</v>
      </c>
      <c r="E165" s="6" t="s">
        <v>44</v>
      </c>
      <c r="F165" s="9">
        <f t="shared" si="18"/>
        <v>2.8</v>
      </c>
      <c r="G165" s="9">
        <f t="shared" si="19"/>
        <v>2.8</v>
      </c>
      <c r="H165" s="5" t="s">
        <v>318</v>
      </c>
      <c r="I165" s="5" t="s">
        <v>63</v>
      </c>
      <c r="J165" s="10">
        <f t="shared" si="20"/>
        <v>1</v>
      </c>
      <c r="K165" s="11">
        <f t="shared" si="23"/>
        <v>1</v>
      </c>
      <c r="L165" s="6" t="s">
        <v>8</v>
      </c>
      <c r="M165" s="6" t="s">
        <v>9</v>
      </c>
      <c r="N165" s="5" t="s">
        <v>632</v>
      </c>
      <c r="O165" s="5" t="s">
        <v>633</v>
      </c>
      <c r="P165" s="26">
        <f t="shared" si="21"/>
        <v>69</v>
      </c>
      <c r="Q165" s="26">
        <f t="shared" si="22"/>
        <v>65</v>
      </c>
      <c r="R165" s="10"/>
    </row>
    <row r="166" spans="1:18" ht="15" customHeight="1" x14ac:dyDescent="0.25">
      <c r="A166" s="4" t="s">
        <v>634</v>
      </c>
      <c r="B166" s="5" t="s">
        <v>635</v>
      </c>
      <c r="C166" s="5" t="str">
        <f t="shared" si="16"/>
        <v>45</v>
      </c>
      <c r="D166" s="5" t="str">
        <f t="shared" si="17"/>
        <v>45</v>
      </c>
      <c r="E166" s="6" t="s">
        <v>44</v>
      </c>
      <c r="F166" s="9">
        <f t="shared" si="18"/>
        <v>2.8</v>
      </c>
      <c r="G166" s="9">
        <f t="shared" si="19"/>
        <v>2.8</v>
      </c>
      <c r="H166" s="5" t="s">
        <v>27</v>
      </c>
      <c r="I166" s="5" t="s">
        <v>68</v>
      </c>
      <c r="J166" s="10">
        <f t="shared" si="20"/>
        <v>0.5</v>
      </c>
      <c r="K166" s="11">
        <f t="shared" si="23"/>
        <v>2</v>
      </c>
      <c r="L166" s="6" t="s">
        <v>8</v>
      </c>
      <c r="M166" s="6" t="s">
        <v>50</v>
      </c>
      <c r="N166" s="5" t="s">
        <v>636</v>
      </c>
      <c r="O166" s="5" t="s">
        <v>637</v>
      </c>
      <c r="P166" s="26">
        <f t="shared" si="21"/>
        <v>83</v>
      </c>
      <c r="Q166" s="26">
        <f t="shared" si="22"/>
        <v>112</v>
      </c>
      <c r="R166" s="10"/>
    </row>
    <row r="167" spans="1:18" ht="15" customHeight="1" x14ac:dyDescent="0.25">
      <c r="A167" s="4" t="s">
        <v>638</v>
      </c>
      <c r="B167" s="5" t="s">
        <v>635</v>
      </c>
      <c r="C167" s="5" t="str">
        <f t="shared" si="16"/>
        <v>45</v>
      </c>
      <c r="D167" s="5" t="str">
        <f t="shared" si="17"/>
        <v>45</v>
      </c>
      <c r="E167" s="6" t="s">
        <v>157</v>
      </c>
      <c r="F167" s="9">
        <f t="shared" si="18"/>
        <v>1.8</v>
      </c>
      <c r="G167" s="9">
        <f t="shared" si="19"/>
        <v>1.8</v>
      </c>
      <c r="H167" s="5" t="s">
        <v>56</v>
      </c>
      <c r="I167" s="5" t="s">
        <v>99</v>
      </c>
      <c r="J167" s="10">
        <f t="shared" si="20"/>
        <v>0.3</v>
      </c>
      <c r="K167" s="11">
        <f t="shared" si="23"/>
        <v>3.3</v>
      </c>
      <c r="L167" s="6" t="s">
        <v>8</v>
      </c>
      <c r="M167" s="6" t="s">
        <v>50</v>
      </c>
      <c r="N167" s="5" t="s">
        <v>64</v>
      </c>
      <c r="O167" s="5" t="s">
        <v>639</v>
      </c>
      <c r="P167" s="26">
        <f t="shared" si="21"/>
        <v>81</v>
      </c>
      <c r="Q167" s="26">
        <f t="shared" si="22"/>
        <v>92</v>
      </c>
      <c r="R167" s="10"/>
    </row>
    <row r="168" spans="1:18" ht="15" customHeight="1" x14ac:dyDescent="0.25">
      <c r="A168" s="4" t="s">
        <v>640</v>
      </c>
      <c r="B168" s="5" t="s">
        <v>641</v>
      </c>
      <c r="C168" s="5" t="str">
        <f t="shared" si="16"/>
        <v xml:space="preserve">50 </v>
      </c>
      <c r="D168" s="5" t="str">
        <f t="shared" si="17"/>
        <v>100</v>
      </c>
      <c r="E168" s="6" t="s">
        <v>157</v>
      </c>
      <c r="F168" s="9">
        <f t="shared" si="18"/>
        <v>1.8</v>
      </c>
      <c r="G168" s="9">
        <f t="shared" si="19"/>
        <v>1.8</v>
      </c>
      <c r="H168" s="5" t="s">
        <v>21</v>
      </c>
      <c r="I168" s="5" t="s">
        <v>22</v>
      </c>
      <c r="J168" s="10">
        <f t="shared" si="20"/>
        <v>0.15</v>
      </c>
      <c r="K168" s="11">
        <f t="shared" si="23"/>
        <v>6.7</v>
      </c>
      <c r="L168" s="6" t="s">
        <v>8</v>
      </c>
      <c r="M168" s="6" t="s">
        <v>9</v>
      </c>
      <c r="N168" s="5" t="s">
        <v>642</v>
      </c>
      <c r="O168" s="5" t="s">
        <v>643</v>
      </c>
      <c r="P168" s="26">
        <f t="shared" si="21"/>
        <v>94</v>
      </c>
      <c r="Q168" s="26">
        <f t="shared" si="22"/>
        <v>170</v>
      </c>
      <c r="R168" s="10"/>
    </row>
    <row r="169" spans="1:18" x14ac:dyDescent="0.25">
      <c r="A169" s="4" t="s">
        <v>644</v>
      </c>
      <c r="B169" s="5" t="s">
        <v>645</v>
      </c>
      <c r="C169" s="5" t="str">
        <f t="shared" si="16"/>
        <v xml:space="preserve">50 </v>
      </c>
      <c r="D169" s="5" t="str">
        <f t="shared" si="17"/>
        <v>135</v>
      </c>
      <c r="E169" s="6" t="s">
        <v>44</v>
      </c>
      <c r="F169" s="9">
        <f t="shared" si="18"/>
        <v>2.8</v>
      </c>
      <c r="G169" s="9">
        <f t="shared" si="19"/>
        <v>2.8</v>
      </c>
      <c r="H169" s="5" t="s">
        <v>56</v>
      </c>
      <c r="I169" s="5" t="s">
        <v>16</v>
      </c>
      <c r="J169" s="10">
        <f t="shared" si="20"/>
        <v>0.17</v>
      </c>
      <c r="K169" s="11">
        <f t="shared" si="23"/>
        <v>5.9</v>
      </c>
      <c r="L169" s="6" t="s">
        <v>8</v>
      </c>
      <c r="M169" s="6" t="s">
        <v>9</v>
      </c>
      <c r="N169" s="5" t="s">
        <v>646</v>
      </c>
      <c r="O169" s="5" t="s">
        <v>647</v>
      </c>
      <c r="P169" s="26">
        <f t="shared" si="21"/>
        <v>78</v>
      </c>
      <c r="Q169" s="26">
        <f t="shared" si="22"/>
        <v>135</v>
      </c>
      <c r="R169" s="10"/>
    </row>
    <row r="170" spans="1:18" ht="15" customHeight="1" x14ac:dyDescent="0.25">
      <c r="A170" s="4" t="s">
        <v>648</v>
      </c>
      <c r="B170" s="5" t="s">
        <v>649</v>
      </c>
      <c r="C170" s="5" t="str">
        <f t="shared" si="16"/>
        <v xml:space="preserve">50 </v>
      </c>
      <c r="D170" s="5" t="str">
        <f t="shared" si="17"/>
        <v>150</v>
      </c>
      <c r="E170" s="6" t="s">
        <v>44</v>
      </c>
      <c r="F170" s="9">
        <f t="shared" si="18"/>
        <v>2.8</v>
      </c>
      <c r="G170" s="9">
        <f t="shared" si="19"/>
        <v>2.8</v>
      </c>
      <c r="H170" s="5" t="s">
        <v>27</v>
      </c>
      <c r="I170" s="5" t="s">
        <v>22</v>
      </c>
      <c r="J170" s="10">
        <f t="shared" si="20"/>
        <v>0.15</v>
      </c>
      <c r="K170" s="11">
        <f t="shared" si="23"/>
        <v>6.7</v>
      </c>
      <c r="L170" s="6" t="s">
        <v>8</v>
      </c>
      <c r="M170" s="6" t="s">
        <v>9</v>
      </c>
      <c r="N170" s="5" t="s">
        <v>650</v>
      </c>
      <c r="O170" s="5" t="s">
        <v>651</v>
      </c>
      <c r="P170" s="26">
        <f t="shared" si="21"/>
        <v>87</v>
      </c>
      <c r="Q170" s="26">
        <f t="shared" si="22"/>
        <v>198</v>
      </c>
      <c r="R170" s="10"/>
    </row>
    <row r="171" spans="1:18" ht="15" customHeight="1" x14ac:dyDescent="0.25">
      <c r="A171" s="4" t="s">
        <v>652</v>
      </c>
      <c r="B171" s="5" t="s">
        <v>649</v>
      </c>
      <c r="C171" s="5" t="str">
        <f t="shared" si="16"/>
        <v xml:space="preserve">50 </v>
      </c>
      <c r="D171" s="5" t="str">
        <f t="shared" si="17"/>
        <v>150</v>
      </c>
      <c r="E171" s="6" t="s">
        <v>44</v>
      </c>
      <c r="F171" s="9">
        <f t="shared" si="18"/>
        <v>2.8</v>
      </c>
      <c r="G171" s="9">
        <f t="shared" si="19"/>
        <v>2.8</v>
      </c>
      <c r="H171" s="5" t="s">
        <v>56</v>
      </c>
      <c r="I171" s="5" t="s">
        <v>36</v>
      </c>
      <c r="J171" s="10">
        <f t="shared" si="20"/>
        <v>0.18</v>
      </c>
      <c r="K171" s="11">
        <f t="shared" si="23"/>
        <v>5.6</v>
      </c>
      <c r="L171" s="6" t="s">
        <v>8</v>
      </c>
      <c r="M171" s="6" t="s">
        <v>9</v>
      </c>
      <c r="N171" s="5" t="s">
        <v>650</v>
      </c>
      <c r="O171" s="5" t="s">
        <v>653</v>
      </c>
      <c r="P171" s="26">
        <f t="shared" si="21"/>
        <v>77</v>
      </c>
      <c r="Q171" s="26">
        <f t="shared" si="22"/>
        <v>140</v>
      </c>
      <c r="R171" s="10"/>
    </row>
    <row r="172" spans="1:18" ht="15" customHeight="1" x14ac:dyDescent="0.25">
      <c r="A172" s="4" t="s">
        <v>654</v>
      </c>
      <c r="B172" s="5" t="s">
        <v>655</v>
      </c>
      <c r="C172" s="5" t="str">
        <f t="shared" si="16"/>
        <v xml:space="preserve">50 </v>
      </c>
      <c r="D172" s="5" t="str">
        <f t="shared" si="17"/>
        <v>200</v>
      </c>
      <c r="E172" s="6" t="s">
        <v>656</v>
      </c>
      <c r="F172" s="9">
        <f t="shared" si="18"/>
        <v>4</v>
      </c>
      <c r="G172" s="9">
        <f t="shared" si="19"/>
        <v>5.6</v>
      </c>
      <c r="H172" s="5" t="s">
        <v>62</v>
      </c>
      <c r="I172" s="5" t="s">
        <v>251</v>
      </c>
      <c r="J172" s="10">
        <f t="shared" si="20"/>
        <v>0.22</v>
      </c>
      <c r="K172" s="11">
        <f t="shared" si="23"/>
        <v>4.5</v>
      </c>
      <c r="L172" s="6" t="s">
        <v>8</v>
      </c>
      <c r="M172" s="6" t="s">
        <v>9</v>
      </c>
      <c r="N172" s="5" t="s">
        <v>303</v>
      </c>
      <c r="O172" s="5" t="s">
        <v>657</v>
      </c>
      <c r="P172" s="26">
        <f t="shared" si="21"/>
        <v>75</v>
      </c>
      <c r="Q172" s="26">
        <f t="shared" si="22"/>
        <v>102</v>
      </c>
      <c r="R172" s="10"/>
    </row>
    <row r="173" spans="1:18" ht="15" customHeight="1" x14ac:dyDescent="0.25">
      <c r="A173" s="4" t="s">
        <v>658</v>
      </c>
      <c r="B173" s="5" t="s">
        <v>659</v>
      </c>
      <c r="C173" s="5" t="str">
        <f t="shared" si="16"/>
        <v xml:space="preserve">50 </v>
      </c>
      <c r="D173" s="5" t="str">
        <f t="shared" si="17"/>
        <v>500</v>
      </c>
      <c r="E173" s="6" t="s">
        <v>660</v>
      </c>
      <c r="F173" s="9">
        <f t="shared" si="18"/>
        <v>4.5</v>
      </c>
      <c r="G173" s="9">
        <f t="shared" si="19"/>
        <v>6.3</v>
      </c>
      <c r="H173" s="5" t="s">
        <v>203</v>
      </c>
      <c r="I173" s="5" t="s">
        <v>349</v>
      </c>
      <c r="J173" s="10">
        <f t="shared" si="20"/>
        <v>0.32</v>
      </c>
      <c r="K173" s="11">
        <f t="shared" si="23"/>
        <v>3.1</v>
      </c>
      <c r="L173" s="6" t="s">
        <v>8</v>
      </c>
      <c r="M173" s="6" t="s">
        <v>50</v>
      </c>
      <c r="N173" s="5" t="s">
        <v>661</v>
      </c>
      <c r="O173" s="5" t="s">
        <v>662</v>
      </c>
      <c r="P173" s="26">
        <f t="shared" si="21"/>
        <v>105</v>
      </c>
      <c r="Q173" s="26">
        <f t="shared" si="22"/>
        <v>219</v>
      </c>
      <c r="R173" s="10"/>
    </row>
    <row r="174" spans="1:18" ht="15" customHeight="1" x14ac:dyDescent="0.25">
      <c r="A174" s="4" t="s">
        <v>663</v>
      </c>
      <c r="B174" s="5" t="s">
        <v>664</v>
      </c>
      <c r="C174" s="5" t="str">
        <f t="shared" si="16"/>
        <v>500</v>
      </c>
      <c r="D174" s="5" t="str">
        <f t="shared" si="17"/>
        <v>500</v>
      </c>
      <c r="E174" s="6" t="s">
        <v>49</v>
      </c>
      <c r="F174" s="9">
        <f t="shared" si="18"/>
        <v>4</v>
      </c>
      <c r="G174" s="9">
        <f t="shared" si="19"/>
        <v>4</v>
      </c>
      <c r="H174" s="5" t="s">
        <v>6</v>
      </c>
      <c r="I174" s="5" t="s">
        <v>122</v>
      </c>
      <c r="J174" s="10">
        <f t="shared" si="20"/>
        <v>0.14000000000000001</v>
      </c>
      <c r="K174" s="11">
        <f t="shared" si="23"/>
        <v>7.1</v>
      </c>
      <c r="L174" s="6" t="s">
        <v>8</v>
      </c>
      <c r="M174" s="6" t="s">
        <v>50</v>
      </c>
      <c r="N174" s="5" t="s">
        <v>665</v>
      </c>
      <c r="O174" s="5" t="s">
        <v>666</v>
      </c>
      <c r="P174" s="26">
        <f t="shared" si="21"/>
        <v>140</v>
      </c>
      <c r="Q174" s="26">
        <f t="shared" si="22"/>
        <v>387</v>
      </c>
      <c r="R174" s="10"/>
    </row>
    <row r="175" spans="1:18" ht="15" customHeight="1" x14ac:dyDescent="0.25">
      <c r="A175" s="4" t="s">
        <v>667</v>
      </c>
      <c r="B175" s="5" t="s">
        <v>664</v>
      </c>
      <c r="C175" s="5" t="str">
        <f t="shared" si="16"/>
        <v>500</v>
      </c>
      <c r="D175" s="5" t="str">
        <f t="shared" si="17"/>
        <v>500</v>
      </c>
      <c r="E175" s="6" t="s">
        <v>49</v>
      </c>
      <c r="F175" s="9">
        <f t="shared" si="18"/>
        <v>4</v>
      </c>
      <c r="G175" s="9">
        <f t="shared" si="19"/>
        <v>4</v>
      </c>
      <c r="H175" s="5" t="s">
        <v>318</v>
      </c>
      <c r="I175" s="5" t="s">
        <v>122</v>
      </c>
      <c r="J175" s="10">
        <f t="shared" si="20"/>
        <v>0.14000000000000001</v>
      </c>
      <c r="K175" s="11">
        <f t="shared" si="23"/>
        <v>7.1</v>
      </c>
      <c r="L175" s="6" t="s">
        <v>8</v>
      </c>
      <c r="M175" s="6" t="s">
        <v>50</v>
      </c>
      <c r="N175" s="5" t="s">
        <v>668</v>
      </c>
      <c r="O175" s="5" t="s">
        <v>669</v>
      </c>
      <c r="P175" s="26">
        <f t="shared" si="21"/>
        <v>140</v>
      </c>
      <c r="Q175" s="26">
        <f t="shared" si="22"/>
        <v>391</v>
      </c>
      <c r="R175" s="10"/>
    </row>
    <row r="176" spans="1:18" ht="15" customHeight="1" x14ac:dyDescent="0.25">
      <c r="A176" s="4" t="s">
        <v>670</v>
      </c>
      <c r="B176" s="5" t="s">
        <v>664</v>
      </c>
      <c r="C176" s="5" t="str">
        <f t="shared" si="16"/>
        <v>500</v>
      </c>
      <c r="D176" s="5" t="str">
        <f t="shared" si="17"/>
        <v>500</v>
      </c>
      <c r="E176" s="6" t="s">
        <v>671</v>
      </c>
      <c r="F176" s="9">
        <f t="shared" si="18"/>
        <v>4.5</v>
      </c>
      <c r="G176" s="9">
        <f t="shared" si="19"/>
        <v>4.5</v>
      </c>
      <c r="H176" s="5" t="s">
        <v>6</v>
      </c>
      <c r="I176" s="5" t="s">
        <v>76</v>
      </c>
      <c r="J176" s="10">
        <f t="shared" si="20"/>
        <v>0.13</v>
      </c>
      <c r="K176" s="11">
        <f t="shared" si="23"/>
        <v>7.7</v>
      </c>
      <c r="L176" s="6" t="s">
        <v>8</v>
      </c>
      <c r="M176" s="6" t="s">
        <v>50</v>
      </c>
      <c r="N176" s="5" t="s">
        <v>672</v>
      </c>
      <c r="O176" s="5" t="s">
        <v>673</v>
      </c>
      <c r="P176" s="26">
        <f t="shared" si="21"/>
        <v>123</v>
      </c>
      <c r="Q176" s="26">
        <f t="shared" si="22"/>
        <v>350</v>
      </c>
      <c r="R176" s="10"/>
    </row>
    <row r="177" spans="1:18" x14ac:dyDescent="0.25">
      <c r="A177" s="4" t="s">
        <v>674</v>
      </c>
      <c r="B177" s="5" t="s">
        <v>664</v>
      </c>
      <c r="C177" s="5" t="str">
        <f t="shared" si="16"/>
        <v>500</v>
      </c>
      <c r="D177" s="5" t="str">
        <f t="shared" si="17"/>
        <v>500</v>
      </c>
      <c r="E177" s="6" t="s">
        <v>49</v>
      </c>
      <c r="F177" s="9">
        <f t="shared" si="18"/>
        <v>4</v>
      </c>
      <c r="G177" s="9">
        <f t="shared" si="19"/>
        <v>4</v>
      </c>
      <c r="H177" s="5" t="s">
        <v>6</v>
      </c>
      <c r="I177" s="5" t="s">
        <v>22</v>
      </c>
      <c r="J177" s="10">
        <f t="shared" si="20"/>
        <v>0.15</v>
      </c>
      <c r="K177" s="11">
        <f t="shared" si="23"/>
        <v>6.7</v>
      </c>
      <c r="L177" s="6" t="s">
        <v>8</v>
      </c>
      <c r="M177" s="6" t="s">
        <v>50</v>
      </c>
      <c r="N177" s="5" t="s">
        <v>675</v>
      </c>
      <c r="O177" s="5" t="s">
        <v>676</v>
      </c>
      <c r="P177" s="26">
        <f t="shared" si="21"/>
        <v>145</v>
      </c>
      <c r="Q177" s="26">
        <f t="shared" si="22"/>
        <v>381</v>
      </c>
      <c r="R177" s="10"/>
    </row>
    <row r="178" spans="1:18" x14ac:dyDescent="0.25">
      <c r="A178" s="4" t="s">
        <v>677</v>
      </c>
      <c r="B178" s="5" t="s">
        <v>678</v>
      </c>
      <c r="C178" s="5" t="str">
        <f t="shared" si="16"/>
        <v>50</v>
      </c>
      <c r="D178" s="5" t="str">
        <f t="shared" si="17"/>
        <v>50</v>
      </c>
      <c r="E178" s="6" t="s">
        <v>80</v>
      </c>
      <c r="F178" s="9">
        <f t="shared" si="18"/>
        <v>1.4</v>
      </c>
      <c r="G178" s="9">
        <f t="shared" si="19"/>
        <v>1.4</v>
      </c>
      <c r="H178" s="5" t="s">
        <v>318</v>
      </c>
      <c r="I178" s="5" t="s">
        <v>22</v>
      </c>
      <c r="J178" s="10">
        <f t="shared" si="20"/>
        <v>0.15</v>
      </c>
      <c r="K178" s="11">
        <f t="shared" si="23"/>
        <v>6.7</v>
      </c>
      <c r="L178" s="6" t="s">
        <v>8</v>
      </c>
      <c r="M178" s="6" t="s">
        <v>50</v>
      </c>
      <c r="N178" s="5" t="s">
        <v>17</v>
      </c>
      <c r="O178" s="5" t="s">
        <v>679</v>
      </c>
      <c r="P178" s="26">
        <f t="shared" si="21"/>
        <v>64</v>
      </c>
      <c r="Q178" s="26">
        <f t="shared" si="22"/>
        <v>43</v>
      </c>
      <c r="R178" s="10"/>
    </row>
    <row r="179" spans="1:18" ht="15" customHeight="1" x14ac:dyDescent="0.25">
      <c r="A179" s="4" t="s">
        <v>680</v>
      </c>
      <c r="B179" s="5" t="s">
        <v>678</v>
      </c>
      <c r="C179" s="5" t="str">
        <f t="shared" si="16"/>
        <v>50</v>
      </c>
      <c r="D179" s="5" t="str">
        <f t="shared" si="17"/>
        <v>50</v>
      </c>
      <c r="E179" s="6" t="s">
        <v>157</v>
      </c>
      <c r="F179" s="9">
        <f t="shared" si="18"/>
        <v>1.8</v>
      </c>
      <c r="G179" s="9">
        <f t="shared" si="19"/>
        <v>1.8</v>
      </c>
      <c r="H179" s="5" t="s">
        <v>318</v>
      </c>
      <c r="I179" s="5" t="s">
        <v>22</v>
      </c>
      <c r="J179" s="10">
        <f t="shared" si="20"/>
        <v>0.15</v>
      </c>
      <c r="K179" s="11">
        <f t="shared" si="23"/>
        <v>6.7</v>
      </c>
      <c r="L179" s="6" t="s">
        <v>8</v>
      </c>
      <c r="M179" s="6" t="s">
        <v>50</v>
      </c>
      <c r="N179" s="5" t="s">
        <v>681</v>
      </c>
      <c r="O179" s="5" t="s">
        <v>682</v>
      </c>
      <c r="P179" s="26">
        <f t="shared" si="21"/>
        <v>64</v>
      </c>
      <c r="Q179" s="26">
        <f t="shared" si="22"/>
        <v>39</v>
      </c>
      <c r="R179" s="10"/>
    </row>
    <row r="180" spans="1:18" ht="15" customHeight="1" x14ac:dyDescent="0.25">
      <c r="A180" s="4" t="s">
        <v>683</v>
      </c>
      <c r="B180" s="5" t="s">
        <v>678</v>
      </c>
      <c r="C180" s="5" t="str">
        <f t="shared" si="16"/>
        <v>50</v>
      </c>
      <c r="D180" s="5" t="str">
        <f t="shared" si="17"/>
        <v>50</v>
      </c>
      <c r="E180" s="6" t="s">
        <v>80</v>
      </c>
      <c r="F180" s="9">
        <f t="shared" si="18"/>
        <v>1.4</v>
      </c>
      <c r="G180" s="9">
        <f t="shared" si="19"/>
        <v>1.4</v>
      </c>
      <c r="H180" s="5" t="s">
        <v>91</v>
      </c>
      <c r="I180" s="5" t="s">
        <v>22</v>
      </c>
      <c r="J180" s="10">
        <f t="shared" si="20"/>
        <v>0.15</v>
      </c>
      <c r="K180" s="11">
        <f t="shared" si="23"/>
        <v>6.7</v>
      </c>
      <c r="L180" s="6" t="s">
        <v>8</v>
      </c>
      <c r="M180" s="6" t="s">
        <v>50</v>
      </c>
      <c r="N180" s="5" t="s">
        <v>632</v>
      </c>
      <c r="O180" s="5" t="s">
        <v>684</v>
      </c>
      <c r="P180" s="26">
        <f t="shared" si="21"/>
        <v>74</v>
      </c>
      <c r="Q180" s="26">
        <f t="shared" si="22"/>
        <v>54</v>
      </c>
      <c r="R180" s="10"/>
    </row>
    <row r="181" spans="1:18" ht="15" customHeight="1" x14ac:dyDescent="0.25">
      <c r="A181" s="4" t="s">
        <v>685</v>
      </c>
      <c r="B181" s="5" t="s">
        <v>678</v>
      </c>
      <c r="C181" s="5" t="str">
        <f t="shared" si="16"/>
        <v>50</v>
      </c>
      <c r="D181" s="5" t="str">
        <f t="shared" si="17"/>
        <v>50</v>
      </c>
      <c r="E181" s="6" t="s">
        <v>157</v>
      </c>
      <c r="F181" s="9">
        <f t="shared" si="18"/>
        <v>1.8</v>
      </c>
      <c r="G181" s="9">
        <f t="shared" si="19"/>
        <v>1.8</v>
      </c>
      <c r="H181" s="5" t="s">
        <v>91</v>
      </c>
      <c r="I181" s="5" t="s">
        <v>22</v>
      </c>
      <c r="J181" s="10">
        <f t="shared" si="20"/>
        <v>0.15</v>
      </c>
      <c r="K181" s="11">
        <f t="shared" si="23"/>
        <v>6.7</v>
      </c>
      <c r="L181" s="6" t="s">
        <v>8</v>
      </c>
      <c r="M181" s="6" t="s">
        <v>50</v>
      </c>
      <c r="N181" s="5" t="s">
        <v>686</v>
      </c>
      <c r="O181" s="5" t="s">
        <v>687</v>
      </c>
      <c r="P181" s="26">
        <f t="shared" si="21"/>
        <v>72</v>
      </c>
      <c r="Q181" s="26">
        <f t="shared" si="22"/>
        <v>52</v>
      </c>
      <c r="R181" s="10"/>
    </row>
    <row r="182" spans="1:18" x14ac:dyDescent="0.25">
      <c r="A182" s="4" t="s">
        <v>688</v>
      </c>
      <c r="B182" s="5" t="s">
        <v>678</v>
      </c>
      <c r="C182" s="5" t="str">
        <f t="shared" si="16"/>
        <v>50</v>
      </c>
      <c r="D182" s="5" t="str">
        <f t="shared" si="17"/>
        <v>50</v>
      </c>
      <c r="E182" s="6" t="s">
        <v>157</v>
      </c>
      <c r="F182" s="9">
        <f t="shared" si="18"/>
        <v>1.8</v>
      </c>
      <c r="G182" s="9">
        <f t="shared" si="19"/>
        <v>1.8</v>
      </c>
      <c r="H182" s="5" t="s">
        <v>91</v>
      </c>
      <c r="I182" s="5" t="s">
        <v>22</v>
      </c>
      <c r="J182" s="10">
        <f t="shared" si="20"/>
        <v>0.15</v>
      </c>
      <c r="K182" s="11">
        <f t="shared" si="23"/>
        <v>6.7</v>
      </c>
      <c r="L182" s="6" t="s">
        <v>8</v>
      </c>
      <c r="M182" s="6" t="s">
        <v>50</v>
      </c>
      <c r="N182" s="5" t="s">
        <v>689</v>
      </c>
      <c r="O182" s="5" t="s">
        <v>690</v>
      </c>
      <c r="P182" s="26">
        <f t="shared" si="21"/>
        <v>73</v>
      </c>
      <c r="Q182" s="26">
        <f t="shared" si="22"/>
        <v>53</v>
      </c>
      <c r="R182" s="10"/>
    </row>
    <row r="183" spans="1:18" x14ac:dyDescent="0.25">
      <c r="A183" s="4" t="s">
        <v>694</v>
      </c>
      <c r="B183" s="5" t="s">
        <v>678</v>
      </c>
      <c r="C183" s="5" t="str">
        <f t="shared" si="16"/>
        <v>50</v>
      </c>
      <c r="D183" s="5" t="str">
        <f t="shared" si="17"/>
        <v>50</v>
      </c>
      <c r="E183" s="6" t="s">
        <v>80</v>
      </c>
      <c r="F183" s="9">
        <f t="shared" si="18"/>
        <v>1.4</v>
      </c>
      <c r="G183" s="9">
        <f t="shared" si="19"/>
        <v>1.4</v>
      </c>
      <c r="H183" s="5" t="s">
        <v>27</v>
      </c>
      <c r="I183" s="5" t="s">
        <v>76</v>
      </c>
      <c r="J183" s="10">
        <f t="shared" si="20"/>
        <v>0.13</v>
      </c>
      <c r="K183" s="11">
        <f t="shared" si="23"/>
        <v>7.7</v>
      </c>
      <c r="L183" s="6" t="s">
        <v>8</v>
      </c>
      <c r="M183" s="6" t="s">
        <v>50</v>
      </c>
      <c r="N183" s="5" t="s">
        <v>308</v>
      </c>
      <c r="O183" s="5" t="s">
        <v>695</v>
      </c>
      <c r="P183" s="26">
        <f t="shared" si="21"/>
        <v>85</v>
      </c>
      <c r="Q183" s="26">
        <f t="shared" si="22"/>
        <v>68</v>
      </c>
      <c r="R183" s="10"/>
    </row>
    <row r="184" spans="1:18" ht="15" customHeight="1" x14ac:dyDescent="0.25">
      <c r="A184" s="4" t="s">
        <v>696</v>
      </c>
      <c r="B184" s="5" t="s">
        <v>678</v>
      </c>
      <c r="C184" s="5" t="str">
        <f t="shared" si="16"/>
        <v>50</v>
      </c>
      <c r="D184" s="5" t="str">
        <f t="shared" si="17"/>
        <v>50</v>
      </c>
      <c r="E184" s="6" t="s">
        <v>44</v>
      </c>
      <c r="F184" s="9">
        <f t="shared" si="18"/>
        <v>2.8</v>
      </c>
      <c r="G184" s="9">
        <f t="shared" si="19"/>
        <v>2.8</v>
      </c>
      <c r="H184" s="5" t="s">
        <v>62</v>
      </c>
      <c r="I184" s="5" t="s">
        <v>63</v>
      </c>
      <c r="J184" s="10">
        <f t="shared" si="20"/>
        <v>1</v>
      </c>
      <c r="K184" s="11">
        <f t="shared" si="23"/>
        <v>1</v>
      </c>
      <c r="L184" s="6" t="s">
        <v>8</v>
      </c>
      <c r="M184" s="6" t="s">
        <v>50</v>
      </c>
      <c r="N184" s="5" t="s">
        <v>697</v>
      </c>
      <c r="O184" s="5" t="s">
        <v>698</v>
      </c>
      <c r="P184" s="26">
        <f t="shared" si="21"/>
        <v>72</v>
      </c>
      <c r="Q184" s="26">
        <f t="shared" si="22"/>
        <v>64</v>
      </c>
      <c r="R184" s="10"/>
    </row>
    <row r="185" spans="1:18" ht="15" customHeight="1" x14ac:dyDescent="0.25">
      <c r="A185" s="4" t="s">
        <v>699</v>
      </c>
      <c r="B185" s="5" t="s">
        <v>678</v>
      </c>
      <c r="C185" s="5" t="str">
        <f t="shared" si="16"/>
        <v>50</v>
      </c>
      <c r="D185" s="5" t="str">
        <f t="shared" si="17"/>
        <v>50</v>
      </c>
      <c r="E185" s="6" t="s">
        <v>80</v>
      </c>
      <c r="F185" s="9">
        <f t="shared" si="18"/>
        <v>1.4</v>
      </c>
      <c r="G185" s="9">
        <f t="shared" si="19"/>
        <v>1.4</v>
      </c>
      <c r="H185" s="5" t="s">
        <v>27</v>
      </c>
      <c r="I185" s="5" t="s">
        <v>16</v>
      </c>
      <c r="J185" s="10">
        <f t="shared" si="20"/>
        <v>0.17</v>
      </c>
      <c r="K185" s="11">
        <f t="shared" si="23"/>
        <v>5.9</v>
      </c>
      <c r="L185" s="6" t="s">
        <v>8</v>
      </c>
      <c r="M185" s="6" t="s">
        <v>50</v>
      </c>
      <c r="N185" s="5" t="s">
        <v>150</v>
      </c>
      <c r="O185" s="5" t="s">
        <v>700</v>
      </c>
      <c r="P185" s="26">
        <f t="shared" si="21"/>
        <v>86</v>
      </c>
      <c r="Q185" s="26">
        <f t="shared" si="22"/>
        <v>100</v>
      </c>
      <c r="R185" s="10"/>
    </row>
    <row r="186" spans="1:18" ht="15" customHeight="1" x14ac:dyDescent="0.25">
      <c r="A186" s="4" t="s">
        <v>701</v>
      </c>
      <c r="B186" s="5" t="s">
        <v>678</v>
      </c>
      <c r="C186" s="5" t="str">
        <f t="shared" si="16"/>
        <v>50</v>
      </c>
      <c r="D186" s="5" t="str">
        <f t="shared" si="17"/>
        <v>50</v>
      </c>
      <c r="E186" s="6" t="s">
        <v>67</v>
      </c>
      <c r="F186" s="9">
        <f t="shared" si="18"/>
        <v>2</v>
      </c>
      <c r="G186" s="9">
        <f t="shared" si="19"/>
        <v>2</v>
      </c>
      <c r="H186" s="5" t="s">
        <v>56</v>
      </c>
      <c r="I186" s="5" t="s">
        <v>68</v>
      </c>
      <c r="J186" s="10">
        <f t="shared" si="20"/>
        <v>0.5</v>
      </c>
      <c r="K186" s="11">
        <f t="shared" si="23"/>
        <v>2</v>
      </c>
      <c r="L186" s="6" t="s">
        <v>8</v>
      </c>
      <c r="M186" s="6" t="s">
        <v>50</v>
      </c>
      <c r="N186" s="5" t="s">
        <v>562</v>
      </c>
      <c r="O186" s="5" t="s">
        <v>702</v>
      </c>
      <c r="P186" s="26">
        <f t="shared" si="21"/>
        <v>72</v>
      </c>
      <c r="Q186" s="26">
        <f t="shared" si="22"/>
        <v>91</v>
      </c>
      <c r="R186" s="10"/>
    </row>
    <row r="187" spans="1:18" ht="15" customHeight="1" x14ac:dyDescent="0.25">
      <c r="A187" s="4" t="s">
        <v>703</v>
      </c>
      <c r="B187" s="5" t="s">
        <v>678</v>
      </c>
      <c r="C187" s="5" t="str">
        <f t="shared" si="16"/>
        <v>50</v>
      </c>
      <c r="D187" s="5" t="str">
        <f t="shared" si="17"/>
        <v>50</v>
      </c>
      <c r="E187" s="6" t="s">
        <v>80</v>
      </c>
      <c r="F187" s="9">
        <f t="shared" si="18"/>
        <v>1.4</v>
      </c>
      <c r="G187" s="9">
        <f t="shared" si="19"/>
        <v>1.4</v>
      </c>
      <c r="H187" s="5" t="s">
        <v>56</v>
      </c>
      <c r="I187" s="5" t="s">
        <v>22</v>
      </c>
      <c r="J187" s="10">
        <f t="shared" si="20"/>
        <v>0.15</v>
      </c>
      <c r="K187" s="11">
        <f t="shared" si="23"/>
        <v>6.7</v>
      </c>
      <c r="L187" s="6" t="s">
        <v>8</v>
      </c>
      <c r="M187" s="6" t="s">
        <v>50</v>
      </c>
      <c r="N187" s="5" t="s">
        <v>704</v>
      </c>
      <c r="O187" s="5" t="s">
        <v>705</v>
      </c>
      <c r="P187" s="26">
        <f t="shared" si="21"/>
        <v>83</v>
      </c>
      <c r="Q187" s="26">
        <f t="shared" si="22"/>
        <v>94</v>
      </c>
      <c r="R187" s="10"/>
    </row>
    <row r="188" spans="1:18" ht="15" customHeight="1" x14ac:dyDescent="0.25">
      <c r="A188" s="4" t="s">
        <v>706</v>
      </c>
      <c r="B188" s="5" t="s">
        <v>678</v>
      </c>
      <c r="C188" s="5" t="str">
        <f t="shared" si="16"/>
        <v>50</v>
      </c>
      <c r="D188" s="5" t="str">
        <f t="shared" si="17"/>
        <v>50</v>
      </c>
      <c r="E188" s="6" t="s">
        <v>67</v>
      </c>
      <c r="F188" s="9">
        <f t="shared" si="18"/>
        <v>2</v>
      </c>
      <c r="G188" s="9">
        <f t="shared" si="19"/>
        <v>2</v>
      </c>
      <c r="H188" s="5" t="s">
        <v>56</v>
      </c>
      <c r="I188" s="5" t="s">
        <v>68</v>
      </c>
      <c r="J188" s="10">
        <f t="shared" si="20"/>
        <v>0.5</v>
      </c>
      <c r="K188" s="11">
        <f t="shared" si="23"/>
        <v>2</v>
      </c>
      <c r="L188" s="6" t="s">
        <v>8</v>
      </c>
      <c r="M188" s="6" t="s">
        <v>50</v>
      </c>
      <c r="N188" s="5" t="s">
        <v>69</v>
      </c>
      <c r="O188" s="5" t="s">
        <v>707</v>
      </c>
      <c r="P188" s="26">
        <f t="shared" si="21"/>
        <v>81</v>
      </c>
      <c r="Q188" s="26">
        <f t="shared" si="22"/>
        <v>76</v>
      </c>
      <c r="R188" s="10"/>
    </row>
    <row r="189" spans="1:18" ht="15" customHeight="1" x14ac:dyDescent="0.25">
      <c r="A189" s="4" t="s">
        <v>710</v>
      </c>
      <c r="B189" s="5" t="s">
        <v>711</v>
      </c>
      <c r="C189" s="5" t="str">
        <f t="shared" si="16"/>
        <v xml:space="preserve">55 </v>
      </c>
      <c r="D189" s="5" t="str">
        <f t="shared" si="17"/>
        <v>200</v>
      </c>
      <c r="E189" s="6" t="s">
        <v>656</v>
      </c>
      <c r="F189" s="9">
        <f t="shared" si="18"/>
        <v>4</v>
      </c>
      <c r="G189" s="9">
        <f t="shared" si="19"/>
        <v>5.6</v>
      </c>
      <c r="H189" s="5" t="s">
        <v>318</v>
      </c>
      <c r="I189" s="5" t="s">
        <v>251</v>
      </c>
      <c r="J189" s="10">
        <f t="shared" si="20"/>
        <v>0.22</v>
      </c>
      <c r="K189" s="11">
        <f t="shared" si="23"/>
        <v>4.5</v>
      </c>
      <c r="L189" s="6" t="s">
        <v>8</v>
      </c>
      <c r="M189" s="6" t="s">
        <v>9</v>
      </c>
      <c r="N189" s="5" t="s">
        <v>712</v>
      </c>
      <c r="O189" s="5" t="s">
        <v>713</v>
      </c>
      <c r="P189" s="26">
        <f t="shared" si="21"/>
        <v>68</v>
      </c>
      <c r="Q189" s="26">
        <f t="shared" si="22"/>
        <v>79</v>
      </c>
      <c r="R189" s="10"/>
    </row>
    <row r="190" spans="1:18" ht="15" customHeight="1" x14ac:dyDescent="0.25">
      <c r="A190" s="4" t="s">
        <v>714</v>
      </c>
      <c r="B190" s="5" t="s">
        <v>711</v>
      </c>
      <c r="C190" s="5" t="str">
        <f t="shared" si="16"/>
        <v xml:space="preserve">55 </v>
      </c>
      <c r="D190" s="5" t="str">
        <f t="shared" si="17"/>
        <v>200</v>
      </c>
      <c r="E190" s="6" t="s">
        <v>715</v>
      </c>
      <c r="F190" s="9">
        <f t="shared" si="18"/>
        <v>4</v>
      </c>
      <c r="G190" s="9">
        <f t="shared" si="19"/>
        <v>2</v>
      </c>
      <c r="H190" s="5" t="s">
        <v>318</v>
      </c>
      <c r="I190" s="5" t="s">
        <v>158</v>
      </c>
      <c r="J190" s="10">
        <f t="shared" si="20"/>
        <v>0.23</v>
      </c>
      <c r="K190" s="11">
        <f t="shared" si="23"/>
        <v>4.3</v>
      </c>
      <c r="L190" s="6" t="s">
        <v>8</v>
      </c>
      <c r="M190" s="6" t="s">
        <v>9</v>
      </c>
      <c r="N190" s="5" t="s">
        <v>716</v>
      </c>
      <c r="O190" s="5" t="s">
        <v>717</v>
      </c>
      <c r="P190" s="26">
        <f t="shared" si="21"/>
        <v>71</v>
      </c>
      <c r="Q190" s="26">
        <f t="shared" si="22"/>
        <v>83</v>
      </c>
      <c r="R190" s="10"/>
    </row>
    <row r="191" spans="1:18" ht="15" customHeight="1" x14ac:dyDescent="0.25">
      <c r="A191" s="4" t="s">
        <v>718</v>
      </c>
      <c r="B191" s="5" t="s">
        <v>711</v>
      </c>
      <c r="C191" s="5" t="str">
        <f t="shared" si="16"/>
        <v xml:space="preserve">55 </v>
      </c>
      <c r="D191" s="5" t="str">
        <f t="shared" si="17"/>
        <v>200</v>
      </c>
      <c r="E191" s="6" t="s">
        <v>656</v>
      </c>
      <c r="F191" s="9">
        <f t="shared" si="18"/>
        <v>4</v>
      </c>
      <c r="G191" s="9">
        <f t="shared" si="19"/>
        <v>5.6</v>
      </c>
      <c r="H191" s="5" t="s">
        <v>318</v>
      </c>
      <c r="I191" s="5" t="s">
        <v>353</v>
      </c>
      <c r="J191" s="10">
        <f t="shared" si="20"/>
        <v>0.28999999999999998</v>
      </c>
      <c r="K191" s="11">
        <f t="shared" si="23"/>
        <v>3.4</v>
      </c>
      <c r="L191" s="6" t="s">
        <v>8</v>
      </c>
      <c r="M191" s="6" t="s">
        <v>9</v>
      </c>
      <c r="N191" s="5" t="s">
        <v>719</v>
      </c>
      <c r="O191" s="5" t="s">
        <v>720</v>
      </c>
      <c r="P191" s="26">
        <f t="shared" si="21"/>
        <v>74</v>
      </c>
      <c r="Q191" s="26">
        <f t="shared" si="22"/>
        <v>100</v>
      </c>
      <c r="R191" s="10"/>
    </row>
    <row r="192" spans="1:18" ht="15" customHeight="1" x14ac:dyDescent="0.25">
      <c r="A192" s="4" t="s">
        <v>721</v>
      </c>
      <c r="B192" s="5" t="s">
        <v>711</v>
      </c>
      <c r="C192" s="5" t="str">
        <f t="shared" si="16"/>
        <v xml:space="preserve">55 </v>
      </c>
      <c r="D192" s="5" t="str">
        <f t="shared" si="17"/>
        <v>200</v>
      </c>
      <c r="E192" s="6" t="s">
        <v>656</v>
      </c>
      <c r="F192" s="9">
        <f t="shared" si="18"/>
        <v>4</v>
      </c>
      <c r="G192" s="9">
        <f t="shared" si="19"/>
        <v>5.6</v>
      </c>
      <c r="H192" s="5" t="s">
        <v>318</v>
      </c>
      <c r="I192" s="5" t="s">
        <v>343</v>
      </c>
      <c r="J192" s="10">
        <f t="shared" si="20"/>
        <v>0.28000000000000003</v>
      </c>
      <c r="K192" s="11">
        <f t="shared" si="23"/>
        <v>3.6</v>
      </c>
      <c r="L192" s="6" t="s">
        <v>8</v>
      </c>
      <c r="M192" s="6" t="s">
        <v>9</v>
      </c>
      <c r="N192" s="5" t="s">
        <v>722</v>
      </c>
      <c r="O192" s="5" t="s">
        <v>723</v>
      </c>
      <c r="P192" s="26">
        <f t="shared" si="21"/>
        <v>72</v>
      </c>
      <c r="Q192" s="26">
        <f t="shared" si="22"/>
        <v>83</v>
      </c>
      <c r="R192" s="10"/>
    </row>
    <row r="193" spans="1:18" ht="15" customHeight="1" x14ac:dyDescent="0.25">
      <c r="A193" s="4" t="s">
        <v>724</v>
      </c>
      <c r="B193" s="5" t="s">
        <v>725</v>
      </c>
      <c r="C193" s="5" t="str">
        <f t="shared" si="16"/>
        <v xml:space="preserve">55 </v>
      </c>
      <c r="D193" s="5" t="str">
        <f t="shared" si="17"/>
        <v>300</v>
      </c>
      <c r="E193" s="6" t="s">
        <v>14</v>
      </c>
      <c r="F193" s="9">
        <f t="shared" si="18"/>
        <v>4.5</v>
      </c>
      <c r="G193" s="9">
        <f t="shared" si="19"/>
        <v>5.6</v>
      </c>
      <c r="H193" s="5" t="s">
        <v>91</v>
      </c>
      <c r="I193" s="5" t="s">
        <v>343</v>
      </c>
      <c r="J193" s="10">
        <f t="shared" si="20"/>
        <v>0.28000000000000003</v>
      </c>
      <c r="K193" s="11">
        <f t="shared" si="23"/>
        <v>3.6</v>
      </c>
      <c r="L193" s="6" t="s">
        <v>8</v>
      </c>
      <c r="M193" s="6" t="s">
        <v>9</v>
      </c>
      <c r="N193" s="5" t="s">
        <v>726</v>
      </c>
      <c r="O193" s="5" t="s">
        <v>727</v>
      </c>
      <c r="P193" s="26">
        <f t="shared" si="21"/>
        <v>77</v>
      </c>
      <c r="Q193" s="26">
        <f t="shared" si="22"/>
        <v>123</v>
      </c>
      <c r="R193" s="10"/>
    </row>
    <row r="194" spans="1:18" ht="15" customHeight="1" x14ac:dyDescent="0.25">
      <c r="A194" s="4" t="s">
        <v>731</v>
      </c>
      <c r="B194" s="5" t="s">
        <v>91</v>
      </c>
      <c r="C194" s="5" t="str">
        <f t="shared" ref="C194:C241" si="24">IFERROR(LEFT(B194,(FIND("-",B194)-1)),LEFT(B194,FIND("mm",B194)-1))</f>
        <v>58</v>
      </c>
      <c r="D194" s="5" t="str">
        <f t="shared" si="17"/>
        <v>58</v>
      </c>
      <c r="E194" s="6" t="s">
        <v>80</v>
      </c>
      <c r="F194" s="9">
        <f t="shared" si="18"/>
        <v>1.4</v>
      </c>
      <c r="G194" s="9">
        <f t="shared" si="19"/>
        <v>1.4</v>
      </c>
      <c r="H194" s="5" t="s">
        <v>15</v>
      </c>
      <c r="I194" s="5" t="s">
        <v>76</v>
      </c>
      <c r="J194" s="10">
        <f t="shared" si="20"/>
        <v>0.13</v>
      </c>
      <c r="K194" s="11">
        <f t="shared" si="23"/>
        <v>7.7</v>
      </c>
      <c r="L194" s="6" t="s">
        <v>8</v>
      </c>
      <c r="M194" s="6" t="s">
        <v>50</v>
      </c>
      <c r="N194" s="5" t="s">
        <v>363</v>
      </c>
      <c r="O194" s="5" t="s">
        <v>732</v>
      </c>
      <c r="P194" s="26">
        <f t="shared" si="21"/>
        <v>85</v>
      </c>
      <c r="Q194" s="26">
        <f t="shared" si="22"/>
        <v>70</v>
      </c>
      <c r="R194" s="10"/>
    </row>
    <row r="195" spans="1:18" ht="15" customHeight="1" x14ac:dyDescent="0.25">
      <c r="A195" s="4" t="s">
        <v>733</v>
      </c>
      <c r="B195" s="5" t="s">
        <v>734</v>
      </c>
      <c r="C195" s="5" t="str">
        <f t="shared" si="24"/>
        <v>600</v>
      </c>
      <c r="D195" s="5" t="str">
        <f t="shared" ref="D195:D241" si="25">IFERROR(RIGHT(LEFT(B195,FIND("m",B195)-1),LEN(LEFT(B195,FIND("m",B195)-1))-FIND("-",LEFT(B195,FIND("m",B195)-1))-1),C195)</f>
        <v>600</v>
      </c>
      <c r="E195" s="6" t="s">
        <v>49</v>
      </c>
      <c r="F195" s="9">
        <f t="shared" ref="F195:F241" si="26">convertStringPointToComma(LEFT(MID(E195,3,9),IFERROR(FIND("-",MID(E195,3,9))-2,3)))</f>
        <v>4</v>
      </c>
      <c r="G195" s="9">
        <f t="shared" ref="G195:G241" si="27">convertStringPointToComma(RIGHT(E195,IF(ISERROR(FIND(".",RIGHT(E195,3))),1,3)))</f>
        <v>4</v>
      </c>
      <c r="H195" s="5" t="s">
        <v>6</v>
      </c>
      <c r="I195" s="5" t="s">
        <v>122</v>
      </c>
      <c r="J195" s="10">
        <f t="shared" ref="J195:J240" si="28">convertStringPointToComma(LEFT(I195,LEN(I195)-1))</f>
        <v>0.14000000000000001</v>
      </c>
      <c r="K195" s="11">
        <f t="shared" si="23"/>
        <v>7.1</v>
      </c>
      <c r="L195" s="6" t="s">
        <v>8</v>
      </c>
      <c r="M195" s="6" t="s">
        <v>50</v>
      </c>
      <c r="N195" s="5" t="s">
        <v>735</v>
      </c>
      <c r="O195" s="5" t="s">
        <v>736</v>
      </c>
      <c r="P195" s="26">
        <f t="shared" ref="P195:P258" si="29">_xlfn.NUMBERVALUE(LEFT(O195,FIND("x",O195)-2))</f>
        <v>166</v>
      </c>
      <c r="Q195" s="26">
        <f t="shared" ref="Q195:Q258" si="30">_xlfn.NUMBERVALUE(LEFT(RIGHT(O195,LEN(O195)-FIND("x",O195)-1),LEN(RIGHT(O195,LEN(O195)-FIND("x",O195)-1))-2))</f>
        <v>432</v>
      </c>
      <c r="R195" s="10"/>
    </row>
    <row r="196" spans="1:18" ht="15" customHeight="1" x14ac:dyDescent="0.25">
      <c r="A196" s="4" t="s">
        <v>737</v>
      </c>
      <c r="B196" s="5" t="s">
        <v>734</v>
      </c>
      <c r="C196" s="5" t="str">
        <f t="shared" si="24"/>
        <v>600</v>
      </c>
      <c r="D196" s="5" t="str">
        <f t="shared" si="25"/>
        <v>600</v>
      </c>
      <c r="E196" s="6" t="s">
        <v>49</v>
      </c>
      <c r="F196" s="9">
        <f t="shared" si="26"/>
        <v>4</v>
      </c>
      <c r="G196" s="9">
        <f t="shared" si="27"/>
        <v>4</v>
      </c>
      <c r="H196" s="5" t="s">
        <v>318</v>
      </c>
      <c r="I196" s="5" t="s">
        <v>122</v>
      </c>
      <c r="J196" s="10">
        <f t="shared" si="28"/>
        <v>0.14000000000000001</v>
      </c>
      <c r="K196" s="11">
        <f t="shared" ref="K196:K240" si="31">ROUND(1/J196,1)</f>
        <v>7.1</v>
      </c>
      <c r="L196" s="6" t="s">
        <v>8</v>
      </c>
      <c r="M196" s="6" t="s">
        <v>50</v>
      </c>
      <c r="N196" s="5" t="s">
        <v>738</v>
      </c>
      <c r="O196" s="5" t="s">
        <v>739</v>
      </c>
      <c r="P196" s="26">
        <f t="shared" si="29"/>
        <v>166</v>
      </c>
      <c r="Q196" s="26">
        <f t="shared" si="30"/>
        <v>445</v>
      </c>
      <c r="R196" s="10"/>
    </row>
    <row r="197" spans="1:18" ht="15" customHeight="1" x14ac:dyDescent="0.25">
      <c r="A197" s="4" t="s">
        <v>740</v>
      </c>
      <c r="B197" s="5" t="s">
        <v>741</v>
      </c>
      <c r="C197" s="5" t="str">
        <f t="shared" si="24"/>
        <v>60</v>
      </c>
      <c r="D197" s="5" t="str">
        <f t="shared" si="25"/>
        <v>60</v>
      </c>
      <c r="E197" s="6" t="s">
        <v>44</v>
      </c>
      <c r="F197" s="9">
        <f t="shared" si="26"/>
        <v>2.8</v>
      </c>
      <c r="G197" s="9">
        <f t="shared" si="27"/>
        <v>2.8</v>
      </c>
      <c r="H197" s="5" t="s">
        <v>84</v>
      </c>
      <c r="I197" s="5" t="s">
        <v>63</v>
      </c>
      <c r="J197" s="10">
        <f t="shared" si="28"/>
        <v>1</v>
      </c>
      <c r="K197" s="11">
        <f t="shared" si="31"/>
        <v>1</v>
      </c>
      <c r="L197" s="6" t="s">
        <v>8</v>
      </c>
      <c r="M197" s="6" t="s">
        <v>50</v>
      </c>
      <c r="N197" s="5" t="s">
        <v>37</v>
      </c>
      <c r="O197" s="5" t="s">
        <v>742</v>
      </c>
      <c r="P197" s="26">
        <f t="shared" si="29"/>
        <v>70</v>
      </c>
      <c r="Q197" s="26">
        <f t="shared" si="30"/>
        <v>75</v>
      </c>
      <c r="R197" s="10"/>
    </row>
    <row r="198" spans="1:18" ht="15" customHeight="1" x14ac:dyDescent="0.25">
      <c r="A198" s="4" t="s">
        <v>743</v>
      </c>
      <c r="B198" s="5" t="s">
        <v>741</v>
      </c>
      <c r="C198" s="5" t="str">
        <f t="shared" si="24"/>
        <v>60</v>
      </c>
      <c r="D198" s="5" t="str">
        <f t="shared" si="25"/>
        <v>60</v>
      </c>
      <c r="E198" s="6" t="s">
        <v>44</v>
      </c>
      <c r="F198" s="9">
        <f t="shared" si="26"/>
        <v>2.8</v>
      </c>
      <c r="G198" s="9">
        <f t="shared" si="27"/>
        <v>2.8</v>
      </c>
      <c r="H198" s="5" t="s">
        <v>84</v>
      </c>
      <c r="I198" s="5" t="s">
        <v>63</v>
      </c>
      <c r="J198" s="10">
        <f t="shared" si="28"/>
        <v>1</v>
      </c>
      <c r="K198" s="11">
        <f t="shared" si="31"/>
        <v>1</v>
      </c>
      <c r="L198" s="6" t="s">
        <v>8</v>
      </c>
      <c r="M198" s="6" t="s">
        <v>50</v>
      </c>
      <c r="N198" s="5" t="s">
        <v>744</v>
      </c>
      <c r="O198" s="5" t="s">
        <v>745</v>
      </c>
      <c r="P198" s="26">
        <f t="shared" si="29"/>
        <v>73</v>
      </c>
      <c r="Q198" s="26">
        <f t="shared" si="30"/>
        <v>89</v>
      </c>
      <c r="R198" s="10"/>
    </row>
    <row r="199" spans="1:18" ht="15" customHeight="1" x14ac:dyDescent="0.25">
      <c r="A199" s="4" t="s">
        <v>746</v>
      </c>
      <c r="B199" s="5" t="s">
        <v>741</v>
      </c>
      <c r="C199" s="5" t="str">
        <f t="shared" si="24"/>
        <v>60</v>
      </c>
      <c r="D199" s="5" t="str">
        <f t="shared" si="25"/>
        <v>60</v>
      </c>
      <c r="E199" s="6" t="s">
        <v>67</v>
      </c>
      <c r="F199" s="9">
        <f t="shared" si="26"/>
        <v>2</v>
      </c>
      <c r="G199" s="9">
        <f t="shared" si="27"/>
        <v>2</v>
      </c>
      <c r="H199" s="5" t="s">
        <v>62</v>
      </c>
      <c r="I199" s="5" t="s">
        <v>63</v>
      </c>
      <c r="J199" s="10">
        <f t="shared" si="28"/>
        <v>1</v>
      </c>
      <c r="K199" s="11">
        <f t="shared" si="31"/>
        <v>1</v>
      </c>
      <c r="L199" s="6" t="s">
        <v>8</v>
      </c>
      <c r="M199" s="6" t="s">
        <v>9</v>
      </c>
      <c r="N199" s="5" t="s">
        <v>395</v>
      </c>
      <c r="O199" s="5" t="s">
        <v>747</v>
      </c>
      <c r="P199" s="26">
        <f t="shared" si="29"/>
        <v>73</v>
      </c>
      <c r="Q199" s="26">
        <f t="shared" si="30"/>
        <v>80</v>
      </c>
      <c r="R199" s="10"/>
    </row>
    <row r="200" spans="1:18" ht="15" customHeight="1" x14ac:dyDescent="0.25">
      <c r="A200" s="4" t="s">
        <v>748</v>
      </c>
      <c r="B200" s="5" t="s">
        <v>749</v>
      </c>
      <c r="C200" s="5" t="str">
        <f t="shared" si="24"/>
        <v xml:space="preserve">70 </v>
      </c>
      <c r="D200" s="5" t="str">
        <f t="shared" si="25"/>
        <v>200</v>
      </c>
      <c r="E200" s="6" t="s">
        <v>44</v>
      </c>
      <c r="F200" s="9">
        <f t="shared" si="26"/>
        <v>2.8</v>
      </c>
      <c r="G200" s="9">
        <f t="shared" si="27"/>
        <v>2.8</v>
      </c>
      <c r="H200" s="5" t="s">
        <v>27</v>
      </c>
      <c r="I200" s="5" t="s">
        <v>466</v>
      </c>
      <c r="J200" s="10">
        <f t="shared" si="28"/>
        <v>0.21</v>
      </c>
      <c r="K200" s="11">
        <f t="shared" si="31"/>
        <v>4.8</v>
      </c>
      <c r="L200" s="6" t="s">
        <v>8</v>
      </c>
      <c r="M200" s="6" t="s">
        <v>50</v>
      </c>
      <c r="N200" s="5" t="s">
        <v>750</v>
      </c>
      <c r="O200" s="5" t="s">
        <v>751</v>
      </c>
      <c r="P200" s="26">
        <f t="shared" si="29"/>
        <v>89</v>
      </c>
      <c r="Q200" s="26">
        <f t="shared" si="30"/>
        <v>203</v>
      </c>
      <c r="R200" s="10"/>
    </row>
    <row r="201" spans="1:18" ht="15" customHeight="1" x14ac:dyDescent="0.25">
      <c r="A201" s="4" t="s">
        <v>752</v>
      </c>
      <c r="B201" s="5" t="s">
        <v>749</v>
      </c>
      <c r="C201" s="5" t="str">
        <f t="shared" si="24"/>
        <v xml:space="preserve">70 </v>
      </c>
      <c r="D201" s="5" t="str">
        <f t="shared" si="25"/>
        <v>200</v>
      </c>
      <c r="E201" s="6" t="s">
        <v>44</v>
      </c>
      <c r="F201" s="9">
        <f t="shared" si="26"/>
        <v>2.8</v>
      </c>
      <c r="G201" s="9">
        <f t="shared" si="27"/>
        <v>2.8</v>
      </c>
      <c r="H201" s="5" t="s">
        <v>27</v>
      </c>
      <c r="I201" s="5" t="s">
        <v>32</v>
      </c>
      <c r="J201" s="10">
        <f t="shared" si="28"/>
        <v>0.12</v>
      </c>
      <c r="K201" s="11">
        <f t="shared" si="31"/>
        <v>8.3000000000000007</v>
      </c>
      <c r="L201" s="6" t="s">
        <v>8</v>
      </c>
      <c r="M201" s="6" t="s">
        <v>50</v>
      </c>
      <c r="N201" s="5" t="s">
        <v>753</v>
      </c>
      <c r="O201" s="5" t="s">
        <v>754</v>
      </c>
      <c r="P201" s="26">
        <f t="shared" si="29"/>
        <v>87</v>
      </c>
      <c r="Q201" s="26">
        <f t="shared" si="30"/>
        <v>206</v>
      </c>
      <c r="R201" s="10"/>
    </row>
    <row r="202" spans="1:18" ht="15" customHeight="1" x14ac:dyDescent="0.25">
      <c r="A202" s="4" t="s">
        <v>755</v>
      </c>
      <c r="B202" s="5" t="s">
        <v>749</v>
      </c>
      <c r="C202" s="5" t="str">
        <f t="shared" si="24"/>
        <v xml:space="preserve">70 </v>
      </c>
      <c r="D202" s="5" t="str">
        <f t="shared" si="25"/>
        <v>200</v>
      </c>
      <c r="E202" s="6" t="s">
        <v>44</v>
      </c>
      <c r="F202" s="9">
        <f t="shared" si="26"/>
        <v>2.8</v>
      </c>
      <c r="G202" s="9">
        <f t="shared" si="27"/>
        <v>2.8</v>
      </c>
      <c r="H202" s="5" t="s">
        <v>27</v>
      </c>
      <c r="I202" s="5" t="s">
        <v>32</v>
      </c>
      <c r="J202" s="10">
        <f t="shared" si="28"/>
        <v>0.12</v>
      </c>
      <c r="K202" s="11">
        <f t="shared" si="31"/>
        <v>8.3000000000000007</v>
      </c>
      <c r="L202" s="6" t="s">
        <v>8</v>
      </c>
      <c r="M202" s="6" t="s">
        <v>50</v>
      </c>
      <c r="N202" s="5" t="s">
        <v>753</v>
      </c>
      <c r="O202" s="5" t="s">
        <v>756</v>
      </c>
      <c r="P202" s="26">
        <f t="shared" si="29"/>
        <v>87</v>
      </c>
      <c r="Q202" s="26">
        <f t="shared" si="30"/>
        <v>200</v>
      </c>
      <c r="R202" s="10"/>
    </row>
    <row r="203" spans="1:18" ht="15" customHeight="1" x14ac:dyDescent="0.25">
      <c r="A203" s="4" t="s">
        <v>757</v>
      </c>
      <c r="B203" s="5" t="s">
        <v>749</v>
      </c>
      <c r="C203" s="5" t="str">
        <f t="shared" si="24"/>
        <v xml:space="preserve">70 </v>
      </c>
      <c r="D203" s="5" t="str">
        <f t="shared" si="25"/>
        <v>200</v>
      </c>
      <c r="E203" s="6" t="s">
        <v>49</v>
      </c>
      <c r="F203" s="9">
        <f t="shared" si="26"/>
        <v>4</v>
      </c>
      <c r="G203" s="9">
        <f t="shared" si="27"/>
        <v>4</v>
      </c>
      <c r="H203" s="5" t="s">
        <v>56</v>
      </c>
      <c r="I203" s="5" t="s">
        <v>758</v>
      </c>
      <c r="J203" s="10">
        <f t="shared" si="28"/>
        <v>0.27400000000000002</v>
      </c>
      <c r="K203" s="11">
        <f t="shared" si="31"/>
        <v>3.6</v>
      </c>
      <c r="L203" s="6" t="s">
        <v>8</v>
      </c>
      <c r="M203" s="6" t="s">
        <v>50</v>
      </c>
      <c r="N203" s="5" t="s">
        <v>759</v>
      </c>
      <c r="O203" s="5" t="s">
        <v>760</v>
      </c>
      <c r="P203" s="26">
        <f t="shared" si="29"/>
        <v>78</v>
      </c>
      <c r="Q203" s="26">
        <f t="shared" si="30"/>
        <v>179</v>
      </c>
      <c r="R203" s="10"/>
    </row>
    <row r="204" spans="1:18" ht="15" customHeight="1" x14ac:dyDescent="0.25">
      <c r="A204" s="4" t="s">
        <v>761</v>
      </c>
      <c r="B204" s="5" t="s">
        <v>749</v>
      </c>
      <c r="C204" s="5" t="str">
        <f t="shared" si="24"/>
        <v xml:space="preserve">70 </v>
      </c>
      <c r="D204" s="5" t="str">
        <f t="shared" si="25"/>
        <v>200</v>
      </c>
      <c r="E204" s="6" t="s">
        <v>44</v>
      </c>
      <c r="F204" s="9">
        <f t="shared" si="26"/>
        <v>2.8</v>
      </c>
      <c r="G204" s="9">
        <f t="shared" si="27"/>
        <v>2.8</v>
      </c>
      <c r="H204" s="5" t="s">
        <v>27</v>
      </c>
      <c r="I204" s="5" t="s">
        <v>343</v>
      </c>
      <c r="J204" s="10">
        <f t="shared" si="28"/>
        <v>0.28000000000000003</v>
      </c>
      <c r="K204" s="11">
        <f t="shared" si="31"/>
        <v>3.6</v>
      </c>
      <c r="L204" s="6" t="s">
        <v>8</v>
      </c>
      <c r="M204" s="6" t="s">
        <v>50</v>
      </c>
      <c r="N204" s="5" t="s">
        <v>762</v>
      </c>
      <c r="O204" s="5" t="s">
        <v>763</v>
      </c>
      <c r="P204" s="26">
        <f t="shared" si="29"/>
        <v>87</v>
      </c>
      <c r="Q204" s="26">
        <f t="shared" si="30"/>
        <v>185</v>
      </c>
      <c r="R204" s="10"/>
    </row>
    <row r="205" spans="1:18" ht="15" customHeight="1" x14ac:dyDescent="0.25">
      <c r="A205" s="4" t="s">
        <v>764</v>
      </c>
      <c r="B205" s="5" t="s">
        <v>749</v>
      </c>
      <c r="C205" s="5" t="str">
        <f t="shared" si="24"/>
        <v xml:space="preserve">70 </v>
      </c>
      <c r="D205" s="5" t="str">
        <f t="shared" si="25"/>
        <v>200</v>
      </c>
      <c r="E205" s="6" t="s">
        <v>44</v>
      </c>
      <c r="F205" s="9">
        <f t="shared" si="26"/>
        <v>2.8</v>
      </c>
      <c r="G205" s="9">
        <f t="shared" si="27"/>
        <v>2.8</v>
      </c>
      <c r="H205" s="5" t="s">
        <v>27</v>
      </c>
      <c r="I205" s="5" t="s">
        <v>118</v>
      </c>
      <c r="J205" s="10">
        <f t="shared" si="28"/>
        <v>0.16</v>
      </c>
      <c r="K205" s="11">
        <f t="shared" si="31"/>
        <v>6.3</v>
      </c>
      <c r="L205" s="6" t="s">
        <v>8</v>
      </c>
      <c r="M205" s="6" t="s">
        <v>50</v>
      </c>
      <c r="N205" s="5" t="s">
        <v>765</v>
      </c>
      <c r="O205" s="5" t="s">
        <v>766</v>
      </c>
      <c r="P205" s="26">
        <f t="shared" si="29"/>
        <v>88</v>
      </c>
      <c r="Q205" s="26">
        <f t="shared" si="30"/>
        <v>194</v>
      </c>
      <c r="R205" s="10"/>
    </row>
    <row r="206" spans="1:18" ht="15" customHeight="1" x14ac:dyDescent="0.25">
      <c r="A206" s="4" t="s">
        <v>767</v>
      </c>
      <c r="B206" s="5" t="s">
        <v>749</v>
      </c>
      <c r="C206" s="5" t="str">
        <f t="shared" si="24"/>
        <v xml:space="preserve">70 </v>
      </c>
      <c r="D206" s="5" t="str">
        <f t="shared" si="25"/>
        <v>200</v>
      </c>
      <c r="E206" s="6" t="s">
        <v>44</v>
      </c>
      <c r="F206" s="9">
        <f t="shared" si="26"/>
        <v>2.8</v>
      </c>
      <c r="G206" s="9">
        <f t="shared" si="27"/>
        <v>2.8</v>
      </c>
      <c r="H206" s="5" t="s">
        <v>27</v>
      </c>
      <c r="I206" s="5" t="s">
        <v>326</v>
      </c>
      <c r="J206" s="10">
        <f t="shared" si="28"/>
        <v>0.33</v>
      </c>
      <c r="K206" s="11">
        <f t="shared" si="31"/>
        <v>3</v>
      </c>
      <c r="L206" s="6" t="s">
        <v>8</v>
      </c>
      <c r="M206" s="6" t="s">
        <v>50</v>
      </c>
      <c r="N206" s="5" t="s">
        <v>126</v>
      </c>
      <c r="O206" s="5" t="s">
        <v>768</v>
      </c>
      <c r="P206" s="26">
        <f t="shared" si="29"/>
        <v>90</v>
      </c>
      <c r="Q206" s="26">
        <f t="shared" si="30"/>
        <v>194</v>
      </c>
      <c r="R206" s="10"/>
    </row>
    <row r="207" spans="1:18" x14ac:dyDescent="0.25">
      <c r="A207" s="4" t="s">
        <v>769</v>
      </c>
      <c r="B207" s="5" t="s">
        <v>749</v>
      </c>
      <c r="C207" s="5" t="str">
        <f t="shared" si="24"/>
        <v xml:space="preserve">70 </v>
      </c>
      <c r="D207" s="5" t="str">
        <f t="shared" si="25"/>
        <v>200</v>
      </c>
      <c r="E207" s="6" t="s">
        <v>49</v>
      </c>
      <c r="F207" s="9">
        <f t="shared" si="26"/>
        <v>4</v>
      </c>
      <c r="G207" s="9">
        <f t="shared" si="27"/>
        <v>4</v>
      </c>
      <c r="H207" s="5" t="s">
        <v>56</v>
      </c>
      <c r="I207" s="5" t="s">
        <v>343</v>
      </c>
      <c r="J207" s="10">
        <f t="shared" si="28"/>
        <v>0.28000000000000003</v>
      </c>
      <c r="K207" s="11">
        <f t="shared" si="31"/>
        <v>3.6</v>
      </c>
      <c r="L207" s="6" t="s">
        <v>8</v>
      </c>
      <c r="M207" s="6" t="s">
        <v>50</v>
      </c>
      <c r="N207" s="5" t="s">
        <v>770</v>
      </c>
      <c r="O207" s="5" t="s">
        <v>771</v>
      </c>
      <c r="P207" s="26">
        <f t="shared" si="29"/>
        <v>82</v>
      </c>
      <c r="Q207" s="26">
        <f t="shared" si="30"/>
        <v>168</v>
      </c>
      <c r="R207" s="10"/>
    </row>
    <row r="208" spans="1:18" x14ac:dyDescent="0.25">
      <c r="A208" s="4" t="s">
        <v>772</v>
      </c>
      <c r="B208" s="5" t="s">
        <v>773</v>
      </c>
      <c r="C208" s="5" t="str">
        <f t="shared" si="24"/>
        <v xml:space="preserve">70 </v>
      </c>
      <c r="D208" s="5" t="str">
        <f t="shared" si="25"/>
        <v>300</v>
      </c>
      <c r="E208" s="6" t="s">
        <v>656</v>
      </c>
      <c r="F208" s="9">
        <f t="shared" si="26"/>
        <v>4</v>
      </c>
      <c r="G208" s="9">
        <f t="shared" si="27"/>
        <v>5.6</v>
      </c>
      <c r="H208" s="5" t="s">
        <v>84</v>
      </c>
      <c r="I208" s="5" t="s">
        <v>162</v>
      </c>
      <c r="J208" s="10">
        <f t="shared" si="28"/>
        <v>0.25</v>
      </c>
      <c r="K208" s="11">
        <f t="shared" si="31"/>
        <v>4</v>
      </c>
      <c r="L208" s="6" t="s">
        <v>8</v>
      </c>
      <c r="M208" s="6" t="s">
        <v>50</v>
      </c>
      <c r="N208" s="5" t="s">
        <v>744</v>
      </c>
      <c r="O208" s="5" t="s">
        <v>774</v>
      </c>
      <c r="P208" s="26">
        <f t="shared" si="29"/>
        <v>74</v>
      </c>
      <c r="Q208" s="26">
        <f t="shared" si="30"/>
        <v>117</v>
      </c>
      <c r="R208" s="10"/>
    </row>
    <row r="209" spans="1:18" ht="15" customHeight="1" x14ac:dyDescent="0.25">
      <c r="A209" s="4" t="s">
        <v>775</v>
      </c>
      <c r="B209" s="5" t="s">
        <v>773</v>
      </c>
      <c r="C209" s="5" t="str">
        <f t="shared" si="24"/>
        <v xml:space="preserve">70 </v>
      </c>
      <c r="D209" s="5" t="str">
        <f t="shared" si="25"/>
        <v>300</v>
      </c>
      <c r="E209" s="6" t="s">
        <v>660</v>
      </c>
      <c r="F209" s="9">
        <f t="shared" si="26"/>
        <v>4.5</v>
      </c>
      <c r="G209" s="9">
        <f t="shared" si="27"/>
        <v>6.3</v>
      </c>
      <c r="H209" s="5" t="s">
        <v>91</v>
      </c>
      <c r="I209" s="5" t="s">
        <v>251</v>
      </c>
      <c r="J209" s="10">
        <f t="shared" si="28"/>
        <v>0.22</v>
      </c>
      <c r="K209" s="11">
        <f t="shared" si="31"/>
        <v>4.5</v>
      </c>
      <c r="L209" s="6" t="s">
        <v>8</v>
      </c>
      <c r="M209" s="6" t="s">
        <v>9</v>
      </c>
      <c r="N209" s="5" t="s">
        <v>330</v>
      </c>
      <c r="O209" s="5" t="s">
        <v>776</v>
      </c>
      <c r="P209" s="26">
        <f t="shared" si="29"/>
        <v>72</v>
      </c>
      <c r="Q209" s="26">
        <f t="shared" si="30"/>
        <v>125</v>
      </c>
      <c r="R209" s="10"/>
    </row>
    <row r="210" spans="1:18" ht="15" customHeight="1" x14ac:dyDescent="0.25">
      <c r="A210" s="4" t="s">
        <v>777</v>
      </c>
      <c r="B210" s="5" t="s">
        <v>773</v>
      </c>
      <c r="C210" s="5" t="str">
        <f t="shared" si="24"/>
        <v xml:space="preserve">70 </v>
      </c>
      <c r="D210" s="5" t="str">
        <f t="shared" si="25"/>
        <v>300</v>
      </c>
      <c r="E210" s="6" t="s">
        <v>660</v>
      </c>
      <c r="F210" s="9">
        <f t="shared" si="26"/>
        <v>4.5</v>
      </c>
      <c r="G210" s="9">
        <f t="shared" si="27"/>
        <v>6.3</v>
      </c>
      <c r="H210" s="5" t="s">
        <v>91</v>
      </c>
      <c r="I210" s="5" t="s">
        <v>251</v>
      </c>
      <c r="J210" s="10">
        <f t="shared" si="28"/>
        <v>0.22</v>
      </c>
      <c r="K210" s="11">
        <f t="shared" si="31"/>
        <v>4.5</v>
      </c>
      <c r="L210" s="6" t="s">
        <v>8</v>
      </c>
      <c r="M210" s="6" t="s">
        <v>9</v>
      </c>
      <c r="N210" s="5" t="s">
        <v>778</v>
      </c>
      <c r="O210" s="5" t="s">
        <v>776</v>
      </c>
      <c r="P210" s="26">
        <f t="shared" si="29"/>
        <v>72</v>
      </c>
      <c r="Q210" s="26">
        <f t="shared" si="30"/>
        <v>125</v>
      </c>
      <c r="R210" s="10"/>
    </row>
    <row r="211" spans="1:18" ht="15" customHeight="1" x14ac:dyDescent="0.25">
      <c r="A211" s="4" t="s">
        <v>779</v>
      </c>
      <c r="B211" s="5" t="s">
        <v>773</v>
      </c>
      <c r="C211" s="5" t="str">
        <f t="shared" si="24"/>
        <v xml:space="preserve">70 </v>
      </c>
      <c r="D211" s="5" t="str">
        <f t="shared" si="25"/>
        <v>300</v>
      </c>
      <c r="E211" s="6" t="s">
        <v>14</v>
      </c>
      <c r="F211" s="9">
        <f t="shared" si="26"/>
        <v>4.5</v>
      </c>
      <c r="G211" s="9">
        <f t="shared" si="27"/>
        <v>5.6</v>
      </c>
      <c r="H211" s="5" t="s">
        <v>56</v>
      </c>
      <c r="I211" s="5" t="s">
        <v>162</v>
      </c>
      <c r="J211" s="10">
        <f t="shared" si="28"/>
        <v>0.25</v>
      </c>
      <c r="K211" s="11">
        <f t="shared" si="31"/>
        <v>4</v>
      </c>
      <c r="L211" s="6" t="s">
        <v>8</v>
      </c>
      <c r="M211" s="6" t="s">
        <v>50</v>
      </c>
      <c r="N211" s="5" t="s">
        <v>272</v>
      </c>
      <c r="O211" s="5" t="s">
        <v>780</v>
      </c>
      <c r="P211" s="26">
        <f t="shared" si="29"/>
        <v>80</v>
      </c>
      <c r="Q211" s="26">
        <f t="shared" si="30"/>
        <v>144</v>
      </c>
      <c r="R211" s="10"/>
    </row>
    <row r="212" spans="1:18" ht="15" customHeight="1" x14ac:dyDescent="0.25">
      <c r="A212" s="4" t="s">
        <v>781</v>
      </c>
      <c r="B212" s="5" t="s">
        <v>773</v>
      </c>
      <c r="C212" s="5" t="str">
        <f t="shared" si="24"/>
        <v xml:space="preserve">70 </v>
      </c>
      <c r="D212" s="5" t="str">
        <f t="shared" si="25"/>
        <v>300</v>
      </c>
      <c r="E212" s="6" t="s">
        <v>656</v>
      </c>
      <c r="F212" s="9">
        <f t="shared" si="26"/>
        <v>4</v>
      </c>
      <c r="G212" s="9">
        <f t="shared" si="27"/>
        <v>5.6</v>
      </c>
      <c r="H212" s="5" t="s">
        <v>91</v>
      </c>
      <c r="I212" s="5" t="s">
        <v>68</v>
      </c>
      <c r="J212" s="10">
        <f t="shared" si="28"/>
        <v>0.5</v>
      </c>
      <c r="K212" s="11">
        <f t="shared" si="31"/>
        <v>2</v>
      </c>
      <c r="L212" s="6" t="s">
        <v>8</v>
      </c>
      <c r="M212" s="6" t="s">
        <v>50</v>
      </c>
      <c r="N212" s="5" t="s">
        <v>612</v>
      </c>
      <c r="O212" s="5" t="s">
        <v>782</v>
      </c>
      <c r="P212" s="26">
        <f t="shared" si="29"/>
        <v>77</v>
      </c>
      <c r="Q212" s="26">
        <f t="shared" si="30"/>
        <v>120</v>
      </c>
      <c r="R212" s="10"/>
    </row>
    <row r="213" spans="1:18" ht="15" customHeight="1" x14ac:dyDescent="0.25">
      <c r="A213" s="4" t="s">
        <v>783</v>
      </c>
      <c r="B213" s="5" t="s">
        <v>773</v>
      </c>
      <c r="C213" s="5" t="str">
        <f t="shared" si="24"/>
        <v xml:space="preserve">70 </v>
      </c>
      <c r="D213" s="5" t="str">
        <f t="shared" si="25"/>
        <v>300</v>
      </c>
      <c r="E213" s="6" t="s">
        <v>656</v>
      </c>
      <c r="F213" s="9">
        <f t="shared" si="26"/>
        <v>4</v>
      </c>
      <c r="G213" s="9">
        <f t="shared" si="27"/>
        <v>5.6</v>
      </c>
      <c r="H213" s="5" t="s">
        <v>91</v>
      </c>
      <c r="I213" s="5" t="s">
        <v>68</v>
      </c>
      <c r="J213" s="10">
        <f t="shared" si="28"/>
        <v>0.5</v>
      </c>
      <c r="K213" s="11">
        <f t="shared" si="31"/>
        <v>2</v>
      </c>
      <c r="L213" s="6" t="s">
        <v>8</v>
      </c>
      <c r="M213" s="6" t="s">
        <v>50</v>
      </c>
      <c r="N213" s="5" t="s">
        <v>612</v>
      </c>
      <c r="O213" s="5" t="s">
        <v>782</v>
      </c>
      <c r="P213" s="26">
        <f t="shared" si="29"/>
        <v>77</v>
      </c>
      <c r="Q213" s="26">
        <f t="shared" si="30"/>
        <v>120</v>
      </c>
      <c r="R213" s="10"/>
    </row>
    <row r="214" spans="1:18" ht="15" customHeight="1" x14ac:dyDescent="0.25">
      <c r="A214" s="4" t="s">
        <v>784</v>
      </c>
      <c r="B214" s="5" t="s">
        <v>773</v>
      </c>
      <c r="C214" s="5" t="str">
        <f t="shared" si="24"/>
        <v xml:space="preserve">70 </v>
      </c>
      <c r="D214" s="5" t="str">
        <f t="shared" si="25"/>
        <v>300</v>
      </c>
      <c r="E214" s="6" t="s">
        <v>656</v>
      </c>
      <c r="F214" s="9">
        <f t="shared" si="26"/>
        <v>4</v>
      </c>
      <c r="G214" s="9">
        <f t="shared" si="27"/>
        <v>5.6</v>
      </c>
      <c r="H214" s="5" t="s">
        <v>84</v>
      </c>
      <c r="I214" s="5" t="s">
        <v>162</v>
      </c>
      <c r="J214" s="10">
        <f t="shared" si="28"/>
        <v>0.25</v>
      </c>
      <c r="K214" s="11">
        <f t="shared" si="31"/>
        <v>4</v>
      </c>
      <c r="L214" s="6" t="s">
        <v>8</v>
      </c>
      <c r="M214" s="6" t="s">
        <v>50</v>
      </c>
      <c r="N214" s="5" t="s">
        <v>246</v>
      </c>
      <c r="O214" s="5" t="s">
        <v>785</v>
      </c>
      <c r="P214" s="26">
        <f t="shared" si="29"/>
        <v>77</v>
      </c>
      <c r="Q214" s="26">
        <f t="shared" si="30"/>
        <v>127</v>
      </c>
      <c r="R214" s="10"/>
    </row>
    <row r="215" spans="1:18" x14ac:dyDescent="0.25">
      <c r="A215" s="4" t="s">
        <v>786</v>
      </c>
      <c r="B215" s="5" t="s">
        <v>773</v>
      </c>
      <c r="C215" s="5" t="str">
        <f t="shared" si="24"/>
        <v xml:space="preserve">70 </v>
      </c>
      <c r="D215" s="5" t="str">
        <f t="shared" si="25"/>
        <v>300</v>
      </c>
      <c r="E215" s="6" t="s">
        <v>656</v>
      </c>
      <c r="F215" s="9">
        <f t="shared" si="26"/>
        <v>4</v>
      </c>
      <c r="G215" s="9">
        <f t="shared" si="27"/>
        <v>5.6</v>
      </c>
      <c r="H215" s="5" t="s">
        <v>84</v>
      </c>
      <c r="I215" s="5" t="s">
        <v>68</v>
      </c>
      <c r="J215" s="10">
        <f t="shared" si="28"/>
        <v>0.5</v>
      </c>
      <c r="K215" s="11">
        <f t="shared" si="31"/>
        <v>2</v>
      </c>
      <c r="L215" s="6" t="s">
        <v>8</v>
      </c>
      <c r="M215" s="6" t="s">
        <v>50</v>
      </c>
      <c r="N215" s="5" t="s">
        <v>787</v>
      </c>
      <c r="O215" s="5" t="s">
        <v>788</v>
      </c>
      <c r="P215" s="26">
        <f t="shared" si="29"/>
        <v>77</v>
      </c>
      <c r="Q215" s="26">
        <f t="shared" si="30"/>
        <v>117</v>
      </c>
      <c r="R215" s="10"/>
    </row>
    <row r="216" spans="1:18" ht="15" customHeight="1" x14ac:dyDescent="0.25">
      <c r="A216" s="4" t="s">
        <v>789</v>
      </c>
      <c r="B216" s="5" t="s">
        <v>773</v>
      </c>
      <c r="C216" s="5" t="str">
        <f t="shared" si="24"/>
        <v xml:space="preserve">70 </v>
      </c>
      <c r="D216" s="5" t="str">
        <f t="shared" si="25"/>
        <v>300</v>
      </c>
      <c r="E216" s="6" t="s">
        <v>656</v>
      </c>
      <c r="F216" s="9">
        <f t="shared" si="26"/>
        <v>4</v>
      </c>
      <c r="G216" s="9">
        <f t="shared" si="27"/>
        <v>5.6</v>
      </c>
      <c r="H216" s="5" t="s">
        <v>84</v>
      </c>
      <c r="I216" s="5" t="s">
        <v>162</v>
      </c>
      <c r="J216" s="10">
        <f t="shared" si="28"/>
        <v>0.25</v>
      </c>
      <c r="K216" s="11">
        <f t="shared" si="31"/>
        <v>4</v>
      </c>
      <c r="L216" s="6" t="s">
        <v>8</v>
      </c>
      <c r="M216" s="6" t="s">
        <v>50</v>
      </c>
      <c r="N216" s="5" t="s">
        <v>790</v>
      </c>
      <c r="O216" s="5" t="s">
        <v>791</v>
      </c>
      <c r="P216" s="26">
        <f t="shared" si="29"/>
        <v>82</v>
      </c>
      <c r="Q216" s="26">
        <f t="shared" si="30"/>
        <v>151</v>
      </c>
      <c r="R216" s="10"/>
    </row>
    <row r="217" spans="1:18" ht="15" customHeight="1" x14ac:dyDescent="0.25">
      <c r="A217" s="4" t="s">
        <v>792</v>
      </c>
      <c r="B217" s="5" t="s">
        <v>793</v>
      </c>
      <c r="C217" s="5" t="str">
        <f t="shared" si="24"/>
        <v>70</v>
      </c>
      <c r="D217" s="5" t="str">
        <f t="shared" si="25"/>
        <v>70</v>
      </c>
      <c r="E217" s="6" t="s">
        <v>44</v>
      </c>
      <c r="F217" s="9">
        <f t="shared" si="26"/>
        <v>2.8</v>
      </c>
      <c r="G217" s="9">
        <f t="shared" si="27"/>
        <v>2.8</v>
      </c>
      <c r="H217" s="5" t="s">
        <v>84</v>
      </c>
      <c r="I217" s="5" t="s">
        <v>63</v>
      </c>
      <c r="J217" s="10">
        <f t="shared" si="28"/>
        <v>1</v>
      </c>
      <c r="K217" s="11">
        <f t="shared" si="31"/>
        <v>1</v>
      </c>
      <c r="L217" s="6" t="s">
        <v>8</v>
      </c>
      <c r="M217" s="6" t="s">
        <v>50</v>
      </c>
      <c r="N217" s="5" t="s">
        <v>794</v>
      </c>
      <c r="O217" s="5" t="s">
        <v>795</v>
      </c>
      <c r="P217" s="26">
        <f t="shared" si="29"/>
        <v>76</v>
      </c>
      <c r="Q217" s="26">
        <f t="shared" si="30"/>
        <v>95</v>
      </c>
      <c r="R217" s="10"/>
    </row>
    <row r="218" spans="1:18" ht="15" customHeight="1" x14ac:dyDescent="0.25">
      <c r="A218" s="4" t="s">
        <v>796</v>
      </c>
      <c r="B218" s="5" t="s">
        <v>797</v>
      </c>
      <c r="C218" s="5" t="str">
        <f t="shared" si="24"/>
        <v xml:space="preserve">8 </v>
      </c>
      <c r="D218" s="5" t="str">
        <f t="shared" si="25"/>
        <v>15</v>
      </c>
      <c r="E218" s="6" t="s">
        <v>5</v>
      </c>
      <c r="F218" s="9">
        <f t="shared" si="26"/>
        <v>3.5</v>
      </c>
      <c r="G218" s="9">
        <f t="shared" si="27"/>
        <v>4.5</v>
      </c>
      <c r="H218" s="5" t="s">
        <v>6</v>
      </c>
      <c r="I218" s="5" t="s">
        <v>238</v>
      </c>
      <c r="J218" s="10">
        <f t="shared" si="28"/>
        <v>0.34</v>
      </c>
      <c r="K218" s="11">
        <f t="shared" si="31"/>
        <v>2.9</v>
      </c>
      <c r="L218" s="6" t="s">
        <v>8</v>
      </c>
      <c r="M218" s="6" t="s">
        <v>50</v>
      </c>
      <c r="N218" s="5" t="s">
        <v>257</v>
      </c>
      <c r="O218" s="5" t="s">
        <v>511</v>
      </c>
      <c r="P218" s="26">
        <f t="shared" si="29"/>
        <v>78</v>
      </c>
      <c r="Q218" s="26">
        <f t="shared" si="30"/>
        <v>83</v>
      </c>
      <c r="R218" s="10"/>
    </row>
    <row r="219" spans="1:18" ht="15" customHeight="1" x14ac:dyDescent="0.25">
      <c r="A219" s="4" t="s">
        <v>798</v>
      </c>
      <c r="B219" s="5" t="s">
        <v>799</v>
      </c>
      <c r="C219" s="5" t="str">
        <f t="shared" si="24"/>
        <v xml:space="preserve">8 </v>
      </c>
      <c r="D219" s="5" t="str">
        <f t="shared" si="25"/>
        <v>16</v>
      </c>
      <c r="E219" s="6" t="s">
        <v>14</v>
      </c>
      <c r="F219" s="9">
        <f t="shared" si="26"/>
        <v>4.5</v>
      </c>
      <c r="G219" s="9">
        <f t="shared" si="27"/>
        <v>5.6</v>
      </c>
      <c r="H219" s="5" t="s">
        <v>6</v>
      </c>
      <c r="I219" s="5" t="s">
        <v>32</v>
      </c>
      <c r="J219" s="10">
        <f t="shared" si="28"/>
        <v>0.12</v>
      </c>
      <c r="K219" s="11">
        <f t="shared" si="31"/>
        <v>8.3000000000000007</v>
      </c>
      <c r="L219" s="6" t="s">
        <v>8</v>
      </c>
      <c r="M219" s="6" t="s">
        <v>9</v>
      </c>
      <c r="N219" s="5" t="s">
        <v>545</v>
      </c>
      <c r="O219" s="5" t="s">
        <v>800</v>
      </c>
      <c r="P219" s="26">
        <f t="shared" si="29"/>
        <v>75</v>
      </c>
      <c r="Q219" s="26">
        <f t="shared" si="30"/>
        <v>106</v>
      </c>
      <c r="R219" s="10"/>
    </row>
    <row r="220" spans="1:18" ht="15" customHeight="1" x14ac:dyDescent="0.25">
      <c r="A220" s="4" t="s">
        <v>801</v>
      </c>
      <c r="B220" s="5" t="s">
        <v>802</v>
      </c>
      <c r="C220" s="5" t="str">
        <f t="shared" si="24"/>
        <v xml:space="preserve">80 </v>
      </c>
      <c r="D220" s="5" t="str">
        <f t="shared" si="25"/>
        <v>200</v>
      </c>
      <c r="E220" s="6" t="s">
        <v>44</v>
      </c>
      <c r="F220" s="9">
        <f t="shared" si="26"/>
        <v>2.8</v>
      </c>
      <c r="G220" s="9">
        <f t="shared" si="27"/>
        <v>2.8</v>
      </c>
      <c r="H220" s="5" t="s">
        <v>27</v>
      </c>
      <c r="I220" s="5" t="s">
        <v>144</v>
      </c>
      <c r="J220" s="10">
        <f t="shared" si="28"/>
        <v>0.24</v>
      </c>
      <c r="K220" s="11">
        <f t="shared" si="31"/>
        <v>4.2</v>
      </c>
      <c r="L220" s="6" t="s">
        <v>8</v>
      </c>
      <c r="M220" s="6" t="s">
        <v>50</v>
      </c>
      <c r="N220" s="5" t="s">
        <v>803</v>
      </c>
      <c r="O220" s="5" t="s">
        <v>804</v>
      </c>
      <c r="P220" s="26">
        <f t="shared" si="29"/>
        <v>87</v>
      </c>
      <c r="Q220" s="26">
        <f t="shared" si="30"/>
        <v>187</v>
      </c>
      <c r="R220" s="10"/>
    </row>
    <row r="221" spans="1:18" x14ac:dyDescent="0.25">
      <c r="A221" s="4" t="s">
        <v>805</v>
      </c>
      <c r="B221" s="5" t="s">
        <v>806</v>
      </c>
      <c r="C221" s="5" t="str">
        <f t="shared" si="24"/>
        <v xml:space="preserve">80 </v>
      </c>
      <c r="D221" s="5" t="str">
        <f t="shared" si="25"/>
        <v>400</v>
      </c>
      <c r="E221" s="6" t="s">
        <v>14</v>
      </c>
      <c r="F221" s="9">
        <f t="shared" si="26"/>
        <v>4.5</v>
      </c>
      <c r="G221" s="9">
        <f t="shared" si="27"/>
        <v>5.6</v>
      </c>
      <c r="H221" s="5" t="s">
        <v>27</v>
      </c>
      <c r="I221" s="5" t="s">
        <v>40</v>
      </c>
      <c r="J221" s="10">
        <f t="shared" si="28"/>
        <v>0.2</v>
      </c>
      <c r="K221" s="11">
        <f t="shared" si="31"/>
        <v>5</v>
      </c>
      <c r="L221" s="6" t="s">
        <v>8</v>
      </c>
      <c r="M221" s="6" t="s">
        <v>50</v>
      </c>
      <c r="N221" s="5" t="s">
        <v>807</v>
      </c>
      <c r="O221" s="5" t="s">
        <v>808</v>
      </c>
      <c r="P221" s="26">
        <f t="shared" si="29"/>
        <v>91</v>
      </c>
      <c r="Q221" s="26">
        <f t="shared" si="30"/>
        <v>171</v>
      </c>
      <c r="R221" s="10"/>
    </row>
    <row r="222" spans="1:18" ht="15" customHeight="1" x14ac:dyDescent="0.25">
      <c r="A222" s="4" t="s">
        <v>809</v>
      </c>
      <c r="B222" s="5" t="s">
        <v>806</v>
      </c>
      <c r="C222" s="5" t="str">
        <f t="shared" si="24"/>
        <v xml:space="preserve">80 </v>
      </c>
      <c r="D222" s="5" t="str">
        <f t="shared" si="25"/>
        <v>400</v>
      </c>
      <c r="E222" s="6" t="s">
        <v>14</v>
      </c>
      <c r="F222" s="9">
        <f t="shared" si="26"/>
        <v>4.5</v>
      </c>
      <c r="G222" s="9">
        <f t="shared" si="27"/>
        <v>5.6</v>
      </c>
      <c r="H222" s="5" t="s">
        <v>27</v>
      </c>
      <c r="I222" s="5" t="s">
        <v>40</v>
      </c>
      <c r="J222" s="10">
        <f t="shared" si="28"/>
        <v>0.2</v>
      </c>
      <c r="K222" s="11">
        <f t="shared" si="31"/>
        <v>5</v>
      </c>
      <c r="L222" s="6" t="s">
        <v>8</v>
      </c>
      <c r="M222" s="6" t="s">
        <v>50</v>
      </c>
      <c r="N222" s="5" t="s">
        <v>810</v>
      </c>
      <c r="O222" s="5" t="s">
        <v>811</v>
      </c>
      <c r="P222" s="26">
        <f t="shared" si="29"/>
        <v>96</v>
      </c>
      <c r="Q222" s="26">
        <f t="shared" si="30"/>
        <v>203</v>
      </c>
      <c r="R222" s="10"/>
    </row>
    <row r="223" spans="1:18" ht="15" customHeight="1" x14ac:dyDescent="0.25">
      <c r="A223" s="4" t="s">
        <v>812</v>
      </c>
      <c r="B223" s="5" t="s">
        <v>806</v>
      </c>
      <c r="C223" s="5" t="str">
        <f t="shared" si="24"/>
        <v xml:space="preserve">80 </v>
      </c>
      <c r="D223" s="5" t="str">
        <f t="shared" si="25"/>
        <v>400</v>
      </c>
      <c r="E223" s="6" t="s">
        <v>14</v>
      </c>
      <c r="F223" s="9">
        <f t="shared" si="26"/>
        <v>4.5</v>
      </c>
      <c r="G223" s="9">
        <f t="shared" si="27"/>
        <v>5.6</v>
      </c>
      <c r="H223" s="5" t="s">
        <v>15</v>
      </c>
      <c r="I223" s="5" t="s">
        <v>36</v>
      </c>
      <c r="J223" s="10">
        <f t="shared" si="28"/>
        <v>0.18</v>
      </c>
      <c r="K223" s="11">
        <f t="shared" si="31"/>
        <v>5.6</v>
      </c>
      <c r="L223" s="6" t="s">
        <v>8</v>
      </c>
      <c r="M223" s="6" t="s">
        <v>9</v>
      </c>
      <c r="N223" s="5" t="s">
        <v>770</v>
      </c>
      <c r="O223" s="5" t="s">
        <v>813</v>
      </c>
      <c r="P223" s="26">
        <f t="shared" si="29"/>
        <v>79</v>
      </c>
      <c r="Q223" s="26">
        <f t="shared" si="30"/>
        <v>137</v>
      </c>
      <c r="R223" s="10"/>
    </row>
    <row r="224" spans="1:18" ht="15" customHeight="1" x14ac:dyDescent="0.25">
      <c r="A224" s="4" t="s">
        <v>814</v>
      </c>
      <c r="B224" s="5" t="s">
        <v>815</v>
      </c>
      <c r="C224" s="5" t="str">
        <f t="shared" si="24"/>
        <v>800</v>
      </c>
      <c r="D224" s="5" t="str">
        <f t="shared" si="25"/>
        <v>800</v>
      </c>
      <c r="E224" s="6" t="s">
        <v>422</v>
      </c>
      <c r="F224" s="9">
        <f t="shared" si="26"/>
        <v>5.6</v>
      </c>
      <c r="G224" s="9">
        <f t="shared" si="27"/>
        <v>5.6</v>
      </c>
      <c r="H224" s="5" t="s">
        <v>6</v>
      </c>
      <c r="I224" s="5" t="s">
        <v>22</v>
      </c>
      <c r="J224" s="10">
        <f t="shared" si="28"/>
        <v>0.15</v>
      </c>
      <c r="K224" s="11">
        <f t="shared" si="31"/>
        <v>6.7</v>
      </c>
      <c r="L224" s="6" t="s">
        <v>8</v>
      </c>
      <c r="M224" s="6" t="s">
        <v>50</v>
      </c>
      <c r="N224" s="5" t="s">
        <v>816</v>
      </c>
      <c r="O224" s="5" t="s">
        <v>817</v>
      </c>
      <c r="P224" s="26">
        <f t="shared" si="29"/>
        <v>160</v>
      </c>
      <c r="Q224" s="26">
        <f t="shared" si="30"/>
        <v>461</v>
      </c>
      <c r="R224" s="10"/>
    </row>
    <row r="225" spans="1:18" ht="15" customHeight="1" x14ac:dyDescent="0.25">
      <c r="A225" s="4" t="s">
        <v>818</v>
      </c>
      <c r="B225" s="5" t="s">
        <v>815</v>
      </c>
      <c r="C225" s="5" t="str">
        <f t="shared" si="24"/>
        <v>800</v>
      </c>
      <c r="D225" s="5" t="str">
        <f t="shared" si="25"/>
        <v>800</v>
      </c>
      <c r="E225" s="6" t="s">
        <v>422</v>
      </c>
      <c r="F225" s="9">
        <f t="shared" si="26"/>
        <v>5.6</v>
      </c>
      <c r="G225" s="9">
        <f t="shared" si="27"/>
        <v>5.6</v>
      </c>
      <c r="H225" s="5" t="s">
        <v>6</v>
      </c>
      <c r="I225" s="5" t="s">
        <v>188</v>
      </c>
      <c r="J225" s="10">
        <f t="shared" si="28"/>
        <v>0.11</v>
      </c>
      <c r="K225" s="11">
        <f t="shared" si="31"/>
        <v>9.1</v>
      </c>
      <c r="L225" s="6" t="s">
        <v>8</v>
      </c>
      <c r="M225" s="6" t="s">
        <v>50</v>
      </c>
      <c r="N225" s="5" t="s">
        <v>819</v>
      </c>
      <c r="O225" s="5" t="s">
        <v>820</v>
      </c>
      <c r="P225" s="26">
        <f t="shared" si="29"/>
        <v>157</v>
      </c>
      <c r="Q225" s="26">
        <f t="shared" si="30"/>
        <v>520</v>
      </c>
      <c r="R225" s="10"/>
    </row>
    <row r="226" spans="1:18" ht="15" customHeight="1" x14ac:dyDescent="0.25">
      <c r="A226" s="4" t="s">
        <v>821</v>
      </c>
      <c r="B226" s="5" t="s">
        <v>822</v>
      </c>
      <c r="C226" s="5" t="str">
        <f t="shared" si="24"/>
        <v>85</v>
      </c>
      <c r="D226" s="5" t="str">
        <f t="shared" si="25"/>
        <v>85</v>
      </c>
      <c r="E226" s="6" t="s">
        <v>80</v>
      </c>
      <c r="F226" s="9">
        <f t="shared" si="26"/>
        <v>1.4</v>
      </c>
      <c r="G226" s="9">
        <f t="shared" si="27"/>
        <v>1.4</v>
      </c>
      <c r="H226" s="5" t="s">
        <v>27</v>
      </c>
      <c r="I226" s="5" t="s">
        <v>188</v>
      </c>
      <c r="J226" s="10">
        <f t="shared" si="28"/>
        <v>0.11</v>
      </c>
      <c r="K226" s="11">
        <f t="shared" si="31"/>
        <v>9.1</v>
      </c>
      <c r="L226" s="6" t="s">
        <v>8</v>
      </c>
      <c r="M226" s="6" t="s">
        <v>50</v>
      </c>
      <c r="N226" s="5" t="s">
        <v>108</v>
      </c>
      <c r="O226" s="5" t="s">
        <v>823</v>
      </c>
      <c r="P226" s="26">
        <f t="shared" si="29"/>
        <v>80</v>
      </c>
      <c r="Q226" s="26">
        <f t="shared" si="30"/>
        <v>73</v>
      </c>
      <c r="R226" s="10"/>
    </row>
    <row r="227" spans="1:18" ht="15" customHeight="1" x14ac:dyDescent="0.25">
      <c r="A227" s="4" t="s">
        <v>824</v>
      </c>
      <c r="B227" s="5" t="s">
        <v>822</v>
      </c>
      <c r="C227" s="5" t="str">
        <f t="shared" si="24"/>
        <v>85</v>
      </c>
      <c r="D227" s="5" t="str">
        <f t="shared" si="25"/>
        <v>85</v>
      </c>
      <c r="E227" s="6" t="s">
        <v>157</v>
      </c>
      <c r="F227" s="9">
        <f t="shared" si="26"/>
        <v>1.8</v>
      </c>
      <c r="G227" s="9">
        <f t="shared" si="27"/>
        <v>1.8</v>
      </c>
      <c r="H227" s="5" t="s">
        <v>84</v>
      </c>
      <c r="I227" s="5" t="s">
        <v>188</v>
      </c>
      <c r="J227" s="10">
        <f t="shared" si="28"/>
        <v>0.11</v>
      </c>
      <c r="K227" s="11">
        <f t="shared" si="31"/>
        <v>9.1</v>
      </c>
      <c r="L227" s="6" t="s">
        <v>8</v>
      </c>
      <c r="M227" s="6" t="s">
        <v>50</v>
      </c>
      <c r="N227" s="5" t="s">
        <v>825</v>
      </c>
      <c r="O227" s="5" t="s">
        <v>826</v>
      </c>
      <c r="P227" s="26">
        <f t="shared" si="29"/>
        <v>72</v>
      </c>
      <c r="Q227" s="26">
        <f t="shared" si="30"/>
        <v>59</v>
      </c>
      <c r="R227" s="10"/>
    </row>
    <row r="228" spans="1:18" ht="15" customHeight="1" x14ac:dyDescent="0.25">
      <c r="A228" s="4" t="s">
        <v>827</v>
      </c>
      <c r="B228" s="5" t="s">
        <v>822</v>
      </c>
      <c r="C228" s="5" t="str">
        <f t="shared" si="24"/>
        <v>85</v>
      </c>
      <c r="D228" s="5" t="str">
        <f t="shared" si="25"/>
        <v>85</v>
      </c>
      <c r="E228" s="6" t="s">
        <v>80</v>
      </c>
      <c r="F228" s="9">
        <f t="shared" si="26"/>
        <v>1.4</v>
      </c>
      <c r="G228" s="9">
        <f t="shared" si="27"/>
        <v>1.4</v>
      </c>
      <c r="H228" s="5" t="s">
        <v>27</v>
      </c>
      <c r="I228" s="5" t="s">
        <v>32</v>
      </c>
      <c r="J228" s="10">
        <f t="shared" si="28"/>
        <v>0.12</v>
      </c>
      <c r="K228" s="11">
        <f t="shared" si="31"/>
        <v>8.3000000000000007</v>
      </c>
      <c r="L228" s="6" t="s">
        <v>8</v>
      </c>
      <c r="M228" s="6" t="s">
        <v>50</v>
      </c>
      <c r="N228" s="5" t="s">
        <v>69</v>
      </c>
      <c r="O228" s="5" t="s">
        <v>828</v>
      </c>
      <c r="P228" s="26">
        <f t="shared" si="29"/>
        <v>86</v>
      </c>
      <c r="Q228" s="26">
        <f t="shared" si="30"/>
        <v>84</v>
      </c>
      <c r="R228" s="10"/>
    </row>
    <row r="229" spans="1:18" ht="15" customHeight="1" x14ac:dyDescent="0.25">
      <c r="A229" s="4" t="s">
        <v>829</v>
      </c>
      <c r="B229" s="5" t="s">
        <v>822</v>
      </c>
      <c r="C229" s="5" t="str">
        <f t="shared" si="24"/>
        <v>85</v>
      </c>
      <c r="D229" s="5" t="str">
        <f t="shared" si="25"/>
        <v>85</v>
      </c>
      <c r="E229" s="6" t="s">
        <v>157</v>
      </c>
      <c r="F229" s="9">
        <f t="shared" si="26"/>
        <v>1.8</v>
      </c>
      <c r="G229" s="9">
        <f t="shared" si="27"/>
        <v>1.8</v>
      </c>
      <c r="H229" s="5" t="s">
        <v>56</v>
      </c>
      <c r="I229" s="5" t="s">
        <v>830</v>
      </c>
      <c r="J229" s="10">
        <f t="shared" si="28"/>
        <v>0.124</v>
      </c>
      <c r="K229" s="11">
        <f t="shared" si="31"/>
        <v>8.1</v>
      </c>
      <c r="L229" s="6" t="s">
        <v>8</v>
      </c>
      <c r="M229" s="6" t="s">
        <v>50</v>
      </c>
      <c r="N229" s="5" t="s">
        <v>10</v>
      </c>
      <c r="O229" s="5" t="s">
        <v>823</v>
      </c>
      <c r="P229" s="26">
        <f t="shared" si="29"/>
        <v>80</v>
      </c>
      <c r="Q229" s="26">
        <f t="shared" si="30"/>
        <v>73</v>
      </c>
      <c r="R229" s="10"/>
    </row>
    <row r="230" spans="1:18" ht="15" customHeight="1" x14ac:dyDescent="0.25">
      <c r="A230" s="4" t="s">
        <v>831</v>
      </c>
      <c r="B230" s="5" t="s">
        <v>822</v>
      </c>
      <c r="C230" s="5" t="str">
        <f t="shared" si="24"/>
        <v>85</v>
      </c>
      <c r="D230" s="5" t="str">
        <f t="shared" si="25"/>
        <v>85</v>
      </c>
      <c r="E230" s="6" t="s">
        <v>20</v>
      </c>
      <c r="F230" s="9">
        <f t="shared" si="26"/>
        <v>3.5</v>
      </c>
      <c r="G230" s="9">
        <f t="shared" si="27"/>
        <v>3.5</v>
      </c>
      <c r="H230" s="5" t="s">
        <v>318</v>
      </c>
      <c r="I230" s="5" t="s">
        <v>63</v>
      </c>
      <c r="J230" s="10">
        <f t="shared" si="28"/>
        <v>1</v>
      </c>
      <c r="K230" s="11">
        <f t="shared" si="31"/>
        <v>1</v>
      </c>
      <c r="L230" s="6" t="s">
        <v>8</v>
      </c>
      <c r="M230" s="6" t="s">
        <v>9</v>
      </c>
      <c r="N230" s="5" t="s">
        <v>445</v>
      </c>
      <c r="O230" s="5" t="s">
        <v>832</v>
      </c>
      <c r="P230" s="26">
        <f t="shared" si="29"/>
        <v>73</v>
      </c>
      <c r="Q230" s="26">
        <f t="shared" si="30"/>
        <v>99</v>
      </c>
      <c r="R230" s="10"/>
    </row>
    <row r="231" spans="1:18" ht="15" customHeight="1" x14ac:dyDescent="0.25">
      <c r="A231" s="4" t="s">
        <v>833</v>
      </c>
      <c r="B231" s="5" t="s">
        <v>822</v>
      </c>
      <c r="C231" s="5" t="str">
        <f t="shared" si="24"/>
        <v>85</v>
      </c>
      <c r="D231" s="5" t="str">
        <f t="shared" si="25"/>
        <v>85</v>
      </c>
      <c r="E231" s="6" t="s">
        <v>44</v>
      </c>
      <c r="F231" s="9">
        <f t="shared" si="26"/>
        <v>2.8</v>
      </c>
      <c r="G231" s="9">
        <f t="shared" si="27"/>
        <v>2.8</v>
      </c>
      <c r="H231" s="5" t="s">
        <v>27</v>
      </c>
      <c r="I231" s="5" t="s">
        <v>68</v>
      </c>
      <c r="J231" s="10">
        <f t="shared" si="28"/>
        <v>0.5</v>
      </c>
      <c r="K231" s="11">
        <f t="shared" si="31"/>
        <v>2</v>
      </c>
      <c r="L231" s="6" t="s">
        <v>8</v>
      </c>
      <c r="M231" s="6" t="s">
        <v>50</v>
      </c>
      <c r="N231" s="5" t="s">
        <v>834</v>
      </c>
      <c r="O231" s="5" t="s">
        <v>835</v>
      </c>
      <c r="P231" s="26">
        <f t="shared" si="29"/>
        <v>85</v>
      </c>
      <c r="Q231" s="26">
        <f t="shared" si="30"/>
        <v>107</v>
      </c>
      <c r="R231" s="10"/>
    </row>
    <row r="232" spans="1:18" ht="15" customHeight="1" x14ac:dyDescent="0.25">
      <c r="A232" s="4" t="s">
        <v>839</v>
      </c>
      <c r="B232" s="5" t="s">
        <v>822</v>
      </c>
      <c r="C232" s="5" t="str">
        <f t="shared" si="24"/>
        <v>85</v>
      </c>
      <c r="D232" s="5" t="str">
        <f t="shared" si="25"/>
        <v>85</v>
      </c>
      <c r="E232" s="6" t="s">
        <v>80</v>
      </c>
      <c r="F232" s="9">
        <f t="shared" si="26"/>
        <v>1.4</v>
      </c>
      <c r="G232" s="9">
        <f t="shared" si="27"/>
        <v>1.4</v>
      </c>
      <c r="H232" s="5" t="s">
        <v>27</v>
      </c>
      <c r="I232" s="5" t="s">
        <v>32</v>
      </c>
      <c r="J232" s="10">
        <f t="shared" si="28"/>
        <v>0.12</v>
      </c>
      <c r="K232" s="11">
        <f t="shared" si="31"/>
        <v>8.3000000000000007</v>
      </c>
      <c r="L232" s="6" t="s">
        <v>8</v>
      </c>
      <c r="M232" s="6" t="s">
        <v>50</v>
      </c>
      <c r="N232" s="5" t="s">
        <v>88</v>
      </c>
      <c r="O232" s="5" t="s">
        <v>840</v>
      </c>
      <c r="P232" s="26">
        <f t="shared" si="29"/>
        <v>87</v>
      </c>
      <c r="Q232" s="26">
        <f t="shared" si="30"/>
        <v>88</v>
      </c>
      <c r="R232" s="10"/>
    </row>
    <row r="233" spans="1:18" ht="15" customHeight="1" x14ac:dyDescent="0.25">
      <c r="A233" s="4" t="s">
        <v>841</v>
      </c>
      <c r="B233" s="5" t="s">
        <v>822</v>
      </c>
      <c r="C233" s="5" t="str">
        <f t="shared" si="24"/>
        <v>85</v>
      </c>
      <c r="D233" s="5" t="str">
        <f t="shared" si="25"/>
        <v>85</v>
      </c>
      <c r="E233" s="6" t="s">
        <v>80</v>
      </c>
      <c r="F233" s="9">
        <f t="shared" si="26"/>
        <v>1.4</v>
      </c>
      <c r="G233" s="9">
        <f t="shared" si="27"/>
        <v>1.4</v>
      </c>
      <c r="H233" s="5" t="s">
        <v>197</v>
      </c>
      <c r="I233" s="5" t="s">
        <v>32</v>
      </c>
      <c r="J233" s="10">
        <f t="shared" si="28"/>
        <v>0.12</v>
      </c>
      <c r="K233" s="11">
        <f t="shared" si="31"/>
        <v>8.3000000000000007</v>
      </c>
      <c r="L233" s="6" t="s">
        <v>8</v>
      </c>
      <c r="M233" s="6" t="s">
        <v>50</v>
      </c>
      <c r="N233" s="5" t="s">
        <v>842</v>
      </c>
      <c r="O233" s="5" t="s">
        <v>843</v>
      </c>
      <c r="P233" s="26">
        <f t="shared" si="29"/>
        <v>95</v>
      </c>
      <c r="Q233" s="26">
        <f t="shared" si="30"/>
        <v>126</v>
      </c>
      <c r="R233" s="10"/>
    </row>
    <row r="234" spans="1:18" ht="15" customHeight="1" x14ac:dyDescent="0.25">
      <c r="A234" s="4" t="s">
        <v>844</v>
      </c>
      <c r="B234" s="5" t="s">
        <v>822</v>
      </c>
      <c r="C234" s="5" t="str">
        <f t="shared" si="24"/>
        <v>85</v>
      </c>
      <c r="D234" s="5" t="str">
        <f t="shared" si="25"/>
        <v>85</v>
      </c>
      <c r="E234" s="6" t="s">
        <v>157</v>
      </c>
      <c r="F234" s="9">
        <f t="shared" si="26"/>
        <v>1.8</v>
      </c>
      <c r="G234" s="9">
        <f t="shared" si="27"/>
        <v>1.8</v>
      </c>
      <c r="H234" s="5" t="s">
        <v>56</v>
      </c>
      <c r="I234" s="5" t="s">
        <v>122</v>
      </c>
      <c r="J234" s="10">
        <f t="shared" si="28"/>
        <v>0.14000000000000001</v>
      </c>
      <c r="K234" s="11">
        <f t="shared" si="31"/>
        <v>7.1</v>
      </c>
      <c r="L234" s="6" t="s">
        <v>8</v>
      </c>
      <c r="M234" s="6" t="s">
        <v>50</v>
      </c>
      <c r="N234" s="5" t="s">
        <v>486</v>
      </c>
      <c r="O234" s="5" t="s">
        <v>845</v>
      </c>
      <c r="P234" s="26">
        <f t="shared" si="29"/>
        <v>85</v>
      </c>
      <c r="Q234" s="26">
        <f t="shared" si="30"/>
        <v>92</v>
      </c>
      <c r="R234" s="10"/>
    </row>
    <row r="235" spans="1:18" ht="15" customHeight="1" x14ac:dyDescent="0.25">
      <c r="A235" s="4" t="s">
        <v>846</v>
      </c>
      <c r="B235" s="5" t="s">
        <v>822</v>
      </c>
      <c r="C235" s="5" t="str">
        <f t="shared" si="24"/>
        <v>85</v>
      </c>
      <c r="D235" s="5" t="str">
        <f t="shared" si="25"/>
        <v>85</v>
      </c>
      <c r="E235" s="6" t="s">
        <v>80</v>
      </c>
      <c r="F235" s="9">
        <f t="shared" si="26"/>
        <v>1.4</v>
      </c>
      <c r="G235" s="9">
        <f t="shared" si="27"/>
        <v>1.4</v>
      </c>
      <c r="H235" s="5" t="s">
        <v>27</v>
      </c>
      <c r="I235" s="5" t="s">
        <v>32</v>
      </c>
      <c r="J235" s="10">
        <f t="shared" si="28"/>
        <v>0.12</v>
      </c>
      <c r="K235" s="11">
        <f t="shared" si="31"/>
        <v>8.3000000000000007</v>
      </c>
      <c r="L235" s="6" t="s">
        <v>8</v>
      </c>
      <c r="M235" s="6" t="s">
        <v>50</v>
      </c>
      <c r="N235" s="5" t="s">
        <v>847</v>
      </c>
      <c r="O235" s="5" t="s">
        <v>848</v>
      </c>
      <c r="P235" s="26">
        <f t="shared" si="29"/>
        <v>90</v>
      </c>
      <c r="Q235" s="26">
        <f t="shared" si="30"/>
        <v>110</v>
      </c>
      <c r="R235" s="10"/>
    </row>
    <row r="236" spans="1:18" ht="15" customHeight="1" x14ac:dyDescent="0.25">
      <c r="A236" s="4" t="s">
        <v>849</v>
      </c>
      <c r="B236" s="5" t="s">
        <v>822</v>
      </c>
      <c r="C236" s="5" t="str">
        <f t="shared" si="24"/>
        <v>85</v>
      </c>
      <c r="D236" s="5" t="str">
        <f t="shared" si="25"/>
        <v>85</v>
      </c>
      <c r="E236" s="6" t="s">
        <v>80</v>
      </c>
      <c r="F236" s="9">
        <f t="shared" si="26"/>
        <v>1.4</v>
      </c>
      <c r="G236" s="9">
        <f t="shared" si="27"/>
        <v>1.4</v>
      </c>
      <c r="H236" s="5" t="s">
        <v>197</v>
      </c>
      <c r="I236" s="5" t="s">
        <v>32</v>
      </c>
      <c r="J236" s="10">
        <f t="shared" si="28"/>
        <v>0.12</v>
      </c>
      <c r="K236" s="11">
        <f t="shared" si="31"/>
        <v>8.3000000000000007</v>
      </c>
      <c r="L236" s="6" t="s">
        <v>8</v>
      </c>
      <c r="M236" s="6" t="s">
        <v>50</v>
      </c>
      <c r="N236" s="5" t="s">
        <v>850</v>
      </c>
      <c r="O236" s="5" t="s">
        <v>851</v>
      </c>
      <c r="P236" s="26">
        <f t="shared" si="29"/>
        <v>102</v>
      </c>
      <c r="Q236" s="26">
        <f t="shared" si="30"/>
        <v>141</v>
      </c>
      <c r="R236" s="10"/>
    </row>
    <row r="237" spans="1:18" ht="15" customHeight="1" x14ac:dyDescent="0.25">
      <c r="A237" s="4" t="s">
        <v>849</v>
      </c>
      <c r="B237" s="5" t="s">
        <v>822</v>
      </c>
      <c r="C237" s="5" t="str">
        <f t="shared" si="24"/>
        <v>85</v>
      </c>
      <c r="D237" s="5" t="str">
        <f t="shared" si="25"/>
        <v>85</v>
      </c>
      <c r="E237" s="6" t="s">
        <v>80</v>
      </c>
      <c r="F237" s="9">
        <f t="shared" si="26"/>
        <v>1.4</v>
      </c>
      <c r="G237" s="9">
        <f t="shared" si="27"/>
        <v>1.4</v>
      </c>
      <c r="H237" s="5" t="s">
        <v>197</v>
      </c>
      <c r="I237" s="5" t="s">
        <v>32</v>
      </c>
      <c r="J237" s="10">
        <f t="shared" si="28"/>
        <v>0.12</v>
      </c>
      <c r="K237" s="11">
        <f t="shared" si="31"/>
        <v>8.3000000000000007</v>
      </c>
      <c r="L237" s="6" t="s">
        <v>8</v>
      </c>
      <c r="M237" s="6" t="s">
        <v>50</v>
      </c>
      <c r="N237" s="5" t="s">
        <v>850</v>
      </c>
      <c r="O237" s="5" t="s">
        <v>852</v>
      </c>
      <c r="P237" s="26">
        <f t="shared" si="29"/>
        <v>101</v>
      </c>
      <c r="Q237" s="26">
        <f t="shared" si="30"/>
        <v>124</v>
      </c>
      <c r="R237" s="10"/>
    </row>
    <row r="238" spans="1:18" ht="15" customHeight="1" x14ac:dyDescent="0.25">
      <c r="A238" s="4" t="s">
        <v>860</v>
      </c>
      <c r="B238" s="5" t="s">
        <v>856</v>
      </c>
      <c r="C238" s="5" t="str">
        <f t="shared" si="24"/>
        <v>8</v>
      </c>
      <c r="D238" s="5" t="str">
        <f t="shared" si="25"/>
        <v>8</v>
      </c>
      <c r="E238" s="6" t="s">
        <v>20</v>
      </c>
      <c r="F238" s="9">
        <f t="shared" si="26"/>
        <v>3.5</v>
      </c>
      <c r="G238" s="9">
        <f t="shared" si="27"/>
        <v>3.5</v>
      </c>
      <c r="H238" s="5" t="s">
        <v>6</v>
      </c>
      <c r="I238" s="5" t="s">
        <v>466</v>
      </c>
      <c r="J238" s="10">
        <f t="shared" si="28"/>
        <v>0.21</v>
      </c>
      <c r="K238" s="11">
        <f t="shared" si="31"/>
        <v>4.8</v>
      </c>
      <c r="L238" s="6" t="s">
        <v>8</v>
      </c>
      <c r="M238" s="6" t="s">
        <v>50</v>
      </c>
      <c r="N238" s="5" t="s">
        <v>330</v>
      </c>
      <c r="O238" s="5" t="s">
        <v>861</v>
      </c>
      <c r="P238" s="26">
        <f t="shared" si="29"/>
        <v>74</v>
      </c>
      <c r="Q238" s="26">
        <f t="shared" si="30"/>
        <v>69</v>
      </c>
      <c r="R238" s="10"/>
    </row>
    <row r="239" spans="1:18" ht="15" customHeight="1" x14ac:dyDescent="0.25">
      <c r="A239" s="4" t="s">
        <v>862</v>
      </c>
      <c r="B239" s="5" t="s">
        <v>863</v>
      </c>
      <c r="C239" s="5" t="str">
        <f t="shared" si="24"/>
        <v>90</v>
      </c>
      <c r="D239" s="5" t="str">
        <f t="shared" si="25"/>
        <v>90</v>
      </c>
      <c r="E239" s="6" t="s">
        <v>44</v>
      </c>
      <c r="F239" s="9">
        <f t="shared" si="26"/>
        <v>2.8</v>
      </c>
      <c r="G239" s="9">
        <f t="shared" si="27"/>
        <v>2.8</v>
      </c>
      <c r="H239" s="5" t="s">
        <v>84</v>
      </c>
      <c r="I239" s="5" t="s">
        <v>63</v>
      </c>
      <c r="J239" s="10">
        <f t="shared" si="28"/>
        <v>1</v>
      </c>
      <c r="K239" s="11">
        <f t="shared" si="31"/>
        <v>1</v>
      </c>
      <c r="L239" s="6" t="s">
        <v>8</v>
      </c>
      <c r="M239" s="6" t="s">
        <v>50</v>
      </c>
      <c r="N239" s="5" t="s">
        <v>246</v>
      </c>
      <c r="O239" s="5" t="s">
        <v>864</v>
      </c>
      <c r="P239" s="26">
        <f t="shared" si="29"/>
        <v>79</v>
      </c>
      <c r="Q239" s="26">
        <f t="shared" si="30"/>
        <v>117</v>
      </c>
      <c r="R239" s="10"/>
    </row>
    <row r="240" spans="1:18" ht="15" customHeight="1" x14ac:dyDescent="0.25">
      <c r="A240" s="4" t="s">
        <v>865</v>
      </c>
      <c r="B240" s="5" t="s">
        <v>863</v>
      </c>
      <c r="C240" s="5" t="str">
        <f t="shared" si="24"/>
        <v>90</v>
      </c>
      <c r="D240" s="5" t="str">
        <f t="shared" si="25"/>
        <v>90</v>
      </c>
      <c r="E240" s="6" t="s">
        <v>44</v>
      </c>
      <c r="F240" s="9">
        <f t="shared" si="26"/>
        <v>2.8</v>
      </c>
      <c r="G240" s="9">
        <f t="shared" si="27"/>
        <v>2.8</v>
      </c>
      <c r="H240" s="5" t="s">
        <v>62</v>
      </c>
      <c r="I240" s="5" t="s">
        <v>63</v>
      </c>
      <c r="J240" s="10">
        <f t="shared" si="28"/>
        <v>1</v>
      </c>
      <c r="K240" s="11">
        <f t="shared" si="31"/>
        <v>1</v>
      </c>
      <c r="L240" s="6" t="s">
        <v>8</v>
      </c>
      <c r="M240" s="6" t="s">
        <v>50</v>
      </c>
      <c r="N240" s="5" t="s">
        <v>321</v>
      </c>
      <c r="O240" s="5" t="s">
        <v>866</v>
      </c>
      <c r="P240" s="26">
        <f t="shared" si="29"/>
        <v>72</v>
      </c>
      <c r="Q240" s="26">
        <f t="shared" si="30"/>
        <v>97</v>
      </c>
      <c r="R240" s="10"/>
    </row>
    <row r="241" spans="1:18" ht="15" customHeight="1" x14ac:dyDescent="0.25">
      <c r="A241" s="4" t="s">
        <v>42</v>
      </c>
      <c r="B241" s="5" t="s">
        <v>43</v>
      </c>
      <c r="C241" s="5" t="str">
        <f t="shared" si="24"/>
        <v>10.5</v>
      </c>
      <c r="D241" s="5" t="str">
        <f t="shared" si="25"/>
        <v>10.5</v>
      </c>
      <c r="E241" s="6" t="s">
        <v>44</v>
      </c>
      <c r="F241" s="9">
        <f t="shared" si="26"/>
        <v>2.8</v>
      </c>
      <c r="G241" s="9">
        <f t="shared" si="27"/>
        <v>2.8</v>
      </c>
      <c r="H241" s="5" t="s">
        <v>6</v>
      </c>
      <c r="I241" s="5" t="s">
        <v>40</v>
      </c>
      <c r="J241" s="10">
        <v>0.2</v>
      </c>
      <c r="K241" s="11">
        <v>5</v>
      </c>
      <c r="L241" s="6" t="s">
        <v>8</v>
      </c>
      <c r="M241" s="6" t="s">
        <v>9</v>
      </c>
      <c r="N241" s="5" t="s">
        <v>45</v>
      </c>
      <c r="O241" s="5" t="s">
        <v>46</v>
      </c>
      <c r="P241" s="26">
        <f t="shared" si="29"/>
        <v>63</v>
      </c>
      <c r="Q241" s="26">
        <f t="shared" si="30"/>
        <v>63</v>
      </c>
      <c r="R241" s="10"/>
    </row>
    <row r="242" spans="1:18" ht="15" customHeight="1" x14ac:dyDescent="0.25">
      <c r="A242" s="4" t="s">
        <v>94</v>
      </c>
      <c r="B242" s="5" t="s">
        <v>95</v>
      </c>
      <c r="C242" s="5" t="str">
        <f t="shared" ref="C242:C272" si="32">IFERROR(LEFT(B242,(FIND("-",B242)-1)),LEFT(B242,FIND("mm",B242)-1))</f>
        <v>10</v>
      </c>
      <c r="D242" s="5" t="str">
        <f t="shared" ref="D242:D272" si="33">IFERROR(RIGHT(LEFT(B242,FIND("m",B242)-1),LEN(LEFT(B242,FIND("m",B242)-1))-FIND("-",LEFT(B242,FIND("m",B242)-1))-1),C242)</f>
        <v>10</v>
      </c>
      <c r="E242" s="6" t="s">
        <v>44</v>
      </c>
      <c r="F242" s="9">
        <f t="shared" ref="F242:F272" si="34">convertStringPointToComma(LEFT(MID(E242,3,9),IFERROR(FIND("-",MID(E242,3,9))-2,3)))</f>
        <v>2.8</v>
      </c>
      <c r="G242" s="9">
        <f t="shared" ref="G242:G272" si="35">convertStringPointToComma(RIGHT(E242,IF(ISERROR(FIND(".",RIGHT(E242,3))),1,3)))</f>
        <v>2.8</v>
      </c>
      <c r="H242" s="5" t="s">
        <v>6</v>
      </c>
      <c r="I242" s="5"/>
      <c r="J242" s="5"/>
      <c r="K242" s="11"/>
      <c r="L242" s="6" t="s">
        <v>8</v>
      </c>
      <c r="M242" s="6" t="s">
        <v>9</v>
      </c>
      <c r="N242" s="5" t="s">
        <v>96</v>
      </c>
      <c r="O242" s="5" t="s">
        <v>97</v>
      </c>
      <c r="P242" s="26">
        <f t="shared" si="29"/>
        <v>87</v>
      </c>
      <c r="Q242" s="26">
        <f t="shared" si="30"/>
        <v>132</v>
      </c>
      <c r="R242" s="10"/>
    </row>
    <row r="243" spans="1:18" ht="15" customHeight="1" x14ac:dyDescent="0.25">
      <c r="A243" s="4" t="s">
        <v>152</v>
      </c>
      <c r="B243" s="5" t="s">
        <v>148</v>
      </c>
      <c r="C243" s="5" t="str">
        <f t="shared" si="32"/>
        <v>135</v>
      </c>
      <c r="D243" s="5" t="str">
        <f t="shared" si="33"/>
        <v>135</v>
      </c>
      <c r="E243" s="6" t="s">
        <v>67</v>
      </c>
      <c r="F243" s="9">
        <f t="shared" si="34"/>
        <v>2</v>
      </c>
      <c r="G243" s="9">
        <f t="shared" si="35"/>
        <v>2</v>
      </c>
      <c r="H243" s="5" t="s">
        <v>27</v>
      </c>
      <c r="I243" s="5"/>
      <c r="J243" s="5"/>
      <c r="K243" s="11"/>
      <c r="L243" s="6" t="s">
        <v>8</v>
      </c>
      <c r="M243" s="6" t="s">
        <v>50</v>
      </c>
      <c r="N243" s="5" t="s">
        <v>153</v>
      </c>
      <c r="O243" s="5" t="s">
        <v>154</v>
      </c>
      <c r="P243" s="26">
        <f t="shared" si="29"/>
        <v>82</v>
      </c>
      <c r="Q243" s="26">
        <f t="shared" si="30"/>
        <v>148</v>
      </c>
      <c r="R243" s="10"/>
    </row>
    <row r="244" spans="1:18" ht="15" customHeight="1" x14ac:dyDescent="0.25">
      <c r="A244" s="4" t="s">
        <v>178</v>
      </c>
      <c r="B244" s="5" t="s">
        <v>176</v>
      </c>
      <c r="C244" s="5" t="str">
        <f t="shared" si="32"/>
        <v>14</v>
      </c>
      <c r="D244" s="5" t="str">
        <f t="shared" si="33"/>
        <v>14</v>
      </c>
      <c r="E244" s="6" t="s">
        <v>44</v>
      </c>
      <c r="F244" s="9">
        <f t="shared" si="34"/>
        <v>2.8</v>
      </c>
      <c r="G244" s="9">
        <f t="shared" si="35"/>
        <v>2.8</v>
      </c>
      <c r="H244" s="5" t="s">
        <v>6</v>
      </c>
      <c r="I244" s="5"/>
      <c r="J244" s="5"/>
      <c r="K244" s="11"/>
      <c r="L244" s="6" t="s">
        <v>8</v>
      </c>
      <c r="M244" s="6" t="s">
        <v>50</v>
      </c>
      <c r="N244" s="5" t="s">
        <v>153</v>
      </c>
      <c r="O244" s="5" t="s">
        <v>154</v>
      </c>
      <c r="P244" s="26">
        <f t="shared" si="29"/>
        <v>82</v>
      </c>
      <c r="Q244" s="26">
        <f t="shared" si="30"/>
        <v>148</v>
      </c>
      <c r="R244" s="10"/>
    </row>
    <row r="245" spans="1:18" ht="15" customHeight="1" x14ac:dyDescent="0.25">
      <c r="A245" s="4" t="s">
        <v>267</v>
      </c>
      <c r="B245" s="5" t="s">
        <v>263</v>
      </c>
      <c r="C245" s="5" t="str">
        <f t="shared" si="32"/>
        <v>16</v>
      </c>
      <c r="D245" s="5" t="str">
        <f t="shared" si="33"/>
        <v>16</v>
      </c>
      <c r="E245" s="6" t="s">
        <v>67</v>
      </c>
      <c r="F245" s="9">
        <f t="shared" si="34"/>
        <v>2</v>
      </c>
      <c r="G245" s="9">
        <f t="shared" si="35"/>
        <v>2</v>
      </c>
      <c r="H245" s="5" t="s">
        <v>27</v>
      </c>
      <c r="I245" s="5"/>
      <c r="J245" s="5"/>
      <c r="K245" s="11"/>
      <c r="L245" s="6" t="s">
        <v>8</v>
      </c>
      <c r="M245" s="6" t="s">
        <v>9</v>
      </c>
      <c r="N245" s="5" t="s">
        <v>179</v>
      </c>
      <c r="O245" s="5" t="s">
        <v>180</v>
      </c>
      <c r="P245" s="26">
        <f t="shared" si="29"/>
        <v>94</v>
      </c>
      <c r="Q245" s="26">
        <f t="shared" si="30"/>
        <v>87</v>
      </c>
      <c r="R245" s="10"/>
    </row>
    <row r="246" spans="1:18" ht="15" customHeight="1" x14ac:dyDescent="0.25">
      <c r="A246" s="4" t="s">
        <v>447</v>
      </c>
      <c r="B246" s="5" t="s">
        <v>441</v>
      </c>
      <c r="C246" s="5" t="str">
        <f t="shared" si="32"/>
        <v>20</v>
      </c>
      <c r="D246" s="5" t="str">
        <f t="shared" si="33"/>
        <v>20</v>
      </c>
      <c r="E246" s="6" t="s">
        <v>157</v>
      </c>
      <c r="F246" s="9">
        <f t="shared" si="34"/>
        <v>1.8</v>
      </c>
      <c r="G246" s="9">
        <f t="shared" si="35"/>
        <v>1.8</v>
      </c>
      <c r="H246" s="5" t="s">
        <v>27</v>
      </c>
      <c r="I246" s="5"/>
      <c r="J246" s="5"/>
      <c r="K246" s="11"/>
      <c r="L246" s="6" t="s">
        <v>8</v>
      </c>
      <c r="M246" s="6" t="s">
        <v>50</v>
      </c>
      <c r="N246" s="5" t="s">
        <v>179</v>
      </c>
      <c r="O246" s="5" t="s">
        <v>180</v>
      </c>
      <c r="P246" s="26">
        <f t="shared" si="29"/>
        <v>94</v>
      </c>
      <c r="Q246" s="26">
        <f t="shared" si="30"/>
        <v>87</v>
      </c>
      <c r="R246" s="10"/>
    </row>
    <row r="247" spans="1:18" ht="15" customHeight="1" x14ac:dyDescent="0.25">
      <c r="A247" s="4" t="s">
        <v>450</v>
      </c>
      <c r="B247" s="5" t="s">
        <v>441</v>
      </c>
      <c r="C247" s="5" t="str">
        <f t="shared" si="32"/>
        <v>20</v>
      </c>
      <c r="D247" s="5" t="str">
        <f t="shared" si="33"/>
        <v>20</v>
      </c>
      <c r="E247" s="6" t="s">
        <v>451</v>
      </c>
      <c r="F247" s="9">
        <f t="shared" si="34"/>
        <v>1.9</v>
      </c>
      <c r="G247" s="9">
        <f t="shared" si="35"/>
        <v>1.9</v>
      </c>
      <c r="H247" s="5" t="s">
        <v>27</v>
      </c>
      <c r="I247" s="5"/>
      <c r="J247" s="5"/>
      <c r="K247" s="11"/>
      <c r="L247" s="6" t="s">
        <v>8</v>
      </c>
      <c r="M247" s="6" t="s">
        <v>50</v>
      </c>
      <c r="N247" s="5" t="s">
        <v>193</v>
      </c>
      <c r="O247" s="5" t="s">
        <v>194</v>
      </c>
      <c r="P247" s="26">
        <f t="shared" si="29"/>
        <v>99</v>
      </c>
      <c r="Q247" s="26">
        <f t="shared" si="30"/>
        <v>143</v>
      </c>
      <c r="R247" s="10"/>
    </row>
    <row r="248" spans="1:18" ht="15" customHeight="1" x14ac:dyDescent="0.25">
      <c r="A248" s="4" t="s">
        <v>579</v>
      </c>
      <c r="B248" s="5" t="s">
        <v>572</v>
      </c>
      <c r="C248" s="5" t="str">
        <f t="shared" si="32"/>
        <v>300</v>
      </c>
      <c r="D248" s="5" t="str">
        <f t="shared" si="33"/>
        <v>300</v>
      </c>
      <c r="E248" s="6" t="s">
        <v>580</v>
      </c>
      <c r="F248" s="9">
        <f t="shared" si="34"/>
        <v>6.3</v>
      </c>
      <c r="G248" s="9">
        <f t="shared" si="35"/>
        <v>6.3</v>
      </c>
      <c r="H248" s="5" t="s">
        <v>91</v>
      </c>
      <c r="I248" s="5"/>
      <c r="J248" s="5"/>
      <c r="K248" s="11"/>
      <c r="L248" s="6" t="s">
        <v>8</v>
      </c>
      <c r="M248" s="6" t="s">
        <v>9</v>
      </c>
      <c r="N248" s="5" t="s">
        <v>210</v>
      </c>
      <c r="O248" s="5" t="s">
        <v>211</v>
      </c>
      <c r="P248" s="26">
        <f t="shared" si="29"/>
        <v>106</v>
      </c>
      <c r="Q248" s="26">
        <f t="shared" si="30"/>
        <v>258</v>
      </c>
      <c r="R248" s="10"/>
    </row>
    <row r="249" spans="1:18" ht="15" customHeight="1" x14ac:dyDescent="0.25">
      <c r="A249" s="4" t="s">
        <v>599</v>
      </c>
      <c r="B249" s="5" t="s">
        <v>592</v>
      </c>
      <c r="C249" s="5" t="str">
        <f t="shared" si="32"/>
        <v>35</v>
      </c>
      <c r="D249" s="5" t="str">
        <f t="shared" si="33"/>
        <v>35</v>
      </c>
      <c r="E249" s="6" t="s">
        <v>80</v>
      </c>
      <c r="F249" s="9">
        <f t="shared" si="34"/>
        <v>1.4</v>
      </c>
      <c r="G249" s="9">
        <f t="shared" si="35"/>
        <v>1.4</v>
      </c>
      <c r="H249" s="5" t="s">
        <v>27</v>
      </c>
      <c r="I249" s="5"/>
      <c r="J249" s="5"/>
      <c r="K249" s="11"/>
      <c r="L249" s="6" t="s">
        <v>8</v>
      </c>
      <c r="M249" s="6" t="s">
        <v>50</v>
      </c>
      <c r="N249" s="5" t="s">
        <v>226</v>
      </c>
      <c r="O249" s="5" t="s">
        <v>227</v>
      </c>
      <c r="P249" s="26">
        <f t="shared" si="29"/>
        <v>103</v>
      </c>
      <c r="Q249" s="26">
        <f t="shared" si="30"/>
        <v>135</v>
      </c>
      <c r="R249" s="10"/>
    </row>
    <row r="250" spans="1:18" ht="15" customHeight="1" x14ac:dyDescent="0.25">
      <c r="A250" s="4" t="s">
        <v>691</v>
      </c>
      <c r="B250" s="5" t="s">
        <v>678</v>
      </c>
      <c r="C250" s="5" t="str">
        <f t="shared" si="32"/>
        <v>50</v>
      </c>
      <c r="D250" s="5" t="str">
        <f t="shared" si="33"/>
        <v>50</v>
      </c>
      <c r="E250" s="6" t="s">
        <v>80</v>
      </c>
      <c r="F250" s="9">
        <f t="shared" si="34"/>
        <v>1.4</v>
      </c>
      <c r="G250" s="9">
        <f t="shared" si="35"/>
        <v>1.4</v>
      </c>
      <c r="H250" s="5" t="s">
        <v>27</v>
      </c>
      <c r="I250" s="5"/>
      <c r="J250" s="5"/>
      <c r="K250" s="11"/>
      <c r="L250" s="6" t="s">
        <v>8</v>
      </c>
      <c r="M250" s="6" t="s">
        <v>50</v>
      </c>
      <c r="N250" s="5" t="s">
        <v>268</v>
      </c>
      <c r="O250" s="5" t="s">
        <v>269</v>
      </c>
      <c r="P250" s="26">
        <f t="shared" si="29"/>
        <v>86</v>
      </c>
      <c r="Q250" s="26">
        <f t="shared" si="30"/>
        <v>116</v>
      </c>
      <c r="R250" s="10"/>
    </row>
    <row r="251" spans="1:18" ht="15" customHeight="1" x14ac:dyDescent="0.25">
      <c r="A251" s="4" t="s">
        <v>693</v>
      </c>
      <c r="B251" s="5" t="s">
        <v>678</v>
      </c>
      <c r="C251" s="5" t="str">
        <f t="shared" si="32"/>
        <v>50</v>
      </c>
      <c r="D251" s="5" t="str">
        <f t="shared" si="33"/>
        <v>50</v>
      </c>
      <c r="E251" s="6" t="s">
        <v>518</v>
      </c>
      <c r="F251" s="9">
        <f t="shared" si="34"/>
        <v>1.5</v>
      </c>
      <c r="G251" s="9">
        <f t="shared" si="35"/>
        <v>1.5</v>
      </c>
      <c r="H251" s="5" t="s">
        <v>27</v>
      </c>
      <c r="I251" s="5"/>
      <c r="J251" s="5"/>
      <c r="K251" s="11"/>
      <c r="L251" s="6" t="s">
        <v>8</v>
      </c>
      <c r="M251" s="6" t="s">
        <v>50</v>
      </c>
      <c r="N251" s="5" t="s">
        <v>28</v>
      </c>
      <c r="O251" s="5" t="s">
        <v>408</v>
      </c>
      <c r="P251" s="26">
        <f t="shared" si="29"/>
        <v>87</v>
      </c>
      <c r="Q251" s="26">
        <f t="shared" si="30"/>
        <v>84</v>
      </c>
      <c r="R251" s="10"/>
    </row>
    <row r="252" spans="1:18" ht="15" customHeight="1" x14ac:dyDescent="0.25">
      <c r="A252" s="4" t="s">
        <v>836</v>
      </c>
      <c r="B252" s="5" t="s">
        <v>822</v>
      </c>
      <c r="C252" s="5" t="str">
        <f t="shared" si="32"/>
        <v>85</v>
      </c>
      <c r="D252" s="5" t="str">
        <f t="shared" si="33"/>
        <v>85</v>
      </c>
      <c r="E252" s="6" t="s">
        <v>80</v>
      </c>
      <c r="F252" s="9">
        <f t="shared" si="34"/>
        <v>1.4</v>
      </c>
      <c r="G252" s="9">
        <f t="shared" si="35"/>
        <v>1.4</v>
      </c>
      <c r="H252" s="5" t="s">
        <v>15</v>
      </c>
      <c r="I252" s="5"/>
      <c r="J252" s="5"/>
      <c r="K252" s="11"/>
      <c r="L252" s="6" t="s">
        <v>8</v>
      </c>
      <c r="M252" s="6" t="s">
        <v>50</v>
      </c>
      <c r="N252" s="5" t="s">
        <v>448</v>
      </c>
      <c r="O252" s="5" t="s">
        <v>449</v>
      </c>
      <c r="P252" s="26">
        <f t="shared" si="29"/>
        <v>83</v>
      </c>
      <c r="Q252" s="26">
        <f t="shared" si="30"/>
        <v>859</v>
      </c>
      <c r="R252" s="10"/>
    </row>
    <row r="253" spans="1:18" ht="15" customHeight="1" x14ac:dyDescent="0.25">
      <c r="A253" s="4" t="s">
        <v>855</v>
      </c>
      <c r="B253" s="5" t="s">
        <v>856</v>
      </c>
      <c r="C253" s="5" t="str">
        <f t="shared" si="32"/>
        <v>8</v>
      </c>
      <c r="D253" s="5" t="str">
        <f t="shared" si="33"/>
        <v>8</v>
      </c>
      <c r="E253" s="6" t="s">
        <v>20</v>
      </c>
      <c r="F253" s="9">
        <f t="shared" si="34"/>
        <v>3.5</v>
      </c>
      <c r="G253" s="9">
        <f t="shared" si="35"/>
        <v>3.5</v>
      </c>
      <c r="H253" s="5" t="s">
        <v>6</v>
      </c>
      <c r="I253" s="5"/>
      <c r="J253" s="5"/>
      <c r="K253" s="11"/>
      <c r="L253" s="6" t="s">
        <v>8</v>
      </c>
      <c r="M253" s="6" t="s">
        <v>9</v>
      </c>
      <c r="N253" s="5" t="s">
        <v>452</v>
      </c>
      <c r="O253" s="5" t="s">
        <v>453</v>
      </c>
      <c r="P253" s="26">
        <f t="shared" si="29"/>
        <v>83</v>
      </c>
      <c r="Q253" s="26">
        <f t="shared" si="30"/>
        <v>884</v>
      </c>
      <c r="R253" s="10"/>
    </row>
    <row r="254" spans="1:18" ht="15" customHeight="1" x14ac:dyDescent="0.25">
      <c r="A254" s="4" t="s">
        <v>515</v>
      </c>
      <c r="B254" s="5" t="s">
        <v>505</v>
      </c>
      <c r="C254" s="5" t="str">
        <f t="shared" si="32"/>
        <v>24</v>
      </c>
      <c r="D254" s="5" t="str">
        <f t="shared" si="33"/>
        <v>24</v>
      </c>
      <c r="E254" s="6" t="s">
        <v>20</v>
      </c>
      <c r="F254" s="9">
        <f t="shared" si="34"/>
        <v>3.5</v>
      </c>
      <c r="G254" s="9">
        <f t="shared" si="35"/>
        <v>3.5</v>
      </c>
      <c r="H254" s="5" t="s">
        <v>21</v>
      </c>
      <c r="I254" s="5"/>
      <c r="J254" s="5"/>
      <c r="K254" s="11"/>
      <c r="L254" s="6" t="s">
        <v>8</v>
      </c>
      <c r="M254" s="6" t="s">
        <v>50</v>
      </c>
      <c r="N254" s="5" t="s">
        <v>123</v>
      </c>
      <c r="O254" s="5" t="s">
        <v>460</v>
      </c>
      <c r="P254" s="26">
        <f t="shared" si="29"/>
        <v>87</v>
      </c>
      <c r="Q254" s="26">
        <f t="shared" si="30"/>
        <v>110</v>
      </c>
      <c r="R254" s="10"/>
    </row>
    <row r="255" spans="1:18" ht="15" customHeight="1" x14ac:dyDescent="0.25">
      <c r="A255" s="4" t="s">
        <v>155</v>
      </c>
      <c r="B255" s="5" t="s">
        <v>148</v>
      </c>
      <c r="C255" s="5" t="str">
        <f t="shared" si="32"/>
        <v>135</v>
      </c>
      <c r="D255" s="5" t="str">
        <f t="shared" si="33"/>
        <v>135</v>
      </c>
      <c r="E255" s="6" t="s">
        <v>67</v>
      </c>
      <c r="F255" s="9">
        <f t="shared" si="34"/>
        <v>2</v>
      </c>
      <c r="G255" s="9">
        <f t="shared" si="35"/>
        <v>2</v>
      </c>
      <c r="H255" s="5" t="s">
        <v>27</v>
      </c>
      <c r="I255" s="5"/>
      <c r="J255" s="5"/>
      <c r="K255" s="11"/>
      <c r="L255" s="6" t="s">
        <v>8</v>
      </c>
      <c r="M255" s="6" t="s">
        <v>50</v>
      </c>
      <c r="N255" s="5" t="s">
        <v>242</v>
      </c>
      <c r="O255" s="5" t="s">
        <v>516</v>
      </c>
      <c r="P255" s="26">
        <f t="shared" si="29"/>
        <v>113</v>
      </c>
      <c r="Q255" s="26">
        <f t="shared" si="30"/>
        <v>86</v>
      </c>
      <c r="R255" s="10"/>
    </row>
    <row r="256" spans="1:18" ht="15" customHeight="1" x14ac:dyDescent="0.25">
      <c r="A256" s="4" t="s">
        <v>185</v>
      </c>
      <c r="B256" s="5" t="s">
        <v>176</v>
      </c>
      <c r="C256" s="5" t="str">
        <f t="shared" si="32"/>
        <v>14</v>
      </c>
      <c r="D256" s="5" t="str">
        <f t="shared" si="33"/>
        <v>14</v>
      </c>
      <c r="E256" s="6" t="s">
        <v>186</v>
      </c>
      <c r="F256" s="9">
        <f t="shared" si="34"/>
        <v>3.1</v>
      </c>
      <c r="G256" s="9">
        <f t="shared" si="35"/>
        <v>3.1</v>
      </c>
      <c r="H256" s="5" t="s">
        <v>6</v>
      </c>
      <c r="I256" s="5"/>
      <c r="J256" s="5"/>
      <c r="K256" s="11"/>
      <c r="L256" s="6" t="s">
        <v>8</v>
      </c>
      <c r="M256" s="6" t="s">
        <v>50</v>
      </c>
      <c r="N256" s="5" t="s">
        <v>242</v>
      </c>
      <c r="O256" s="5" t="s">
        <v>519</v>
      </c>
      <c r="P256" s="26">
        <f t="shared" si="29"/>
        <v>83</v>
      </c>
      <c r="Q256" s="26">
        <f t="shared" si="30"/>
        <v>97</v>
      </c>
      <c r="R256" s="10"/>
    </row>
    <row r="257" spans="1:18" ht="15" customHeight="1" x14ac:dyDescent="0.25">
      <c r="A257" s="4" t="s">
        <v>517</v>
      </c>
      <c r="B257" s="5" t="s">
        <v>505</v>
      </c>
      <c r="C257" s="5" t="str">
        <f t="shared" si="32"/>
        <v>24</v>
      </c>
      <c r="D257" s="5" t="str">
        <f t="shared" si="33"/>
        <v>24</v>
      </c>
      <c r="E257" s="6" t="s">
        <v>518</v>
      </c>
      <c r="F257" s="9">
        <f t="shared" si="34"/>
        <v>1.5</v>
      </c>
      <c r="G257" s="9">
        <f t="shared" si="35"/>
        <v>1.5</v>
      </c>
      <c r="H257" s="5" t="s">
        <v>27</v>
      </c>
      <c r="I257" s="5"/>
      <c r="J257" s="5"/>
      <c r="K257" s="11"/>
      <c r="L257" s="6" t="s">
        <v>8</v>
      </c>
      <c r="M257" s="6" t="s">
        <v>50</v>
      </c>
      <c r="N257" s="5" t="s">
        <v>33</v>
      </c>
      <c r="O257" s="5" t="s">
        <v>527</v>
      </c>
      <c r="P257" s="26">
        <f t="shared" si="29"/>
        <v>64</v>
      </c>
      <c r="Q257" s="26">
        <f t="shared" si="30"/>
        <v>90</v>
      </c>
      <c r="R257" s="10"/>
    </row>
    <row r="258" spans="1:18" ht="15" customHeight="1" x14ac:dyDescent="0.25">
      <c r="A258" s="4" t="s">
        <v>601</v>
      </c>
      <c r="B258" s="5" t="s">
        <v>592</v>
      </c>
      <c r="C258" s="5" t="str">
        <f t="shared" si="32"/>
        <v>35</v>
      </c>
      <c r="D258" s="5" t="str">
        <f t="shared" si="33"/>
        <v>35</v>
      </c>
      <c r="E258" s="6" t="s">
        <v>518</v>
      </c>
      <c r="F258" s="9">
        <f t="shared" si="34"/>
        <v>1.5</v>
      </c>
      <c r="G258" s="9">
        <f t="shared" si="35"/>
        <v>1.5</v>
      </c>
      <c r="H258" s="5" t="s">
        <v>27</v>
      </c>
      <c r="I258" s="5"/>
      <c r="J258" s="5"/>
      <c r="K258" s="11"/>
      <c r="L258" s="6" t="s">
        <v>8</v>
      </c>
      <c r="M258" s="6" t="s">
        <v>50</v>
      </c>
      <c r="N258" s="5" t="s">
        <v>105</v>
      </c>
      <c r="O258" s="5" t="s">
        <v>529</v>
      </c>
      <c r="P258" s="26">
        <f t="shared" si="29"/>
        <v>71</v>
      </c>
      <c r="Q258" s="26">
        <f t="shared" si="30"/>
        <v>95</v>
      </c>
      <c r="R258" s="10"/>
    </row>
    <row r="259" spans="1:18" ht="15" customHeight="1" x14ac:dyDescent="0.25">
      <c r="A259" s="4" t="s">
        <v>858</v>
      </c>
      <c r="B259" s="5" t="s">
        <v>856</v>
      </c>
      <c r="C259" s="5" t="str">
        <f t="shared" si="32"/>
        <v>8</v>
      </c>
      <c r="D259" s="5" t="str">
        <f t="shared" si="33"/>
        <v>8</v>
      </c>
      <c r="E259" s="6" t="s">
        <v>859</v>
      </c>
      <c r="F259" s="9">
        <f t="shared" si="34"/>
        <v>3.8</v>
      </c>
      <c r="G259" s="9">
        <f t="shared" si="35"/>
        <v>3.8</v>
      </c>
      <c r="H259" s="5" t="s">
        <v>6</v>
      </c>
      <c r="I259" s="5"/>
      <c r="J259" s="5"/>
      <c r="K259" s="11"/>
      <c r="L259" s="6" t="s">
        <v>8</v>
      </c>
      <c r="M259" s="6" t="s">
        <v>9</v>
      </c>
      <c r="N259" s="5" t="s">
        <v>562</v>
      </c>
      <c r="O259" s="5" t="s">
        <v>563</v>
      </c>
      <c r="P259" s="26">
        <f t="shared" ref="P259:P272" si="36">_xlfn.NUMBERVALUE(LEFT(O259,FIND("x",O259)-2))</f>
        <v>64</v>
      </c>
      <c r="Q259" s="26">
        <f t="shared" ref="Q259:Q272" si="37">_xlfn.NUMBERVALUE(LEFT(RIGHT(O259,LEN(O259)-FIND("x",O259)-1),LEN(RIGHT(O259,LEN(O259)-FIND("x",O259)-1))-2))</f>
        <v>93</v>
      </c>
      <c r="R259" s="10"/>
    </row>
    <row r="260" spans="1:18" x14ac:dyDescent="0.25">
      <c r="A260" s="4" t="s">
        <v>209</v>
      </c>
      <c r="B260" s="5" t="s">
        <v>202</v>
      </c>
      <c r="C260" s="5" t="str">
        <f t="shared" si="32"/>
        <v xml:space="preserve">150 </v>
      </c>
      <c r="D260" s="5" t="str">
        <f t="shared" si="33"/>
        <v>600</v>
      </c>
      <c r="E260" s="6" t="s">
        <v>55</v>
      </c>
      <c r="F260" s="9">
        <f t="shared" si="34"/>
        <v>5</v>
      </c>
      <c r="G260" s="9">
        <f t="shared" si="35"/>
        <v>6.3</v>
      </c>
      <c r="H260" s="5" t="s">
        <v>203</v>
      </c>
      <c r="I260" s="5" t="s">
        <v>57</v>
      </c>
      <c r="J260" s="14">
        <v>0.25641025641025644</v>
      </c>
      <c r="K260" s="11">
        <v>3.9</v>
      </c>
      <c r="L260" s="6" t="s">
        <v>8</v>
      </c>
      <c r="M260" s="6" t="s">
        <v>50</v>
      </c>
      <c r="N260" s="5" t="s">
        <v>442</v>
      </c>
      <c r="O260" s="5" t="s">
        <v>581</v>
      </c>
      <c r="P260" s="26">
        <f t="shared" si="36"/>
        <v>65</v>
      </c>
      <c r="Q260" s="26">
        <f t="shared" si="37"/>
        <v>74</v>
      </c>
      <c r="R260" s="10"/>
    </row>
    <row r="261" spans="1:18" ht="15" customHeight="1" x14ac:dyDescent="0.25">
      <c r="A261" s="4" t="s">
        <v>191</v>
      </c>
      <c r="B261" s="5" t="s">
        <v>192</v>
      </c>
      <c r="C261" s="5" t="str">
        <f t="shared" si="32"/>
        <v xml:space="preserve">15 </v>
      </c>
      <c r="D261" s="5" t="str">
        <f t="shared" si="33"/>
        <v>30</v>
      </c>
      <c r="E261" s="6" t="s">
        <v>44</v>
      </c>
      <c r="F261" s="9">
        <f t="shared" si="34"/>
        <v>2.8</v>
      </c>
      <c r="G261" s="9">
        <f t="shared" si="35"/>
        <v>2.8</v>
      </c>
      <c r="H261" s="5" t="s">
        <v>6</v>
      </c>
      <c r="I261" s="5" t="s">
        <v>40</v>
      </c>
      <c r="J261" s="14">
        <v>0.2</v>
      </c>
      <c r="K261" s="11">
        <v>5</v>
      </c>
      <c r="L261" s="6" t="s">
        <v>8</v>
      </c>
      <c r="M261" s="6" t="s">
        <v>50</v>
      </c>
      <c r="N261" s="5" t="s">
        <v>69</v>
      </c>
      <c r="O261" s="5" t="s">
        <v>600</v>
      </c>
      <c r="P261" s="26">
        <f t="shared" si="36"/>
        <v>111</v>
      </c>
      <c r="Q261" s="26">
        <f t="shared" si="37"/>
        <v>83</v>
      </c>
      <c r="R261" s="10"/>
    </row>
    <row r="262" spans="1:18" ht="15" customHeight="1" x14ac:dyDescent="0.25">
      <c r="A262" s="4" t="s">
        <v>609</v>
      </c>
      <c r="B262" s="5" t="s">
        <v>592</v>
      </c>
      <c r="C262" s="5" t="str">
        <f t="shared" si="32"/>
        <v>35</v>
      </c>
      <c r="D262" s="5" t="str">
        <f t="shared" si="33"/>
        <v>35</v>
      </c>
      <c r="E262" s="6" t="s">
        <v>80</v>
      </c>
      <c r="F262" s="9">
        <f t="shared" si="34"/>
        <v>1.4</v>
      </c>
      <c r="G262" s="9">
        <f t="shared" si="35"/>
        <v>1.4</v>
      </c>
      <c r="H262" s="5" t="s">
        <v>15</v>
      </c>
      <c r="I262" s="13" t="s">
        <v>40</v>
      </c>
      <c r="J262" s="14">
        <v>0.2</v>
      </c>
      <c r="K262" s="11">
        <v>5</v>
      </c>
      <c r="L262" s="6" t="s">
        <v>8</v>
      </c>
      <c r="M262" s="6" t="s">
        <v>50</v>
      </c>
      <c r="N262" s="5" t="s">
        <v>69</v>
      </c>
      <c r="O262" s="5" t="s">
        <v>600</v>
      </c>
      <c r="P262" s="26">
        <f t="shared" si="36"/>
        <v>111</v>
      </c>
      <c r="Q262" s="26">
        <f t="shared" si="37"/>
        <v>83</v>
      </c>
      <c r="R262" s="10"/>
    </row>
    <row r="263" spans="1:18" ht="15" customHeight="1" x14ac:dyDescent="0.25">
      <c r="A263" s="4" t="s">
        <v>225</v>
      </c>
      <c r="B263" s="5" t="s">
        <v>222</v>
      </c>
      <c r="C263" s="5" t="str">
        <f t="shared" si="32"/>
        <v>15</v>
      </c>
      <c r="D263" s="5" t="str">
        <f t="shared" si="33"/>
        <v>15</v>
      </c>
      <c r="E263" s="6" t="s">
        <v>44</v>
      </c>
      <c r="F263" s="9">
        <f t="shared" si="34"/>
        <v>2.8</v>
      </c>
      <c r="G263" s="9">
        <f t="shared" si="35"/>
        <v>2.8</v>
      </c>
      <c r="H263" s="5" t="s">
        <v>203</v>
      </c>
      <c r="I263" s="13" t="s">
        <v>872</v>
      </c>
      <c r="J263" s="14">
        <v>5.5005500550055007E-2</v>
      </c>
      <c r="K263" s="11">
        <v>18.18</v>
      </c>
      <c r="L263" s="6" t="s">
        <v>8</v>
      </c>
      <c r="M263" s="6" t="s">
        <v>50</v>
      </c>
      <c r="N263" s="5" t="s">
        <v>153</v>
      </c>
      <c r="O263" s="5" t="s">
        <v>610</v>
      </c>
      <c r="P263" s="26">
        <f t="shared" si="36"/>
        <v>78</v>
      </c>
      <c r="Q263" s="26">
        <f t="shared" si="37"/>
        <v>120</v>
      </c>
      <c r="R263" s="10"/>
    </row>
    <row r="264" spans="1:18" ht="15" customHeight="1" x14ac:dyDescent="0.25">
      <c r="A264" s="4" t="s">
        <v>458</v>
      </c>
      <c r="B264" s="5" t="s">
        <v>459</v>
      </c>
      <c r="C264" s="5" t="str">
        <f t="shared" si="32"/>
        <v>21</v>
      </c>
      <c r="D264" s="5" t="str">
        <f t="shared" si="33"/>
        <v>21</v>
      </c>
      <c r="E264" s="6" t="s">
        <v>44</v>
      </c>
      <c r="F264" s="9">
        <f t="shared" si="34"/>
        <v>2.8</v>
      </c>
      <c r="G264" s="9">
        <f t="shared" si="35"/>
        <v>2.8</v>
      </c>
      <c r="H264" s="5" t="s">
        <v>21</v>
      </c>
      <c r="I264" s="13"/>
      <c r="J264" s="14"/>
      <c r="K264" s="11"/>
      <c r="L264" s="6" t="s">
        <v>8</v>
      </c>
      <c r="M264" s="6" t="s">
        <v>50</v>
      </c>
      <c r="N264" s="5" t="s">
        <v>612</v>
      </c>
      <c r="O264" s="5" t="s">
        <v>613</v>
      </c>
      <c r="P264" s="26">
        <f t="shared" si="36"/>
        <v>64</v>
      </c>
      <c r="Q264" s="26">
        <f t="shared" si="37"/>
        <v>97</v>
      </c>
      <c r="R264" s="10"/>
    </row>
    <row r="265" spans="1:18" ht="15" customHeight="1" x14ac:dyDescent="0.25">
      <c r="A265" s="4" t="s">
        <v>525</v>
      </c>
      <c r="B265" s="5" t="s">
        <v>526</v>
      </c>
      <c r="C265" s="5" t="str">
        <f t="shared" si="32"/>
        <v>25</v>
      </c>
      <c r="D265" s="5" t="str">
        <f t="shared" si="33"/>
        <v>25</v>
      </c>
      <c r="E265" s="6" t="s">
        <v>44</v>
      </c>
      <c r="F265" s="9">
        <f t="shared" si="34"/>
        <v>2.8</v>
      </c>
      <c r="G265" s="9">
        <f t="shared" si="35"/>
        <v>2.8</v>
      </c>
      <c r="H265" s="5" t="s">
        <v>91</v>
      </c>
      <c r="I265" s="13"/>
      <c r="J265" s="14"/>
      <c r="K265" s="11"/>
      <c r="L265" s="6" t="s">
        <v>8</v>
      </c>
      <c r="M265" s="6" t="s">
        <v>50</v>
      </c>
      <c r="N265" s="5" t="s">
        <v>23</v>
      </c>
      <c r="O265" s="5" t="s">
        <v>692</v>
      </c>
      <c r="P265" s="26">
        <f t="shared" si="36"/>
        <v>82</v>
      </c>
      <c r="Q265" s="26">
        <f t="shared" si="37"/>
        <v>72</v>
      </c>
      <c r="R265" s="10"/>
    </row>
    <row r="266" spans="1:18" ht="15" customHeight="1" x14ac:dyDescent="0.25">
      <c r="A266" s="4" t="s">
        <v>528</v>
      </c>
      <c r="B266" s="5" t="s">
        <v>526</v>
      </c>
      <c r="C266" s="5" t="str">
        <f t="shared" si="32"/>
        <v>25</v>
      </c>
      <c r="D266" s="5" t="str">
        <f t="shared" si="33"/>
        <v>25</v>
      </c>
      <c r="E266" s="6" t="s">
        <v>67</v>
      </c>
      <c r="F266" s="9">
        <f t="shared" si="34"/>
        <v>2</v>
      </c>
      <c r="G266" s="9">
        <f t="shared" si="35"/>
        <v>2</v>
      </c>
      <c r="H266" s="5" t="s">
        <v>56</v>
      </c>
      <c r="I266" s="13" t="s">
        <v>16</v>
      </c>
      <c r="J266" s="14">
        <v>0.17006802721088435</v>
      </c>
      <c r="K266" s="11">
        <v>5.88</v>
      </c>
      <c r="L266" s="6" t="s">
        <v>8</v>
      </c>
      <c r="M266" s="6" t="s">
        <v>50</v>
      </c>
      <c r="N266" s="5" t="s">
        <v>545</v>
      </c>
      <c r="O266" s="5" t="s">
        <v>692</v>
      </c>
      <c r="P266" s="26">
        <f t="shared" si="36"/>
        <v>82</v>
      </c>
      <c r="Q266" s="26">
        <f t="shared" si="37"/>
        <v>72</v>
      </c>
      <c r="R266" s="10"/>
    </row>
    <row r="267" spans="1:18" x14ac:dyDescent="0.25">
      <c r="A267" s="4" t="s">
        <v>561</v>
      </c>
      <c r="B267" s="5" t="s">
        <v>552</v>
      </c>
      <c r="C267" s="5" t="str">
        <f t="shared" si="32"/>
        <v>28</v>
      </c>
      <c r="D267" s="5" t="str">
        <f t="shared" si="33"/>
        <v>28</v>
      </c>
      <c r="E267" s="6" t="s">
        <v>67</v>
      </c>
      <c r="F267" s="9">
        <f t="shared" si="34"/>
        <v>2</v>
      </c>
      <c r="G267" s="9">
        <f t="shared" si="35"/>
        <v>2</v>
      </c>
      <c r="H267" s="5" t="s">
        <v>91</v>
      </c>
      <c r="I267" s="13" t="s">
        <v>162</v>
      </c>
      <c r="J267" s="14">
        <v>0.25</v>
      </c>
      <c r="K267" s="11">
        <v>4</v>
      </c>
      <c r="L267" s="6" t="s">
        <v>8</v>
      </c>
      <c r="M267" s="6" t="s">
        <v>50</v>
      </c>
      <c r="N267" s="5" t="s">
        <v>223</v>
      </c>
      <c r="O267" s="5" t="s">
        <v>709</v>
      </c>
      <c r="P267" s="26">
        <f t="shared" si="36"/>
        <v>69</v>
      </c>
      <c r="Q267" s="26">
        <f t="shared" si="37"/>
        <v>66</v>
      </c>
      <c r="R267" s="10"/>
    </row>
    <row r="268" spans="1:18" x14ac:dyDescent="0.25">
      <c r="A268" s="4" t="s">
        <v>611</v>
      </c>
      <c r="B268" s="5" t="s">
        <v>592</v>
      </c>
      <c r="C268" s="5" t="str">
        <f t="shared" si="32"/>
        <v>35</v>
      </c>
      <c r="D268" s="5" t="str">
        <f t="shared" si="33"/>
        <v>35</v>
      </c>
      <c r="E268" s="6" t="s">
        <v>67</v>
      </c>
      <c r="F268" s="9">
        <f t="shared" si="34"/>
        <v>2</v>
      </c>
      <c r="G268" s="9">
        <f t="shared" si="35"/>
        <v>2</v>
      </c>
      <c r="H268" s="5" t="s">
        <v>91</v>
      </c>
      <c r="I268" s="13" t="s">
        <v>198</v>
      </c>
      <c r="J268" s="14">
        <v>0.18867924528301888</v>
      </c>
      <c r="K268" s="11">
        <v>5.3</v>
      </c>
      <c r="L268" s="6" t="s">
        <v>8</v>
      </c>
      <c r="M268" s="6" t="s">
        <v>50</v>
      </c>
      <c r="N268" s="5" t="s">
        <v>729</v>
      </c>
      <c r="O268" s="5" t="s">
        <v>730</v>
      </c>
      <c r="P268" s="26">
        <f t="shared" si="36"/>
        <v>83</v>
      </c>
      <c r="Q268" s="26">
        <f t="shared" si="37"/>
        <v>143</v>
      </c>
      <c r="R268" s="10"/>
    </row>
    <row r="269" spans="1:18" x14ac:dyDescent="0.25">
      <c r="A269" s="4" t="s">
        <v>406</v>
      </c>
      <c r="B269" s="5" t="s">
        <v>407</v>
      </c>
      <c r="C269" s="5" t="str">
        <f t="shared" si="32"/>
        <v>18</v>
      </c>
      <c r="D269" s="5" t="str">
        <f t="shared" si="33"/>
        <v>18</v>
      </c>
      <c r="E269" s="6" t="s">
        <v>20</v>
      </c>
      <c r="F269" s="9">
        <f t="shared" si="34"/>
        <v>3.5</v>
      </c>
      <c r="G269" s="9">
        <f t="shared" si="35"/>
        <v>3.5</v>
      </c>
      <c r="H269" s="5" t="s">
        <v>21</v>
      </c>
      <c r="I269" s="13" t="s">
        <v>104</v>
      </c>
      <c r="J269" s="14">
        <v>8.2987551867219914E-2</v>
      </c>
      <c r="K269" s="11">
        <v>12.05</v>
      </c>
      <c r="L269" s="6" t="s">
        <v>8</v>
      </c>
      <c r="M269" s="6" t="s">
        <v>50</v>
      </c>
      <c r="N269" s="5" t="s">
        <v>837</v>
      </c>
      <c r="O269" s="5" t="s">
        <v>838</v>
      </c>
      <c r="P269" s="26">
        <f t="shared" si="36"/>
        <v>78</v>
      </c>
      <c r="Q269" s="26">
        <f t="shared" si="37"/>
        <v>72</v>
      </c>
      <c r="R269" s="10"/>
    </row>
    <row r="270" spans="1:18" ht="15" customHeight="1" x14ac:dyDescent="0.25">
      <c r="A270" s="4" t="s">
        <v>728</v>
      </c>
      <c r="B270" s="5" t="s">
        <v>62</v>
      </c>
      <c r="C270" s="5" t="str">
        <f t="shared" si="32"/>
        <v>55</v>
      </c>
      <c r="D270" s="5" t="str">
        <f t="shared" si="33"/>
        <v>55</v>
      </c>
      <c r="E270" s="6" t="s">
        <v>80</v>
      </c>
      <c r="F270" s="9">
        <f t="shared" si="34"/>
        <v>1.4</v>
      </c>
      <c r="G270" s="9">
        <f t="shared" si="35"/>
        <v>1.4</v>
      </c>
      <c r="H270" s="5" t="s">
        <v>27</v>
      </c>
      <c r="I270" s="13" t="s">
        <v>22</v>
      </c>
      <c r="J270" s="14">
        <v>0.14705882352941177</v>
      </c>
      <c r="K270" s="11">
        <v>6.8</v>
      </c>
      <c r="L270" s="6" t="s">
        <v>8</v>
      </c>
      <c r="M270" s="6" t="s">
        <v>50</v>
      </c>
      <c r="N270" s="5" t="s">
        <v>105</v>
      </c>
      <c r="O270" s="5" t="s">
        <v>854</v>
      </c>
      <c r="P270" s="26">
        <f t="shared" si="36"/>
        <v>77</v>
      </c>
      <c r="Q270" s="26">
        <f t="shared" si="37"/>
        <v>88</v>
      </c>
      <c r="R270" s="10"/>
    </row>
    <row r="271" spans="1:18" ht="15" customHeight="1" x14ac:dyDescent="0.25">
      <c r="A271" s="4" t="s">
        <v>708</v>
      </c>
      <c r="B271" s="5" t="s">
        <v>678</v>
      </c>
      <c r="C271" s="5" t="str">
        <f t="shared" si="32"/>
        <v>50</v>
      </c>
      <c r="D271" s="5" t="str">
        <f t="shared" si="33"/>
        <v>50</v>
      </c>
      <c r="E271" s="6" t="s">
        <v>80</v>
      </c>
      <c r="F271" s="9">
        <f t="shared" si="34"/>
        <v>1.4</v>
      </c>
      <c r="G271" s="9">
        <f t="shared" si="35"/>
        <v>1.4</v>
      </c>
      <c r="H271" s="5" t="s">
        <v>91</v>
      </c>
      <c r="I271" s="13"/>
      <c r="J271" s="5"/>
      <c r="K271" s="11"/>
      <c r="L271" s="6" t="s">
        <v>8</v>
      </c>
      <c r="M271" s="6" t="s">
        <v>50</v>
      </c>
      <c r="N271" s="5" t="s">
        <v>589</v>
      </c>
      <c r="O271" s="5" t="s">
        <v>857</v>
      </c>
      <c r="P271" s="26">
        <f t="shared" si="36"/>
        <v>75</v>
      </c>
      <c r="Q271" s="26">
        <f t="shared" si="37"/>
        <v>75</v>
      </c>
      <c r="R271" s="10"/>
    </row>
    <row r="272" spans="1:18" ht="15" customHeight="1" x14ac:dyDescent="0.25">
      <c r="A272" s="4" t="s">
        <v>853</v>
      </c>
      <c r="B272" s="5" t="s">
        <v>822</v>
      </c>
      <c r="C272" s="5" t="str">
        <f t="shared" si="32"/>
        <v>85</v>
      </c>
      <c r="D272" s="5" t="str">
        <f t="shared" si="33"/>
        <v>85</v>
      </c>
      <c r="E272" s="6" t="s">
        <v>80</v>
      </c>
      <c r="F272" s="9">
        <f t="shared" si="34"/>
        <v>1.4</v>
      </c>
      <c r="G272" s="9">
        <f t="shared" si="35"/>
        <v>1.4</v>
      </c>
      <c r="H272" s="5" t="s">
        <v>15</v>
      </c>
      <c r="I272" s="5"/>
      <c r="J272" s="5"/>
      <c r="K272" s="11"/>
      <c r="L272" s="6" t="s">
        <v>8</v>
      </c>
      <c r="M272" s="6" t="s">
        <v>50</v>
      </c>
      <c r="N272" s="5" t="s">
        <v>589</v>
      </c>
      <c r="O272" s="5" t="s">
        <v>857</v>
      </c>
      <c r="P272" s="26">
        <f t="shared" si="36"/>
        <v>75</v>
      </c>
      <c r="Q272" s="26">
        <f t="shared" si="37"/>
        <v>75</v>
      </c>
      <c r="R272" s="10"/>
    </row>
    <row r="273" spans="11:11" x14ac:dyDescent="0.25">
      <c r="K273" s="12"/>
    </row>
  </sheetData>
  <sortState ref="A242:M272">
    <sortCondition ref="A242:A272"/>
  </sortState>
  <hyperlinks>
    <hyperlink ref="A238" r:id="rId1" tooltip="Sigma 8mm F3.5 EX DG Circular Fisheye Specifications" display="http://www.neocamera.com/lens/sigma/8mm_f3.5_ex_dg_circular_fisheye/nikon"/>
    <hyperlink ref="A239" r:id="rId2" tooltip="Tamron Di SP 90mm F/2.8 Macro VC USD Specifications" display="http://www.neocamera.com/lens/tamron/di_sp_90mm_f2.8_macro_vc_usd/nikon"/>
    <hyperlink ref="A240" r:id="rId3" tooltip="Tamron Di SP AF 90mm F/2.8 MACRO Specifications" display="http://www.neocamera.com/lens/tamron/di_sp_af_90mm_f2.8_macro/nikon"/>
    <hyperlink ref="A237" r:id="rId4" tooltip="Zeiss Otus 85mm F/1.4 Specifications" display="http://www.neocamera.com/lens/zeiss/otus_85mm_f1.4/nikon"/>
    <hyperlink ref="A236" r:id="rId5" tooltip="Zeiss Otus 85mm F/1.4 Specifications" display="http://www.neocamera.com/lens/zeiss/otus_85mm_f1.4/nikon"/>
    <hyperlink ref="A145" r:id="rId6" tooltip="Zeiss Otus 28mm F/1.4 ZF.2 Specifications" display="http://www.neocamera.com/lens/zeiss/otus_28mm_f1.4_zf.2/nikon"/>
    <hyperlink ref="A235" r:id="rId7" tooltip="Zeiss Milvus 85mm F/1.4 ZF.2 Specifications" display="http://www.neocamera.com/lens/zeiss/milvus_85mm_f1.4_zf.2/nikon"/>
    <hyperlink ref="A188" r:id="rId8" tooltip="Zeiss Milvus 50mm F/2 Macro ZF.2 Specifications" display="http://www.neocamera.com/lens/zeiss/milvus_50mm_f2_macro_zf.2/nikon"/>
    <hyperlink ref="A187" r:id="rId9" tooltip="Zeiss Milvus 50mm F/1.4 ZF.2 Specifications" display="http://www.neocamera.com/lens/zeiss/milvus_50mm_f1.4_zf2/nikon"/>
    <hyperlink ref="A161" r:id="rId10" tooltip="Zeiss Milvus 35mm F/2 ZF.2 Specifications" display="http://www.neocamera.com/lens/zeiss/milvus_35mm_f2_zf.2/nikon"/>
    <hyperlink ref="A160" r:id="rId11" tooltip="Zeiss Milvus 35mm F/1.4 Specifications" display="http://www.neocamera.com/lens/zeiss/milvus_35mm_f1.4/nikon"/>
    <hyperlink ref="A114" r:id="rId12" tooltip="Zeiss Milvus 21mm F/2.8 ZF.2 Specifications" display="http://www.neocamera.com/lens/zeiss/milvus_21mm_f2.8/nikon"/>
    <hyperlink ref="A101" r:id="rId13" tooltip="Zeiss Milvus 18mm F/2.8 ZF.2 Specifications" display="http://www.neocamera.com/lens/zeiss/milvus_18mm_f2.8_zf.2/nikon"/>
    <hyperlink ref="A50" r:id="rId14" tooltip="Zeiss Milvus 15mm F/2.8 ZF.2 Specifications" display="http://www.neocamera.com/lens/zeiss/milvus_15mm_f2.8_zf.2/nikon"/>
    <hyperlink ref="A36" r:id="rId15" tooltip="Zeiss Milvus 135mm F/2 ZF.2 Specifications" display="http://www.neocamera.com/lens/zeiss/milvus_135mm_f2_zf.2/nikon"/>
    <hyperlink ref="A13" r:id="rId16" tooltip="Zeiss Milvus 100mm F/2 ZF.2 Specifications" display="http://www.neocamera.com/lens/zeiss/milvus_100mm_f2_zf.2/nikon"/>
    <hyperlink ref="A186" r:id="rId17" tooltip="Zeiss Makro-Planar T* 2/50 Specifications" display="http://www.neocamera.com/lens/zeiss/makro-planar_t_250/nikon"/>
    <hyperlink ref="A12" r:id="rId18" tooltip="Zeiss Makro-Planar T* 2/100 Specifications" display="http://www.neocamera.com/lens/zeiss/makro-planar_t_2100/nikon"/>
    <hyperlink ref="A35" r:id="rId19" tooltip="Zeiss Apo Sonnar T* 2/135 Specifications" display="http://www.neocamera.com/lens/zeiss/apo_sonnar_t_2135/nikon"/>
    <hyperlink ref="A37" r:id="rId20" tooltip="Tokina AT-X SD 14-20mm F/2 DX PRO Specifications" display="http://www.neocamera.com/lens/tokina/at-x_sd_14-20mm_f2_dx_pro/nikon"/>
    <hyperlink ref="A159" r:id="rId21" tooltip="Tokina AT-X M35 Pro DX Specifications" display="http://www.neocamera.com/lens/tokina/at-x_m35_pro_dx/nikon"/>
    <hyperlink ref="A11" r:id="rId22" tooltip="Tokina AT-X M100 AF Pro D Specifications" display="http://www.neocamera.com/lens/tokina/at-x_m100_af_pro_d/nikon"/>
    <hyperlink ref="A223" r:id="rId23" tooltip="Tokina AT-X 840 AF D Specifications" display="http://www.neocamera.com/lens/tokina/at-x_840_af_d/nikon"/>
    <hyperlink ref="A207" r:id="rId24" tooltip="Tokina AT-X 70-200mm F/4 Pro FX VCM-S Specifications" display="http://www.neocamera.com/lens/tokina/at-x_70-200mm_f4_pro_fx_vcm-s/nikon"/>
    <hyperlink ref="A169" r:id="rId25" tooltip="Tokina AT-X 535 Pro DX Specifications" display="http://www.neocamera.com/lens/tokina/at-x_535_pro_dx/nikon"/>
    <hyperlink ref="A125" r:id="rId26" tooltip="Tokina AT-X 24-70mm F/2.8 PRO FX Specifications" display="http://www.neocamera.com/lens/tokina/at-x_24-70mm_f2.8_pro_fx/nikon"/>
    <hyperlink ref="A60" r:id="rId27" tooltip="Tokina AT-X 17-35mm F4 PRO FX Specifications" display="http://www.neocamera.com/lens/tokina/at-x_17-35_f4_pro_fx/nikon"/>
    <hyperlink ref="A54" r:id="rId28" tooltip="Tokina AT-X 165 Pro DX Specifications" display="http://www.neocamera.com/lens/tokina/at-x_165_pro_dx/nikon"/>
    <hyperlink ref="A57" r:id="rId29" tooltip="Tokina AT-X 16.5-135 DX Specifications" display="http://www.neocamera.com/lens/tokina/at-x_16.5-135_dx/nikon"/>
    <hyperlink ref="A51" r:id="rId30" tooltip="Tokina AT-X 16-28mm F/2.8 Pro FX Specifications" display="http://www.neocamera.com/lens/tokina/at-x_16-28mm_f2.8_pro_fx/nikon"/>
    <hyperlink ref="A27" r:id="rId31" tooltip="Tokina AT-X 124 AF Pro DX II Specifications" display="http://www.neocamera.com/lens/tokina/at-x_124_af_pro_dx_ii/nikon"/>
    <hyperlink ref="A28" r:id="rId32" tooltip="Tokina AT-X 12-28mm F/4 Pro DX Specifications" display="http://www.neocamera.com/lens/tokina/at-x_12-28mm_f4_pro_dx/nikon"/>
    <hyperlink ref="A21" r:id="rId33" tooltip="Tokina AT-X 116 PRO DX Ⅱ Specifications" display="http://www.neocamera.com/lens/tokina/at-x_116_pro_dx_8545/nikon"/>
    <hyperlink ref="A20" r:id="rId34" tooltip="Tokina AT-X 116 Pro DX Specifications" display="http://www.neocamera.com/lens/tokina/at-x_116_pro_dx/nikon"/>
    <hyperlink ref="A22" r:id="rId35" tooltip="Tokina AT-X 11-20mm F/2.8 PRO DX Specifications" display="http://www.neocamera.com/lens/tokina/at-x_11-20mm_f2.8_pro_dx/nikon"/>
    <hyperlink ref="A167" r:id="rId36" tooltip="Tamron SP 45mm F/1.8 Di VC USD Specifications" display="http://www.neocamera.com/lens/tamron/sp_45mm_f1.8_di_vc_usd/nikon"/>
    <hyperlink ref="A158" r:id="rId37" tooltip="Tamron SP 35mm F/1.8 Di VC USD Specifications" display="http://www.neocamera.com/lens/tamron/sp_35mm_f1.8_di_vc_usd/nikon"/>
    <hyperlink ref="A199" r:id="rId38" tooltip="Tamron Di II SP AF 60mm F/2 Macro Specifications" display="http://www.neocamera.com/lens/tamron/di_ii_sp_af_60mm_f2_macro/nikon"/>
    <hyperlink ref="A63" r:id="rId39" tooltip="Tamron Di II SP AF 17-50mm F/2.8 XR VC Specifications" display="http://www.neocamera.com/lens/tamron/di_ii_sp_af_17-50mm_f2.8_xr_vc/nikon"/>
    <hyperlink ref="A62" r:id="rId40" tooltip="Tamron Di II SP AF 17-50mm F/2.8 XR Specifications" display="http://www.neocamera.com/lens/tamron/di_ii_sp_af_17-50mm_f2.8_xr/nikon"/>
    <hyperlink ref="A192" r:id="rId41" tooltip="Tamron Di II AF 55-200 F4-5.6 Specifications" display="http://www.neocamera.com/lens/tamron/di_ii_af_55-200_f4-5.6/nikon"/>
    <hyperlink ref="A82" r:id="rId42" tooltip="Tamron Di II AF 18-270mm F/3.5-6.3 VC Specifications" display="http://www.neocamera.com/lens/tamron/di_ii_af_18-270mm_f3.5-6.3_vc/nikon"/>
    <hyperlink ref="A77" r:id="rId43" tooltip="Tamron Di II AF 18-200mm F/3.5-6.3 XR Specifications" display="http://www.neocamera.com/lens/tamron/di_ii_af_18-200mm_f3.5-6.3_xr/nikon"/>
    <hyperlink ref="A89" r:id="rId44" tooltip="Tamron Di II 18-400mm F/3.5-6.3 VC HLD Specifications" display="http://www.neocamera.com/lens/tamron/di_ii_18-400mm_f3.5-6.3_vc_hld/nikon"/>
    <hyperlink ref="A81" r:id="rId45" tooltip="Tamron Di II 18-270mm F/3.5-6.3 VC PZD Specifications" display="http://www.neocamera.com/lens/tamron/di_ii_18-270mm_f3.5-6.3_vc_pzd/nikon"/>
    <hyperlink ref="A80" r:id="rId46" tooltip="Tamron Di II 18-270mm F/3.5-6.3 VC PZD Specifications" display="http://www.neocamera.com/lens/tamron/di_ii_18-270mm_f3.5-6.3_vc_pzd/nikon"/>
    <hyperlink ref="A76" r:id="rId47" tooltip="Tamron Di II 18-200mm F/3.5-6.3 VC Specifications" display="http://www.neocamera.com/lens/tamron/di_ii_18-200mm_f3.5-6.3_vc/nikon"/>
    <hyperlink ref="A52" r:id="rId48" tooltip="Tamron Di II 16-300mm F/3.5-6.3 VC PZD Macro Specifications" display="http://www.neocamera.com/lens/tamron/di_ii_16-300mm_f3.5-6.3_vc_pzd_macro/nikon"/>
    <hyperlink ref="A206" r:id="rId49" tooltip="Tamron Di SP AF 70-200mm F/2.8 Specifications" display="http://www.neocamera.com/lens/tamron/di_sp_af_70-200mm_f2.8/nikon"/>
    <hyperlink ref="A140" r:id="rId50" tooltip="Tamron Di SP AF 28-75mm F/2.8 XR Specifications" display="http://www.neocamera.com/lens/tamron/di_sp_af_28-75mm_f2.8_xr/nikon"/>
    <hyperlink ref="A106" r:id="rId51" tooltip="Tamron Di SP AF 200-500 F/5-6.3 Specifications" display="http://www.neocamera.com/lens/tamron/di_sp_af_200-500_f5-6.3/nikon"/>
    <hyperlink ref="A100" r:id="rId52" tooltip="Tamron Di SP AF 180mm F/3.5 Specifications" display="http://www.neocamera.com/lens/tamron/di_sp_af_180mm_f3.5/nikon"/>
    <hyperlink ref="A234" r:id="rId53" tooltip="Tamron Di SP 85mm F/1.8 VC USD Specifications" display="http://www.neocamera.com/lens/tamron/di_sp_85mm_f1.8_vc_usd/nikon"/>
    <hyperlink ref="A216" r:id="rId54" tooltip="Tamron Di SP 70-300mm F/4-5.6 VC USD Specifications" display="http://www.neocamera.com/lens/tamron/di_sp_70-300mm_f4-5.6_vc_usd/nikon"/>
    <hyperlink ref="A205" r:id="rId55" tooltip="Tamron Di SP 70-200mm F/2.8 VC USD G2 Specifications" display="http://www.neocamera.com/lens/tamron/di_sp_70-200mm_f2.8_vc_usd_g2/nikon"/>
    <hyperlink ref="A124" r:id="rId56" tooltip="Tamron Di SP 24-70mm F/2.8 VC Specifications" display="http://www.neocamera.com/lens/tamron/di_sp_24-70mm_f2.8_vc/nikon"/>
    <hyperlink ref="A46" r:id="rId57" tooltip="Tamron Di SP 150-600mm F/5-6.3 VC USD G2 Specifications" display="http://www.neocamera.com/lens/tamron/di_sp_150-600mm_f5-6.3_vc_usd_g2/nikon"/>
    <hyperlink ref="A139" r:id="rId58" tooltip="Tamron Di AF 28-300 F/3.5-6.3 XR VC Specifications" display="http://www.neocamera.com/lens/tamron/di_af_28-300_f3.5-6.3_xr_vc/nikon"/>
    <hyperlink ref="A138" r:id="rId59" tooltip="Tamron Di AF 28-300 F/3.5-6.3 XR Specifications" display="http://www.neocamera.com/lens/tamron/di_af_28-300_f3.5-6.3_xr/nikon"/>
    <hyperlink ref="A134" r:id="rId60" tooltip="Tamron Di AF 28-200 F/3.8-5.6 XR Specifications" display="http://www.neocamera.com/lens/tamron/di_af_28-200_f3.8-5.6_xr/nikon"/>
    <hyperlink ref="A215" r:id="rId61" tooltip="Tamron Di 70-300mm F/4-5.6 LD Specifications" display="http://www.neocamera.com/lens/tamron/di_70-300mm_f4-5.6_ld/nikon"/>
    <hyperlink ref="A137" r:id="rId62" tooltip="Tamron Di 28-300mm F/3.5-6.3 VC PZD Specifications" display="http://www.neocamera.com/lens/tamron/di_28-300mm_f3.5-6.3_vc_pzd/nikon"/>
    <hyperlink ref="A177" r:id="rId63" tooltip="Sigma S 500mm F/4 DG OS HSM Specifications" display="http://www.neocamera.com/lens/sigma/s_500mm_f4_dg_os_hsm/nikon"/>
    <hyperlink ref="A45" r:id="rId64" tooltip="Sigma S 150-600mm F/5-6.3 DG OS HSM Specifications" display="http://www.neocamera.com/lens/sigma/s_150-600mm_f5-6.3_dg_os_hsm/nikon"/>
    <hyperlink ref="A44" r:id="rId65" tooltip="Sigma S 150-600mm F/5-6.3 DG OS HSM Specifications" display="http://www.neocamera.com/lens/sigma/s_150-600mm_f5-6.3_dg_os_hsm/nikon"/>
    <hyperlink ref="A31" r:id="rId66" tooltip="Sigma S 120-300mm F/2.8 DG OS HSM Specifications" display="http://www.neocamera.com/lens/sigma/s_120-300mm_f2.8_dg_os_hsm/nikon"/>
    <hyperlink ref="A85" r:id="rId67" tooltip="Sigma C 18-300mm F/3.5-6.3 DC Macro OS HSM Specifications" display="http://www.neocamera.com/lens/sigma/c_18-300mm_f3.5-6.3_dc_macro_os_hsm/nikon"/>
    <hyperlink ref="A75" r:id="rId68" tooltip="Sigma C 18-200mm F/3.5-6.3 DC Macro OS HSM Specifications" display="http://www.neocamera.com/lens/sigma/c_18-200mm_f3.5-6.3_dc_macro_os_hsm/nikon"/>
    <hyperlink ref="A67" r:id="rId69" tooltip="Sigma C 17-70mm F/2.8-4 DC Macro OS HSM Specifications" display="http://www.neocamera.com/lens/sigma/c_17-70mm_f2.8-4_dc_macro_os_hsm/nikon"/>
    <hyperlink ref="A43" r:id="rId70" tooltip="Sigma C 150-600mm F/5-6.3 DG OS HSM Specifications" display="http://www.neocamera.com/lens/sigma/c_150-600mm_f5-6.3_dg_os_hsm/nikon"/>
    <hyperlink ref="A10" r:id="rId71" tooltip="Sigma C 100-400mm F/5-6.3 DG OS HSM Specifications" display="http://www.neocamera.com/lens/sigma/c_100-400mm_f5-6.3_dg_os_hsm/nikon"/>
    <hyperlink ref="A233" r:id="rId72" tooltip="Sigma A 85mm F/1.4 DG HSM Specifications" display="http://www.neocamera.com/lens/sigma/a_85mm_f1.4_dg_hsm/nikon"/>
    <hyperlink ref="A185" r:id="rId73" tooltip="Sigma A 50mm F/1.4 DG HSM Specifications" display="http://www.neocamera.com/lens/sigma/a_50mm_f14dg_hsm/nikon"/>
    <hyperlink ref="A168" r:id="rId74" tooltip="Sigma A 50-100mm F/1.8 DC HSM Specifications" display="http://www.neocamera.com/lens/sigma/a_50-100mm_f1.8_dc_hsm/nikon"/>
    <hyperlink ref="A152" r:id="rId75" tooltip="Sigma A 30mm F/1.4 DC HSM Specifications" display="http://www.neocamera.com/lens/sigma/a_30mm_f1.4_dc_hsm/nikon"/>
    <hyperlink ref="A133" r:id="rId76" tooltip="Sigma A 24mm F/1.4 DG HSM Specifications" display="http://www.neocamera.com/lens/sigma/a_24mm_f1.4_dg_hsm/nikon"/>
    <hyperlink ref="A123" r:id="rId77" tooltip="Sigma A 24-70mm F/2.8 DG OS HSM Specifications" display="http://www.neocamera.com/lens/sigma/a_24-70mm_f2.8_dg_os_hsm/nikon"/>
    <hyperlink ref="A118" r:id="rId78" tooltip="Sigma A 24-35mm F/2 DG HSM Specifications" display="http://www.neocamera.com/lens/sigma/a_24-35mm_f2_dg_hsm/nikon"/>
    <hyperlink ref="A115" r:id="rId79" tooltip="Sigma A 24-105mm F/4 DG OS HSM Specifications" display="http://www.neocamera.com/lens/sigma/a_24-105mm_f4_dg_os_hsm/nikon"/>
    <hyperlink ref="A113" r:id="rId80" tooltip="Sigma A 20mm F/1.4 DG HSM Specifications" display="http://www.neocamera.com/lens/sigma/a_20mm_f1.4_dg_hsm/nikon"/>
    <hyperlink ref="A88" r:id="rId81" tooltip="Sigma A 18-35mm F/1.8 DC HSM Specifications" display="http://www.neocamera.com/lens/sigma/a_18-35mm_f1.8_dc_hsm/nikon"/>
    <hyperlink ref="A41" r:id="rId82" tooltip="Sigma A 14mm F/1.8 DG HSM Specifications" display="http://www.neocamera.com/lens/sigma/a_14mm_f1.8_dg_hsm/nikon"/>
    <hyperlink ref="A34" r:id="rId83" tooltip="Sigma A 135mm F/1.8 DG HSM Specifications" display="http://www.neocamera.com/lens/sigma/a_135mm_f1.8_dg_hsm/nikon"/>
    <hyperlink ref="A26" r:id="rId84" tooltip="Sigma A 12-24mm F/4 DG HSM Specifications" display="http://www.neocamera.com/lens/sigma/a_12-24mm_f4_dg_hsm/nikon"/>
    <hyperlink ref="A232" r:id="rId85" tooltip="Sigma 85mm F1.4 EX DG HSM Specifications" display="http://www.neocamera.com/lens/sigma/85mm_f1.4_ex_dg_hsm/nikon"/>
    <hyperlink ref="A225" r:id="rId86" tooltip="Sigma 800mm F5.6 EX APO DG HSM Specifications" display="http://www.neocamera.com/lens/sigma/800mm_f5.6_ex_apo_dg_hsm/nikon"/>
    <hyperlink ref="A219" r:id="rId87" tooltip="Sigma 8-16mm F4.5-5.6 DC HSM Specifications" display="http://www.neocamera.com/lens/sigma/8-16mm_f4.5-5.6_dc_hsm/nikon"/>
    <hyperlink ref="A217" r:id="rId88" tooltip="Sigma 70mm F2.8 EX DG Macro Specifications" display="http://www.neocamera.com/lens/sigma/70mm_f2.8_ex_dg_macro/nikon"/>
    <hyperlink ref="A214" r:id="rId89" tooltip="Sigma 70-300mm F4-5.6 DG OS Specifications" display="http://www.neocamera.com/lens/sigma/70-300mm_f4-5.6_dg_os/nikon"/>
    <hyperlink ref="A213" r:id="rId90" tooltip="Sigma 70-300mm F4-5.6 DG Macro Specifications" display="http://www.neocamera.com/lens/sigma/70-300mm_f4-5.6_dg_macro/nikon"/>
    <hyperlink ref="A212" r:id="rId91" tooltip="Sigma 70-300mm F4-5.6 APO DG Macro Specifications" display="http://www.neocamera.com/lens/sigma/70-300mm_f4-5.6_apo_dg_macro/nikon"/>
    <hyperlink ref="A204" r:id="rId92" tooltip="Sigma 70-200mm F2.8 EX DG APO Macro HSM II Specifications" display="http://www.neocamera.com/lens/sigma/70-200mm_f2.8_ex_dg_apo_macro_hsm_ii/nikon"/>
    <hyperlink ref="A184" r:id="rId93" tooltip="Sigma 50mm F2.8 EX DG Macro Specifications" display="http://www.neocamera.com/lens/sigma/50mm_f2.8_ex_dg_macro/nikon"/>
    <hyperlink ref="A183" r:id="rId94" tooltip="Sigma 50mm F1.4 EX DG HSM Specifications" display="http://www.neocamera.com/lens/sigma/50mm_f1.4_ex_dg_hsm/nikon"/>
    <hyperlink ref="A176" r:id="rId95" tooltip="Sigma 500mm F4.5 EX DG APO HSM Specifications" display="http://www.neocamera.com/lens/sigma/500mm_f4.5_ex_dg_apo_hsm/nikon"/>
    <hyperlink ref="A173" r:id="rId96" tooltip="Sigma 50-500mm F4.5-6.3 APO DG OS HSM Specifications" display="http://www.neocamera.com/lens/sigma/50-500mm_f4.5-6.3_apo_dg_os_hsm/nikon"/>
    <hyperlink ref="A172" r:id="rId97" tooltip="Sigma 50-200mm F4-5.6 DC OS HSM Specifications" display="http://www.neocamera.com/lens/sigma/50-200mm_f4-5.6_dc_os_hsm/nikon"/>
    <hyperlink ref="A171" r:id="rId98" tooltip="Sigma 50-150mm F2.8 EX DC APO HSM II Specifications" display="http://www.neocamera.com/lens/sigma/50-150mm_f2.8_ex_dc_apo_hsm_ii/nikon"/>
    <hyperlink ref="A170" r:id="rId99" tooltip="Sigma 50-150mm F/2.8 EX APO DC OS HSM Specifications" display="http://www.neocamera.com/lens/sigma/50-150mm_f2.8_ex_apo_dc_os_hsm/nikon"/>
    <hyperlink ref="A162" r:id="rId100" tooltip="Sigma 4.5mm F2.8 EX DC HSM Circular Fisheye Specifications" display="http://www.neocamera.com/lens/sigma/4.5mm_f2.8_ex_dc_hsm_circular_fisheye/nikon"/>
    <hyperlink ref="A157" r:id="rId101" tooltip="Sigma 35mm F/1.4 DG HSM Specifications" display="http://www.neocamera.com/lens/sigma/35mm_f1.4_dg_hsm/nikon"/>
    <hyperlink ref="A151" r:id="rId102" tooltip="Sigma 30mm F1.4 EX DC HSM Specifications" display="http://www.neocamera.com/lens/sigma/30mm_f1.4_ex_dc_hsm/nikon"/>
    <hyperlink ref="A150" r:id="rId103" tooltip="Sigma 300mm F2.8 EX APO DG HSM Specifications" display="http://www.neocamera.com/lens/sigma/300mm_f2.8_ex_apo_dg_hsm/nikon"/>
    <hyperlink ref="A146" r:id="rId104" tooltip="Sigma 300-800mm F5.6 EX DG APO HSM Specifications" display="http://www.neocamera.com/lens/sigma/300-800mm_f5.6_ex_dg_apo_hsm/nikon"/>
    <hyperlink ref="A144" r:id="rId105" tooltip="Sigma 28mm F1.8 EX DG ASP Macro Specifications" display="http://www.neocamera.com/lens/sigma/28mm_f1.8_ex_dg_asp_macro/nikon"/>
    <hyperlink ref="A136" r:id="rId106" tooltip="Sigma 28-300mm F3.5-6.3 DG Macro Specifications" display="http://www.neocamera.com/lens/sigma/28-300mm_f3.5-6.3_dg_macro/nikon"/>
    <hyperlink ref="A132" r:id="rId107" tooltip="Sigma 24mm F1.8 EX DG ASP Macro Specifications" display="http://www.neocamera.com/lens/sigma/24mm_f1.8_ex_dg_asp_macro/nikon"/>
    <hyperlink ref="A122" r:id="rId108" tooltip="Sigma 24-70mm F2.8 IF EX DG HSM Specifications" display="http://www.neocamera.com/lens/sigma/24-70mm_f2.8_if_ex_dg_hsm/nikon"/>
    <hyperlink ref="A121" r:id="rId109" tooltip="Sigma 24-70mm F2.8 EX DG Macro Specifications" display="http://www.neocamera.com/lens/sigma/24-70mm_f2.8_ex_dg_macro/nikon"/>
    <hyperlink ref="A112" r:id="rId110" tooltip="Sigma 20mm F1.8 EX DG ASP RF Specifications" display="http://www.neocamera.com/lens/sigma/20mm_f1.8_ex_dg_asp_rf/nikon"/>
    <hyperlink ref="A105" r:id="rId111" tooltip="Sigma 200-500mm F2.8 APO EX DG Specifications" display="http://www.neocamera.com/lens/sigma/200-500mm_f2.8_apo_ex_dg/nikon"/>
    <hyperlink ref="A99" r:id="rId112" tooltip="Sigma 180mm F/2.8 EX DG OS HSM APO Macro Specifications" display="http://www.neocamera.com/lens/sigma/180mm_f2.8_ex_dg_os_hsm_apo_macro/nikon"/>
    <hyperlink ref="A91" r:id="rId113" tooltip="Sigma 18-50mm F2.8-4.5 DC OS HSM Specifications" display="http://www.neocamera.com/lens/sigma/18-50mm_f2.8-4.5_dc_os_hsm/nikon"/>
    <hyperlink ref="A90" r:id="rId114" tooltip="Sigma 18-50mm F2.8 EX DC Macro HSM Specifications" display="http://www.neocamera.com/lens/sigma/18-50mm_f2.8_ex_dc_macro_hsm/nikon"/>
    <hyperlink ref="A79" r:id="rId115" tooltip="Sigma 18-250mm F3.5-6.3 DC OS HSM Specifications" display="http://www.neocamera.com/lens/sigma/18-250mm_f3.5-6.3_dc_os_hsm/nikon"/>
    <hyperlink ref="A78" r:id="rId116" tooltip="Sigma 18-250mm F/3.5-6.3 DC OS HSM Macro Specifications" display="http://www.neocamera.com/lens/sigma/18-250mm_f3.5-6.3_dc_os_hsm_macro/nikon"/>
    <hyperlink ref="A74" r:id="rId117" tooltip="Sigma 18-200mm F3.5-6.3 DC OS Specifications" display="http://www.neocamera.com/lens/sigma/18-200mm_f3.5-6.3_dc_os/nikon"/>
    <hyperlink ref="A73" r:id="rId118" tooltip="Sigma 18-200mm F3.5-6.3 DC Specifications" display="http://www.neocamera.com/lens/sigma/18-200mm_f3.5-6.3_dc/nikon"/>
    <hyperlink ref="A72" r:id="rId119" tooltip="Sigma 18-200mm F/3.5-5.6 DC OS HSM II Specifications" display="http://www.neocamera.com/lens/sigma/18-200mm_f3.5-5.6_dc_os_hsm_ii/nikon"/>
    <hyperlink ref="A69" r:id="rId120" tooltip="Sigma 18-125mm F3.8-5.6 DC OS HSM Specifications" display="http://www.neocamera.com/lens/sigma/18-125mm_f3.8-5.6_dc_os_hsm/nikon"/>
    <hyperlink ref="A66" r:id="rId121" tooltip="Sigma 17-70mm F2.8-4.5 DC Macro HSM Specifications" display="http://www.neocamera.com/lens/sigma/17-70mm_f2.8-4.5_dc_macro_hsm/nikon"/>
    <hyperlink ref="A65" r:id="rId122" tooltip="Sigma 17-70mm F2.8-4 DC Macro OS HSM Specifications" display="http://www.neocamera.com/lens/sigma/17-70mm_f2.8-4_dc_macro_os_hsm/nikon"/>
    <hyperlink ref="A61" r:id="rId123" tooltip="Sigma 17-50mm F2.8 EX DC OS HSM Specifications" display="http://www.neocamera.com/lens/sigma/17-50mm_f2.8_ex_dc_os_hsm/nikon"/>
    <hyperlink ref="A49" r:id="rId124" tooltip="Sigma 15mm F2.8 EX DG Diagonal Fisheye Specifications" display="http://www.neocamera.com/lens/sigma/15mm_f2.8_ex_dg_diagonal_fisheye/nikon"/>
    <hyperlink ref="A48" r:id="rId125" tooltip="Sigma 150mm F2.8 EX APO DG HSM Macro Specifications" display="http://www.neocamera.com/lens/sigma/150mm_f2.8_ex_apo_dg_hsm_macro/nikon"/>
    <hyperlink ref="A47" r:id="rId126" tooltip="Sigma 150mm F/2.8 EX DG OS HSM APO Macro Specifications" display="http://www.neocamera.com/lens/sigma/150mm_f2.8_ex_dg_os_hsm_apo_macro/nikon"/>
    <hyperlink ref="A42" r:id="rId127" tooltip="Sigma 150-500mm F5-6.3 APO DG OS HSM Specifications" display="http://www.neocamera.com/lens/sigma/150-500mm_f5-6.3_apo_dg_os_hsm/nikon"/>
    <hyperlink ref="A32" r:id="rId128" tooltip="Sigma 120-400mm F4.5-5.6 DG APO OS HSM Specifications" display="http://www.neocamera.com/lens/sigma/120-400mm_f4.5-5.6_dg_apo_os_hsm/nikon"/>
    <hyperlink ref="A30" r:id="rId129" tooltip="Sigma 120-300mm F2.8 EX DG APO HSM Specifications" display="http://www.neocamera.com/lens/sigma/120-300mm_f2.8_ex_dg_apo_hsm/nikon"/>
    <hyperlink ref="A29" r:id="rId130" tooltip="Sigma 120-300mm F/2.8 EX DG OS APO HSM Specifications" display="http://www.neocamera.com/lens/sigma/120-300mm_f2.8_ex_dg_os_apo_hsm/nikon"/>
    <hyperlink ref="A25" r:id="rId131" tooltip="Sigma 12-24mm F4.5-5.6 EX DG ASP HSM Specifications" display="http://www.neocamera.com/lens/sigma/12-24mm_f4.5-5.6_ex_dg_asp_hsm/nikon"/>
    <hyperlink ref="A24" r:id="rId132" tooltip="Sigma 12-24mm F/4.5-5.6 EX DG HSM II Specifications" display="http://www.neocamera.com/lens/sigma/12-24mm_f4.5-5.6_ex_dg_hsm_ii/nikon"/>
    <hyperlink ref="A19" r:id="rId133" tooltip="Sigma 10mm F2.8 EX DC HSM Fisheye Specifications" display="http://www.neocamera.com/lens/sigma/10mm_f2.8_ex_dc_hsm_fisheye/nikon"/>
    <hyperlink ref="A18" r:id="rId134" tooltip="Sigma 105mm F2.8 EX DG Macro Specifications" display="http://www.neocamera.com/lens/sigma/105mm_f2.8_ex_dg_macro/nikon"/>
    <hyperlink ref="A17" r:id="rId135" tooltip="Sigma 105mm F/2.8 EX DG OS HSM Macro Specifications" display="http://www.neocamera.com/lens/sigma/105mm_f2.8_ex_dg_os_hsm_macro/nikon"/>
    <hyperlink ref="A9" r:id="rId136" tooltip="Sigma 100-300mm F4 EX DG APO HSM Specifications" display="http://www.neocamera.com/lens/sigma/100-300mm_f4_ex_dg_apo_hsm/nikon"/>
    <hyperlink ref="A40" r:id="rId137" tooltip="Samyang Premium MF 14mm F/2.4 Specifications" display="http://www.neocamera.com/lens/samyang/premium_mf_14mm_f2.4/nikon"/>
    <hyperlink ref="A231" r:id="rId138" tooltip="Nikkor PC-E 85mm F/2.8D Micro Specifications" display="http://www.neocamera.com/lens/nikkor/pc-e_85mm_f2.8d_micro"/>
    <hyperlink ref="A166" r:id="rId139" tooltip="Nikkor PC-E 45mm F/2.8D ED Micro Specifications" display="http://www.neocamera.com/lens/nikkor/pc-e_45mm_f2.8d_ed_micro"/>
    <hyperlink ref="A131" r:id="rId140" tooltip="Nikkor PC-E 24mm F/3.5D ED Specifications" display="http://www.neocamera.com/lens/nikkor/pc-e_24mm_f3.5d_ed"/>
    <hyperlink ref="A102" r:id="rId141" tooltip="Nikkor PC 19mm F/4E Specifications" display="http://www.neocamera.com/lens/nikkor/pc_19mm_f4e"/>
    <hyperlink ref="A230" r:id="rId142" tooltip="Nikkor AF-S DX 85mm F/3.5G ED VR Specifications" display="http://www.neocamera.com/lens/nikkor/af-s_dx_85mm_f3.5g_ed_vr"/>
    <hyperlink ref="A193" r:id="rId143" tooltip="Nikkor AF-S DX 55-300mm F/4.5-5.6G ED VR Specifications" display="http://www.neocamera.com/lens/nikkor/af-s_dx_55-300mm_f4.5-5.6g_ed_vr"/>
    <hyperlink ref="A191" r:id="rId144" tooltip="Nikkor AF-S DX 55-200mm F/4.5-5.6G IF-ED VR Specifications" display="http://www.neocamera.com/lens/nikkor/af-s_dx_55-200mm_f4.5-5.6g_if-ed_vr"/>
    <hyperlink ref="A190" r:id="rId145" tooltip="Nikkor AF-S DX 55-200mm F/4-5.6G ED VR II Specifications" display="http://www.neocamera.com/lens/nikkor/af-s_55-200mm_f4-5.6g_ed_vr_ii"/>
    <hyperlink ref="A189" r:id="rId146" tooltip="Nikkor AF-S DX 55-200mm F/4-5.6G ED Specifications" display="http://www.neocamera.com/lens/nikkor/af-s_dx_55-200mm_f4-5.6g_ed"/>
    <hyperlink ref="A165" r:id="rId147" tooltip="Nikkor AF-S DX 40mm F/2.8G Micro Specifications" display="http://www.neocamera.com/lens/nikkor/af-s_dx_40mm_f2.8g_micro"/>
    <hyperlink ref="A156" r:id="rId148" tooltip="Nikkor AF-S DX 35mm F/1.8G Specifications" display="http://www.neocamera.com/lens/nikkor/af-s_dx_35mm_f1.8g"/>
    <hyperlink ref="A96" r:id="rId149" tooltip="Nikkor AF-S DX 18-55mm F/3.5-5.6G VR II Specifications" display="http://www.neocamera.com/lens/nikkor/af-s_dx_18-55mm_f3.5-5.6g_vr_ii"/>
    <hyperlink ref="A95" r:id="rId150" tooltip="Nikkor AF-S DX 18-55mm F/3.5-5.6G VR Specifications" display="http://www.neocamera.com/lens/nikkor/af-s_dx_18-55mm_f3.5-5.6g_vr"/>
    <hyperlink ref="A94" r:id="rId151" tooltip="Nikkor AF-S DX 18-55mm F/3.5-5.6G ED II Specifications" display="http://www.neocamera.com/lens/nikkor/af-s_dx_18-55mm_f3.5-5.6g_ed_ii"/>
    <hyperlink ref="A84" r:id="rId152" tooltip="Nikkor AF-S DX 18-300mm F/3.5-6.3G ED VR Specifications" display="http://www.neocamera.com/lens/nikkor/af-s_dx_18-300mm_f3.5-6.3g_ed_vr"/>
    <hyperlink ref="A83" r:id="rId153" tooltip="Nikkor AF-S DX 18-300mm F/3.5-5.6G ED VR Specifications" display="http://www.neocamera.com/lens/nikkor/af-s_dx_18-300mm_f3.5-5.6_ed_vr"/>
    <hyperlink ref="A71" r:id="rId154" tooltip="Nikkor AF-S DX 18-200mm F/3.5-5.6G ED VR II Specifications" display="http://www.neocamera.com/lens/nikkor/af-s_dx_18-200mm_f3.5-5.6g_ed_vr_ii"/>
    <hyperlink ref="A70" r:id="rId155" tooltip="Nikkor AF-S DX 18-140mm F/3.5-5.6G ED VR Specifications" display="http://www.neocamera.com/lens/nikkor/af-s_dx_18-140mm_f3.5-5.6g_ed_vr"/>
    <hyperlink ref="A68" r:id="rId156" tooltip="Nikkor AF-S DX 18-105mm F/3.5-5.6G ED VR Specifications" display="http://www.neocamera.com/lens/nikkor/af-s_dx_18-105mm_f3.5-5.6g_ed_vr"/>
    <hyperlink ref="A64" r:id="rId157" tooltip="Nikkor AF-S DX 17-55mm F/2.8G IF-ED Specifications" display="http://www.neocamera.com/lens/nikkor/af-s_dx_17-55mm_f2.8g_if-ed"/>
    <hyperlink ref="A56" r:id="rId158" tooltip="Nikkor AF-S DX 16-85mm F/3.5-5.6G ED VR Specifications" display="http://www.neocamera.com/lens/nikkor/af-s_dx_16-85mm_f3.5-5.6g_ed_vr"/>
    <hyperlink ref="A55" r:id="rId159" tooltip="Nikkor AF-S DX 16-80mm F/2.8-4E ED VR Specifications" display="http://www.neocamera.com/lens/nikkor/af-s_dx_16-80mm_f2.8-4e_ed_vr"/>
    <hyperlink ref="A23" r:id="rId160" tooltip="Nikkor AF-S DX 12-24mm F/4G IF-ED Specifications" display="http://www.neocamera.com/lens/nikkor/af-s_dx_12-24mm_f4g_if-ed"/>
    <hyperlink ref="A97" r:id="rId161" tooltip="Nikkor AF-S DX  18-70mm F/3.5-4.5G IF-ED Specifications" display="http://www.neocamera.com/lens/nikkor/af-s_dx__18-70mm_f3.5-4.5g_if-ed"/>
    <hyperlink ref="A229" r:id="rId162" tooltip="Nikkor AF-S 85mm F/1.8G Specifications" display="http://www.neocamera.com/lens/nikkor/af-s_85mm_f1.8g"/>
    <hyperlink ref="A228" r:id="rId163" tooltip="Nikkor AF-S 85mm F/1.4G Specifications" display="http://www.neocamera.com/lens/nikkor/af-s_85mm_f1.4g"/>
    <hyperlink ref="A224" r:id="rId164" tooltip="Nikkor AF-S 800mm F/5.6E FL ED VR Specifications" display="http://www.neocamera.com/lens/nikkor/af-s_800mm_f5.6e_fl_ed_vr"/>
    <hyperlink ref="A222" r:id="rId165" tooltip="Nikkor AF-S 80-400mm F/4.5-5.6G ED VR Specifications" display="http://www.neocamera.com/lens/nikkor/af-s_80-400mm_f4.5-5.6g_ed_vr"/>
    <hyperlink ref="A218" r:id="rId166" tooltip="Nikkor AF-S 8-15mm F/3.5-4.5E ED Fisheye Specifications" display="http://www.neocamera.com/lens/nikkor/af-s_8-15mm_f3.5-4.5e_ed_fisheye"/>
    <hyperlink ref="A211" r:id="rId167" tooltip="Nikkor AF-S 70-300mm F/4-5.6G IF-ED VR Specifications" display="http://www.neocamera.com/lens/nikkor/af-s_70-300mm_f4-5.6g_if-ed_vr"/>
    <hyperlink ref="A203" r:id="rId168" tooltip="Nikkor AF-S 70-200mm F/4G ED VR Specifications" display="http://www.neocamera.com/lens/nikkor/af-s_70-200mm_f4g_ed_vr"/>
    <hyperlink ref="A202" r:id="rId169" tooltip="Nikkor AF-S 70-200mm F/2.8G IF-ED VR Specifications" display="http://www.neocamera.com/lens/nikkor/af-s_70-200mm_f2.8g_if-ed_vr"/>
    <hyperlink ref="A201" r:id="rId170" tooltip="Nikkor AF-S 70-200mm F/2.8G ED VR II Specifications" display="http://www.neocamera.com/lens/nikkor/af-s_70-200mm_f2.8g_ed_vr_ii"/>
    <hyperlink ref="A200" r:id="rId171" tooltip="Nikkor AF-S 70-200mm F/2.8E FL ED VR Specifications" display="http://www.neocamera.com/lens/nikkor/af-s_70-200mm_f2.8e_fl_ed_vr"/>
    <hyperlink ref="A198" r:id="rId172" tooltip="Nikkor AF-S 60mm F/2.8G ED Micro Specifications" display="http://www.neocamera.com/lens/nikkor/af-s_60mm_f2.8g_ed_micro"/>
    <hyperlink ref="A196" r:id="rId173" tooltip="Nikkor AF-S 600mm F/4G ED VR Specifications" display="http://www.neocamera.com/lens/nikkor/af-s_600mm_f4g_ed_vr"/>
    <hyperlink ref="A195" r:id="rId174" tooltip="Nikkor AF-S 600mm F/4E FL ED VR Specifications" display="http://www.neocamera.com/lens/nikkor/af-s_600mm_f4e_fl_ed_vr"/>
    <hyperlink ref="A194" r:id="rId175" tooltip="Nikkor AF-S 58mm F/1.4G Specifications" display="http://www.neocamera.com/lens/nikkor/af-s_58mm_f1.4g"/>
    <hyperlink ref="A182" r:id="rId176" tooltip="Nikkor AF-S 50mm F/1.8G Special Edition Specifications" display="http://www.neocamera.com/lens/nikkor/af-s_50mm_f1.8g_special_edition"/>
    <hyperlink ref="A181" r:id="rId177" tooltip="Nikkor AF-S 50mm F/1.8G Specifications" display="http://www.neocamera.com/lens/nikkor/af-s_50mm_f1.8g"/>
    <hyperlink ref="A180" r:id="rId178" tooltip="Nikkor AF-S 50mm F/1.4G Specifications" display="http://www.neocamera.com/lens/nikkor/af-s_50mm_f1.4g"/>
    <hyperlink ref="A175" r:id="rId179" tooltip="Nikkor AF-S 500mm F/4G ED VR II Specifications" display="http://www.neocamera.com/lens/nikkor/af-s_500mm_f4g_ed_vr_ii"/>
    <hyperlink ref="A174" r:id="rId180" tooltip="Nikkor AF-S 500mm F/4E FL ED VR Specifications" display="http://www.neocamera.com/lens/nikkor/af-s_500mm_f4e_fl_ed_vr"/>
    <hyperlink ref="A164" r:id="rId181" tooltip="Nikkor AF-S 400mm F/2.8G ED VR Specifications" display="http://www.neocamera.com/lens/nikkor/af-s_400mm_f2.8g_ed_vr"/>
    <hyperlink ref="A163" r:id="rId182" tooltip="Nikkor AF-S 400mm F/2.8E  FL ED VR Specifications" display="http://www.neocamera.com/lens/nikkor/af-s_400mm_f2.8e__fl_ed_vr"/>
    <hyperlink ref="A155" r:id="rId183" tooltip="Nikkor AF-S 35mm F/1.8G ED Specifications" display="http://www.neocamera.com/lens/nikkor/af-s_35mm_f1.8g_ed"/>
    <hyperlink ref="A154" r:id="rId184" tooltip="Nikkor AF-S 35mm F/1.4G Specifications" display="http://www.neocamera.com/lens/nikkor/af-s_35mm_f1.4g"/>
    <hyperlink ref="A149" r:id="rId185" tooltip="Nikkor AF-S 300mm F/4E PF ED VR Specifications" display="http://www.neocamera.com/lens/nikkor/af-s_300mm_f4e_pf_ed_vr"/>
    <hyperlink ref="A148" r:id="rId186" tooltip="Nikkor AF-S 300mm F/4D IF-ED Specifications" display="http://www.neocamera.com/lens/nikkor/af-s_300mm_f4d_if-ed"/>
    <hyperlink ref="A147" r:id="rId187" tooltip="Nikkor AF-S 300mm F/2.8G ED-IF VR II Specifications" display="http://www.neocamera.com/lens/nikkor/af-s_300mm_f2.8g_ed-if_vr_ii"/>
    <hyperlink ref="A143" r:id="rId188" tooltip="Nikkor AF-S 28mm F/1.8G Specifications" display="http://www.neocamera.com/lens/nikkor/af-s_28mm_f1.8g"/>
    <hyperlink ref="A142" r:id="rId189" tooltip="Nikkor AF-S 28mm F/1.4E ED Specifications" display="http://www.neocamera.com/lens/nikkor/af-s_28mm_f1.4e_ed"/>
    <hyperlink ref="A135" r:id="rId190" tooltip="Nikkor AF-S 28-300mm F/3.5-5.6 ED VR Specifications" display="http://www.neocamera.com/lens/nikkor/af-s_28-300mm_f3.5-5.6_ed_vr"/>
    <hyperlink ref="A130" r:id="rId191" tooltip="Nikkor AF-S 24mm F/1.8G ED Specifications" display="http://www.neocamera.com/lens/nikkor/af-s_24mm_f1.8g_ed"/>
    <hyperlink ref="A129" r:id="rId192" tooltip="Nikkor AF-S 24mm F/1.4G ED Specifications" display="http://www.neocamera.com/lens/nikkor/af-s_24mm_f1.4g_ed"/>
    <hyperlink ref="A127" r:id="rId193" tooltip="Nikkor AF-S 24-85mm F/3.5-4.5G ED VR Specifications" display="http://www.neocamera.com/lens/nikkor/af-s_24-85mm_f3.5-4.5g_ed_vr"/>
    <hyperlink ref="A120" r:id="rId194" tooltip="Nikkor AF-S 24-70mm F/2.8E ED VR Specifications" display="http://www.neocamera.com/lens/nikkor/af-s_24-70mm_f2.8e_ed_vr"/>
    <hyperlink ref="A119" r:id="rId195" tooltip="Nikkor AF-S 24-70mm F/2.8 IF-ED Specifications" display="http://www.neocamera.com/lens/nikkor/af-s_24-70mm_f2.8_if-ed"/>
    <hyperlink ref="A117" r:id="rId196" tooltip="Nikkor AF-S 24-120mm F/3.5-5.6G IF-ED VR Specifications" display="http://www.neocamera.com/lens/nikkor/af-s_24-120mm_f3.5-5.6g_if-ed_vr"/>
    <hyperlink ref="A116" r:id="rId197" tooltip="Nikkor AF-S 24-120 F/4G ED VR Specifications" display="http://www.neocamera.com/lens/nikkor/af-s_24-120_f4g_ed_vr"/>
    <hyperlink ref="A111" r:id="rId198" tooltip="Nikkor AF-S 20mm F/1.8G ED Specifications" display="http://www.neocamera.com/lens/nikkor/af-s_20mm_f1.8g_ed"/>
    <hyperlink ref="A109" r:id="rId199" tooltip="Nikkor AF-S 200mm F/2G IF-ED VR Specifications" display="http://www.neocamera.com/lens/nikkor/af-s_200mm_f2g_if-ed_vr"/>
    <hyperlink ref="A108" r:id="rId200" tooltip="Nikkor AF-S 200mm F/2G ED VR II Specifications" display="http://www.neocamera.com/lens/nikkor/af-s_200mm_f2g_ed_vr_ii"/>
    <hyperlink ref="A104" r:id="rId201" tooltip="Nikkor AF-S 200-500mm F/5.6E ED VR Specifications" display="http://www.neocamera.com/lens/nikkor/af-s_200-500mm_f5.6e_ed_vr"/>
    <hyperlink ref="A103" r:id="rId202" tooltip="Nikkor AF-S 200-400mm F/4G ED VR II Specifications" display="http://www.neocamera.com/lens/nikkor/af-s_200-400mm_f4g_ed_vr_ii"/>
    <hyperlink ref="A87" r:id="rId203" tooltip="Nikkor AF-S 18-35mm F/3.5-4.5G ED Specifications" display="http://www.neocamera.com/lens/nikkor/af-s_18-35mm_f3.5-4.5g_ed"/>
    <hyperlink ref="A59" r:id="rId204" tooltip="Nikkor AF-S 17-35mm F/2.8D IF-ED Specifications" display="http://www.neocamera.com/lens/nikkor/af-s_17-35mm_f2.8d_if-ed"/>
    <hyperlink ref="A53" r:id="rId205" tooltip="Nikkor AF-S 16-35mm F/4G ED VR Specifications" display="http://www.neocamera.com/lens/nikkor/af-s_16-35mm_f4g_ed_vr"/>
    <hyperlink ref="A38" r:id="rId206" tooltip="Nikkor AF-S 14-24mm F/2.8G IF-ED Specifications" display="http://www.neocamera.com/lens/nikkor/af-s_14-24mm_f2.8g_if-ed"/>
    <hyperlink ref="A16" r:id="rId207" tooltip="Nikkor AF-S 105mm F/2.8G IF-ED VR Micro Specifications" display="http://www.neocamera.com/lens/nikkor/af-s_105mm_f2.8g_if-ed_vr_micro"/>
    <hyperlink ref="A15" r:id="rId208" tooltip="Nikkor AF-S 105mm F/1.4E ED Specifications" display="http://www.neocamera.com/lens/nikkor/af-s_105mm_f1.4e_ed"/>
    <hyperlink ref="A210" r:id="rId209" tooltip="Nikkor AF-P DX 70-300mm F/4.5-6.3G VR Specifications" display="http://www.neocamera.com/lens/nikkor/af-p_dx_70-300mm_f4.5-6.3g_vr"/>
    <hyperlink ref="A209" r:id="rId210" tooltip="Nikkor AF-P DX 70-300mm F/4.5-6.3G Specifications" display="http://www.neocamera.com/lens/nikkor/af-p_dx_70-300mm_f4.5-6.3g"/>
    <hyperlink ref="A93" r:id="rId211" tooltip="Nikkor AF-P DX 18-55mm F/3.5-5.6G VR Specifications" display="http://www.neocamera.com/lens/nikkor/af-p_dx_18-55mm_f3.5-5.6g_vr"/>
    <hyperlink ref="A92" r:id="rId212" tooltip="Nikkor AF-P DX 18-55mm F/3.5-5.6G Specifications" display="http://www.neocamera.com/lens/nikkor/af-p_dx_18-55mm_f3.5-5.6g"/>
    <hyperlink ref="A227" r:id="rId213" tooltip="Nikkor AF 85mm F/1.8D Specifications" display="http://www.neocamera.com/lens/nikkor/af_85mm_f1.8d"/>
    <hyperlink ref="A226" r:id="rId214" tooltip="Nikkor AF 85mm F/1.4D IF Specifications" display="http://www.neocamera.com/lens/nikkor/af_85mm_f1.4d_if"/>
    <hyperlink ref="A221" r:id="rId215" tooltip="Nikkor AF 80-400mm F/4.5-5.6D ED VR Specifications" display="http://www.neocamera.com/lens/nikkor/af_80-400mm_f4.5-5.6d_ed_vr"/>
    <hyperlink ref="A220" r:id="rId216" tooltip="Nikkor AF 80-200mm F/2.8D ED Specifications" display="http://www.neocamera.com/lens/nikkor/af_80-200mm_f2.8d_ed"/>
    <hyperlink ref="A208" r:id="rId217" tooltip="Nikkor AF 70-300mm F/4-5.6G Specifications" display="http://www.neocamera.com/lens/nikkor/af_70-300mm_f4-5.6g"/>
    <hyperlink ref="A197" r:id="rId218" tooltip="Nikkor AF 60mm F/2.8D Micro Specifications" display="http://www.neocamera.com/lens/nikkor/af_60mm_f2.8d_micro"/>
    <hyperlink ref="A179" r:id="rId219" tooltip="Nikkor AF 50mm F/1.8D Specifications" display="http://www.neocamera.com/lens/nikkor/af_50mm_f1.8d"/>
    <hyperlink ref="A178" r:id="rId220" tooltip="Nikkor AF 50mm F/1.4D Specifications" display="http://www.neocamera.com/lens/nikkor/af_50mm_f1.4d"/>
    <hyperlink ref="A153" r:id="rId221" tooltip="Nikkor AF 35mm F/2D Specifications" display="http://www.neocamera.com/lens/nikkor/af_35mm_f2d"/>
    <hyperlink ref="A141" r:id="rId222" tooltip="Nikkor AF 28mm F/2.8D Specifications" display="http://www.neocamera.com/lens/nikkor/af_28mm_f2.8d"/>
    <hyperlink ref="A128" r:id="rId223" tooltip="Nikkor AF 24mm F/2.8D Specifications" display="http://www.neocamera.com/lens/nikkor/af_24mm_f2.8d"/>
    <hyperlink ref="A126" r:id="rId224" tooltip="Nikkor AF 24-85mm F/2.8-4D IF Specifications" display="http://www.neocamera.com/lens/nikkor/af_24-85mm_f2.8-4d_if"/>
    <hyperlink ref="A110" r:id="rId225" tooltip="Nikkor AF 20mm F/2.8D Specifications" display="http://www.neocamera.com/lens/nikkor/af_20mm_f2.8d"/>
    <hyperlink ref="A107" r:id="rId226" tooltip="Nikkor AF 200mm F/4D IF-ED Micro Specifications" display="http://www.neocamera.com/lens/nikkor/af_200mm_f4d_if-ed_micro"/>
    <hyperlink ref="A98" r:id="rId227" tooltip="Nikkor AF 180mm F/2.8D IF-ED Specifications" display="http://www.neocamera.com/lens/nikkor/af_180mm_f2.8d_if-ed"/>
    <hyperlink ref="A86" r:id="rId228" tooltip="Nikkor AF 18-35mm F/3.5-4.5D IF-ED Specifications" display="http://www.neocamera.com/lens/nikkor/af_18-35mm_f3.5-4.5d_if-ed"/>
    <hyperlink ref="A58" r:id="rId229" tooltip="Nikkor AF 16mm F/2.8D Fisheye Specifications" display="http://www.neocamera.com/lens/nikkor/af_16mm_f2.8d_fisheye"/>
    <hyperlink ref="A39" r:id="rId230" tooltip="Nikkor AF 14mm F/2.8D ED Specifications" display="http://www.neocamera.com/lens/nikkor/af_14mm_f2.8d_ed"/>
    <hyperlink ref="A33" r:id="rId231" tooltip="Nikkor AF 135mm F/2D DC Specifications" display="http://www.neocamera.com/lens/nikkor/af_135mm_f2d_dc"/>
    <hyperlink ref="A14" r:id="rId232" tooltip="Nikkor AF 105mm F/2D DC Specifications" display="http://www.neocamera.com/lens/nikkor/af_105mm_f2d_dc"/>
    <hyperlink ref="A241" r:id="rId233" tooltip="Nikkor AF DX 10.5mm F/2.8G ED Fisheye Specifications" display="http://www.neocamera.com/lens/nikkor/af_dx_10.5mm_f2.8g_ed_fisheye"/>
    <hyperlink ref="A242" r:id="rId234" tooltip="Samyang 10mm ED AS NCS Specifications" display="http://www.neocamera.com/lens/samyang/10mm_ed_as_ncs/nikon"/>
    <hyperlink ref="A255" r:id="rId235" tooltip="Samyang VDSLR 135mm T2.2 ED UMC Specifications" display="http://www.neocamera.com/lens/samyang/vdslr_135mm_t2.2_ed_umc/nikon"/>
    <hyperlink ref="A243" r:id="rId236" tooltip="Samyang 135mm F/2 ED UMC Specifications" display="http://www.neocamera.com/lens/samyang/135mm_f2_ed_umc/nikon"/>
    <hyperlink ref="A244" r:id="rId237" tooltip="Samyang 14mm F/2.8 IF ED UMC Asph AE Specifications" display="http://www.neocamera.com/lens/samyang/14mm_f2.8_if_ed_umc_asph_ae/nikon"/>
    <hyperlink ref="A256" r:id="rId238" tooltip="Samyang VDSLR 14mm T3.1 AS IF UMC Specifications" display="http://www.neocamera.com/lens/samyang/vdslr_14mm_t3.1_as_if_umc/nikon"/>
    <hyperlink ref="A261" r:id="rId239" tooltip="Tamron Di SP 15-30mm F/2.8 VC USD Specifications" display="http://www.neocamera.com/lens/tamron/di_sp_15-30mm_f2.8_vc_usd/nikon"/>
    <hyperlink ref="A260" r:id="rId240" tooltip="Tamron Di SP 150-600mm F/5-6.3 Di VC USD Specifications" display="http://www.neocamera.com/lens/tamron/di_sp_150-600mm_f5-6.3_di_vc_usd/nikon"/>
    <hyperlink ref="A263" r:id="rId241" tooltip="Zeiss Distagon T* 2.8/15 Specifications" display="http://www.neocamera.com/lens/zeiss/distagon_t_2.815/nikon"/>
    <hyperlink ref="A245" r:id="rId242" tooltip="Samyang 16mm F/2 ED AS UMC CS Specifications" display="http://www.neocamera.com/lens/samyang/16mm_f2_ed_as_umc_cs/nikon"/>
    <hyperlink ref="A269" r:id="rId243" tooltip="Zeiss Distagon T* 3.5/18 Specifications" display="http://www.neocamera.com/lens/zeiss/distagon_t_3.518/nikon"/>
    <hyperlink ref="A247" r:id="rId244" tooltip="Samyang 20mm T/1.9 ED AS UMC Specifications" display="http://www.neocamera.com/lens/samyang/20mm_t1.9_ed_as_umc/nikon"/>
    <hyperlink ref="A246" r:id="rId245" tooltip="Samyang 20mm F/1.8 ED AS UMC Specifications" display="http://www.neocamera.com/lens/samyang/20mm_f1.8_ed_as_umc/nikon"/>
    <hyperlink ref="A264" r:id="rId246" tooltip="Zeiss Distagon T* 2.8/21 Specifications" display="http://www.neocamera.com/lens/zeiss/distagon_t_2.821/nikon"/>
    <hyperlink ref="A257" r:id="rId247" tooltip="Samyang VDSLR 24mm T1.5 ED AS UMC Specifications" display="http://www.neocamera.com/lens/samyang/vdslr_24mm_t1.5_ed_as_umc/nikon"/>
    <hyperlink ref="A254" r:id="rId248" tooltip="Samyang T-S 24mm F/3.5 ED AS UMC Specifications" display="http://www.neocamera.com/lens/samyang/t-s_24mm_f3.5_ed_as_umc/nikon"/>
    <hyperlink ref="A266" r:id="rId249" tooltip="Zeiss Distagon T* 2/25 Specifications" display="http://www.neocamera.com/lens/zeiss/distagon_t_225/nikon"/>
    <hyperlink ref="A265" r:id="rId250" tooltip="Zeiss Distagon T* 2.8/25 Specifications" display="http://www.neocamera.com/lens/zeiss/distagon_t_2.825/nikon"/>
    <hyperlink ref="A267" r:id="rId251" tooltip="Zeiss Distagon T* 2/28 Specifications" display="http://www.neocamera.com/lens/zeiss/distagon_t_228/nikon"/>
    <hyperlink ref="A248" r:id="rId252" tooltip="Samyang 300mm F/6.3 ED UMC CS Specifications" display="http://www.neocamera.com/lens/samyang/300mm_f6.3_ed_umc_cs/nikon"/>
    <hyperlink ref="A258" r:id="rId253" tooltip="Samyang VDSLR 35mm T1.5 AS UMC Specifications" display="http://www.neocamera.com/lens/samyang/vdslr_35mm_t1.5_as_umc/nikon"/>
    <hyperlink ref="A249" r:id="rId254" tooltip="Samyang 35mm F/1.4 AS UMC AE Specifications" display="http://www.neocamera.com/lens/samyang/35mm_f1.4_as_umc_ae/nikon"/>
    <hyperlink ref="A268" r:id="rId255" tooltip="Zeiss Distagon T* 2/35 Specifications" display="http://www.neocamera.com/lens/zeiss/distagon_t_235/nikon"/>
    <hyperlink ref="A262" r:id="rId256" tooltip="Zeiss Distagon T* 1.4/35 Specifications" display="http://www.neocamera.com/lens/zeiss/distagon_t_1.435/nikon"/>
    <hyperlink ref="A251" r:id="rId257" tooltip="Samyang 50mm T/1.5 VDSLR AS UMC Specifications" display="http://www.neocamera.com/lens/samyang/50mm_t1.5_vdslr_as_umc/nikon"/>
    <hyperlink ref="A250" r:id="rId258" tooltip="Samyang 50mm F/1.4 AS UMC Specifications" display="http://www.neocamera.com/lens/samyang/50mm_f1.4_as_umc/nikon"/>
    <hyperlink ref="A271" r:id="rId259" tooltip="Zeiss Planar T* 1.4/50 Specifications" display="http://www.neocamera.com/lens/zeiss/planar_t_1.450/nikon"/>
    <hyperlink ref="A270" r:id="rId260" tooltip="Zeiss Otus 55mm F/1.4 Specifications" display="http://www.neocamera.com/lens/zeiss/otus_55mm_f1.4/nikon"/>
    <hyperlink ref="A252" r:id="rId261" tooltip="Samyang 85mm F/1.4 IF MC Asph AE Specifications" display="http://www.neocamera.com/lens/samyang/85mm_f1.4_if_mc_asph_ae/nikon"/>
    <hyperlink ref="A272" r:id="rId262" tooltip="Zeiss Planar T* 1.4/85 Specifications" display="http://www.neocamera.com/lens/zeiss/planar_t_1.485/nikon"/>
    <hyperlink ref="A259" r:id="rId263" tooltip="Samyang VDSLR 8mm T3.8 Asph IF MC Fisheye CS Specifications" display="http://www.neocamera.com/lens/samyang/vdslr_8mm_t3.8_asph_if_mc_fisheye_cs/nikon"/>
    <hyperlink ref="A253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GUI Draft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2017-08-11T08:27:31Z</dcterms:modified>
</cp:coreProperties>
</file>