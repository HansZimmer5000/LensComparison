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LensComparison\"/>
    </mc:Choice>
  </mc:AlternateContent>
  <bookViews>
    <workbookView xWindow="0" yWindow="0" windowWidth="22260" windowHeight="12645" activeTab="1"/>
  </bookViews>
  <sheets>
    <sheet name="Overview" sheetId="3" r:id="rId1"/>
    <sheet name="PreparedData" sheetId="4" r:id="rId2"/>
    <sheet name="RawData (GH)" sheetId="5" r:id="rId3"/>
    <sheet name="RawData (before)" sheetId="1" r:id="rId4"/>
    <sheet name="TestData" sheetId="6" r:id="rId5"/>
  </sheets>
  <functionGroups builtInGroupCount="18"/>
  <definedNames>
    <definedName name="_xlnm._FilterDatabase" localSheetId="0" hidden="1">Overview!$B$16:$N$16</definedName>
    <definedName name="_xlnm._FilterDatabase" localSheetId="3" hidden="1">'RawData (before)'!$A$1:$Q$272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H3" i="4"/>
  <c r="H7" i="4"/>
  <c r="H11" i="4"/>
  <c r="H15" i="4"/>
  <c r="H19" i="4"/>
  <c r="H23" i="4"/>
  <c r="H27" i="4"/>
  <c r="H31" i="4"/>
  <c r="H35" i="4"/>
  <c r="H39" i="4"/>
  <c r="H43" i="4"/>
  <c r="H47" i="4"/>
  <c r="H51" i="4"/>
  <c r="H55" i="4"/>
  <c r="H59" i="4"/>
  <c r="H63" i="4"/>
  <c r="H67" i="4"/>
  <c r="H71" i="4"/>
  <c r="H75" i="4"/>
  <c r="H79" i="4"/>
  <c r="H83" i="4"/>
  <c r="H87" i="4"/>
  <c r="H91" i="4"/>
  <c r="H95" i="4"/>
  <c r="H99" i="4"/>
  <c r="H103" i="4"/>
  <c r="H107" i="4"/>
  <c r="H111" i="4"/>
  <c r="H115" i="4"/>
  <c r="H119" i="4"/>
  <c r="H123" i="4"/>
  <c r="H127" i="4"/>
  <c r="H131" i="4"/>
  <c r="H135" i="4"/>
  <c r="H139" i="4"/>
  <c r="H143" i="4"/>
  <c r="H147" i="4"/>
  <c r="H151" i="4"/>
  <c r="H155" i="4"/>
  <c r="H159" i="4"/>
  <c r="H163" i="4"/>
  <c r="H167" i="4"/>
  <c r="H171" i="4"/>
  <c r="H175" i="4"/>
  <c r="H179" i="4"/>
  <c r="H183" i="4"/>
  <c r="H187" i="4"/>
  <c r="H191" i="4"/>
  <c r="H195" i="4"/>
  <c r="H199" i="4"/>
  <c r="H203" i="4"/>
  <c r="H207" i="4"/>
  <c r="H211" i="4"/>
  <c r="H215" i="4"/>
  <c r="H219" i="4"/>
  <c r="H223" i="4"/>
  <c r="H227" i="4"/>
  <c r="H231" i="4"/>
  <c r="H235" i="4"/>
  <c r="H239" i="4"/>
  <c r="H243" i="4"/>
  <c r="H247" i="4"/>
  <c r="H251" i="4"/>
  <c r="H255" i="4"/>
  <c r="H259" i="4"/>
  <c r="H263" i="4"/>
  <c r="H267" i="4"/>
  <c r="H271" i="4"/>
  <c r="H275" i="4"/>
  <c r="H279" i="4"/>
  <c r="H283" i="4"/>
  <c r="H287" i="4"/>
  <c r="H291" i="4"/>
  <c r="H295" i="4"/>
  <c r="H299" i="4"/>
  <c r="H303" i="4"/>
  <c r="H307" i="4"/>
  <c r="H311" i="4"/>
  <c r="H315" i="4"/>
  <c r="H319" i="4"/>
  <c r="H323" i="4"/>
  <c r="H327" i="4"/>
  <c r="H331" i="4"/>
  <c r="H335" i="4"/>
  <c r="H339" i="4"/>
  <c r="H343" i="4"/>
  <c r="H347" i="4"/>
  <c r="H351" i="4"/>
  <c r="H355" i="4"/>
  <c r="H359" i="4"/>
  <c r="H363" i="4"/>
  <c r="H367" i="4"/>
  <c r="H371" i="4"/>
  <c r="H375" i="4"/>
  <c r="H379" i="4"/>
  <c r="H383" i="4"/>
  <c r="H387" i="4"/>
  <c r="H391" i="4"/>
  <c r="H395" i="4"/>
  <c r="H399" i="4"/>
  <c r="H403" i="4"/>
  <c r="H407" i="4"/>
  <c r="H411" i="4"/>
  <c r="H415" i="4"/>
  <c r="H419" i="4"/>
  <c r="H423" i="4"/>
  <c r="H427" i="4"/>
  <c r="H431" i="4"/>
  <c r="H435" i="4"/>
  <c r="H439" i="4"/>
  <c r="H443" i="4"/>
  <c r="H447" i="4"/>
  <c r="H451" i="4"/>
  <c r="H455" i="4"/>
  <c r="H459" i="4"/>
  <c r="H463" i="4"/>
  <c r="H467" i="4"/>
  <c r="H471" i="4"/>
  <c r="H475" i="4"/>
  <c r="H479" i="4"/>
  <c r="H483" i="4"/>
  <c r="H487" i="4"/>
  <c r="H491" i="4"/>
  <c r="H495" i="4"/>
  <c r="H499" i="4"/>
  <c r="H503" i="4"/>
  <c r="H507" i="4"/>
  <c r="H4" i="4"/>
  <c r="H9" i="4"/>
  <c r="H14" i="4"/>
  <c r="H20" i="4"/>
  <c r="H25" i="4"/>
  <c r="H30" i="4"/>
  <c r="H36" i="4"/>
  <c r="H41" i="4"/>
  <c r="H46" i="4"/>
  <c r="H52" i="4"/>
  <c r="H57" i="4"/>
  <c r="H62" i="4"/>
  <c r="H68" i="4"/>
  <c r="H73" i="4"/>
  <c r="H78" i="4"/>
  <c r="H84" i="4"/>
  <c r="H89" i="4"/>
  <c r="H94" i="4"/>
  <c r="H100" i="4"/>
  <c r="H105" i="4"/>
  <c r="H110" i="4"/>
  <c r="H116" i="4"/>
  <c r="H121" i="4"/>
  <c r="H126" i="4"/>
  <c r="H132" i="4"/>
  <c r="H137" i="4"/>
  <c r="H142" i="4"/>
  <c r="H148" i="4"/>
  <c r="H153" i="4"/>
  <c r="H158" i="4"/>
  <c r="H164" i="4"/>
  <c r="H169" i="4"/>
  <c r="H174" i="4"/>
  <c r="H180" i="4"/>
  <c r="H185" i="4"/>
  <c r="H190" i="4"/>
  <c r="H196" i="4"/>
  <c r="H201" i="4"/>
  <c r="H206" i="4"/>
  <c r="H212" i="4"/>
  <c r="H217" i="4"/>
  <c r="H222" i="4"/>
  <c r="H228" i="4"/>
  <c r="H233" i="4"/>
  <c r="H238" i="4"/>
  <c r="H244" i="4"/>
  <c r="H249" i="4"/>
  <c r="H254" i="4"/>
  <c r="H260" i="4"/>
  <c r="H265" i="4"/>
  <c r="H270" i="4"/>
  <c r="H276" i="4"/>
  <c r="H281" i="4"/>
  <c r="H286" i="4"/>
  <c r="H292" i="4"/>
  <c r="H297" i="4"/>
  <c r="H302" i="4"/>
  <c r="H308" i="4"/>
  <c r="H313" i="4"/>
  <c r="H318" i="4"/>
  <c r="H324" i="4"/>
  <c r="H329" i="4"/>
  <c r="H334" i="4"/>
  <c r="H340" i="4"/>
  <c r="H345" i="4"/>
  <c r="H350" i="4"/>
  <c r="H356" i="4"/>
  <c r="H361" i="4"/>
  <c r="H366" i="4"/>
  <c r="H372" i="4"/>
  <c r="H377" i="4"/>
  <c r="H382" i="4"/>
  <c r="H388" i="4"/>
  <c r="H393" i="4"/>
  <c r="H398" i="4"/>
  <c r="H404" i="4"/>
  <c r="H409" i="4"/>
  <c r="H414" i="4"/>
  <c r="H420" i="4"/>
  <c r="H425" i="4"/>
  <c r="H430" i="4"/>
  <c r="H436" i="4"/>
  <c r="H441" i="4"/>
  <c r="H446" i="4"/>
  <c r="H452" i="4"/>
  <c r="H457" i="4"/>
  <c r="H462" i="4"/>
  <c r="H468" i="4"/>
  <c r="H473" i="4"/>
  <c r="H478" i="4"/>
  <c r="H484" i="4"/>
  <c r="H489" i="4"/>
  <c r="H494" i="4"/>
  <c r="H500" i="4"/>
  <c r="H505" i="4"/>
  <c r="H510" i="4"/>
  <c r="H514" i="4"/>
  <c r="H518" i="4"/>
  <c r="H522" i="4"/>
  <c r="H526" i="4"/>
  <c r="H530" i="4"/>
  <c r="H534" i="4"/>
  <c r="H538" i="4"/>
  <c r="H542" i="4"/>
  <c r="H546" i="4"/>
  <c r="H550" i="4"/>
  <c r="H554" i="4"/>
  <c r="H558" i="4"/>
  <c r="H562" i="4"/>
  <c r="H566" i="4"/>
  <c r="H570" i="4"/>
  <c r="H574" i="4"/>
  <c r="H578" i="4"/>
  <c r="H582" i="4"/>
  <c r="H586" i="4"/>
  <c r="H590" i="4"/>
  <c r="H594" i="4"/>
  <c r="H598" i="4"/>
  <c r="H602" i="4"/>
  <c r="H606" i="4"/>
  <c r="H610" i="4"/>
  <c r="H614" i="4"/>
  <c r="H618" i="4"/>
  <c r="H622" i="4"/>
  <c r="H626" i="4"/>
  <c r="H630" i="4"/>
  <c r="H634" i="4"/>
  <c r="H638" i="4"/>
  <c r="H642" i="4"/>
  <c r="H646" i="4"/>
  <c r="H650" i="4"/>
  <c r="H654" i="4"/>
  <c r="H658" i="4"/>
  <c r="H662" i="4"/>
  <c r="H666" i="4"/>
  <c r="H670" i="4"/>
  <c r="H674" i="4"/>
  <c r="H678" i="4"/>
  <c r="H682" i="4"/>
  <c r="H686" i="4"/>
  <c r="H690" i="4"/>
  <c r="H694" i="4"/>
  <c r="H698" i="4"/>
  <c r="H702" i="4"/>
  <c r="H706" i="4"/>
  <c r="H710" i="4"/>
  <c r="H714" i="4"/>
  <c r="H718" i="4"/>
  <c r="H722" i="4"/>
  <c r="H726" i="4"/>
  <c r="H730" i="4"/>
  <c r="H734" i="4"/>
  <c r="H738" i="4"/>
  <c r="H742" i="4"/>
  <c r="H746" i="4"/>
  <c r="H750" i="4"/>
  <c r="H754" i="4"/>
  <c r="H758" i="4"/>
  <c r="H762" i="4"/>
  <c r="H766" i="4"/>
  <c r="H770" i="4"/>
  <c r="H774" i="4"/>
  <c r="H778" i="4"/>
  <c r="H782" i="4"/>
  <c r="H786" i="4"/>
  <c r="H790" i="4"/>
  <c r="H794" i="4"/>
  <c r="H798" i="4"/>
  <c r="H802" i="4"/>
  <c r="H806" i="4"/>
  <c r="H810" i="4"/>
  <c r="H814" i="4"/>
  <c r="H818" i="4"/>
  <c r="H822" i="4"/>
  <c r="H826" i="4"/>
  <c r="H830" i="4"/>
  <c r="H834" i="4"/>
  <c r="H838" i="4"/>
  <c r="H842" i="4"/>
  <c r="H846" i="4"/>
  <c r="H850" i="4"/>
  <c r="H854" i="4"/>
  <c r="H858" i="4"/>
  <c r="H862" i="4"/>
  <c r="H866" i="4"/>
  <c r="H870" i="4"/>
  <c r="H874" i="4"/>
  <c r="H878" i="4"/>
  <c r="H882" i="4"/>
  <c r="H886" i="4"/>
  <c r="H890" i="4"/>
  <c r="H894" i="4"/>
  <c r="H898" i="4"/>
  <c r="H902" i="4"/>
  <c r="H906" i="4"/>
  <c r="H910" i="4"/>
  <c r="H914" i="4"/>
  <c r="H918" i="4"/>
  <c r="H922" i="4"/>
  <c r="H926" i="4"/>
  <c r="H930" i="4"/>
  <c r="H934" i="4"/>
  <c r="H938" i="4"/>
  <c r="H942" i="4"/>
  <c r="H946" i="4"/>
  <c r="H950" i="4"/>
  <c r="H954" i="4"/>
  <c r="H958" i="4"/>
  <c r="H962" i="4"/>
  <c r="H966" i="4"/>
  <c r="H970" i="4"/>
  <c r="H974" i="4"/>
  <c r="H978" i="4"/>
  <c r="H982" i="4"/>
  <c r="H986" i="4"/>
  <c r="H990" i="4"/>
  <c r="H994" i="4"/>
  <c r="H998" i="4"/>
  <c r="H1002" i="4"/>
  <c r="H1006" i="4"/>
  <c r="H1010" i="4"/>
  <c r="H1014" i="4"/>
  <c r="H1018" i="4"/>
  <c r="H1022" i="4"/>
  <c r="H1026" i="4"/>
  <c r="H1030" i="4"/>
  <c r="H1034" i="4"/>
  <c r="H1038" i="4"/>
  <c r="H1042" i="4"/>
  <c r="H1046" i="4"/>
  <c r="H1050" i="4"/>
  <c r="H1054" i="4"/>
  <c r="H1058" i="4"/>
  <c r="H1062" i="4"/>
  <c r="H1066" i="4"/>
  <c r="H1070" i="4"/>
  <c r="H1074" i="4"/>
  <c r="H1078" i="4"/>
  <c r="H1082" i="4"/>
  <c r="H1086" i="4"/>
  <c r="H1090" i="4"/>
  <c r="H1094" i="4"/>
  <c r="H1098" i="4"/>
  <c r="H1102" i="4"/>
  <c r="H1106" i="4"/>
  <c r="H1110" i="4"/>
  <c r="H1114" i="4"/>
  <c r="H1118" i="4"/>
  <c r="H1122" i="4"/>
  <c r="H1126" i="4"/>
  <c r="H1130" i="4"/>
  <c r="H1134" i="4"/>
  <c r="H1138" i="4"/>
  <c r="H1142" i="4"/>
  <c r="H1146" i="4"/>
  <c r="H5" i="4"/>
  <c r="H12" i="4"/>
  <c r="H18" i="4"/>
  <c r="H26" i="4"/>
  <c r="H33" i="4"/>
  <c r="H40" i="4"/>
  <c r="H48" i="4"/>
  <c r="H54" i="4"/>
  <c r="H61" i="4"/>
  <c r="H69" i="4"/>
  <c r="H76" i="4"/>
  <c r="H82" i="4"/>
  <c r="H90" i="4"/>
  <c r="H97" i="4"/>
  <c r="H104" i="4"/>
  <c r="H112" i="4"/>
  <c r="H118" i="4"/>
  <c r="H125" i="4"/>
  <c r="H133" i="4"/>
  <c r="H140" i="4"/>
  <c r="H146" i="4"/>
  <c r="H154" i="4"/>
  <c r="H161" i="4"/>
  <c r="H168" i="4"/>
  <c r="H176" i="4"/>
  <c r="H182" i="4"/>
  <c r="H189" i="4"/>
  <c r="H197" i="4"/>
  <c r="H204" i="4"/>
  <c r="H210" i="4"/>
  <c r="H218" i="4"/>
  <c r="H225" i="4"/>
  <c r="H232" i="4"/>
  <c r="H240" i="4"/>
  <c r="H246" i="4"/>
  <c r="H253" i="4"/>
  <c r="H261" i="4"/>
  <c r="H268" i="4"/>
  <c r="H274" i="4"/>
  <c r="H282" i="4"/>
  <c r="H289" i="4"/>
  <c r="H296" i="4"/>
  <c r="H304" i="4"/>
  <c r="H310" i="4"/>
  <c r="H317" i="4"/>
  <c r="H325" i="4"/>
  <c r="H332" i="4"/>
  <c r="H338" i="4"/>
  <c r="H346" i="4"/>
  <c r="H353" i="4"/>
  <c r="H360" i="4"/>
  <c r="H368" i="4"/>
  <c r="H374" i="4"/>
  <c r="H381" i="4"/>
  <c r="H389" i="4"/>
  <c r="H396" i="4"/>
  <c r="H402" i="4"/>
  <c r="H410" i="4"/>
  <c r="H417" i="4"/>
  <c r="H424" i="4"/>
  <c r="H432" i="4"/>
  <c r="H438" i="4"/>
  <c r="H445" i="4"/>
  <c r="H453" i="4"/>
  <c r="H460" i="4"/>
  <c r="H466" i="4"/>
  <c r="H474" i="4"/>
  <c r="H481" i="4"/>
  <c r="H488" i="4"/>
  <c r="H496" i="4"/>
  <c r="H502" i="4"/>
  <c r="H509" i="4"/>
  <c r="H515" i="4"/>
  <c r="H520" i="4"/>
  <c r="H525" i="4"/>
  <c r="H531" i="4"/>
  <c r="H536" i="4"/>
  <c r="H541" i="4"/>
  <c r="H547" i="4"/>
  <c r="H552" i="4"/>
  <c r="H557" i="4"/>
  <c r="H563" i="4"/>
  <c r="H568" i="4"/>
  <c r="H573" i="4"/>
  <c r="H579" i="4"/>
  <c r="H584" i="4"/>
  <c r="H589" i="4"/>
  <c r="H595" i="4"/>
  <c r="H600" i="4"/>
  <c r="H605" i="4"/>
  <c r="H611" i="4"/>
  <c r="H616" i="4"/>
  <c r="H621" i="4"/>
  <c r="H627" i="4"/>
  <c r="H632" i="4"/>
  <c r="H637" i="4"/>
  <c r="H643" i="4"/>
  <c r="H648" i="4"/>
  <c r="H653" i="4"/>
  <c r="H659" i="4"/>
  <c r="H664" i="4"/>
  <c r="H669" i="4"/>
  <c r="H675" i="4"/>
  <c r="H680" i="4"/>
  <c r="H685" i="4"/>
  <c r="H691" i="4"/>
  <c r="H696" i="4"/>
  <c r="H701" i="4"/>
  <c r="H707" i="4"/>
  <c r="H712" i="4"/>
  <c r="H717" i="4"/>
  <c r="H723" i="4"/>
  <c r="H728" i="4"/>
  <c r="H733" i="4"/>
  <c r="H739" i="4"/>
  <c r="H744" i="4"/>
  <c r="H749" i="4"/>
  <c r="H755" i="4"/>
  <c r="H760" i="4"/>
  <c r="H765" i="4"/>
  <c r="H771" i="4"/>
  <c r="H776" i="4"/>
  <c r="H781" i="4"/>
  <c r="H787" i="4"/>
  <c r="H792" i="4"/>
  <c r="H797" i="4"/>
  <c r="H803" i="4"/>
  <c r="H808" i="4"/>
  <c r="H813" i="4"/>
  <c r="H819" i="4"/>
  <c r="H824" i="4"/>
  <c r="H829" i="4"/>
  <c r="H835" i="4"/>
  <c r="H840" i="4"/>
  <c r="H845" i="4"/>
  <c r="H851" i="4"/>
  <c r="H856" i="4"/>
  <c r="H861" i="4"/>
  <c r="H867" i="4"/>
  <c r="H872" i="4"/>
  <c r="H877" i="4"/>
  <c r="H883" i="4"/>
  <c r="H888" i="4"/>
  <c r="H893" i="4"/>
  <c r="H899" i="4"/>
  <c r="H904" i="4"/>
  <c r="H909" i="4"/>
  <c r="H915" i="4"/>
  <c r="H920" i="4"/>
  <c r="H925" i="4"/>
  <c r="H931" i="4"/>
  <c r="H936" i="4"/>
  <c r="H941" i="4"/>
  <c r="H947" i="4"/>
  <c r="H952" i="4"/>
  <c r="H957" i="4"/>
  <c r="H963" i="4"/>
  <c r="H968" i="4"/>
  <c r="H973" i="4"/>
  <c r="H979" i="4"/>
  <c r="H984" i="4"/>
  <c r="H989" i="4"/>
  <c r="H995" i="4"/>
  <c r="H1000" i="4"/>
  <c r="H1005" i="4"/>
  <c r="H1011" i="4"/>
  <c r="H1016" i="4"/>
  <c r="H1021" i="4"/>
  <c r="H1027" i="4"/>
  <c r="H1032" i="4"/>
  <c r="H1037" i="4"/>
  <c r="H1043" i="4"/>
  <c r="H1048" i="4"/>
  <c r="H1053" i="4"/>
  <c r="H1059" i="4"/>
  <c r="H1064" i="4"/>
  <c r="H1069" i="4"/>
  <c r="H1075" i="4"/>
  <c r="H1080" i="4"/>
  <c r="H1085" i="4"/>
  <c r="H1091" i="4"/>
  <c r="H1096" i="4"/>
  <c r="H1101" i="4"/>
  <c r="H1107" i="4"/>
  <c r="H1112" i="4"/>
  <c r="H1117" i="4"/>
  <c r="H1123" i="4"/>
  <c r="H1128" i="4"/>
  <c r="H1133" i="4"/>
  <c r="H1139" i="4"/>
  <c r="H1144" i="4"/>
  <c r="H1149" i="4"/>
  <c r="H1153" i="4"/>
  <c r="H1157" i="4"/>
  <c r="H1161" i="4"/>
  <c r="H1165" i="4"/>
  <c r="H1169" i="4"/>
  <c r="H1173" i="4"/>
  <c r="H1177" i="4"/>
  <c r="H1181" i="4"/>
  <c r="H1185" i="4"/>
  <c r="H1189" i="4"/>
  <c r="H1193" i="4"/>
  <c r="H1197" i="4"/>
  <c r="H1201" i="4"/>
  <c r="H1205" i="4"/>
  <c r="H1209" i="4"/>
  <c r="H1213" i="4"/>
  <c r="H1217" i="4"/>
  <c r="H1221" i="4"/>
  <c r="H1225" i="4"/>
  <c r="H1229" i="4"/>
  <c r="H1233" i="4"/>
  <c r="H1237" i="4"/>
  <c r="H1241" i="4"/>
  <c r="H1245" i="4"/>
  <c r="H1249" i="4"/>
  <c r="H1253" i="4"/>
  <c r="H1257" i="4"/>
  <c r="H1261" i="4"/>
  <c r="H1265" i="4"/>
  <c r="H1269" i="4"/>
  <c r="H1273" i="4"/>
  <c r="H1277" i="4"/>
  <c r="H1281" i="4"/>
  <c r="H1285" i="4"/>
  <c r="H1289" i="4"/>
  <c r="H1293" i="4"/>
  <c r="H1297" i="4"/>
  <c r="H1301" i="4"/>
  <c r="H1305" i="4"/>
  <c r="H1309" i="4"/>
  <c r="H1313" i="4"/>
  <c r="H1317" i="4"/>
  <c r="H1321" i="4"/>
  <c r="H1325" i="4"/>
  <c r="H1329" i="4"/>
  <c r="H1333" i="4"/>
  <c r="H1337" i="4"/>
  <c r="H1341" i="4"/>
  <c r="H1345" i="4"/>
  <c r="H1349" i="4"/>
  <c r="H1353" i="4"/>
  <c r="H1357" i="4"/>
  <c r="H1361" i="4"/>
  <c r="H1365" i="4"/>
  <c r="H1369" i="4"/>
  <c r="H1373" i="4"/>
  <c r="H1377" i="4"/>
  <c r="H1381" i="4"/>
  <c r="H1385" i="4"/>
  <c r="H1389" i="4"/>
  <c r="H1393" i="4"/>
  <c r="H1397" i="4"/>
  <c r="H1401" i="4"/>
  <c r="H1405" i="4"/>
  <c r="H1409" i="4"/>
  <c r="H1413" i="4"/>
  <c r="H1417" i="4"/>
  <c r="H1421" i="4"/>
  <c r="H1425" i="4"/>
  <c r="H1429" i="4"/>
  <c r="H1433" i="4"/>
  <c r="H1437" i="4"/>
  <c r="H1441" i="4"/>
  <c r="H1445" i="4"/>
  <c r="H1449" i="4"/>
  <c r="H1453" i="4"/>
  <c r="H1457" i="4"/>
  <c r="H1461" i="4"/>
  <c r="H1465" i="4"/>
  <c r="H1469" i="4"/>
  <c r="H1473" i="4"/>
  <c r="H1477" i="4"/>
  <c r="H1481" i="4"/>
  <c r="H1485" i="4"/>
  <c r="H1489" i="4"/>
  <c r="H1493" i="4"/>
  <c r="H1497" i="4"/>
  <c r="H1501" i="4"/>
  <c r="H1505" i="4"/>
  <c r="H1509" i="4"/>
  <c r="H1513" i="4"/>
  <c r="H1517" i="4"/>
  <c r="H1521" i="4"/>
  <c r="H1525" i="4"/>
  <c r="H1529" i="4"/>
  <c r="H1533" i="4"/>
  <c r="H1537" i="4"/>
  <c r="H1541" i="4"/>
  <c r="H1545" i="4"/>
  <c r="H1549" i="4"/>
  <c r="H1553" i="4"/>
  <c r="H1557" i="4"/>
  <c r="H1561" i="4"/>
  <c r="H1565" i="4"/>
  <c r="H1569" i="4"/>
  <c r="H1573" i="4"/>
  <c r="H1577" i="4"/>
  <c r="H1581" i="4"/>
  <c r="H1585" i="4"/>
  <c r="H1589" i="4"/>
  <c r="H1593" i="4"/>
  <c r="H1597" i="4"/>
  <c r="H1601" i="4"/>
  <c r="H1605" i="4"/>
  <c r="H1609" i="4"/>
  <c r="H1613" i="4"/>
  <c r="H1617" i="4"/>
  <c r="H1621" i="4"/>
  <c r="H1625" i="4"/>
  <c r="H1629" i="4"/>
  <c r="H1633" i="4"/>
  <c r="H1637" i="4"/>
  <c r="H1641" i="4"/>
  <c r="H1645" i="4"/>
  <c r="H1649" i="4"/>
  <c r="H1653" i="4"/>
  <c r="H1657" i="4"/>
  <c r="H1661" i="4"/>
  <c r="H1665" i="4"/>
  <c r="H1669" i="4"/>
  <c r="H1673" i="4"/>
  <c r="H1677" i="4"/>
  <c r="H1681" i="4"/>
  <c r="H1685" i="4"/>
  <c r="H1689" i="4"/>
  <c r="H1693" i="4"/>
  <c r="H1697" i="4"/>
  <c r="H1701" i="4"/>
  <c r="H1705" i="4"/>
  <c r="H1709" i="4"/>
  <c r="H1713" i="4"/>
  <c r="H1717" i="4"/>
  <c r="H1721" i="4"/>
  <c r="H1725" i="4"/>
  <c r="H1729" i="4"/>
  <c r="H1733" i="4"/>
  <c r="H1737" i="4"/>
  <c r="H1741" i="4"/>
  <c r="H1745" i="4"/>
  <c r="H1749" i="4"/>
  <c r="H1753" i="4"/>
  <c r="H1757" i="4"/>
  <c r="H1761" i="4"/>
  <c r="H1765" i="4"/>
  <c r="H1769" i="4"/>
  <c r="H1773" i="4"/>
  <c r="H1777" i="4"/>
  <c r="H1781" i="4"/>
  <c r="H1785" i="4"/>
  <c r="H1789" i="4"/>
  <c r="H1793" i="4"/>
  <c r="H1797" i="4"/>
  <c r="H1801" i="4"/>
  <c r="H1805" i="4"/>
  <c r="H1809" i="4"/>
  <c r="H1813" i="4"/>
  <c r="H1817" i="4"/>
  <c r="H1821" i="4"/>
  <c r="H1825" i="4"/>
  <c r="H1829" i="4"/>
  <c r="H1833" i="4"/>
  <c r="H1837" i="4"/>
  <c r="H1841" i="4"/>
  <c r="H1845" i="4"/>
  <c r="H1849" i="4"/>
  <c r="H1853" i="4"/>
  <c r="H1857" i="4"/>
  <c r="H1861" i="4"/>
  <c r="H1865" i="4"/>
  <c r="H1869" i="4"/>
  <c r="H1873" i="4"/>
  <c r="H1877" i="4"/>
  <c r="H1881" i="4"/>
  <c r="H1885" i="4"/>
  <c r="H1889" i="4"/>
  <c r="H1893" i="4"/>
  <c r="H1897" i="4"/>
  <c r="H1901" i="4"/>
  <c r="H1905" i="4"/>
  <c r="H1909" i="4"/>
  <c r="H1913" i="4"/>
  <c r="H1917" i="4"/>
  <c r="H1921" i="4"/>
  <c r="H1925" i="4"/>
  <c r="H1929" i="4"/>
  <c r="H1933" i="4"/>
  <c r="H1937" i="4"/>
  <c r="H1941" i="4"/>
  <c r="H1945" i="4"/>
  <c r="H1949" i="4"/>
  <c r="H1953" i="4"/>
  <c r="H1957" i="4"/>
  <c r="H1961" i="4"/>
  <c r="H1965" i="4"/>
  <c r="H1969" i="4"/>
  <c r="H1973" i="4"/>
  <c r="H1977" i="4"/>
  <c r="H1981" i="4"/>
  <c r="H1985" i="4"/>
  <c r="H1989" i="4"/>
  <c r="H1993" i="4"/>
  <c r="H1997" i="4"/>
  <c r="H2001" i="4"/>
  <c r="H2005" i="4"/>
  <c r="H2009" i="4"/>
  <c r="H6" i="4"/>
  <c r="H13" i="4"/>
  <c r="H21" i="4"/>
  <c r="H28" i="4"/>
  <c r="H34" i="4"/>
  <c r="H42" i="4"/>
  <c r="H49" i="4"/>
  <c r="H56" i="4"/>
  <c r="H64" i="4"/>
  <c r="H70" i="4"/>
  <c r="H77" i="4"/>
  <c r="H85" i="4"/>
  <c r="H92" i="4"/>
  <c r="H98" i="4"/>
  <c r="H106" i="4"/>
  <c r="H113" i="4"/>
  <c r="H120" i="4"/>
  <c r="H128" i="4"/>
  <c r="H134" i="4"/>
  <c r="H141" i="4"/>
  <c r="H149" i="4"/>
  <c r="H156" i="4"/>
  <c r="H162" i="4"/>
  <c r="H170" i="4"/>
  <c r="H177" i="4"/>
  <c r="H184" i="4"/>
  <c r="H192" i="4"/>
  <c r="H198" i="4"/>
  <c r="H205" i="4"/>
  <c r="H213" i="4"/>
  <c r="H220" i="4"/>
  <c r="H226" i="4"/>
  <c r="H234" i="4"/>
  <c r="H241" i="4"/>
  <c r="H248" i="4"/>
  <c r="H256" i="4"/>
  <c r="H262" i="4"/>
  <c r="H269" i="4"/>
  <c r="H277" i="4"/>
  <c r="H284" i="4"/>
  <c r="H290" i="4"/>
  <c r="H298" i="4"/>
  <c r="H305" i="4"/>
  <c r="H312" i="4"/>
  <c r="H320" i="4"/>
  <c r="H326" i="4"/>
  <c r="H333" i="4"/>
  <c r="H341" i="4"/>
  <c r="H348" i="4"/>
  <c r="H354" i="4"/>
  <c r="H362" i="4"/>
  <c r="H369" i="4"/>
  <c r="H376" i="4"/>
  <c r="H384" i="4"/>
  <c r="H390" i="4"/>
  <c r="H397" i="4"/>
  <c r="H405" i="4"/>
  <c r="H412" i="4"/>
  <c r="H418" i="4"/>
  <c r="H426" i="4"/>
  <c r="H433" i="4"/>
  <c r="H440" i="4"/>
  <c r="H448" i="4"/>
  <c r="H454" i="4"/>
  <c r="H461" i="4"/>
  <c r="H469" i="4"/>
  <c r="H476" i="4"/>
  <c r="H482" i="4"/>
  <c r="H490" i="4"/>
  <c r="H497" i="4"/>
  <c r="H504" i="4"/>
  <c r="H511" i="4"/>
  <c r="H516" i="4"/>
  <c r="H521" i="4"/>
  <c r="H527" i="4"/>
  <c r="H532" i="4"/>
  <c r="H537" i="4"/>
  <c r="H543" i="4"/>
  <c r="H548" i="4"/>
  <c r="H553" i="4"/>
  <c r="H559" i="4"/>
  <c r="H564" i="4"/>
  <c r="H569" i="4"/>
  <c r="H575" i="4"/>
  <c r="H580" i="4"/>
  <c r="H585" i="4"/>
  <c r="H591" i="4"/>
  <c r="H596" i="4"/>
  <c r="H601" i="4"/>
  <c r="H607" i="4"/>
  <c r="H612" i="4"/>
  <c r="H617" i="4"/>
  <c r="H623" i="4"/>
  <c r="H628" i="4"/>
  <c r="H633" i="4"/>
  <c r="H639" i="4"/>
  <c r="H644" i="4"/>
  <c r="H649" i="4"/>
  <c r="H655" i="4"/>
  <c r="H660" i="4"/>
  <c r="H665" i="4"/>
  <c r="H671" i="4"/>
  <c r="H676" i="4"/>
  <c r="H681" i="4"/>
  <c r="H8" i="4"/>
  <c r="H22" i="4"/>
  <c r="H37" i="4"/>
  <c r="H50" i="4"/>
  <c r="H65" i="4"/>
  <c r="H80" i="4"/>
  <c r="H93" i="4"/>
  <c r="H108" i="4"/>
  <c r="H122" i="4"/>
  <c r="H136" i="4"/>
  <c r="H150" i="4"/>
  <c r="H165" i="4"/>
  <c r="H178" i="4"/>
  <c r="H193" i="4"/>
  <c r="H208" i="4"/>
  <c r="H221" i="4"/>
  <c r="H236" i="4"/>
  <c r="H250" i="4"/>
  <c r="H264" i="4"/>
  <c r="H278" i="4"/>
  <c r="H293" i="4"/>
  <c r="H306" i="4"/>
  <c r="H321" i="4"/>
  <c r="H336" i="4"/>
  <c r="H349" i="4"/>
  <c r="H364" i="4"/>
  <c r="H378" i="4"/>
  <c r="H392" i="4"/>
  <c r="H406" i="4"/>
  <c r="H421" i="4"/>
  <c r="H434" i="4"/>
  <c r="H449" i="4"/>
  <c r="H464" i="4"/>
  <c r="H477" i="4"/>
  <c r="H492" i="4"/>
  <c r="H506" i="4"/>
  <c r="H517" i="4"/>
  <c r="H528" i="4"/>
  <c r="H539" i="4"/>
  <c r="H549" i="4"/>
  <c r="H560" i="4"/>
  <c r="H571" i="4"/>
  <c r="H581" i="4"/>
  <c r="H592" i="4"/>
  <c r="H603" i="4"/>
  <c r="H613" i="4"/>
  <c r="H624" i="4"/>
  <c r="H635" i="4"/>
  <c r="H645" i="4"/>
  <c r="H656" i="4"/>
  <c r="H667" i="4"/>
  <c r="H677" i="4"/>
  <c r="H687" i="4"/>
  <c r="H693" i="4"/>
  <c r="H700" i="4"/>
  <c r="H708" i="4"/>
  <c r="H715" i="4"/>
  <c r="H721" i="4"/>
  <c r="H729" i="4"/>
  <c r="H736" i="4"/>
  <c r="H743" i="4"/>
  <c r="H751" i="4"/>
  <c r="H757" i="4"/>
  <c r="H764" i="4"/>
  <c r="H772" i="4"/>
  <c r="H779" i="4"/>
  <c r="H785" i="4"/>
  <c r="H793" i="4"/>
  <c r="H800" i="4"/>
  <c r="H807" i="4"/>
  <c r="H815" i="4"/>
  <c r="H821" i="4"/>
  <c r="H828" i="4"/>
  <c r="H836" i="4"/>
  <c r="H843" i="4"/>
  <c r="H849" i="4"/>
  <c r="H857" i="4"/>
  <c r="H864" i="4"/>
  <c r="H871" i="4"/>
  <c r="H879" i="4"/>
  <c r="H885" i="4"/>
  <c r="H892" i="4"/>
  <c r="H900" i="4"/>
  <c r="H907" i="4"/>
  <c r="H913" i="4"/>
  <c r="H921" i="4"/>
  <c r="H928" i="4"/>
  <c r="H935" i="4"/>
  <c r="H943" i="4"/>
  <c r="H949" i="4"/>
  <c r="H956" i="4"/>
  <c r="H964" i="4"/>
  <c r="H971" i="4"/>
  <c r="H977" i="4"/>
  <c r="H985" i="4"/>
  <c r="H992" i="4"/>
  <c r="H999" i="4"/>
  <c r="H1007" i="4"/>
  <c r="H1013" i="4"/>
  <c r="H1020" i="4"/>
  <c r="H1028" i="4"/>
  <c r="H1035" i="4"/>
  <c r="H1041" i="4"/>
  <c r="H1049" i="4"/>
  <c r="H1056" i="4"/>
  <c r="H1063" i="4"/>
  <c r="H1071" i="4"/>
  <c r="H1077" i="4"/>
  <c r="H1084" i="4"/>
  <c r="H1092" i="4"/>
  <c r="H1099" i="4"/>
  <c r="H1105" i="4"/>
  <c r="H1113" i="4"/>
  <c r="H1120" i="4"/>
  <c r="H1127" i="4"/>
  <c r="H1135" i="4"/>
  <c r="H1141" i="4"/>
  <c r="H1148" i="4"/>
  <c r="H1154" i="4"/>
  <c r="H1159" i="4"/>
  <c r="H1164" i="4"/>
  <c r="H1170" i="4"/>
  <c r="H1175" i="4"/>
  <c r="H1180" i="4"/>
  <c r="H1186" i="4"/>
  <c r="H1191" i="4"/>
  <c r="H1196" i="4"/>
  <c r="H1202" i="4"/>
  <c r="H1207" i="4"/>
  <c r="H1212" i="4"/>
  <c r="H1218" i="4"/>
  <c r="H1223" i="4"/>
  <c r="H1228" i="4"/>
  <c r="H1234" i="4"/>
  <c r="H1239" i="4"/>
  <c r="H1244" i="4"/>
  <c r="H1250" i="4"/>
  <c r="H1255" i="4"/>
  <c r="H1260" i="4"/>
  <c r="H1266" i="4"/>
  <c r="H1271" i="4"/>
  <c r="H1276" i="4"/>
  <c r="H1282" i="4"/>
  <c r="H1287" i="4"/>
  <c r="H1292" i="4"/>
  <c r="H1298" i="4"/>
  <c r="H1303" i="4"/>
  <c r="H1308" i="4"/>
  <c r="H1314" i="4"/>
  <c r="H1319" i="4"/>
  <c r="H1324" i="4"/>
  <c r="H1330" i="4"/>
  <c r="H1335" i="4"/>
  <c r="H1340" i="4"/>
  <c r="H1346" i="4"/>
  <c r="H1351" i="4"/>
  <c r="H1356" i="4"/>
  <c r="H1362" i="4"/>
  <c r="H1367" i="4"/>
  <c r="H1372" i="4"/>
  <c r="H1378" i="4"/>
  <c r="H1383" i="4"/>
  <c r="H1388" i="4"/>
  <c r="H1394" i="4"/>
  <c r="H1399" i="4"/>
  <c r="H1404" i="4"/>
  <c r="H1410" i="4"/>
  <c r="H1415" i="4"/>
  <c r="H1420" i="4"/>
  <c r="H1426" i="4"/>
  <c r="H1431" i="4"/>
  <c r="H1436" i="4"/>
  <c r="H1442" i="4"/>
  <c r="H1447" i="4"/>
  <c r="H1452" i="4"/>
  <c r="H1458" i="4"/>
  <c r="H1463" i="4"/>
  <c r="H1468" i="4"/>
  <c r="H1474" i="4"/>
  <c r="H1479" i="4"/>
  <c r="H1484" i="4"/>
  <c r="H1490" i="4"/>
  <c r="H1495" i="4"/>
  <c r="H1500" i="4"/>
  <c r="H1506" i="4"/>
  <c r="H1511" i="4"/>
  <c r="H1516" i="4"/>
  <c r="H1522" i="4"/>
  <c r="H1527" i="4"/>
  <c r="H1532" i="4"/>
  <c r="H1538" i="4"/>
  <c r="H1543" i="4"/>
  <c r="H1548" i="4"/>
  <c r="H1554" i="4"/>
  <c r="H1559" i="4"/>
  <c r="H1564" i="4"/>
  <c r="H1570" i="4"/>
  <c r="H1575" i="4"/>
  <c r="H1580" i="4"/>
  <c r="H1586" i="4"/>
  <c r="H1591" i="4"/>
  <c r="H1596" i="4"/>
  <c r="H1602" i="4"/>
  <c r="H1607" i="4"/>
  <c r="H1612" i="4"/>
  <c r="H1618" i="4"/>
  <c r="H1623" i="4"/>
  <c r="H1628" i="4"/>
  <c r="H1634" i="4"/>
  <c r="H1639" i="4"/>
  <c r="H1644" i="4"/>
  <c r="H1650" i="4"/>
  <c r="H1655" i="4"/>
  <c r="H1660" i="4"/>
  <c r="H1666" i="4"/>
  <c r="H1671" i="4"/>
  <c r="H1676" i="4"/>
  <c r="H1682" i="4"/>
  <c r="H1687" i="4"/>
  <c r="H1692" i="4"/>
  <c r="H1698" i="4"/>
  <c r="H1703" i="4"/>
  <c r="H1708" i="4"/>
  <c r="H1714" i="4"/>
  <c r="H1719" i="4"/>
  <c r="H1724" i="4"/>
  <c r="H1730" i="4"/>
  <c r="H1735" i="4"/>
  <c r="H1740" i="4"/>
  <c r="H1746" i="4"/>
  <c r="H1751" i="4"/>
  <c r="H1756" i="4"/>
  <c r="H1762" i="4"/>
  <c r="H1767" i="4"/>
  <c r="H1772" i="4"/>
  <c r="H1778" i="4"/>
  <c r="H1783" i="4"/>
  <c r="H1788" i="4"/>
  <c r="H1794" i="4"/>
  <c r="H1799" i="4"/>
  <c r="H1804" i="4"/>
  <c r="H1810" i="4"/>
  <c r="H1815" i="4"/>
  <c r="H1820" i="4"/>
  <c r="H1826" i="4"/>
  <c r="H1831" i="4"/>
  <c r="H1836" i="4"/>
  <c r="H1842" i="4"/>
  <c r="H1847" i="4"/>
  <c r="H1852" i="4"/>
  <c r="H1858" i="4"/>
  <c r="H1863" i="4"/>
  <c r="H1868" i="4"/>
  <c r="H1874" i="4"/>
  <c r="H1879" i="4"/>
  <c r="H1884" i="4"/>
  <c r="H1890" i="4"/>
  <c r="H1895" i="4"/>
  <c r="H1900" i="4"/>
  <c r="H1906" i="4"/>
  <c r="H1911" i="4"/>
  <c r="H1916" i="4"/>
  <c r="H1922" i="4"/>
  <c r="H1927" i="4"/>
  <c r="H1932" i="4"/>
  <c r="H1938" i="4"/>
  <c r="H1943" i="4"/>
  <c r="H1948" i="4"/>
  <c r="H1954" i="4"/>
  <c r="H1959" i="4"/>
  <c r="H1964" i="4"/>
  <c r="H1970" i="4"/>
  <c r="H1975" i="4"/>
  <c r="H1980" i="4"/>
  <c r="H1986" i="4"/>
  <c r="H1991" i="4"/>
  <c r="H1996" i="4"/>
  <c r="H2002" i="4"/>
  <c r="H2007" i="4"/>
  <c r="H10" i="4"/>
  <c r="H24" i="4"/>
  <c r="H38" i="4"/>
  <c r="H53" i="4"/>
  <c r="H66" i="4"/>
  <c r="H81" i="4"/>
  <c r="H96" i="4"/>
  <c r="H109" i="4"/>
  <c r="H124" i="4"/>
  <c r="H138" i="4"/>
  <c r="H152" i="4"/>
  <c r="H166" i="4"/>
  <c r="H181" i="4"/>
  <c r="H194" i="4"/>
  <c r="H209" i="4"/>
  <c r="H224" i="4"/>
  <c r="H237" i="4"/>
  <c r="H252" i="4"/>
  <c r="H266" i="4"/>
  <c r="H280" i="4"/>
  <c r="H294" i="4"/>
  <c r="H309" i="4"/>
  <c r="H322" i="4"/>
  <c r="H337" i="4"/>
  <c r="H352" i="4"/>
  <c r="H365" i="4"/>
  <c r="H380" i="4"/>
  <c r="H394" i="4"/>
  <c r="H408" i="4"/>
  <c r="H422" i="4"/>
  <c r="H437" i="4"/>
  <c r="H450" i="4"/>
  <c r="H465" i="4"/>
  <c r="H480" i="4"/>
  <c r="H493" i="4"/>
  <c r="H508" i="4"/>
  <c r="H519" i="4"/>
  <c r="H529" i="4"/>
  <c r="H540" i="4"/>
  <c r="H551" i="4"/>
  <c r="H561" i="4"/>
  <c r="H572" i="4"/>
  <c r="H583" i="4"/>
  <c r="H593" i="4"/>
  <c r="H604" i="4"/>
  <c r="H615" i="4"/>
  <c r="H625" i="4"/>
  <c r="H636" i="4"/>
  <c r="H647" i="4"/>
  <c r="H657" i="4"/>
  <c r="H668" i="4"/>
  <c r="H679" i="4"/>
  <c r="H688" i="4"/>
  <c r="H695" i="4"/>
  <c r="H703" i="4"/>
  <c r="H709" i="4"/>
  <c r="H716" i="4"/>
  <c r="H724" i="4"/>
  <c r="H731" i="4"/>
  <c r="H737" i="4"/>
  <c r="H745" i="4"/>
  <c r="H752" i="4"/>
  <c r="H759" i="4"/>
  <c r="H767" i="4"/>
  <c r="H773" i="4"/>
  <c r="H780" i="4"/>
  <c r="H788" i="4"/>
  <c r="H795" i="4"/>
  <c r="H801" i="4"/>
  <c r="H809" i="4"/>
  <c r="H816" i="4"/>
  <c r="H823" i="4"/>
  <c r="H831" i="4"/>
  <c r="H837" i="4"/>
  <c r="H844" i="4"/>
  <c r="H852" i="4"/>
  <c r="H859" i="4"/>
  <c r="H865" i="4"/>
  <c r="H873" i="4"/>
  <c r="H880" i="4"/>
  <c r="H887" i="4"/>
  <c r="H895" i="4"/>
  <c r="H901" i="4"/>
  <c r="H908" i="4"/>
  <c r="H916" i="4"/>
  <c r="H923" i="4"/>
  <c r="H929" i="4"/>
  <c r="H937" i="4"/>
  <c r="H944" i="4"/>
  <c r="H951" i="4"/>
  <c r="H959" i="4"/>
  <c r="H965" i="4"/>
  <c r="H972" i="4"/>
  <c r="H980" i="4"/>
  <c r="H987" i="4"/>
  <c r="H993" i="4"/>
  <c r="H1001" i="4"/>
  <c r="H1008" i="4"/>
  <c r="H1015" i="4"/>
  <c r="H1023" i="4"/>
  <c r="H1029" i="4"/>
  <c r="H1036" i="4"/>
  <c r="H1044" i="4"/>
  <c r="H1051" i="4"/>
  <c r="H1057" i="4"/>
  <c r="H1065" i="4"/>
  <c r="H1072" i="4"/>
  <c r="H1079" i="4"/>
  <c r="H1087" i="4"/>
  <c r="H1093" i="4"/>
  <c r="H1100" i="4"/>
  <c r="H1108" i="4"/>
  <c r="H1115" i="4"/>
  <c r="H1121" i="4"/>
  <c r="H1129" i="4"/>
  <c r="H1136" i="4"/>
  <c r="H1143" i="4"/>
  <c r="H1150" i="4"/>
  <c r="H1155" i="4"/>
  <c r="H1160" i="4"/>
  <c r="H1166" i="4"/>
  <c r="H1171" i="4"/>
  <c r="H1176" i="4"/>
  <c r="H1182" i="4"/>
  <c r="H1187" i="4"/>
  <c r="H1192" i="4"/>
  <c r="H1198" i="4"/>
  <c r="H1203" i="4"/>
  <c r="H1208" i="4"/>
  <c r="H1214" i="4"/>
  <c r="H1219" i="4"/>
  <c r="H1224" i="4"/>
  <c r="H1230" i="4"/>
  <c r="H1235" i="4"/>
  <c r="H1240" i="4"/>
  <c r="H1246" i="4"/>
  <c r="H1251" i="4"/>
  <c r="H1256" i="4"/>
  <c r="H1262" i="4"/>
  <c r="H1267" i="4"/>
  <c r="H1272" i="4"/>
  <c r="H1278" i="4"/>
  <c r="H1283" i="4"/>
  <c r="H1288" i="4"/>
  <c r="H1294" i="4"/>
  <c r="H1299" i="4"/>
  <c r="H1304" i="4"/>
  <c r="H1310" i="4"/>
  <c r="H1315" i="4"/>
  <c r="H1320" i="4"/>
  <c r="H1326" i="4"/>
  <c r="H1331" i="4"/>
  <c r="H1336" i="4"/>
  <c r="H1342" i="4"/>
  <c r="H1347" i="4"/>
  <c r="H1352" i="4"/>
  <c r="H1358" i="4"/>
  <c r="H1363" i="4"/>
  <c r="H1368" i="4"/>
  <c r="H1374" i="4"/>
  <c r="H1379" i="4"/>
  <c r="H1384" i="4"/>
  <c r="H1390" i="4"/>
  <c r="H1395" i="4"/>
  <c r="H1400" i="4"/>
  <c r="H1406" i="4"/>
  <c r="H1411" i="4"/>
  <c r="H1416" i="4"/>
  <c r="H1422" i="4"/>
  <c r="H1427" i="4"/>
  <c r="H1432" i="4"/>
  <c r="H1438" i="4"/>
  <c r="H1443" i="4"/>
  <c r="H1448" i="4"/>
  <c r="H1454" i="4"/>
  <c r="H1459" i="4"/>
  <c r="H1464" i="4"/>
  <c r="H1470" i="4"/>
  <c r="H1475" i="4"/>
  <c r="H1480" i="4"/>
  <c r="H1486" i="4"/>
  <c r="H1491" i="4"/>
  <c r="H1496" i="4"/>
  <c r="H1502" i="4"/>
  <c r="H1507" i="4"/>
  <c r="H1512" i="4"/>
  <c r="H1518" i="4"/>
  <c r="H1523" i="4"/>
  <c r="H1528" i="4"/>
  <c r="H1534" i="4"/>
  <c r="H1539" i="4"/>
  <c r="H1544" i="4"/>
  <c r="H1550" i="4"/>
  <c r="H1555" i="4"/>
  <c r="H1560" i="4"/>
  <c r="H1566" i="4"/>
  <c r="H1571" i="4"/>
  <c r="H1576" i="4"/>
  <c r="H1582" i="4"/>
  <c r="H1587" i="4"/>
  <c r="H1592" i="4"/>
  <c r="H1598" i="4"/>
  <c r="H1603" i="4"/>
  <c r="H1608" i="4"/>
  <c r="H1614" i="4"/>
  <c r="H1619" i="4"/>
  <c r="H1624" i="4"/>
  <c r="H1630" i="4"/>
  <c r="H1635" i="4"/>
  <c r="H1640" i="4"/>
  <c r="H1646" i="4"/>
  <c r="H1651" i="4"/>
  <c r="H1656" i="4"/>
  <c r="H1662" i="4"/>
  <c r="H1667" i="4"/>
  <c r="H1672" i="4"/>
  <c r="H1678" i="4"/>
  <c r="H1683" i="4"/>
  <c r="H1688" i="4"/>
  <c r="H1694" i="4"/>
  <c r="H1699" i="4"/>
  <c r="H1704" i="4"/>
  <c r="H1710" i="4"/>
  <c r="H1715" i="4"/>
  <c r="H1720" i="4"/>
  <c r="H1726" i="4"/>
  <c r="H1731" i="4"/>
  <c r="H1736" i="4"/>
  <c r="H1742" i="4"/>
  <c r="H1747" i="4"/>
  <c r="H1752" i="4"/>
  <c r="H1758" i="4"/>
  <c r="H1763" i="4"/>
  <c r="H1768" i="4"/>
  <c r="H1774" i="4"/>
  <c r="H1779" i="4"/>
  <c r="H1784" i="4"/>
  <c r="H1790" i="4"/>
  <c r="H1795" i="4"/>
  <c r="H1800" i="4"/>
  <c r="H1806" i="4"/>
  <c r="H1811" i="4"/>
  <c r="H1816" i="4"/>
  <c r="H1822" i="4"/>
  <c r="H1827" i="4"/>
  <c r="H1832" i="4"/>
  <c r="H1838" i="4"/>
  <c r="H1843" i="4"/>
  <c r="H1848" i="4"/>
  <c r="H1854" i="4"/>
  <c r="H1859" i="4"/>
  <c r="H1864" i="4"/>
  <c r="H1870" i="4"/>
  <c r="H1875" i="4"/>
  <c r="H1880" i="4"/>
  <c r="H1886" i="4"/>
  <c r="H1891" i="4"/>
  <c r="H1896" i="4"/>
  <c r="H1902" i="4"/>
  <c r="H1907" i="4"/>
  <c r="H1912" i="4"/>
  <c r="H1918" i="4"/>
  <c r="H1923" i="4"/>
  <c r="H1928" i="4"/>
  <c r="H1934" i="4"/>
  <c r="H1939" i="4"/>
  <c r="H1944" i="4"/>
  <c r="H1950" i="4"/>
  <c r="H1955" i="4"/>
  <c r="H1960" i="4"/>
  <c r="H1966" i="4"/>
  <c r="H1971" i="4"/>
  <c r="H1976" i="4"/>
  <c r="H1982" i="4"/>
  <c r="H1987" i="4"/>
  <c r="H1992" i="4"/>
  <c r="H1998" i="4"/>
  <c r="H2003" i="4"/>
  <c r="H2008" i="4"/>
  <c r="H16" i="4"/>
  <c r="H29" i="4"/>
  <c r="H44" i="4"/>
  <c r="H58" i="4"/>
  <c r="H72" i="4"/>
  <c r="H86" i="4"/>
  <c r="H101" i="4"/>
  <c r="H114" i="4"/>
  <c r="H129" i="4"/>
  <c r="H144" i="4"/>
  <c r="H157" i="4"/>
  <c r="H172" i="4"/>
  <c r="H186" i="4"/>
  <c r="H200" i="4"/>
  <c r="H214" i="4"/>
  <c r="H229" i="4"/>
  <c r="H242" i="4"/>
  <c r="H257" i="4"/>
  <c r="H272" i="4"/>
  <c r="H285" i="4"/>
  <c r="H300" i="4"/>
  <c r="H314" i="4"/>
  <c r="H328" i="4"/>
  <c r="H342" i="4"/>
  <c r="H357" i="4"/>
  <c r="H370" i="4"/>
  <c r="H385" i="4"/>
  <c r="H400" i="4"/>
  <c r="H413" i="4"/>
  <c r="H428" i="4"/>
  <c r="H442" i="4"/>
  <c r="H456" i="4"/>
  <c r="H470" i="4"/>
  <c r="H485" i="4"/>
  <c r="H498" i="4"/>
  <c r="H512" i="4"/>
  <c r="H523" i="4"/>
  <c r="H533" i="4"/>
  <c r="H544" i="4"/>
  <c r="H555" i="4"/>
  <c r="H565" i="4"/>
  <c r="H576" i="4"/>
  <c r="H587" i="4"/>
  <c r="H597" i="4"/>
  <c r="H608" i="4"/>
  <c r="H619" i="4"/>
  <c r="H629" i="4"/>
  <c r="H640" i="4"/>
  <c r="H651" i="4"/>
  <c r="H661" i="4"/>
  <c r="H672" i="4"/>
  <c r="H683" i="4"/>
  <c r="H689" i="4"/>
  <c r="H697" i="4"/>
  <c r="H704" i="4"/>
  <c r="H711" i="4"/>
  <c r="H719" i="4"/>
  <c r="H725" i="4"/>
  <c r="H732" i="4"/>
  <c r="H740" i="4"/>
  <c r="H747" i="4"/>
  <c r="H753" i="4"/>
  <c r="H761" i="4"/>
  <c r="H768" i="4"/>
  <c r="H775" i="4"/>
  <c r="H783" i="4"/>
  <c r="H789" i="4"/>
  <c r="H796" i="4"/>
  <c r="H804" i="4"/>
  <c r="H811" i="4"/>
  <c r="H817" i="4"/>
  <c r="H825" i="4"/>
  <c r="H832" i="4"/>
  <c r="H839" i="4"/>
  <c r="H847" i="4"/>
  <c r="H853" i="4"/>
  <c r="H860" i="4"/>
  <c r="H868" i="4"/>
  <c r="H875" i="4"/>
  <c r="H881" i="4"/>
  <c r="H889" i="4"/>
  <c r="H896" i="4"/>
  <c r="H903" i="4"/>
  <c r="H911" i="4"/>
  <c r="H917" i="4"/>
  <c r="H924" i="4"/>
  <c r="H932" i="4"/>
  <c r="H939" i="4"/>
  <c r="H945" i="4"/>
  <c r="H953" i="4"/>
  <c r="H960" i="4"/>
  <c r="H967" i="4"/>
  <c r="H975" i="4"/>
  <c r="H981" i="4"/>
  <c r="H988" i="4"/>
  <c r="H996" i="4"/>
  <c r="H1003" i="4"/>
  <c r="H1009" i="4"/>
  <c r="H1017" i="4"/>
  <c r="H1024" i="4"/>
  <c r="H1031" i="4"/>
  <c r="H1039" i="4"/>
  <c r="H1045" i="4"/>
  <c r="H1052" i="4"/>
  <c r="H1060" i="4"/>
  <c r="H1067" i="4"/>
  <c r="H1073" i="4"/>
  <c r="H1081" i="4"/>
  <c r="H1088" i="4"/>
  <c r="H1095" i="4"/>
  <c r="H1103" i="4"/>
  <c r="H1109" i="4"/>
  <c r="H1116" i="4"/>
  <c r="H1124" i="4"/>
  <c r="H1131" i="4"/>
  <c r="H1137" i="4"/>
  <c r="H1145" i="4"/>
  <c r="H1151" i="4"/>
  <c r="H1156" i="4"/>
  <c r="H1162" i="4"/>
  <c r="H1167" i="4"/>
  <c r="H1172" i="4"/>
  <c r="H1178" i="4"/>
  <c r="H1183" i="4"/>
  <c r="H1188" i="4"/>
  <c r="H1194" i="4"/>
  <c r="H1199" i="4"/>
  <c r="H1204" i="4"/>
  <c r="H1210" i="4"/>
  <c r="H1215" i="4"/>
  <c r="H1220" i="4"/>
  <c r="H1226" i="4"/>
  <c r="H1231" i="4"/>
  <c r="H1236" i="4"/>
  <c r="H1242" i="4"/>
  <c r="H1247" i="4"/>
  <c r="H1252" i="4"/>
  <c r="H1258" i="4"/>
  <c r="H1263" i="4"/>
  <c r="H1268" i="4"/>
  <c r="H1274" i="4"/>
  <c r="H1279" i="4"/>
  <c r="H1284" i="4"/>
  <c r="H1290" i="4"/>
  <c r="H1295" i="4"/>
  <c r="H1300" i="4"/>
  <c r="H1306" i="4"/>
  <c r="H1311" i="4"/>
  <c r="H1316" i="4"/>
  <c r="H1322" i="4"/>
  <c r="H1327" i="4"/>
  <c r="H1332" i="4"/>
  <c r="H1338" i="4"/>
  <c r="H1343" i="4"/>
  <c r="H1348" i="4"/>
  <c r="H1354" i="4"/>
  <c r="H1359" i="4"/>
  <c r="H1364" i="4"/>
  <c r="H1370" i="4"/>
  <c r="H1375" i="4"/>
  <c r="H1380" i="4"/>
  <c r="H1386" i="4"/>
  <c r="H1391" i="4"/>
  <c r="H1396" i="4"/>
  <c r="H1402" i="4"/>
  <c r="H1407" i="4"/>
  <c r="H1412" i="4"/>
  <c r="H1418" i="4"/>
  <c r="H1423" i="4"/>
  <c r="H1428" i="4"/>
  <c r="H1434" i="4"/>
  <c r="H1439" i="4"/>
  <c r="H1444" i="4"/>
  <c r="H1450" i="4"/>
  <c r="H1455" i="4"/>
  <c r="H1460" i="4"/>
  <c r="H1466" i="4"/>
  <c r="H1471" i="4"/>
  <c r="H1476" i="4"/>
  <c r="H1482" i="4"/>
  <c r="H1487" i="4"/>
  <c r="H1492" i="4"/>
  <c r="H1498" i="4"/>
  <c r="H1503" i="4"/>
  <c r="H1508" i="4"/>
  <c r="H1514" i="4"/>
  <c r="H1519" i="4"/>
  <c r="H1524" i="4"/>
  <c r="H1530" i="4"/>
  <c r="H1535" i="4"/>
  <c r="H1540" i="4"/>
  <c r="H1546" i="4"/>
  <c r="H1551" i="4"/>
  <c r="H1556" i="4"/>
  <c r="H1562" i="4"/>
  <c r="H1567" i="4"/>
  <c r="H1572" i="4"/>
  <c r="H1578" i="4"/>
  <c r="H1583" i="4"/>
  <c r="H1588" i="4"/>
  <c r="H1594" i="4"/>
  <c r="H1599" i="4"/>
  <c r="H1604" i="4"/>
  <c r="H1610" i="4"/>
  <c r="H1615" i="4"/>
  <c r="H1620" i="4"/>
  <c r="H1626" i="4"/>
  <c r="H1631" i="4"/>
  <c r="H1636" i="4"/>
  <c r="H1642" i="4"/>
  <c r="H1647" i="4"/>
  <c r="H1652" i="4"/>
  <c r="H1658" i="4"/>
  <c r="H1663" i="4"/>
  <c r="H1668" i="4"/>
  <c r="H1674" i="4"/>
  <c r="H1679" i="4"/>
  <c r="H1684" i="4"/>
  <c r="H1690" i="4"/>
  <c r="H1695" i="4"/>
  <c r="H1700" i="4"/>
  <c r="H1706" i="4"/>
  <c r="H1711" i="4"/>
  <c r="H1716" i="4"/>
  <c r="H1722" i="4"/>
  <c r="H1727" i="4"/>
  <c r="H1732" i="4"/>
  <c r="H1738" i="4"/>
  <c r="H1743" i="4"/>
  <c r="H1748" i="4"/>
  <c r="H1754" i="4"/>
  <c r="H1759" i="4"/>
  <c r="H1764" i="4"/>
  <c r="H1770" i="4"/>
  <c r="H1775" i="4"/>
  <c r="H1780" i="4"/>
  <c r="H1786" i="4"/>
  <c r="H1791" i="4"/>
  <c r="H1796" i="4"/>
  <c r="H1802" i="4"/>
  <c r="H1807" i="4"/>
  <c r="H1812" i="4"/>
  <c r="H1818" i="4"/>
  <c r="H1823" i="4"/>
  <c r="H1828" i="4"/>
  <c r="H1834" i="4"/>
  <c r="H1839" i="4"/>
  <c r="H1844" i="4"/>
  <c r="H1850" i="4"/>
  <c r="H1855" i="4"/>
  <c r="H1860" i="4"/>
  <c r="H1866" i="4"/>
  <c r="H1871" i="4"/>
  <c r="H1876" i="4"/>
  <c r="H1882" i="4"/>
  <c r="H1887" i="4"/>
  <c r="H1892" i="4"/>
  <c r="H1898" i="4"/>
  <c r="H1903" i="4"/>
  <c r="H1908" i="4"/>
  <c r="H1914" i="4"/>
  <c r="H1919" i="4"/>
  <c r="H1924" i="4"/>
  <c r="H1930" i="4"/>
  <c r="H1935" i="4"/>
  <c r="H1940" i="4"/>
  <c r="H1946" i="4"/>
  <c r="H1951" i="4"/>
  <c r="H1956" i="4"/>
  <c r="H1962" i="4"/>
  <c r="H1967" i="4"/>
  <c r="H1972" i="4"/>
  <c r="H1978" i="4"/>
  <c r="H1983" i="4"/>
  <c r="H1988" i="4"/>
  <c r="H1994" i="4"/>
  <c r="H1999" i="4"/>
  <c r="H2004" i="4"/>
  <c r="H2010" i="4"/>
  <c r="H17" i="4"/>
  <c r="H32" i="4"/>
  <c r="H45" i="4"/>
  <c r="H60" i="4"/>
  <c r="H74" i="4"/>
  <c r="H88" i="4"/>
  <c r="H102" i="4"/>
  <c r="H117" i="4"/>
  <c r="H130" i="4"/>
  <c r="H145" i="4"/>
  <c r="H160" i="4"/>
  <c r="H173" i="4"/>
  <c r="H188" i="4"/>
  <c r="H202" i="4"/>
  <c r="H216" i="4"/>
  <c r="H230" i="4"/>
  <c r="H245" i="4"/>
  <c r="H258" i="4"/>
  <c r="H273" i="4"/>
  <c r="H288" i="4"/>
  <c r="H301" i="4"/>
  <c r="H316" i="4"/>
  <c r="H330" i="4"/>
  <c r="H344" i="4"/>
  <c r="H358" i="4"/>
  <c r="H373" i="4"/>
  <c r="H386" i="4"/>
  <c r="H401" i="4"/>
  <c r="H416" i="4"/>
  <c r="H429" i="4"/>
  <c r="H444" i="4"/>
  <c r="H458" i="4"/>
  <c r="H472" i="4"/>
  <c r="H486" i="4"/>
  <c r="H501" i="4"/>
  <c r="H513" i="4"/>
  <c r="H524" i="4"/>
  <c r="H535" i="4"/>
  <c r="H545" i="4"/>
  <c r="H556" i="4"/>
  <c r="H567" i="4"/>
  <c r="H577" i="4"/>
  <c r="H588" i="4"/>
  <c r="H599" i="4"/>
  <c r="H609" i="4"/>
  <c r="H620" i="4"/>
  <c r="H631" i="4"/>
  <c r="H641" i="4"/>
  <c r="H652" i="4"/>
  <c r="H663" i="4"/>
  <c r="H673" i="4"/>
  <c r="H684" i="4"/>
  <c r="H692" i="4"/>
  <c r="H699" i="4"/>
  <c r="H705" i="4"/>
  <c r="H713" i="4"/>
  <c r="H720" i="4"/>
  <c r="H727" i="4"/>
  <c r="H735" i="4"/>
  <c r="H741" i="4"/>
  <c r="H748" i="4"/>
  <c r="H756" i="4"/>
  <c r="H763" i="4"/>
  <c r="H769" i="4"/>
  <c r="H777" i="4"/>
  <c r="H784" i="4"/>
  <c r="H791" i="4"/>
  <c r="H799" i="4"/>
  <c r="H805" i="4"/>
  <c r="H812" i="4"/>
  <c r="H820" i="4"/>
  <c r="H827" i="4"/>
  <c r="H833" i="4"/>
  <c r="H841" i="4"/>
  <c r="H848" i="4"/>
  <c r="H855" i="4"/>
  <c r="H863" i="4"/>
  <c r="H869" i="4"/>
  <c r="H876" i="4"/>
  <c r="H884" i="4"/>
  <c r="H891" i="4"/>
  <c r="H897" i="4"/>
  <c r="H905" i="4"/>
  <c r="H912" i="4"/>
  <c r="H919" i="4"/>
  <c r="H927" i="4"/>
  <c r="H933" i="4"/>
  <c r="H940" i="4"/>
  <c r="H948" i="4"/>
  <c r="H955" i="4"/>
  <c r="H961" i="4"/>
  <c r="H969" i="4"/>
  <c r="H976" i="4"/>
  <c r="H983" i="4"/>
  <c r="H991" i="4"/>
  <c r="H997" i="4"/>
  <c r="H1004" i="4"/>
  <c r="H1012" i="4"/>
  <c r="H1019" i="4"/>
  <c r="H1025" i="4"/>
  <c r="H1033" i="4"/>
  <c r="H1040" i="4"/>
  <c r="H1047" i="4"/>
  <c r="H1055" i="4"/>
  <c r="H1061" i="4"/>
  <c r="H1068" i="4"/>
  <c r="H1076" i="4"/>
  <c r="H1083" i="4"/>
  <c r="H1089" i="4"/>
  <c r="H1097" i="4"/>
  <c r="H1104" i="4"/>
  <c r="H1111" i="4"/>
  <c r="H1119" i="4"/>
  <c r="H1125" i="4"/>
  <c r="H1132" i="4"/>
  <c r="H1140" i="4"/>
  <c r="H1147" i="4"/>
  <c r="H1152" i="4"/>
  <c r="H1158" i="4"/>
  <c r="H1163" i="4"/>
  <c r="H1168" i="4"/>
  <c r="H1174" i="4"/>
  <c r="H1179" i="4"/>
  <c r="H1184" i="4"/>
  <c r="H1190" i="4"/>
  <c r="H1195" i="4"/>
  <c r="H1200" i="4"/>
  <c r="H1206" i="4"/>
  <c r="H1211" i="4"/>
  <c r="H1216" i="4"/>
  <c r="H1222" i="4"/>
  <c r="H1227" i="4"/>
  <c r="H1232" i="4"/>
  <c r="H1238" i="4"/>
  <c r="H1243" i="4"/>
  <c r="H1248" i="4"/>
  <c r="H1254" i="4"/>
  <c r="H1259" i="4"/>
  <c r="H1264" i="4"/>
  <c r="H1270" i="4"/>
  <c r="H1275" i="4"/>
  <c r="H1280" i="4"/>
  <c r="H1286" i="4"/>
  <c r="H1291" i="4"/>
  <c r="H1296" i="4"/>
  <c r="H1302" i="4"/>
  <c r="H1307" i="4"/>
  <c r="H1312" i="4"/>
  <c r="H1318" i="4"/>
  <c r="H1323" i="4"/>
  <c r="H1328" i="4"/>
  <c r="H1334" i="4"/>
  <c r="H1339" i="4"/>
  <c r="H1344" i="4"/>
  <c r="H1350" i="4"/>
  <c r="H1355" i="4"/>
  <c r="H1360" i="4"/>
  <c r="H1366" i="4"/>
  <c r="H1371" i="4"/>
  <c r="H1376" i="4"/>
  <c r="H1382" i="4"/>
  <c r="H1387" i="4"/>
  <c r="H1392" i="4"/>
  <c r="H1398" i="4"/>
  <c r="H1403" i="4"/>
  <c r="H1408" i="4"/>
  <c r="H1414" i="4"/>
  <c r="H1419" i="4"/>
  <c r="H1424" i="4"/>
  <c r="H1430" i="4"/>
  <c r="H1435" i="4"/>
  <c r="H1440" i="4"/>
  <c r="H1446" i="4"/>
  <c r="H1451" i="4"/>
  <c r="H1456" i="4"/>
  <c r="H1462" i="4"/>
  <c r="H1467" i="4"/>
  <c r="H1472" i="4"/>
  <c r="H1478" i="4"/>
  <c r="H1483" i="4"/>
  <c r="H1488" i="4"/>
  <c r="H1494" i="4"/>
  <c r="H1499" i="4"/>
  <c r="H1504" i="4"/>
  <c r="H1510" i="4"/>
  <c r="H1515" i="4"/>
  <c r="H1520" i="4"/>
  <c r="H1542" i="4"/>
  <c r="H1563" i="4"/>
  <c r="H1584" i="4"/>
  <c r="H1606" i="4"/>
  <c r="H1627" i="4"/>
  <c r="H1648" i="4"/>
  <c r="H1670" i="4"/>
  <c r="H1691" i="4"/>
  <c r="H1712" i="4"/>
  <c r="H1734" i="4"/>
  <c r="H1755" i="4"/>
  <c r="H1776" i="4"/>
  <c r="H1798" i="4"/>
  <c r="H1819" i="4"/>
  <c r="H1840" i="4"/>
  <c r="H1862" i="4"/>
  <c r="H1883" i="4"/>
  <c r="H1904" i="4"/>
  <c r="H1926" i="4"/>
  <c r="H1947" i="4"/>
  <c r="H1968" i="4"/>
  <c r="H1990" i="4"/>
  <c r="H2011" i="4"/>
  <c r="H1526" i="4"/>
  <c r="H1547" i="4"/>
  <c r="H1568" i="4"/>
  <c r="H1590" i="4"/>
  <c r="H1611" i="4"/>
  <c r="H1632" i="4"/>
  <c r="H1654" i="4"/>
  <c r="H1675" i="4"/>
  <c r="H1696" i="4"/>
  <c r="H1718" i="4"/>
  <c r="H1739" i="4"/>
  <c r="H1760" i="4"/>
  <c r="H1782" i="4"/>
  <c r="H1803" i="4"/>
  <c r="H1824" i="4"/>
  <c r="H1846" i="4"/>
  <c r="H1867" i="4"/>
  <c r="H1888" i="4"/>
  <c r="H1910" i="4"/>
  <c r="H1931" i="4"/>
  <c r="H1952" i="4"/>
  <c r="H1974" i="4"/>
  <c r="H1995" i="4"/>
  <c r="H1531" i="4"/>
  <c r="H1552" i="4"/>
  <c r="H1574" i="4"/>
  <c r="H1595" i="4"/>
  <c r="H1616" i="4"/>
  <c r="H1638" i="4"/>
  <c r="H1659" i="4"/>
  <c r="H1680" i="4"/>
  <c r="H1702" i="4"/>
  <c r="H1723" i="4"/>
  <c r="H1744" i="4"/>
  <c r="H1766" i="4"/>
  <c r="H1787" i="4"/>
  <c r="H1808" i="4"/>
  <c r="H1830" i="4"/>
  <c r="H1851" i="4"/>
  <c r="H1872" i="4"/>
  <c r="H1894" i="4"/>
  <c r="H1915" i="4"/>
  <c r="H1936" i="4"/>
  <c r="H1958" i="4"/>
  <c r="H1979" i="4"/>
  <c r="H2000" i="4"/>
  <c r="H1536" i="4"/>
  <c r="H1558" i="4"/>
  <c r="H1579" i="4"/>
  <c r="H1600" i="4"/>
  <c r="H1622" i="4"/>
  <c r="H1643" i="4"/>
  <c r="H1664" i="4"/>
  <c r="H1686" i="4"/>
  <c r="H1707" i="4"/>
  <c r="H1728" i="4"/>
  <c r="H1750" i="4"/>
  <c r="H1771" i="4"/>
  <c r="H1792" i="4"/>
  <c r="H1814" i="4"/>
  <c r="H1835" i="4"/>
  <c r="H1856" i="4"/>
  <c r="H1878" i="4"/>
  <c r="H1899" i="4"/>
  <c r="H1920" i="4"/>
  <c r="H1942" i="4"/>
  <c r="H1963" i="4"/>
  <c r="H1984" i="4"/>
  <c r="H2006" i="4"/>
  <c r="H2" i="4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  <c r="I675" i="4"/>
  <c r="J62" i="4"/>
  <c r="J247" i="4"/>
  <c r="E196" i="4"/>
  <c r="I1137" i="4"/>
  <c r="E397" i="4"/>
  <c r="I1299" i="4"/>
  <c r="I284" i="4"/>
  <c r="F276" i="4"/>
  <c r="B986" i="4"/>
  <c r="J1551" i="4"/>
  <c r="J725" i="4"/>
  <c r="I808" i="4"/>
  <c r="B142" i="4"/>
  <c r="J455" i="4"/>
  <c r="L623" i="4"/>
  <c r="I337" i="4"/>
  <c r="J585" i="4"/>
  <c r="I552" i="4"/>
  <c r="J1097" i="4"/>
  <c r="I274" i="4"/>
  <c r="I255" i="4"/>
  <c r="J923" i="4"/>
  <c r="I26" i="4"/>
  <c r="J1689" i="4"/>
  <c r="J869" i="4"/>
  <c r="J1797" i="4"/>
  <c r="I850" i="4"/>
  <c r="J2" i="4"/>
  <c r="F413" i="4"/>
  <c r="J68" i="4"/>
  <c r="I500" i="4"/>
  <c r="G927" i="4"/>
  <c r="I934" i="4"/>
  <c r="J690" i="4"/>
  <c r="I25" i="4"/>
  <c r="J1161" i="4"/>
  <c r="F287" i="4"/>
  <c r="J294" i="4"/>
  <c r="I802" i="4"/>
  <c r="E67" i="4"/>
  <c r="I949" i="4"/>
  <c r="I1269" i="4"/>
  <c r="I667" i="4"/>
  <c r="I1178" i="4"/>
  <c r="J1894" i="4"/>
  <c r="I182" i="4"/>
  <c r="J809" i="4"/>
  <c r="J528" i="4"/>
  <c r="J980" i="4"/>
  <c r="I1226" i="4"/>
  <c r="I952" i="4"/>
  <c r="J846" i="4"/>
  <c r="J1462" i="4"/>
  <c r="J101" i="4"/>
  <c r="C522" i="4"/>
  <c r="J42" i="4"/>
  <c r="K220" i="4"/>
  <c r="F961" i="4"/>
  <c r="J653" i="4"/>
  <c r="J562" i="4"/>
  <c r="I1831" i="4"/>
  <c r="J1745" i="4"/>
  <c r="I347" i="4"/>
  <c r="J1063" i="4"/>
  <c r="G542" i="4"/>
  <c r="J1652" i="4"/>
  <c r="J411" i="4"/>
  <c r="I1920" i="4"/>
  <c r="J1070" i="4"/>
  <c r="J633" i="4"/>
  <c r="F3" i="4"/>
  <c r="I489" i="4"/>
  <c r="I1066" i="4"/>
  <c r="J115" i="4"/>
  <c r="E505" i="4"/>
  <c r="J1988" i="4"/>
  <c r="I95" i="4"/>
  <c r="J748" i="4"/>
  <c r="J280" i="4"/>
  <c r="F224" i="4"/>
  <c r="L161" i="4"/>
  <c r="J249" i="4"/>
  <c r="J1383" i="4"/>
  <c r="J733" i="4"/>
  <c r="I1265" i="4"/>
  <c r="F244" i="4"/>
  <c r="I1082" i="4"/>
  <c r="J1550" i="4"/>
  <c r="B244" i="4"/>
  <c r="C12" i="4"/>
  <c r="K9" i="4"/>
  <c r="J747" i="4"/>
  <c r="J681" i="4"/>
  <c r="J364" i="4"/>
  <c r="K22" i="4"/>
  <c r="I59" i="4"/>
  <c r="I791" i="4"/>
  <c r="I1160" i="4"/>
  <c r="I1503" i="4"/>
  <c r="I634" i="4"/>
  <c r="C882" i="4"/>
  <c r="I426" i="4"/>
  <c r="I401" i="4"/>
  <c r="D157" i="4"/>
  <c r="J1643" i="4"/>
  <c r="J1942" i="4"/>
  <c r="J890" i="4"/>
  <c r="G134" i="4"/>
  <c r="I417" i="4"/>
  <c r="J558" i="4"/>
  <c r="I882" i="4"/>
  <c r="I1648" i="4"/>
  <c r="J666" i="4"/>
  <c r="J479" i="4"/>
  <c r="I1820" i="4"/>
  <c r="G79" i="4"/>
  <c r="I1927" i="4"/>
  <c r="I1442" i="4"/>
  <c r="I1364" i="4"/>
  <c r="I115" i="4"/>
  <c r="I327" i="4"/>
  <c r="J1554" i="4"/>
  <c r="J1159" i="4"/>
  <c r="J108" i="4"/>
  <c r="J434" i="4"/>
  <c r="J1240" i="4"/>
  <c r="J352" i="4"/>
  <c r="I1476" i="4"/>
  <c r="J274" i="4"/>
  <c r="J1756" i="4"/>
  <c r="J1794" i="4"/>
  <c r="J1890" i="4"/>
  <c r="J933" i="4"/>
  <c r="J995" i="4"/>
  <c r="J110" i="4"/>
  <c r="J1390" i="4"/>
  <c r="I330" i="4"/>
  <c r="J753" i="4"/>
  <c r="I1373" i="4"/>
  <c r="J1230" i="4"/>
  <c r="J910" i="4"/>
  <c r="J620" i="4"/>
  <c r="I168" i="4"/>
  <c r="M404" i="4"/>
  <c r="I856" i="4"/>
  <c r="I1697" i="4"/>
  <c r="I310" i="4"/>
  <c r="I125" i="4"/>
  <c r="J163" i="4"/>
  <c r="J1001" i="4"/>
  <c r="J556" i="4"/>
  <c r="I1012" i="4"/>
  <c r="J471" i="4"/>
  <c r="D80" i="4"/>
  <c r="L33" i="4"/>
  <c r="I265" i="4"/>
  <c r="I899" i="4"/>
  <c r="I983" i="4"/>
  <c r="J157" i="4"/>
  <c r="J1091" i="4"/>
  <c r="J484" i="4"/>
  <c r="J116" i="4"/>
  <c r="I1374" i="4"/>
  <c r="E507" i="4"/>
  <c r="B710" i="4"/>
  <c r="J119" i="4"/>
  <c r="J936" i="4"/>
  <c r="E124" i="4"/>
  <c r="I1183" i="4"/>
  <c r="J738" i="4"/>
  <c r="C198" i="4"/>
  <c r="I1410" i="4"/>
  <c r="J1269" i="4"/>
  <c r="I879" i="4"/>
  <c r="I57" i="4"/>
  <c r="I1479" i="4"/>
  <c r="J1542" i="4"/>
  <c r="J859" i="4"/>
  <c r="B20" i="4"/>
  <c r="J243" i="4"/>
  <c r="I1908" i="4"/>
  <c r="J535" i="4"/>
  <c r="K522" i="4"/>
  <c r="J446" i="4"/>
  <c r="J369" i="4"/>
  <c r="J983" i="4"/>
  <c r="J58" i="4"/>
  <c r="J792" i="4"/>
  <c r="J893" i="4"/>
  <c r="J251" i="4"/>
  <c r="J1665" i="4"/>
  <c r="C171" i="4"/>
  <c r="I1205" i="4"/>
  <c r="J240" i="4"/>
  <c r="I1994" i="4"/>
  <c r="I936" i="4"/>
  <c r="I140" i="4"/>
  <c r="I531" i="4"/>
  <c r="I445" i="4"/>
  <c r="G154" i="4"/>
  <c r="D33" i="4"/>
  <c r="J567" i="4"/>
  <c r="J443" i="4"/>
  <c r="K505" i="4"/>
  <c r="J686" i="4"/>
  <c r="J628" i="4"/>
  <c r="I172" i="4"/>
  <c r="F227" i="4"/>
  <c r="M51" i="4"/>
  <c r="I481" i="4"/>
  <c r="J1858" i="4"/>
  <c r="I877" i="4"/>
  <c r="E27" i="4"/>
  <c r="I1922" i="4"/>
  <c r="J760" i="4"/>
  <c r="I1342" i="4"/>
  <c r="J1484" i="4"/>
  <c r="J654" i="4"/>
  <c r="I239" i="4"/>
  <c r="J883" i="4"/>
  <c r="I461" i="4"/>
  <c r="F1399" i="4"/>
  <c r="I376" i="4"/>
  <c r="J1562" i="4"/>
  <c r="I351" i="4"/>
  <c r="I1963" i="4"/>
  <c r="J1703" i="4"/>
  <c r="J713" i="4"/>
  <c r="J1710" i="4"/>
  <c r="J607" i="4"/>
  <c r="I1528" i="4"/>
  <c r="J1101" i="4"/>
  <c r="J631" i="4"/>
  <c r="I210" i="4"/>
  <c r="E284" i="4"/>
  <c r="I47" i="4"/>
  <c r="E52" i="4"/>
  <c r="J833" i="4"/>
  <c r="J79" i="4"/>
  <c r="J1544" i="4"/>
  <c r="D504" i="4"/>
  <c r="L159" i="4"/>
  <c r="I1786" i="4"/>
  <c r="G435" i="4"/>
  <c r="L309" i="4"/>
  <c r="J700" i="4"/>
  <c r="J8" i="4"/>
  <c r="I1795" i="4"/>
  <c r="I1885" i="4"/>
  <c r="I1050" i="4"/>
  <c r="J1857" i="4"/>
  <c r="F745" i="4"/>
  <c r="L76" i="4"/>
  <c r="I1967" i="4"/>
  <c r="I643" i="4"/>
  <c r="I313" i="4"/>
  <c r="J1594" i="4"/>
  <c r="J768" i="4"/>
  <c r="J1980" i="4"/>
  <c r="J1750" i="4"/>
  <c r="B44" i="4"/>
  <c r="M1664" i="4"/>
  <c r="J1993" i="4"/>
  <c r="I505" i="4"/>
  <c r="I220" i="4"/>
  <c r="J957" i="4"/>
  <c r="J319" i="4"/>
  <c r="C14" i="4"/>
  <c r="I407" i="4"/>
  <c r="I1338" i="4"/>
  <c r="J21" i="4"/>
  <c r="I781" i="4"/>
  <c r="I80" i="4"/>
  <c r="I1787" i="4"/>
  <c r="J389" i="4"/>
  <c r="J134" i="4"/>
  <c r="J1081" i="4"/>
  <c r="J932" i="4"/>
  <c r="I1494" i="4"/>
  <c r="G312" i="4"/>
  <c r="I1457" i="4"/>
  <c r="J118" i="4"/>
  <c r="I392" i="4"/>
  <c r="J188" i="4"/>
  <c r="E88" i="4"/>
  <c r="J966" i="4"/>
  <c r="I1123" i="4"/>
  <c r="I997" i="4"/>
  <c r="I436" i="4"/>
  <c r="J12" i="4"/>
  <c r="I362" i="4"/>
  <c r="I1523" i="4"/>
  <c r="J1958" i="4"/>
  <c r="J518" i="4"/>
  <c r="C917" i="4"/>
  <c r="I106" i="4"/>
  <c r="J1701" i="4"/>
  <c r="I857" i="4"/>
  <c r="K1897" i="4"/>
  <c r="I1187" i="4"/>
  <c r="J1482" i="4"/>
  <c r="G524" i="4"/>
  <c r="F131" i="4"/>
  <c r="I1165" i="4"/>
  <c r="I986" i="4"/>
  <c r="J224" i="4"/>
  <c r="I114" i="4"/>
  <c r="J439" i="4"/>
  <c r="G451" i="4"/>
  <c r="G455" i="4"/>
  <c r="J537" i="4"/>
  <c r="L54" i="4"/>
  <c r="I31" i="4"/>
  <c r="J897" i="4"/>
  <c r="F682" i="4"/>
  <c r="I1428" i="4"/>
  <c r="M612" i="4"/>
  <c r="K435" i="4"/>
  <c r="I835" i="4"/>
  <c r="J586" i="4"/>
  <c r="G274" i="4"/>
  <c r="I1332" i="4"/>
  <c r="J100" i="4"/>
  <c r="J1814" i="4"/>
  <c r="I1746" i="4"/>
  <c r="E434" i="4"/>
  <c r="J956" i="4"/>
  <c r="D403" i="4"/>
  <c r="I787" i="4"/>
  <c r="J1681" i="4"/>
  <c r="J569" i="4"/>
  <c r="I818" i="4"/>
  <c r="M117" i="4"/>
  <c r="M971" i="4"/>
  <c r="G627" i="4"/>
  <c r="I1223" i="4"/>
  <c r="I397" i="4"/>
  <c r="L11" i="4"/>
  <c r="I1370" i="4"/>
  <c r="M979" i="4"/>
  <c r="G622" i="4"/>
  <c r="K704" i="4"/>
  <c r="I450" i="4"/>
  <c r="J387" i="4"/>
  <c r="I11" i="4"/>
  <c r="J335" i="4"/>
  <c r="I801" i="4"/>
  <c r="B337" i="4"/>
  <c r="C24" i="4"/>
  <c r="B227" i="4"/>
  <c r="I916" i="4"/>
  <c r="E261" i="4"/>
  <c r="J161" i="4"/>
  <c r="J260" i="4"/>
  <c r="M508" i="4"/>
  <c r="J487" i="4"/>
  <c r="I190" i="4"/>
  <c r="I236" i="4"/>
  <c r="B409" i="4"/>
  <c r="I1023" i="4"/>
  <c r="I807" i="4"/>
  <c r="J752" i="4"/>
  <c r="L392" i="4"/>
  <c r="J33" i="4"/>
  <c r="I703" i="4"/>
  <c r="B784" i="4"/>
  <c r="I702" i="4"/>
  <c r="I870" i="4"/>
  <c r="J1678" i="4"/>
  <c r="I1411" i="4"/>
  <c r="G63" i="4"/>
  <c r="I999" i="4"/>
  <c r="I1417" i="4"/>
  <c r="J1926" i="4"/>
  <c r="I247" i="4"/>
  <c r="I1414" i="4"/>
  <c r="J488" i="4"/>
  <c r="I823" i="4"/>
  <c r="J423" i="4"/>
  <c r="I479" i="4"/>
  <c r="I1247" i="4"/>
  <c r="J1565" i="4"/>
  <c r="G315" i="4"/>
  <c r="I920" i="4"/>
  <c r="I323" i="4"/>
  <c r="J526" i="4"/>
  <c r="I290" i="4"/>
  <c r="B570" i="4"/>
  <c r="I504" i="4"/>
  <c r="I1381" i="4"/>
  <c r="I795" i="4"/>
  <c r="I267" i="4"/>
  <c r="F769" i="4"/>
  <c r="I1306" i="4"/>
  <c r="L490" i="4"/>
  <c r="M604" i="4"/>
  <c r="I76" i="4"/>
  <c r="J407" i="4"/>
  <c r="J9" i="4"/>
  <c r="J840" i="4"/>
  <c r="J715" i="4"/>
  <c r="K43" i="4"/>
  <c r="J1800" i="4"/>
  <c r="J283" i="4"/>
  <c r="L132" i="4"/>
  <c r="J431" i="4"/>
  <c r="L61" i="4"/>
  <c r="I644" i="4"/>
  <c r="I1080" i="4"/>
  <c r="J1560" i="4"/>
  <c r="I872" i="4"/>
  <c r="J38" i="4"/>
  <c r="I506" i="4"/>
  <c r="G1245" i="4"/>
  <c r="J1994" i="4"/>
  <c r="I325" i="4"/>
  <c r="I212" i="4"/>
  <c r="I322" i="4"/>
  <c r="I1446" i="4"/>
  <c r="J333" i="4"/>
  <c r="I716" i="4"/>
  <c r="J894" i="4"/>
  <c r="I674" i="4"/>
  <c r="J2006" i="4"/>
  <c r="I1252" i="4"/>
  <c r="J169" i="4"/>
  <c r="J826" i="4"/>
  <c r="J1203" i="4"/>
  <c r="I1397" i="4"/>
  <c r="J1824" i="4"/>
  <c r="I563" i="4"/>
  <c r="K292" i="4"/>
  <c r="J806" i="4"/>
  <c r="I421" i="4"/>
  <c r="L209" i="4"/>
  <c r="J1600" i="4"/>
  <c r="I618" i="4"/>
  <c r="J281" i="4"/>
  <c r="F174" i="4"/>
  <c r="C550" i="4"/>
  <c r="F117" i="4"/>
  <c r="I495" i="4"/>
  <c r="L683" i="4"/>
  <c r="G109" i="4"/>
  <c r="J362" i="4"/>
  <c r="G428" i="4"/>
  <c r="I1330" i="4"/>
  <c r="I1617" i="4"/>
  <c r="G9" i="4"/>
  <c r="I631" i="4"/>
  <c r="I1163" i="4"/>
  <c r="D408" i="4"/>
  <c r="J1079" i="4"/>
  <c r="J1907" i="4"/>
  <c r="B623" i="4"/>
  <c r="G59" i="4"/>
  <c r="I1809" i="4"/>
  <c r="I1147" i="4"/>
  <c r="M503" i="4"/>
  <c r="J1934" i="4"/>
  <c r="J1068" i="4"/>
  <c r="B234" i="4"/>
  <c r="L152" i="4"/>
  <c r="L497" i="4"/>
  <c r="M25" i="4"/>
  <c r="D178" i="4"/>
  <c r="I393" i="4"/>
  <c r="D1168" i="4"/>
  <c r="J712" i="4"/>
  <c r="J1700" i="4"/>
  <c r="E203" i="4"/>
  <c r="I527" i="4"/>
  <c r="I192" i="4"/>
  <c r="D109" i="4"/>
  <c r="J1314" i="4"/>
  <c r="J1752" i="4"/>
  <c r="I1562" i="4"/>
  <c r="J1355" i="4"/>
  <c r="I826" i="4"/>
  <c r="I758" i="4"/>
  <c r="J788" i="4"/>
  <c r="J298" i="4"/>
  <c r="L292" i="4"/>
  <c r="I179" i="4"/>
  <c r="I866" i="4"/>
  <c r="J1715" i="4"/>
  <c r="J221" i="4"/>
  <c r="J1225" i="4"/>
  <c r="I788" i="4"/>
  <c r="E697" i="4"/>
  <c r="K236" i="4"/>
  <c r="I645" i="4"/>
  <c r="J284" i="4"/>
  <c r="J28" i="4"/>
  <c r="M914" i="4"/>
  <c r="I752" i="4"/>
  <c r="G148" i="4"/>
  <c r="I1890" i="4"/>
  <c r="B242" i="4"/>
  <c r="J23" i="4"/>
  <c r="I1962" i="4"/>
  <c r="J1684" i="4"/>
  <c r="I1575" i="4"/>
  <c r="I9" i="4"/>
  <c r="F127" i="4"/>
  <c r="J1770" i="4"/>
  <c r="J272" i="4"/>
  <c r="J248" i="4"/>
  <c r="I580" i="4"/>
  <c r="I1542" i="4"/>
  <c r="J1886" i="4"/>
  <c r="J151" i="4"/>
  <c r="I895" i="4"/>
  <c r="J1853" i="4"/>
  <c r="B681" i="4"/>
  <c r="K454" i="4"/>
  <c r="J394" i="4"/>
  <c r="C290" i="4"/>
  <c r="I715" i="4"/>
  <c r="J1773" i="4"/>
  <c r="I1139" i="4"/>
  <c r="J941" i="4"/>
  <c r="J1007" i="4"/>
  <c r="J720" i="4"/>
  <c r="G346" i="4"/>
  <c r="I84" i="4"/>
  <c r="J70" i="4"/>
  <c r="J1156" i="4"/>
  <c r="I1093" i="4"/>
  <c r="J10" i="4"/>
  <c r="I897" i="4"/>
  <c r="I425" i="4"/>
  <c r="C223" i="4"/>
  <c r="L272" i="4"/>
  <c r="I1328" i="4"/>
  <c r="I253" i="4"/>
  <c r="J711" i="4"/>
  <c r="J454" i="4"/>
  <c r="K757" i="4"/>
  <c r="K188" i="4"/>
  <c r="F157" i="4"/>
  <c r="J982" i="4"/>
  <c r="J1604" i="4"/>
  <c r="C47" i="4"/>
  <c r="J1128" i="4"/>
  <c r="L1140" i="4"/>
  <c r="J478" i="4"/>
  <c r="F64" i="4"/>
  <c r="M459" i="4"/>
  <c r="J1190" i="4"/>
  <c r="K126" i="4"/>
  <c r="D7" i="4"/>
  <c r="I10" i="4"/>
  <c r="G677" i="4"/>
  <c r="I1095" i="4"/>
  <c r="I1173" i="4"/>
  <c r="J494" i="4"/>
  <c r="E97" i="4"/>
  <c r="B911" i="4"/>
  <c r="J75" i="4"/>
  <c r="J1602" i="4"/>
  <c r="J815" i="4"/>
  <c r="I993" i="4"/>
  <c r="J66" i="4"/>
  <c r="C273" i="4"/>
  <c r="L59" i="4"/>
  <c r="I1986" i="4"/>
  <c r="I363" i="4"/>
  <c r="I1320" i="4"/>
  <c r="I1522" i="4"/>
  <c r="J1530" i="4"/>
  <c r="J914" i="4"/>
  <c r="M137" i="4"/>
  <c r="I503" i="4"/>
  <c r="F825" i="4"/>
  <c r="J321" i="4"/>
  <c r="E86" i="4"/>
  <c r="I1085" i="4"/>
  <c r="J223" i="4"/>
  <c r="I732" i="4"/>
  <c r="J555" i="4"/>
  <c r="I686" i="4"/>
  <c r="L253" i="4"/>
  <c r="L181" i="4"/>
  <c r="I1587" i="4"/>
  <c r="J1740" i="4"/>
  <c r="J1990" i="4"/>
  <c r="I1091" i="4"/>
  <c r="I241" i="4"/>
  <c r="J15" i="4"/>
  <c r="I689" i="4"/>
  <c r="C91" i="4"/>
  <c r="D712" i="4"/>
  <c r="I1463" i="4"/>
  <c r="K276" i="4"/>
  <c r="I1039" i="4"/>
  <c r="F114" i="4"/>
  <c r="D863" i="4"/>
  <c r="I1293" i="4"/>
  <c r="I1477" i="4"/>
  <c r="C36" i="4"/>
  <c r="J123" i="4"/>
  <c r="I1511" i="4"/>
  <c r="I1427" i="4"/>
  <c r="J1104" i="4"/>
  <c r="J563" i="4"/>
  <c r="I36" i="4"/>
  <c r="J1333" i="4"/>
  <c r="J1908" i="4"/>
  <c r="E143" i="4"/>
  <c r="J1959" i="4"/>
  <c r="C109" i="4"/>
  <c r="I672" i="4"/>
  <c r="G35" i="4"/>
  <c r="J839" i="4"/>
  <c r="J909" i="4"/>
  <c r="G1882" i="4"/>
  <c r="I498" i="4"/>
  <c r="J334" i="4"/>
  <c r="I98" i="4"/>
  <c r="G18" i="4"/>
  <c r="I705" i="4"/>
  <c r="D983" i="4"/>
  <c r="I1761" i="4"/>
  <c r="J195" i="4"/>
  <c r="I898" i="4"/>
  <c r="J1488" i="4"/>
  <c r="E231" i="4"/>
  <c r="K32" i="4"/>
  <c r="I978" i="4"/>
  <c r="M76" i="4"/>
  <c r="I1075" i="4"/>
  <c r="L120" i="4"/>
  <c r="I780" i="4"/>
  <c r="J1854" i="4"/>
  <c r="I1188" i="4"/>
  <c r="D871" i="4"/>
  <c r="I677" i="4"/>
  <c r="I321" i="4"/>
  <c r="J1448" i="4"/>
  <c r="E395" i="4"/>
  <c r="J1160" i="4"/>
  <c r="I1259" i="4"/>
  <c r="I555" i="4"/>
  <c r="L189" i="4"/>
  <c r="E706" i="4"/>
  <c r="C528" i="4"/>
  <c r="M108" i="4"/>
  <c r="J1211" i="4"/>
  <c r="F1076" i="4"/>
  <c r="L762" i="4"/>
  <c r="J1487" i="4"/>
  <c r="D42" i="4"/>
  <c r="L182" i="4"/>
  <c r="I377" i="4"/>
  <c r="F689" i="4"/>
  <c r="J1455" i="4"/>
  <c r="L9" i="4"/>
  <c r="J1044" i="4"/>
  <c r="I535" i="4"/>
  <c r="K211" i="4"/>
  <c r="J1286" i="4"/>
  <c r="J93" i="4"/>
  <c r="I102" i="4"/>
  <c r="F1235" i="4"/>
  <c r="I574" i="4"/>
  <c r="I300" i="4"/>
  <c r="L38" i="4"/>
  <c r="L398" i="4"/>
  <c r="I829" i="4"/>
  <c r="I82" i="4"/>
  <c r="J1249" i="4"/>
  <c r="J916" i="4"/>
  <c r="E98" i="4"/>
  <c r="I1888" i="4"/>
  <c r="K630" i="4"/>
  <c r="I1713" i="4"/>
  <c r="I994" i="4"/>
  <c r="L136" i="4"/>
  <c r="I733" i="4"/>
  <c r="I523" i="4"/>
  <c r="J2007" i="4"/>
  <c r="J130" i="4"/>
  <c r="J64" i="4"/>
  <c r="E176" i="4"/>
  <c r="I371" i="4"/>
  <c r="I540" i="4"/>
  <c r="I33" i="4"/>
  <c r="J1633" i="4"/>
  <c r="I35" i="4"/>
  <c r="K150" i="4"/>
  <c r="I382" i="4"/>
  <c r="K1556" i="4"/>
  <c r="J1469" i="4"/>
  <c r="D354" i="4"/>
  <c r="G426" i="4"/>
  <c r="I374" i="4"/>
  <c r="J120" i="4"/>
  <c r="I1516" i="4"/>
  <c r="L1567" i="4"/>
  <c r="J1247" i="4"/>
  <c r="L5" i="4"/>
  <c r="J975" i="4"/>
  <c r="K1147" i="4"/>
  <c r="J1540" i="4"/>
  <c r="I551" i="4"/>
  <c r="I58" i="4"/>
  <c r="B717" i="4"/>
  <c r="I1365" i="4"/>
  <c r="C530" i="4"/>
  <c r="I1613" i="4"/>
  <c r="M407" i="4"/>
  <c r="I1739" i="4"/>
  <c r="K111" i="4"/>
  <c r="L45" i="4"/>
  <c r="I545" i="4"/>
  <c r="J1725" i="4"/>
  <c r="I1198" i="4"/>
  <c r="J1524" i="4"/>
  <c r="L579" i="4"/>
  <c r="K196" i="4"/>
  <c r="J263" i="4"/>
  <c r="J436" i="4"/>
  <c r="J767" i="4"/>
  <c r="I928" i="4"/>
  <c r="I1053" i="4"/>
  <c r="I306" i="4"/>
  <c r="J1284" i="4"/>
  <c r="I947" i="4"/>
  <c r="B124" i="4"/>
  <c r="J1688" i="4"/>
  <c r="D1118" i="4"/>
  <c r="I455" i="4"/>
  <c r="E9" i="4"/>
  <c r="J1412" i="4"/>
  <c r="J804" i="4"/>
  <c r="J67" i="4"/>
  <c r="I1586" i="4"/>
  <c r="I74" i="4"/>
  <c r="J1686" i="4"/>
  <c r="I480" i="4"/>
  <c r="I1055" i="4"/>
  <c r="J496" i="4"/>
  <c r="J22" i="4"/>
  <c r="I1801" i="4"/>
  <c r="J1224" i="4"/>
  <c r="J611" i="4"/>
  <c r="J1895" i="4"/>
  <c r="I402" i="4"/>
  <c r="J1373" i="4"/>
  <c r="I530" i="4"/>
  <c r="J650" i="4"/>
  <c r="I1141" i="4"/>
  <c r="I927" i="4"/>
  <c r="I775" i="4"/>
  <c r="I649" i="4"/>
  <c r="J159" i="4"/>
  <c r="J609" i="4"/>
  <c r="J1502" i="4"/>
  <c r="J1026" i="4"/>
  <c r="I907" i="4"/>
  <c r="E175" i="4"/>
  <c r="G302" i="4"/>
  <c r="I1103" i="4"/>
  <c r="J1762" i="4"/>
  <c r="J1259" i="4"/>
  <c r="B477" i="4"/>
  <c r="L505" i="4"/>
  <c r="L34" i="4"/>
  <c r="J600" i="4"/>
  <c r="J1568" i="4"/>
  <c r="G164" i="4"/>
  <c r="F159" i="4"/>
  <c r="J905" i="4"/>
  <c r="E633" i="4"/>
  <c r="F509" i="4"/>
  <c r="J580" i="4"/>
  <c r="I178" i="4"/>
  <c r="D253" i="4"/>
  <c r="J946" i="4"/>
  <c r="K458" i="4"/>
  <c r="J511" i="4"/>
  <c r="J17" i="4"/>
  <c r="F203" i="4"/>
  <c r="J797" i="4"/>
  <c r="I735" i="4"/>
  <c r="J1356" i="4"/>
  <c r="F294" i="4"/>
  <c r="I746" i="4"/>
  <c r="C691" i="4"/>
  <c r="J261" i="4"/>
  <c r="I333" i="4"/>
  <c r="I408" i="4"/>
  <c r="B264" i="4"/>
  <c r="L375" i="4"/>
  <c r="J2011" i="4"/>
  <c r="J305" i="4"/>
  <c r="J76" i="4"/>
  <c r="J1055" i="4"/>
  <c r="I122" i="4"/>
  <c r="J361" i="4"/>
  <c r="B13" i="4"/>
  <c r="J536" i="4"/>
  <c r="I94" i="4"/>
  <c r="I1134" i="4"/>
  <c r="I1179" i="4"/>
  <c r="M1025" i="4"/>
  <c r="I566" i="4"/>
  <c r="I1283" i="4"/>
  <c r="I533" i="4"/>
  <c r="J1782" i="4"/>
  <c r="I1396" i="4"/>
  <c r="J1734" i="4"/>
  <c r="J41" i="4"/>
  <c r="M141" i="4"/>
  <c r="K134" i="4"/>
  <c r="I68" i="4"/>
  <c r="I297" i="4"/>
  <c r="I881" i="4"/>
  <c r="I1076" i="4"/>
  <c r="J198" i="4"/>
  <c r="J1350" i="4"/>
  <c r="I277" i="4"/>
  <c r="E167" i="4"/>
  <c r="I1682" i="4"/>
  <c r="B612" i="4"/>
  <c r="J1526" i="4"/>
  <c r="J71" i="4"/>
  <c r="I636" i="4"/>
  <c r="J835" i="4"/>
  <c r="L299" i="4"/>
  <c r="I1279" i="4"/>
  <c r="I1744" i="4"/>
  <c r="J44" i="4"/>
  <c r="I578" i="4"/>
  <c r="D555" i="4"/>
  <c r="L269" i="4"/>
  <c r="J1624" i="4"/>
  <c r="J230" i="4"/>
  <c r="F301" i="4"/>
  <c r="J1307" i="4"/>
  <c r="I1090" i="4"/>
  <c r="B7" i="4"/>
  <c r="I639" i="4"/>
  <c r="J495" i="4"/>
  <c r="I3" i="4"/>
  <c r="J709" i="4"/>
  <c r="D440" i="4"/>
  <c r="J1609" i="4"/>
  <c r="L15" i="4"/>
  <c r="J1786" i="4"/>
  <c r="E101" i="4"/>
  <c r="I873" i="4"/>
  <c r="J1426" i="4"/>
  <c r="I1595" i="4"/>
  <c r="L48" i="4"/>
  <c r="D313" i="4"/>
  <c r="M39" i="4"/>
  <c r="G105" i="4"/>
  <c r="J90" i="4"/>
  <c r="J1508" i="4"/>
  <c r="J353" i="4"/>
  <c r="G56" i="4"/>
  <c r="M110" i="4"/>
  <c r="J1372" i="4"/>
  <c r="D412" i="4"/>
  <c r="J904" i="4"/>
  <c r="J1173" i="4"/>
  <c r="I1333" i="4"/>
  <c r="B133" i="4"/>
  <c r="L350" i="4"/>
  <c r="J1119" i="4"/>
  <c r="G481" i="4"/>
  <c r="D222" i="4"/>
  <c r="I1610" i="4"/>
  <c r="D1642" i="4"/>
  <c r="M483" i="4"/>
  <c r="D303" i="4"/>
  <c r="J255" i="4"/>
  <c r="J922" i="4"/>
  <c r="G97" i="4"/>
  <c r="J1342" i="4"/>
  <c r="E1231" i="4"/>
  <c r="E968" i="4"/>
  <c r="I1245" i="4"/>
  <c r="I1805" i="4"/>
  <c r="G508" i="4"/>
  <c r="J1293" i="4"/>
  <c r="J574" i="4"/>
  <c r="I380" i="4"/>
  <c r="E58" i="4"/>
  <c r="E51" i="4"/>
  <c r="J1930" i="4"/>
  <c r="J1004" i="4"/>
  <c r="I635" i="4"/>
  <c r="I1444" i="4"/>
  <c r="I134" i="4"/>
  <c r="I1324" i="4"/>
  <c r="I1434" i="4"/>
  <c r="D104" i="4"/>
  <c r="I451" i="4"/>
  <c r="I166" i="4"/>
  <c r="I83" i="4"/>
  <c r="I1546" i="4"/>
  <c r="I935" i="4"/>
  <c r="K263" i="4"/>
  <c r="I761" i="4"/>
  <c r="J1733" i="4"/>
  <c r="F283" i="4"/>
  <c r="J1718" i="4"/>
  <c r="I517" i="4"/>
  <c r="I1272" i="4"/>
  <c r="J1889" i="4"/>
  <c r="I1590" i="4"/>
  <c r="I441" i="4"/>
  <c r="K850" i="4"/>
  <c r="I933" i="4"/>
  <c r="M476" i="4"/>
  <c r="J1059" i="4"/>
  <c r="I849" i="4"/>
  <c r="J449" i="4"/>
  <c r="G470" i="4"/>
  <c r="J1520" i="4"/>
  <c r="J870" i="4"/>
  <c r="J1201" i="4"/>
  <c r="I1715" i="4"/>
  <c r="L288" i="4"/>
  <c r="G101" i="4"/>
  <c r="J800" i="4"/>
  <c r="J1891" i="4"/>
  <c r="J395" i="4"/>
  <c r="J246" i="4"/>
  <c r="J219" i="4"/>
  <c r="J290" i="4"/>
  <c r="J218" i="4"/>
  <c r="I911" i="4"/>
  <c r="I257" i="4"/>
  <c r="B305" i="4"/>
  <c r="E581" i="4"/>
  <c r="J328" i="4"/>
  <c r="L1043" i="4"/>
  <c r="E126" i="4"/>
  <c r="J1774" i="4"/>
  <c r="G562" i="4"/>
  <c r="I1203" i="4"/>
  <c r="D495" i="4"/>
  <c r="I312" i="4"/>
  <c r="L214" i="4"/>
  <c r="J691" i="4"/>
  <c r="J1601" i="4"/>
  <c r="K364" i="4"/>
  <c r="J1310" i="4"/>
  <c r="I261" i="4"/>
  <c r="G854" i="4"/>
  <c r="J719" i="4"/>
  <c r="F26" i="4"/>
  <c r="D682" i="4"/>
  <c r="J419" i="4"/>
  <c r="L178" i="4"/>
  <c r="G232" i="4"/>
  <c r="F481" i="4"/>
  <c r="J1764" i="4"/>
  <c r="E517" i="4"/>
  <c r="I965" i="4"/>
  <c r="M68" i="4"/>
  <c r="I1035" i="4"/>
  <c r="L368" i="4"/>
  <c r="J850" i="4"/>
  <c r="L603" i="4"/>
  <c r="I447" i="4"/>
  <c r="F666" i="4"/>
  <c r="K1427" i="4"/>
  <c r="J403" i="4"/>
  <c r="E245" i="4"/>
  <c r="B443" i="4"/>
  <c r="I342" i="4"/>
  <c r="I614" i="4"/>
  <c r="E47" i="4"/>
  <c r="G237" i="4"/>
  <c r="I1948" i="4"/>
  <c r="I665" i="4"/>
  <c r="I51" i="4"/>
  <c r="J655" i="4"/>
  <c r="I1674" i="4"/>
  <c r="D23" i="4"/>
  <c r="I1959" i="4"/>
  <c r="I73" i="4"/>
  <c r="K71" i="4"/>
  <c r="I1144" i="4"/>
  <c r="I988" i="4"/>
  <c r="I366" i="4"/>
  <c r="I1490" i="4"/>
  <c r="J911" i="4"/>
  <c r="I101" i="4"/>
  <c r="I1823" i="4"/>
  <c r="I158" i="4"/>
  <c r="J1280" i="4"/>
  <c r="F19" i="4"/>
  <c r="L239" i="4"/>
  <c r="J967" i="4"/>
  <c r="D391" i="4"/>
  <c r="G205" i="4"/>
  <c r="I815" i="4"/>
  <c r="J1757" i="4"/>
  <c r="B298" i="4"/>
  <c r="I1209" i="4"/>
  <c r="I309" i="4"/>
  <c r="C502" i="4"/>
  <c r="J257" i="4"/>
  <c r="M544" i="4"/>
  <c r="I1389" i="4"/>
  <c r="I1162" i="4"/>
  <c r="I1326" i="4"/>
  <c r="C317" i="4"/>
  <c r="B47" i="4"/>
  <c r="J1374" i="4"/>
  <c r="J621" i="4"/>
  <c r="I232" i="4"/>
  <c r="I1778" i="4"/>
  <c r="I1046" i="4"/>
  <c r="I64" i="4"/>
  <c r="I549" i="4"/>
  <c r="I779" i="4"/>
  <c r="J50" i="4"/>
  <c r="B84" i="4"/>
  <c r="I1554" i="4"/>
  <c r="D298" i="4"/>
  <c r="J1052" i="4"/>
  <c r="J396" i="4"/>
  <c r="J378" i="4"/>
  <c r="J1974" i="4"/>
  <c r="J798" i="4"/>
  <c r="I1349" i="4"/>
  <c r="M241" i="4"/>
  <c r="J643" i="4"/>
  <c r="L92" i="4"/>
  <c r="M50" i="4"/>
  <c r="J604" i="4"/>
  <c r="D52" i="4"/>
  <c r="C50" i="4"/>
  <c r="B403" i="4"/>
  <c r="K917" i="4"/>
  <c r="I2006" i="4"/>
  <c r="J873" i="4"/>
  <c r="G170" i="4"/>
  <c r="M438" i="4"/>
  <c r="I1083" i="4"/>
  <c r="C486" i="4"/>
  <c r="I717" i="4"/>
  <c r="K21" i="4"/>
  <c r="J1137" i="4"/>
  <c r="L691" i="4"/>
  <c r="M26" i="4"/>
  <c r="F255" i="4"/>
  <c r="C140" i="4"/>
  <c r="J1860" i="4"/>
  <c r="J286" i="4"/>
  <c r="I1729" i="4"/>
  <c r="M383" i="4"/>
  <c r="C131" i="4"/>
  <c r="J177" i="4"/>
  <c r="I437" i="4"/>
  <c r="J755" i="4"/>
  <c r="I1312" i="4"/>
  <c r="D9" i="4"/>
  <c r="D64" i="4"/>
  <c r="J1586" i="4"/>
  <c r="M43" i="4"/>
  <c r="I727" i="4"/>
  <c r="J578" i="4"/>
  <c r="J65" i="4"/>
  <c r="I230" i="4"/>
  <c r="M1601" i="4"/>
  <c r="I1532" i="4"/>
  <c r="J315" i="4"/>
  <c r="L433" i="4"/>
  <c r="G39" i="4"/>
  <c r="J1784" i="4"/>
  <c r="L370" i="4"/>
  <c r="I767" i="4"/>
  <c r="J968" i="4"/>
  <c r="I222" i="4"/>
  <c r="J879" i="4"/>
  <c r="J197" i="4"/>
  <c r="J999" i="4"/>
  <c r="J945" i="4"/>
  <c r="D363" i="4"/>
  <c r="I138" i="4"/>
  <c r="F406" i="4"/>
  <c r="J1920" i="4"/>
  <c r="B79" i="4"/>
  <c r="J1656" i="4"/>
  <c r="J822" i="4"/>
  <c r="B391" i="4"/>
  <c r="I1712" i="4"/>
  <c r="I1133" i="4"/>
  <c r="J1870" i="4"/>
  <c r="J591" i="4"/>
  <c r="I607" i="4"/>
  <c r="I861" i="4"/>
  <c r="J209" i="4"/>
  <c r="I915" i="4"/>
  <c r="I620" i="4"/>
  <c r="J1324" i="4"/>
  <c r="F562" i="4"/>
  <c r="I1876" i="4"/>
  <c r="C762" i="4"/>
  <c r="M113" i="4"/>
  <c r="L102" i="4"/>
  <c r="K410" i="4"/>
  <c r="G304" i="4"/>
  <c r="F1245" i="4"/>
  <c r="D191" i="4"/>
  <c r="M332" i="4"/>
  <c r="K55" i="4"/>
  <c r="J647" i="4"/>
  <c r="M1441" i="4"/>
  <c r="I1880" i="4"/>
  <c r="C511" i="4"/>
  <c r="D213" i="4"/>
  <c r="B379" i="4"/>
  <c r="D1699" i="4"/>
  <c r="E1347" i="4"/>
  <c r="F351" i="4"/>
  <c r="I1789" i="4"/>
  <c r="J95" i="4"/>
  <c r="I714" i="4"/>
  <c r="J663" i="4"/>
  <c r="K93" i="4"/>
  <c r="D25" i="4"/>
  <c r="I1584" i="4"/>
  <c r="I471" i="4"/>
  <c r="B26" i="4"/>
  <c r="I773" i="4"/>
  <c r="I654" i="4"/>
  <c r="J226" i="4"/>
  <c r="J102" i="4"/>
  <c r="I75" i="4"/>
  <c r="J1588" i="4"/>
  <c r="K1559" i="4"/>
  <c r="K27" i="4"/>
  <c r="J1353" i="4"/>
  <c r="M525" i="4"/>
  <c r="I129" i="4"/>
  <c r="B850" i="4"/>
  <c r="I1864" i="4"/>
  <c r="I1740" i="4"/>
  <c r="I195" i="4"/>
  <c r="K461" i="4"/>
  <c r="E172" i="4"/>
  <c r="L1682" i="4"/>
  <c r="E353" i="4"/>
  <c r="J1690" i="4"/>
  <c r="E342" i="4"/>
  <c r="I1275" i="4"/>
  <c r="I1011" i="4"/>
  <c r="L1674" i="4"/>
  <c r="K1402" i="4"/>
  <c r="I824" i="4"/>
  <c r="J268" i="4"/>
  <c r="B52" i="4"/>
  <c r="F101" i="4"/>
  <c r="I442" i="4"/>
  <c r="I1150" i="4"/>
  <c r="E8" i="4"/>
  <c r="I1108" i="4"/>
  <c r="I175" i="4"/>
  <c r="E217" i="4"/>
  <c r="D1116" i="4"/>
  <c r="I1117" i="4"/>
  <c r="K908" i="4"/>
  <c r="K122" i="4"/>
  <c r="B1335" i="4"/>
  <c r="J664" i="4"/>
  <c r="I917" i="4"/>
  <c r="I1096" i="4"/>
  <c r="F1641" i="4"/>
  <c r="E454" i="4"/>
  <c r="K279" i="4"/>
  <c r="G752" i="4"/>
  <c r="L483" i="4"/>
  <c r="K1880" i="4"/>
  <c r="J1844" i="4"/>
  <c r="I379" i="4"/>
  <c r="F115" i="4"/>
  <c r="B869" i="4"/>
  <c r="E444" i="4"/>
  <c r="I213" i="4"/>
  <c r="I1323" i="4"/>
  <c r="J31" i="4"/>
  <c r="C153" i="4"/>
  <c r="K344" i="4"/>
  <c r="J688" i="4"/>
  <c r="F618" i="4"/>
  <c r="J1037" i="4"/>
  <c r="I811" i="4"/>
  <c r="K641" i="4"/>
  <c r="J143" i="4"/>
  <c r="I1624" i="4"/>
  <c r="M460" i="4"/>
  <c r="E299" i="4"/>
  <c r="K579" i="4"/>
  <c r="D511" i="4"/>
  <c r="J1504" i="4"/>
  <c r="J791" i="4"/>
  <c r="L225" i="4"/>
  <c r="I1696" i="4"/>
  <c r="J316" i="4"/>
  <c r="G418" i="4"/>
  <c r="J673" i="4"/>
  <c r="I520" i="4"/>
  <c r="I355" i="4"/>
  <c r="I470" i="4"/>
  <c r="J384" i="4"/>
  <c r="J437" i="4"/>
  <c r="C1477" i="4"/>
  <c r="F1554" i="4"/>
  <c r="C267" i="4"/>
  <c r="K573" i="4"/>
  <c r="G23" i="4"/>
  <c r="M12" i="4"/>
  <c r="J1139" i="4"/>
  <c r="I1928" i="4"/>
  <c r="G661" i="4"/>
  <c r="E146" i="4"/>
  <c r="I358" i="4"/>
  <c r="D641" i="4"/>
  <c r="D1813" i="4"/>
  <c r="I112" i="4"/>
  <c r="J1748" i="4"/>
  <c r="J805" i="4"/>
  <c r="I666" i="4"/>
  <c r="I1194" i="4"/>
  <c r="J207" i="4"/>
  <c r="J793" i="4"/>
  <c r="I1512" i="4"/>
  <c r="L18" i="4"/>
  <c r="J847" i="4"/>
  <c r="I433" i="4"/>
  <c r="J581" i="4"/>
  <c r="M436" i="4"/>
  <c r="I596" i="4"/>
  <c r="I1350" i="4"/>
  <c r="J1841" i="4"/>
  <c r="I975" i="4"/>
  <c r="J1118" i="4"/>
  <c r="I547" i="4"/>
  <c r="I1154" i="4"/>
  <c r="J477" i="4"/>
  <c r="L196" i="4"/>
  <c r="J1453" i="4"/>
  <c r="J1961" i="4"/>
  <c r="J4" i="4"/>
  <c r="L1220" i="4"/>
  <c r="E235" i="4"/>
  <c r="J683" i="4"/>
  <c r="G22" i="4"/>
  <c r="I1592" i="4"/>
  <c r="J1151" i="4"/>
  <c r="J955" i="4"/>
  <c r="J749" i="4"/>
  <c r="J829" i="4"/>
  <c r="K260" i="4"/>
  <c r="J728" i="4"/>
  <c r="B207" i="4"/>
  <c r="J1393" i="4"/>
  <c r="I1666" i="4"/>
  <c r="M170" i="4"/>
  <c r="I424" i="4"/>
  <c r="J774" i="4"/>
  <c r="J659" i="4"/>
  <c r="J5" i="4"/>
  <c r="J1358" i="4"/>
  <c r="I1111" i="4"/>
  <c r="J1648" i="4"/>
  <c r="M670" i="4"/>
  <c r="D378" i="4"/>
  <c r="J765" i="4"/>
  <c r="C150" i="4"/>
  <c r="C310" i="4"/>
  <c r="I1256" i="4"/>
  <c r="I812" i="4"/>
  <c r="C382" i="4"/>
  <c r="I1655" i="4"/>
  <c r="J1054" i="4"/>
  <c r="J1003" i="4"/>
  <c r="J596" i="4"/>
  <c r="M1849" i="4"/>
  <c r="J1846" i="4"/>
  <c r="M827" i="4"/>
  <c r="J1510" i="4"/>
  <c r="C544" i="4"/>
  <c r="J852" i="4"/>
  <c r="I841" i="4"/>
  <c r="M532" i="4"/>
  <c r="K941" i="4"/>
  <c r="I1926" i="4"/>
  <c r="I1213" i="4"/>
  <c r="J1219" i="4"/>
  <c r="J1679" i="4"/>
  <c r="J1711" i="4"/>
  <c r="I1372" i="4"/>
  <c r="J199" i="4"/>
  <c r="G830" i="4"/>
  <c r="I1244" i="4"/>
  <c r="I1300" i="4"/>
  <c r="I894" i="4"/>
  <c r="K933" i="4"/>
  <c r="J1938" i="4"/>
  <c r="J1125" i="4"/>
  <c r="J1288" i="4"/>
  <c r="M368" i="4"/>
  <c r="G185" i="4"/>
  <c r="M572" i="4"/>
  <c r="J1729" i="4"/>
  <c r="D696" i="4"/>
  <c r="F217" i="4"/>
  <c r="I403" i="4"/>
  <c r="B378" i="4"/>
  <c r="B374" i="4"/>
  <c r="J741" i="4"/>
  <c r="J731" i="4"/>
  <c r="D28" i="4"/>
  <c r="B202" i="4"/>
  <c r="I132" i="4"/>
  <c r="I474" i="4"/>
  <c r="I487" i="4"/>
  <c r="D267" i="4"/>
  <c r="B407" i="4"/>
  <c r="J1783" i="4"/>
  <c r="I1049" i="4"/>
  <c r="J515" i="4"/>
  <c r="J1276" i="4"/>
  <c r="I278" i="4"/>
  <c r="F314" i="4"/>
  <c r="I105" i="4"/>
  <c r="J1210" i="4"/>
  <c r="I191" i="4"/>
  <c r="J677" i="4"/>
  <c r="I789" i="4"/>
  <c r="G723" i="4"/>
  <c r="J1400" i="4"/>
  <c r="I1997" i="4"/>
  <c r="L420" i="4"/>
  <c r="L604" i="4"/>
  <c r="J54" i="4"/>
  <c r="D790" i="4"/>
  <c r="I998" i="4"/>
  <c r="J1176" i="4"/>
  <c r="I208" i="4"/>
  <c r="I319" i="4"/>
  <c r="J625" i="4"/>
  <c r="I906" i="4"/>
  <c r="I1671" i="4"/>
  <c r="I218" i="4"/>
  <c r="J1820" i="4"/>
  <c r="I1860" i="4"/>
  <c r="I810" i="4"/>
  <c r="I889" i="4"/>
  <c r="I1883" i="4"/>
  <c r="C695" i="4"/>
  <c r="M399" i="4"/>
  <c r="I1985" i="4"/>
  <c r="I1099" i="4"/>
  <c r="C541" i="4"/>
  <c r="B1634" i="4"/>
  <c r="G266" i="4"/>
  <c r="M1735" i="4"/>
  <c r="G862" i="4"/>
  <c r="J1999" i="4"/>
  <c r="E621" i="4"/>
  <c r="I736" i="4"/>
  <c r="K149" i="4"/>
  <c r="I409" i="4"/>
  <c r="J1144" i="4"/>
  <c r="D151" i="4"/>
  <c r="M684" i="4"/>
  <c r="J239" i="4"/>
  <c r="G595" i="4"/>
  <c r="B493" i="4"/>
  <c r="J1129" i="4"/>
  <c r="M711" i="4"/>
  <c r="G46" i="4"/>
  <c r="J306" i="4"/>
  <c r="J1642" i="4"/>
  <c r="I593" i="4"/>
  <c r="I139" i="4"/>
  <c r="I695" i="4"/>
  <c r="J278" i="4"/>
  <c r="I757" i="4"/>
  <c r="F148" i="4"/>
  <c r="D99" i="4"/>
  <c r="I507" i="4"/>
  <c r="M62" i="4"/>
  <c r="B406" i="4"/>
  <c r="I123" i="4"/>
  <c r="J1535" i="4"/>
  <c r="C1686" i="4"/>
  <c r="I1388" i="4"/>
  <c r="G423" i="4"/>
  <c r="B85" i="4"/>
  <c r="I1021" i="4"/>
  <c r="I680" i="4"/>
  <c r="D445" i="4"/>
  <c r="F35" i="4"/>
  <c r="I1944" i="4"/>
  <c r="I1638" i="4"/>
  <c r="I1709" i="4"/>
  <c r="C701" i="4"/>
  <c r="J400" i="4"/>
  <c r="M4" i="4"/>
  <c r="B10" i="4"/>
  <c r="L1533" i="4"/>
  <c r="M1342" i="4"/>
  <c r="F269" i="4"/>
  <c r="M547" i="4"/>
  <c r="J1386" i="4"/>
  <c r="I1081" i="4"/>
  <c r="E341" i="4"/>
  <c r="G327" i="4"/>
  <c r="C330" i="4"/>
  <c r="J382" i="4"/>
  <c r="I1239" i="4"/>
  <c r="E115" i="4"/>
  <c r="K408" i="4"/>
  <c r="E975" i="4"/>
  <c r="F875" i="4"/>
  <c r="I1597" i="4"/>
  <c r="I1725" i="4"/>
  <c r="M52" i="4"/>
  <c r="B334" i="4"/>
  <c r="I1916" i="4"/>
  <c r="J996" i="4"/>
  <c r="C391" i="4"/>
  <c r="J2002" i="4"/>
  <c r="M1846" i="4"/>
  <c r="G872" i="4"/>
  <c r="B321" i="4"/>
  <c r="M1654" i="4"/>
  <c r="F82" i="4"/>
  <c r="L946" i="4"/>
  <c r="J841" i="4"/>
  <c r="J153" i="4"/>
  <c r="I513" i="4"/>
  <c r="J367" i="4"/>
  <c r="J672" i="4"/>
  <c r="J6" i="4"/>
  <c r="I1118" i="4"/>
  <c r="I1938" i="4"/>
  <c r="B37" i="4"/>
  <c r="I183" i="4"/>
  <c r="I50" i="4"/>
  <c r="B206" i="4"/>
  <c r="J1851" i="4"/>
  <c r="J85" i="4"/>
  <c r="I71" i="4"/>
  <c r="J32" i="4"/>
  <c r="F246" i="4"/>
  <c r="L78" i="4"/>
  <c r="E181" i="4"/>
  <c r="J106" i="4"/>
  <c r="L315" i="4"/>
  <c r="J277" i="4"/>
  <c r="I453" i="4"/>
  <c r="I868" i="4"/>
  <c r="K299" i="4"/>
  <c r="K197" i="4"/>
  <c r="G330" i="4"/>
  <c r="L221" i="4"/>
  <c r="J1515" i="4"/>
  <c r="M1688" i="4"/>
  <c r="J1349" i="4"/>
  <c r="D903" i="4"/>
  <c r="I668" i="4"/>
  <c r="L1888" i="4"/>
  <c r="I684" i="4"/>
  <c r="K303" i="4"/>
  <c r="L557" i="4"/>
  <c r="I262" i="4"/>
  <c r="D689" i="4"/>
  <c r="I1377" i="4"/>
  <c r="G314" i="4"/>
  <c r="M218" i="4"/>
  <c r="I1913" i="4"/>
  <c r="C122" i="4"/>
  <c r="J512" i="4"/>
  <c r="C1636" i="4"/>
  <c r="I1937" i="4"/>
  <c r="J739" i="4"/>
  <c r="I354" i="4"/>
  <c r="I1506" i="4"/>
  <c r="J646" i="4"/>
  <c r="J202" i="4"/>
  <c r="J500" i="4"/>
  <c r="J780" i="4"/>
  <c r="J1804" i="4"/>
  <c r="J1345" i="4"/>
  <c r="L201" i="4"/>
  <c r="I1013" i="4"/>
  <c r="E499" i="4"/>
  <c r="I546" i="4"/>
  <c r="J1937" i="4"/>
  <c r="I77" i="4"/>
  <c r="G672" i="4"/>
  <c r="I615" i="4"/>
  <c r="D290" i="4"/>
  <c r="I2004" i="4"/>
  <c r="I387" i="4"/>
  <c r="J379" i="4"/>
  <c r="L377" i="4"/>
  <c r="J1143" i="4"/>
  <c r="F33" i="4"/>
  <c r="I259" i="4"/>
  <c r="I229" i="4"/>
  <c r="I137" i="4"/>
  <c r="I439" i="4"/>
  <c r="L510" i="4"/>
  <c r="B1006" i="4"/>
  <c r="D201" i="4"/>
  <c r="C216" i="4"/>
  <c r="J1925" i="4"/>
  <c r="B159" i="4"/>
  <c r="K1240" i="4"/>
  <c r="I189" i="4"/>
  <c r="I918" i="4"/>
  <c r="I1568" i="4"/>
  <c r="I610" i="4"/>
  <c r="I311" i="4"/>
  <c r="J1605" i="4"/>
  <c r="C383" i="4"/>
  <c r="I929" i="4"/>
  <c r="M61" i="4"/>
  <c r="D632" i="4"/>
  <c r="J626" i="4"/>
  <c r="J656" i="4"/>
  <c r="I515" i="4"/>
  <c r="J660" i="4"/>
  <c r="K482" i="4"/>
  <c r="B28" i="4"/>
  <c r="J264" i="4"/>
  <c r="L275" i="4"/>
  <c r="G372" i="4"/>
  <c r="J1781" i="4"/>
  <c r="I987" i="4"/>
  <c r="I669" i="4"/>
  <c r="I44" i="4"/>
  <c r="G1049" i="4"/>
  <c r="J1671" i="4"/>
  <c r="J1012" i="4"/>
  <c r="I70" i="4"/>
  <c r="C4" i="4"/>
  <c r="B1961" i="4"/>
  <c r="L731" i="4"/>
  <c r="G340" i="4"/>
  <c r="I359" i="4"/>
  <c r="J1712" i="4"/>
  <c r="I225" i="4"/>
  <c r="J1767" i="4"/>
  <c r="G16" i="4"/>
  <c r="J1566" i="4"/>
  <c r="I1314" i="4"/>
  <c r="F232" i="4"/>
  <c r="J1209" i="4"/>
  <c r="L667" i="4"/>
  <c r="K11" i="4"/>
  <c r="J699" i="4"/>
  <c r="E920" i="4"/>
  <c r="J1155" i="4"/>
  <c r="B517" i="4"/>
  <c r="J381" i="4"/>
  <c r="I760" i="4"/>
  <c r="J1558" i="4"/>
  <c r="D1649" i="4"/>
  <c r="B702" i="4"/>
  <c r="K1259" i="4"/>
  <c r="G220" i="4"/>
  <c r="G650" i="4"/>
  <c r="J98" i="4"/>
  <c r="I1398" i="4"/>
  <c r="F1646" i="4"/>
  <c r="L295" i="4"/>
  <c r="C1391" i="4"/>
  <c r="J737" i="4"/>
  <c r="J237" i="4"/>
  <c r="K1539" i="4"/>
  <c r="I587" i="4"/>
  <c r="B544" i="4"/>
  <c r="F605" i="4"/>
  <c r="L430" i="4"/>
  <c r="B703" i="4"/>
  <c r="I1918" i="4"/>
  <c r="I435" i="4"/>
  <c r="J816" i="4"/>
  <c r="J19" i="4"/>
  <c r="I482" i="4"/>
  <c r="I117" i="4"/>
  <c r="E528" i="4"/>
  <c r="L547" i="4"/>
  <c r="D481" i="4"/>
  <c r="F266" i="4"/>
  <c r="J196" i="4"/>
  <c r="E109" i="4"/>
  <c r="I728" i="4"/>
  <c r="G391" i="4"/>
  <c r="I1191" i="4"/>
  <c r="J1825" i="4"/>
  <c r="I1210" i="4"/>
  <c r="J127" i="4"/>
  <c r="I1453" i="4"/>
  <c r="F209" i="4"/>
  <c r="I1846" i="4"/>
  <c r="J1124" i="4"/>
  <c r="J1207" i="4"/>
  <c r="I52" i="4"/>
  <c r="J675" i="4"/>
  <c r="J359" i="4"/>
  <c r="K151" i="4"/>
  <c r="D720" i="4"/>
  <c r="J215" i="4"/>
  <c r="K989" i="4"/>
  <c r="F98" i="4"/>
  <c r="J907" i="4"/>
  <c r="F831" i="4"/>
  <c r="I655" i="4"/>
  <c r="G34" i="4"/>
  <c r="J1147" i="4"/>
  <c r="G639" i="4"/>
  <c r="J769" i="4"/>
  <c r="M195" i="4"/>
  <c r="B1271" i="4"/>
  <c r="B1151" i="4"/>
  <c r="I1084" i="4"/>
  <c r="B654" i="4"/>
  <c r="I1277" i="4"/>
  <c r="M398" i="4"/>
  <c r="J763" i="4"/>
  <c r="G882" i="4"/>
  <c r="C824" i="4"/>
  <c r="G250" i="4"/>
  <c r="C293" i="4"/>
  <c r="M652" i="4"/>
  <c r="G1552" i="4"/>
  <c r="B963" i="4"/>
  <c r="J1406" i="4"/>
  <c r="B436" i="4"/>
  <c r="J493" i="4"/>
  <c r="G217" i="4"/>
  <c r="I1538" i="4"/>
  <c r="J838" i="4"/>
  <c r="I318" i="4"/>
  <c r="L804" i="4"/>
  <c r="B119" i="4"/>
  <c r="I1058" i="4"/>
  <c r="J1375" i="4"/>
  <c r="G474" i="4"/>
  <c r="I339" i="4"/>
  <c r="E1621" i="4"/>
  <c r="J1910" i="4"/>
  <c r="C311" i="4"/>
  <c r="J45" i="4"/>
  <c r="F520" i="4"/>
  <c r="E1540" i="4"/>
  <c r="B789" i="4"/>
  <c r="I1217" i="4"/>
  <c r="J1904" i="4"/>
  <c r="M41" i="4"/>
  <c r="J24" i="4"/>
  <c r="I43" i="4"/>
  <c r="G1242" i="4"/>
  <c r="I1758" i="4"/>
  <c r="G965" i="4"/>
  <c r="I1939" i="4"/>
  <c r="I100" i="4"/>
  <c r="I1166" i="4"/>
  <c r="C39" i="4"/>
  <c r="B894" i="4"/>
  <c r="I1240" i="4"/>
  <c r="B1322" i="4"/>
  <c r="I577" i="4"/>
  <c r="G522" i="4"/>
  <c r="K89" i="4"/>
  <c r="K339" i="4"/>
  <c r="J1444" i="4"/>
  <c r="I381" i="4"/>
  <c r="B462" i="4"/>
  <c r="J84" i="4"/>
  <c r="K23" i="4"/>
  <c r="B1710" i="4"/>
  <c r="M1991" i="4"/>
  <c r="B267" i="4"/>
  <c r="F7" i="4"/>
  <c r="J973" i="4"/>
  <c r="F1761" i="4"/>
  <c r="K958" i="4"/>
  <c r="F1734" i="4"/>
  <c r="L1618" i="4"/>
  <c r="G361" i="4"/>
  <c r="J331" i="4"/>
  <c r="I1001" i="4"/>
  <c r="B148" i="4"/>
  <c r="K50" i="4"/>
  <c r="I573" i="4"/>
  <c r="I941" i="4"/>
  <c r="I582" i="4"/>
  <c r="G171" i="4"/>
  <c r="B427" i="4"/>
  <c r="B494" i="4"/>
  <c r="I1924" i="4"/>
  <c r="J1724" i="4"/>
  <c r="I529" i="4"/>
  <c r="J1664" i="4"/>
  <c r="E520" i="4"/>
  <c r="F145" i="4"/>
  <c r="M227" i="4"/>
  <c r="I1988" i="4"/>
  <c r="M126" i="4"/>
  <c r="C108" i="4"/>
  <c r="C822" i="4"/>
  <c r="C80" i="4"/>
  <c r="L200" i="4"/>
  <c r="B229" i="4"/>
  <c r="F107" i="4"/>
  <c r="D182" i="4"/>
  <c r="I878" i="4"/>
  <c r="I296" i="4"/>
  <c r="L317" i="4"/>
  <c r="J148" i="4"/>
  <c r="J1316" i="4"/>
  <c r="J138" i="4"/>
  <c r="J1216" i="4"/>
  <c r="E1746" i="4"/>
  <c r="J1304" i="4"/>
  <c r="J1025" i="4"/>
  <c r="C1793" i="4"/>
  <c r="J447" i="4"/>
  <c r="J73" i="4"/>
  <c r="I1925" i="4"/>
  <c r="I950" i="4"/>
  <c r="G1145" i="4"/>
  <c r="I127" i="4"/>
  <c r="I1391" i="4"/>
  <c r="J312" i="4"/>
  <c r="L522" i="4"/>
  <c r="I1757" i="4"/>
  <c r="J299" i="4"/>
  <c r="G43" i="4"/>
  <c r="J858" i="4"/>
  <c r="I62" i="4"/>
  <c r="I589" i="4"/>
  <c r="I1680" i="4"/>
  <c r="I486" i="4"/>
  <c r="J1389" i="4"/>
  <c r="J1473" i="4"/>
  <c r="C337" i="4"/>
  <c r="G458" i="4"/>
  <c r="J770" i="4"/>
  <c r="J926" i="4"/>
  <c r="I1296" i="4"/>
  <c r="E976" i="4"/>
  <c r="J1405" i="4"/>
  <c r="I1018" i="4"/>
  <c r="I1889" i="4"/>
  <c r="J1382" i="4"/>
  <c r="J1467" i="4"/>
  <c r="J176" i="4"/>
  <c r="I238" i="4"/>
  <c r="I571" i="4"/>
  <c r="J61" i="4"/>
  <c r="I1995" i="4"/>
  <c r="L110" i="4"/>
  <c r="J187" i="4"/>
  <c r="I586" i="4"/>
  <c r="I176" i="4"/>
  <c r="M385" i="4"/>
  <c r="J170" i="4"/>
  <c r="B534" i="4"/>
  <c r="E361" i="4"/>
  <c r="K244" i="4"/>
  <c r="J458" i="4"/>
  <c r="I1255" i="4"/>
  <c r="J485" i="4"/>
  <c r="J82" i="4"/>
  <c r="K64" i="4"/>
  <c r="J692" i="4"/>
  <c r="J1253" i="4"/>
  <c r="I1991" i="4"/>
  <c r="I1620" i="4"/>
  <c r="I497" i="4"/>
  <c r="I405" i="4"/>
  <c r="J1344" i="4"/>
  <c r="J892" i="4"/>
  <c r="J756" i="4"/>
  <c r="B316" i="4"/>
  <c r="I508" i="4"/>
  <c r="B259" i="4"/>
  <c r="G1095" i="4"/>
  <c r="I428" i="4"/>
  <c r="J761" i="4"/>
  <c r="I1484" i="4"/>
  <c r="J360" i="4"/>
  <c r="K239" i="4"/>
  <c r="J1543" i="4"/>
  <c r="I1804" i="4"/>
  <c r="E641" i="4"/>
  <c r="I557" i="4"/>
  <c r="I1437" i="4"/>
  <c r="I525" i="4"/>
  <c r="I568" i="4"/>
  <c r="G246" i="4"/>
  <c r="I194" i="4"/>
  <c r="J820" i="4"/>
  <c r="I1430" i="4"/>
  <c r="I611" i="4"/>
  <c r="E466" i="4"/>
  <c r="D907" i="4"/>
  <c r="I1424" i="4"/>
  <c r="G478" i="4"/>
  <c r="I1399" i="4"/>
  <c r="J1425" i="4"/>
  <c r="L773" i="4"/>
  <c r="G1140" i="4"/>
  <c r="E247" i="4"/>
  <c r="C1370" i="4"/>
  <c r="D185" i="4"/>
  <c r="I612" i="4"/>
  <c r="J1043" i="4"/>
  <c r="I745" i="4"/>
  <c r="L140" i="4"/>
  <c r="B1141" i="4"/>
  <c r="I942" i="4"/>
  <c r="J708" i="4"/>
  <c r="J1941" i="4"/>
  <c r="I1006" i="4"/>
  <c r="F257" i="4"/>
  <c r="F193" i="4"/>
  <c r="I193" i="4"/>
  <c r="J1048" i="4"/>
  <c r="L1083" i="4"/>
  <c r="L474" i="4"/>
  <c r="I1343" i="4"/>
  <c r="I2005" i="4"/>
  <c r="J919" i="4"/>
  <c r="L69" i="4"/>
  <c r="K683" i="4"/>
  <c r="J694" i="4"/>
  <c r="F1766" i="4"/>
  <c r="I1341" i="4"/>
  <c r="I1763" i="4"/>
  <c r="B1645" i="4"/>
  <c r="J1629" i="4"/>
  <c r="I1943" i="4"/>
  <c r="J1654" i="4"/>
  <c r="I460" i="4"/>
  <c r="I564" i="4"/>
  <c r="I164" i="4"/>
  <c r="G551" i="4"/>
  <c r="M6" i="4"/>
  <c r="I1325" i="4"/>
  <c r="B497" i="4"/>
  <c r="I1052" i="4"/>
  <c r="F27" i="4"/>
  <c r="J1741" i="4"/>
  <c r="D1514" i="4"/>
  <c r="G410" i="4"/>
  <c r="I1964" i="4"/>
  <c r="F1482" i="4"/>
  <c r="J7" i="4"/>
  <c r="G386" i="4"/>
  <c r="F417" i="4"/>
  <c r="J1220" i="4"/>
  <c r="I762" i="4"/>
  <c r="J486" i="4"/>
  <c r="J1212" i="4"/>
  <c r="G149" i="4"/>
  <c r="F24" i="4"/>
  <c r="F698" i="4"/>
  <c r="J930" i="4"/>
  <c r="K546" i="4"/>
  <c r="I1402" i="4"/>
  <c r="L459" i="4"/>
  <c r="G743" i="4"/>
  <c r="E12" i="4"/>
  <c r="I5" i="4"/>
  <c r="F216" i="4"/>
  <c r="F518" i="4"/>
  <c r="J887" i="4"/>
  <c r="J602" i="4"/>
  <c r="J635" i="4"/>
  <c r="G399" i="4"/>
  <c r="G1119" i="4"/>
  <c r="J1563" i="4"/>
  <c r="F673" i="4"/>
  <c r="K939" i="4"/>
  <c r="J74" i="4"/>
  <c r="I869" i="4"/>
  <c r="L463" i="4"/>
  <c r="M290" i="4"/>
  <c r="C144" i="4"/>
  <c r="J318" i="4"/>
  <c r="C532" i="4"/>
  <c r="J464" i="4"/>
  <c r="I1220" i="4"/>
  <c r="I754" i="4"/>
  <c r="I157" i="4"/>
  <c r="L344" i="4"/>
  <c r="G15" i="4"/>
  <c r="B749" i="4"/>
  <c r="C968" i="4"/>
  <c r="C810" i="4"/>
  <c r="J1921" i="4"/>
  <c r="I1122" i="4"/>
  <c r="C299" i="4"/>
  <c r="I1335" i="4"/>
  <c r="I1184" i="4"/>
  <c r="B396" i="4"/>
  <c r="F1571" i="4"/>
  <c r="I1142" i="4"/>
  <c r="J1191" i="4"/>
  <c r="J34" i="4"/>
  <c r="E1077" i="4"/>
  <c r="D992" i="4"/>
  <c r="J1932" i="4"/>
  <c r="M267" i="4"/>
  <c r="M1799" i="4"/>
  <c r="D1679" i="4"/>
  <c r="B551" i="4"/>
  <c r="D100" i="4"/>
  <c r="E449" i="4"/>
  <c r="D1267" i="4"/>
  <c r="G727" i="4"/>
  <c r="M202" i="4"/>
  <c r="I214" i="4"/>
  <c r="J1315" i="4"/>
  <c r="J658" i="4"/>
  <c r="F837" i="4"/>
  <c r="J1263" i="4"/>
  <c r="J308" i="4"/>
  <c r="J937" i="4"/>
  <c r="D476" i="4"/>
  <c r="D345" i="4"/>
  <c r="J547" i="4"/>
  <c r="J1842" i="4"/>
  <c r="I1975" i="4"/>
  <c r="J702" i="4"/>
  <c r="E345" i="4"/>
  <c r="I1533" i="4"/>
  <c r="K335" i="4"/>
  <c r="J1995" i="4"/>
  <c r="I526" i="4"/>
  <c r="B131" i="4"/>
  <c r="B900" i="4"/>
  <c r="I1251" i="4"/>
  <c r="I903" i="4"/>
  <c r="K517" i="4"/>
  <c r="I1947" i="4"/>
  <c r="G838" i="4"/>
  <c r="J132" i="4"/>
  <c r="J402" i="4"/>
  <c r="I1979" i="4"/>
  <c r="L19" i="4"/>
  <c r="I1560" i="4"/>
  <c r="L376" i="4"/>
  <c r="F354" i="4"/>
  <c r="D174" i="4"/>
  <c r="J638" i="4"/>
  <c r="D652" i="4"/>
  <c r="E433" i="4"/>
  <c r="I966" i="4"/>
  <c r="G404" i="4"/>
  <c r="D873" i="4"/>
  <c r="F355" i="4"/>
  <c r="J1336" i="4"/>
  <c r="I1762" i="4"/>
  <c r="I1474" i="4"/>
  <c r="J1670" i="4"/>
  <c r="J924" i="4"/>
  <c r="I1044" i="4"/>
  <c r="J1271" i="4"/>
  <c r="E73" i="4"/>
  <c r="M239" i="4"/>
  <c r="I116" i="4"/>
  <c r="I1755" i="4"/>
  <c r="F623" i="4"/>
  <c r="I419" i="4"/>
  <c r="D1032" i="4"/>
  <c r="J917" i="4"/>
  <c r="G1937" i="4"/>
  <c r="G287" i="4"/>
  <c r="F28" i="4"/>
  <c r="F87" i="4"/>
  <c r="E960" i="4"/>
  <c r="I1368" i="4"/>
  <c r="I1253" i="4"/>
  <c r="I1647" i="4"/>
  <c r="I184" i="4"/>
  <c r="C599" i="4"/>
  <c r="J413" i="4"/>
  <c r="K481" i="4"/>
  <c r="C1340" i="4"/>
  <c r="E921" i="4"/>
  <c r="J386" i="4"/>
  <c r="G1154" i="4"/>
  <c r="K115" i="4"/>
  <c r="J891" i="4"/>
  <c r="M599" i="4"/>
  <c r="J1222" i="4"/>
  <c r="I865" i="4"/>
  <c r="I1816" i="4"/>
  <c r="L283" i="4"/>
  <c r="I270" i="4"/>
  <c r="I790" i="4"/>
  <c r="J430" i="4"/>
  <c r="I1541" i="4"/>
  <c r="G1563" i="4"/>
  <c r="M665" i="4"/>
  <c r="I604" i="4"/>
  <c r="E336" i="4"/>
  <c r="J667" i="4"/>
  <c r="E385" i="4"/>
  <c r="E1905" i="4"/>
  <c r="J37" i="4"/>
  <c r="B1005" i="4"/>
  <c r="F1783" i="4"/>
  <c r="L954" i="4"/>
  <c r="L1748" i="4"/>
  <c r="J385" i="4"/>
  <c r="L1447" i="4"/>
  <c r="F1205" i="4"/>
  <c r="D1242" i="4"/>
  <c r="C1738" i="4"/>
  <c r="E1114" i="4"/>
  <c r="L1235" i="4"/>
  <c r="J408" i="4"/>
  <c r="D1150" i="4"/>
  <c r="I1811" i="4"/>
  <c r="E371" i="4"/>
  <c r="G376" i="4"/>
  <c r="I1436" i="4"/>
  <c r="I1673" i="4"/>
  <c r="K12" i="4"/>
  <c r="B1097" i="4"/>
  <c r="E232" i="4"/>
  <c r="M1182" i="4"/>
  <c r="G537" i="4"/>
  <c r="L1932" i="4"/>
  <c r="F418" i="4"/>
  <c r="I295" i="4"/>
  <c r="F180" i="4"/>
  <c r="E252" i="4"/>
  <c r="I1675" i="4"/>
  <c r="E509" i="4"/>
  <c r="M539" i="4"/>
  <c r="F1663" i="4"/>
  <c r="I1413" i="4"/>
  <c r="J452" i="4"/>
  <c r="J1376" i="4"/>
  <c r="J1812" i="4"/>
  <c r="J497" i="4"/>
  <c r="I48" i="4"/>
  <c r="E264" i="4"/>
  <c r="I201" i="4"/>
  <c r="J1313" i="4"/>
  <c r="L230" i="4"/>
  <c r="I953" i="4"/>
  <c r="I1559" i="4"/>
  <c r="J366" i="4"/>
  <c r="J648" i="4"/>
  <c r="L554" i="4"/>
  <c r="I1842" i="4"/>
  <c r="D1352" i="4"/>
  <c r="G95" i="4"/>
  <c r="I740" i="4"/>
  <c r="J1802" i="4"/>
  <c r="I1619" i="4"/>
  <c r="J1608" i="4"/>
  <c r="I1101" i="4"/>
  <c r="J1090" i="4"/>
  <c r="F430" i="4"/>
  <c r="I7" i="4"/>
  <c r="I722" i="4"/>
  <c r="J330" i="4"/>
  <c r="J979" i="4"/>
  <c r="K460" i="4"/>
  <c r="J1687" i="4"/>
  <c r="I1850" i="4"/>
  <c r="I951" i="4"/>
  <c r="B14" i="4"/>
  <c r="I638" i="4"/>
  <c r="I858" i="4"/>
  <c r="I678" i="4"/>
  <c r="I642" i="4"/>
  <c r="J1292" i="4"/>
  <c r="J1283" i="4"/>
  <c r="F338" i="4"/>
  <c r="J759" i="4"/>
  <c r="I1120" i="4"/>
  <c r="J1246" i="4"/>
  <c r="J849" i="4"/>
  <c r="M1131" i="4"/>
  <c r="J1021" i="4"/>
  <c r="L265" i="4"/>
  <c r="G556" i="4"/>
  <c r="K515" i="4"/>
  <c r="J2000" i="4"/>
  <c r="I560" i="4"/>
  <c r="J1416" i="4"/>
  <c r="I630" i="4"/>
  <c r="I14" i="4"/>
  <c r="L506" i="4"/>
  <c r="K459" i="4"/>
  <c r="J1232" i="4"/>
  <c r="I243" i="4"/>
  <c r="J1636" i="4"/>
  <c r="K152" i="4"/>
  <c r="I1565" i="4"/>
  <c r="K163" i="4"/>
  <c r="I1145" i="4"/>
  <c r="J332" i="4"/>
  <c r="C163" i="4"/>
  <c r="J571" i="4"/>
  <c r="I72" i="4"/>
  <c r="J1905" i="4"/>
  <c r="G695" i="4"/>
  <c r="L259" i="4"/>
  <c r="G1081" i="4"/>
  <c r="I1887" i="4"/>
  <c r="L359" i="4"/>
  <c r="L701" i="4"/>
  <c r="I1891" i="4"/>
  <c r="K258" i="4"/>
  <c r="D389" i="4"/>
  <c r="J1434" i="4"/>
  <c r="L261" i="4"/>
  <c r="M893" i="4"/>
  <c r="B241" i="4"/>
  <c r="F253" i="4"/>
  <c r="L668" i="4"/>
  <c r="C519" i="4"/>
  <c r="I558" i="4"/>
  <c r="M254" i="4"/>
  <c r="D195" i="4"/>
  <c r="J1885" i="4"/>
  <c r="B897" i="4"/>
  <c r="J1270" i="4"/>
  <c r="D1109" i="4"/>
  <c r="D920" i="4"/>
  <c r="J1775" i="4"/>
  <c r="K1535" i="4"/>
  <c r="G108" i="4"/>
  <c r="J427" i="4"/>
  <c r="J1472" i="4"/>
  <c r="L374" i="4"/>
  <c r="M1677" i="4"/>
  <c r="L303" i="4"/>
  <c r="G7" i="4"/>
  <c r="J1918" i="4"/>
  <c r="I1254" i="4"/>
  <c r="M18" i="4"/>
  <c r="I718" i="4"/>
  <c r="I385" i="4"/>
  <c r="K84" i="4"/>
  <c r="M221" i="4"/>
  <c r="J217" i="4"/>
  <c r="I1711" i="4"/>
  <c r="E591" i="4"/>
  <c r="C1207" i="4"/>
  <c r="F161" i="4"/>
  <c r="I646" i="4"/>
  <c r="J304" i="4"/>
  <c r="I886" i="4"/>
  <c r="K352" i="4"/>
  <c r="F74" i="4"/>
  <c r="K409" i="4"/>
  <c r="B723" i="4"/>
  <c r="E33" i="4"/>
  <c r="C42" i="4"/>
  <c r="D1127" i="4"/>
  <c r="B115" i="4"/>
  <c r="J1793" i="4"/>
  <c r="K1527" i="4"/>
  <c r="E59" i="4"/>
  <c r="I469" i="4"/>
  <c r="B1671" i="4"/>
  <c r="C1957" i="4"/>
  <c r="E602" i="4"/>
  <c r="G19" i="4"/>
  <c r="J391" i="4"/>
  <c r="J11" i="4"/>
  <c r="J668" i="4"/>
  <c r="K967" i="4"/>
  <c r="K58" i="4"/>
  <c r="C397" i="4"/>
  <c r="G1804" i="4"/>
  <c r="I1064" i="4"/>
  <c r="D491" i="4"/>
  <c r="C381" i="4"/>
  <c r="M89" i="4"/>
  <c r="D1726" i="4"/>
  <c r="G750" i="4"/>
  <c r="E156" i="4"/>
  <c r="J881" i="4"/>
  <c r="B40" i="4"/>
  <c r="G1948" i="4"/>
  <c r="B646" i="4"/>
  <c r="G438" i="4"/>
  <c r="B279" i="4"/>
  <c r="L1553" i="4"/>
  <c r="I370" i="4"/>
  <c r="J1768" i="4"/>
  <c r="E93" i="4"/>
  <c r="G1569" i="4"/>
  <c r="F254" i="4"/>
  <c r="G416" i="4"/>
  <c r="L280" i="4"/>
  <c r="B1852" i="4"/>
  <c r="I1492" i="4"/>
  <c r="D1077" i="4"/>
  <c r="M1019" i="4"/>
  <c r="M516" i="4"/>
  <c r="E1624" i="4"/>
  <c r="J1146" i="4"/>
  <c r="G313" i="4"/>
  <c r="J1328" i="4"/>
  <c r="M165" i="4"/>
  <c r="I613" i="4"/>
  <c r="J1927" i="4"/>
  <c r="B1636" i="4"/>
  <c r="F1621" i="4"/>
  <c r="F1015" i="4"/>
  <c r="L128" i="4"/>
  <c r="C458" i="4"/>
  <c r="I1800" i="4"/>
  <c r="D294" i="4"/>
  <c r="M1892" i="4"/>
  <c r="B35" i="4"/>
  <c r="J1799" i="4"/>
  <c r="G254" i="4"/>
  <c r="B1207" i="4"/>
  <c r="M1350" i="4"/>
  <c r="F860" i="4"/>
  <c r="D465" i="4"/>
  <c r="G926" i="4"/>
  <c r="I144" i="4"/>
  <c r="B913" i="4"/>
  <c r="F513" i="4"/>
  <c r="I167" i="4"/>
  <c r="G1303" i="4"/>
  <c r="M653" i="4"/>
  <c r="I1003" i="4"/>
  <c r="I1229" i="4"/>
  <c r="L612" i="4"/>
  <c r="G503" i="4"/>
  <c r="J1233" i="4"/>
  <c r="M136" i="4"/>
  <c r="C965" i="4"/>
  <c r="J483" i="4"/>
  <c r="B486" i="4"/>
  <c r="K1908" i="4"/>
  <c r="M819" i="4"/>
  <c r="F1448" i="4"/>
  <c r="M1573" i="4"/>
  <c r="E1805" i="4"/>
  <c r="C395" i="4"/>
  <c r="J1252" i="4"/>
  <c r="J641" i="4"/>
  <c r="F1305" i="4"/>
  <c r="F1586" i="4"/>
  <c r="M1275" i="4"/>
  <c r="K1787" i="4"/>
  <c r="C70" i="4"/>
  <c r="F235" i="4"/>
  <c r="D1994" i="4"/>
  <c r="M292" i="4"/>
  <c r="F215" i="4"/>
  <c r="K1140" i="4"/>
  <c r="J1516" i="4"/>
  <c r="M1950" i="4"/>
  <c r="K450" i="4"/>
  <c r="L1078" i="4"/>
  <c r="K848" i="4"/>
  <c r="I400" i="4"/>
  <c r="F2010" i="4"/>
  <c r="L591" i="4"/>
  <c r="B880" i="4"/>
  <c r="M15" i="4"/>
  <c r="F387" i="4"/>
  <c r="G1048" i="4"/>
  <c r="C1388" i="4"/>
  <c r="K1670" i="4"/>
  <c r="K663" i="4"/>
  <c r="C647" i="4"/>
  <c r="B1643" i="4"/>
  <c r="I990" i="4"/>
  <c r="L898" i="4"/>
  <c r="I254" i="4"/>
  <c r="K953" i="4"/>
  <c r="M620" i="4"/>
  <c r="L238" i="4"/>
  <c r="J325" i="4"/>
  <c r="M622" i="4"/>
  <c r="B1023" i="4"/>
  <c r="F321" i="4"/>
  <c r="J1852" i="4"/>
  <c r="C1015" i="4"/>
  <c r="M46" i="4"/>
  <c r="J1287" i="4"/>
  <c r="M246" i="4"/>
  <c r="D1857" i="4"/>
  <c r="B1495" i="4"/>
  <c r="I1189" i="4"/>
  <c r="E1426" i="4"/>
  <c r="K1083" i="4"/>
  <c r="C1916" i="4"/>
  <c r="J603" i="4"/>
  <c r="C367" i="4"/>
  <c r="B1898" i="4"/>
  <c r="G670" i="4"/>
  <c r="I1074" i="4"/>
  <c r="G1031" i="4"/>
  <c r="G1692" i="4"/>
  <c r="B315" i="4"/>
  <c r="E325" i="4"/>
  <c r="D447" i="4"/>
  <c r="K191" i="4"/>
  <c r="B375" i="4"/>
  <c r="D1492" i="4"/>
  <c r="E1878" i="4"/>
  <c r="F1696" i="4"/>
  <c r="D929" i="4"/>
  <c r="I206" i="4"/>
  <c r="B1018" i="4"/>
  <c r="F304" i="4"/>
  <c r="L619" i="4"/>
  <c r="L1850" i="4"/>
  <c r="B502" i="4"/>
  <c r="F1818" i="4"/>
  <c r="F53" i="4"/>
  <c r="J1947" i="4"/>
  <c r="D1917" i="4"/>
  <c r="F1522" i="4"/>
  <c r="K1122" i="4"/>
  <c r="J1992" i="4"/>
  <c r="L1219" i="4"/>
  <c r="I648" i="4"/>
  <c r="J1308" i="4"/>
  <c r="L211" i="4"/>
  <c r="M1726" i="4"/>
  <c r="D65" i="4"/>
  <c r="L1826" i="4"/>
  <c r="G1223" i="4"/>
  <c r="C1718" i="4"/>
  <c r="M1579" i="4"/>
  <c r="K883" i="4"/>
  <c r="M1535" i="4"/>
  <c r="M700" i="4"/>
  <c r="C1716" i="4"/>
  <c r="F889" i="4"/>
  <c r="E818" i="4"/>
  <c r="B1891" i="4"/>
  <c r="K117" i="4"/>
  <c r="C1970" i="4"/>
  <c r="L945" i="4"/>
  <c r="C2005" i="4"/>
  <c r="K1092" i="4"/>
  <c r="G1225" i="4"/>
  <c r="G1745" i="4"/>
  <c r="J1693" i="4"/>
  <c r="F590" i="4"/>
  <c r="L1128" i="4"/>
  <c r="K187" i="4"/>
  <c r="F182" i="4"/>
  <c r="J271" i="4"/>
  <c r="M201" i="4"/>
  <c r="G983" i="4"/>
  <c r="F195" i="4"/>
  <c r="C1777" i="4"/>
  <c r="F274" i="4"/>
  <c r="J1638" i="4"/>
  <c r="J665" i="4"/>
  <c r="I384" i="4"/>
  <c r="I511" i="4"/>
  <c r="J129" i="4"/>
  <c r="J1321" i="4"/>
  <c r="J637" i="4"/>
  <c r="J981" i="4"/>
  <c r="J1591" i="4"/>
  <c r="M1354" i="4"/>
  <c r="C89" i="4"/>
  <c r="K97" i="4"/>
  <c r="I1738" i="4"/>
  <c r="M296" i="4"/>
  <c r="K440" i="4"/>
  <c r="J414" i="4"/>
  <c r="I454" i="4"/>
  <c r="D1445" i="4"/>
  <c r="K57" i="4"/>
  <c r="J254" i="4"/>
  <c r="I1268" i="4"/>
  <c r="C413" i="4"/>
  <c r="J167" i="4"/>
  <c r="J1552" i="4"/>
  <c r="J1285" i="4"/>
  <c r="J1569" i="4"/>
  <c r="I867" i="4"/>
  <c r="B204" i="4"/>
  <c r="C542" i="4"/>
  <c r="I567" i="4"/>
  <c r="I1899" i="4"/>
  <c r="M1709" i="4"/>
  <c r="J1632" i="4"/>
  <c r="K1396" i="4"/>
  <c r="K734" i="4"/>
  <c r="D120" i="4"/>
  <c r="B549" i="4"/>
  <c r="F587" i="4"/>
  <c r="I334" i="4"/>
  <c r="I107" i="4"/>
  <c r="J342" i="4"/>
  <c r="G1941" i="4"/>
  <c r="J1076" i="4"/>
  <c r="I110" i="4"/>
  <c r="J1691" i="4"/>
  <c r="I136" i="4"/>
  <c r="J1817" i="4"/>
  <c r="G1419" i="4"/>
  <c r="E1626" i="4"/>
  <c r="J355" i="4"/>
  <c r="E1084" i="4"/>
  <c r="I1470" i="4"/>
  <c r="M283" i="4"/>
  <c r="G166" i="4"/>
  <c r="B1578" i="4"/>
  <c r="F1551" i="4"/>
  <c r="J1086" i="4"/>
  <c r="K585" i="4"/>
  <c r="I364" i="4"/>
  <c r="F416" i="4"/>
  <c r="D92" i="4"/>
  <c r="L1273" i="4"/>
  <c r="F1011" i="4"/>
  <c r="I1380" i="4"/>
  <c r="J1032" i="4"/>
  <c r="D355" i="4"/>
  <c r="C704" i="4"/>
  <c r="D524" i="4"/>
  <c r="L955" i="4"/>
  <c r="B545" i="4"/>
  <c r="C529" i="4"/>
  <c r="J509" i="4"/>
  <c r="D1658" i="4"/>
  <c r="L470" i="4"/>
  <c r="D269" i="4"/>
  <c r="G645" i="4"/>
  <c r="K498" i="4"/>
  <c r="M159" i="4"/>
  <c r="M377" i="4"/>
  <c r="M794" i="4"/>
  <c r="J287" i="4"/>
  <c r="K1353" i="4"/>
  <c r="F591" i="4"/>
  <c r="L199" i="4"/>
  <c r="G987" i="4"/>
  <c r="K694" i="4"/>
  <c r="J406" i="4"/>
  <c r="E1508" i="4"/>
  <c r="B155" i="4"/>
  <c r="E251" i="4"/>
  <c r="I1019" i="4"/>
  <c r="L1002" i="4"/>
  <c r="C289" i="4"/>
  <c r="B63" i="4"/>
  <c r="F344" i="4"/>
  <c r="M305" i="4"/>
  <c r="C157" i="4"/>
  <c r="K622" i="4"/>
  <c r="D887" i="4"/>
  <c r="J1628" i="4"/>
  <c r="D1739" i="4"/>
  <c r="C546" i="4"/>
  <c r="C1183" i="4"/>
  <c r="M965" i="4"/>
  <c r="I276" i="4"/>
  <c r="J1174" i="4"/>
  <c r="I813" i="4"/>
  <c r="L1689" i="4"/>
  <c r="D668" i="4"/>
  <c r="B818" i="4"/>
  <c r="I598" i="4"/>
  <c r="I980" i="4"/>
  <c r="I375" i="4"/>
  <c r="I1455" i="4"/>
  <c r="E142" i="4"/>
  <c r="C319" i="4"/>
  <c r="G235" i="4"/>
  <c r="K142" i="4"/>
  <c r="I1385" i="4"/>
  <c r="M995" i="4"/>
  <c r="J1036" i="4"/>
  <c r="D1320" i="4"/>
  <c r="K821" i="4"/>
  <c r="K1306" i="4"/>
  <c r="I1465" i="4"/>
  <c r="D858" i="4"/>
  <c r="I974" i="4"/>
  <c r="I198" i="4"/>
  <c r="I759" i="4"/>
  <c r="J1138" i="4"/>
  <c r="C54" i="4"/>
  <c r="J183" i="4"/>
  <c r="J622" i="4"/>
  <c r="J297" i="4"/>
  <c r="D60" i="4"/>
  <c r="L605" i="4"/>
  <c r="J77" i="4"/>
  <c r="K1549" i="4"/>
  <c r="D1021" i="4"/>
  <c r="J374" i="4"/>
  <c r="L57" i="4"/>
  <c r="E1670" i="4"/>
  <c r="J83" i="4"/>
  <c r="I432" i="4"/>
  <c r="D220" i="4"/>
  <c r="B104" i="4"/>
  <c r="I1857" i="4"/>
  <c r="E497" i="4"/>
  <c r="I169" i="4"/>
  <c r="I180" i="4"/>
  <c r="I710" i="4"/>
  <c r="C72" i="4"/>
  <c r="B705" i="4"/>
  <c r="I925" i="4"/>
  <c r="I516" i="4"/>
  <c r="J993" i="4"/>
  <c r="C77" i="4"/>
  <c r="B113" i="4"/>
  <c r="E1330" i="4"/>
  <c r="B354" i="4"/>
  <c r="L130" i="4"/>
  <c r="G449" i="4"/>
  <c r="J97" i="4"/>
  <c r="M1599" i="4"/>
  <c r="M1655" i="4"/>
  <c r="J1103" i="4"/>
  <c r="K1590" i="4"/>
  <c r="K680" i="4"/>
  <c r="L514" i="4"/>
  <c r="C450" i="4"/>
  <c r="D1137" i="4"/>
  <c r="E25" i="4"/>
  <c r="J854" i="4"/>
  <c r="G120" i="4"/>
  <c r="E660" i="4"/>
  <c r="G1636" i="4"/>
  <c r="F1208" i="4"/>
  <c r="E31" i="4"/>
  <c r="I625" i="4"/>
  <c r="G643" i="4"/>
  <c r="J432" i="4"/>
  <c r="J1511" i="4"/>
  <c r="J1120" i="4"/>
  <c r="C346" i="4"/>
  <c r="L972" i="4"/>
  <c r="J1915" i="4"/>
  <c r="L901" i="4"/>
  <c r="J1112" i="4"/>
  <c r="I475" i="4"/>
  <c r="L25" i="4"/>
  <c r="I340" i="4"/>
  <c r="E53" i="4"/>
  <c r="I1208" i="4"/>
  <c r="J1197" i="4"/>
  <c r="F144" i="4"/>
  <c r="J498" i="4"/>
  <c r="I15" i="4"/>
  <c r="B506" i="4"/>
  <c r="D974" i="4"/>
  <c r="J1186" i="4"/>
  <c r="I1301" i="4"/>
  <c r="L418" i="4"/>
  <c r="J295" i="4"/>
  <c r="I931" i="4"/>
  <c r="D340" i="4"/>
  <c r="J2010" i="4"/>
  <c r="J441" i="4"/>
  <c r="L823" i="4"/>
  <c r="I1060" i="4"/>
  <c r="C307" i="4"/>
  <c r="G222" i="4"/>
  <c r="J317" i="4"/>
  <c r="J445" i="4"/>
  <c r="J703" i="4"/>
  <c r="I345" i="4"/>
  <c r="J514" i="4"/>
  <c r="E1202" i="4"/>
  <c r="F14" i="4"/>
  <c r="F557" i="4"/>
  <c r="J543" i="4"/>
  <c r="E731" i="4"/>
  <c r="G539" i="4"/>
  <c r="I1517" i="4"/>
  <c r="G259" i="4"/>
  <c r="I196" i="4"/>
  <c r="I1688" i="4"/>
  <c r="L527" i="4"/>
  <c r="J1193" i="4"/>
  <c r="J807" i="4"/>
  <c r="I41" i="4"/>
  <c r="I148" i="4"/>
  <c r="I1105" i="4"/>
  <c r="M24" i="4"/>
  <c r="K471" i="4"/>
  <c r="I1684" i="4"/>
  <c r="I1644" i="4"/>
  <c r="B72" i="4"/>
  <c r="B1799" i="4"/>
  <c r="I1393" i="4"/>
  <c r="J475" i="4"/>
  <c r="L96" i="4"/>
  <c r="J778" i="4"/>
  <c r="G364" i="4"/>
  <c r="I491" i="4"/>
  <c r="J78" i="4"/>
  <c r="M74" i="4"/>
  <c r="I698" i="4"/>
  <c r="C914" i="4"/>
  <c r="F1624" i="4"/>
  <c r="I738" i="4"/>
  <c r="J729" i="4"/>
  <c r="I1616" i="4"/>
  <c r="F1090" i="4"/>
  <c r="J426" i="4"/>
  <c r="E154" i="4"/>
  <c r="E504" i="4"/>
  <c r="I514" i="4"/>
  <c r="I1919" i="4"/>
  <c r="B953" i="4"/>
  <c r="J991" i="4"/>
  <c r="J1065" i="4"/>
  <c r="B1149" i="4"/>
  <c r="I707" i="4"/>
  <c r="L836" i="4"/>
  <c r="J790" i="4"/>
  <c r="I27" i="4"/>
  <c r="M554" i="4"/>
  <c r="M935" i="4"/>
  <c r="K845" i="4"/>
  <c r="C342" i="4"/>
  <c r="M1893" i="4"/>
  <c r="F671" i="4"/>
  <c r="C811" i="4"/>
  <c r="F945" i="4"/>
  <c r="G1597" i="4"/>
  <c r="E29" i="4"/>
  <c r="J1610" i="4"/>
  <c r="J908" i="4"/>
  <c r="L577" i="4"/>
  <c r="I1431" i="4"/>
  <c r="F466" i="4"/>
  <c r="L1799" i="4"/>
  <c r="M206" i="4"/>
  <c r="D658" i="4"/>
  <c r="L1503" i="4"/>
  <c r="E535" i="4"/>
  <c r="I597" i="4"/>
  <c r="J192" i="4"/>
  <c r="M444" i="4"/>
  <c r="F434" i="4"/>
  <c r="B586" i="4"/>
  <c r="I1376" i="4"/>
  <c r="J1572" i="4"/>
  <c r="B160" i="4"/>
  <c r="I66" i="4"/>
  <c r="I1131" i="4"/>
  <c r="J546" i="4"/>
  <c r="I1033" i="4"/>
  <c r="K629" i="4"/>
  <c r="C1484" i="4"/>
  <c r="I1097" i="4"/>
  <c r="J1574" i="4"/>
  <c r="J1153" i="4"/>
  <c r="G1501" i="4"/>
  <c r="L1324" i="4"/>
  <c r="F110" i="4"/>
  <c r="K315" i="4"/>
  <c r="B1073" i="4"/>
  <c r="K123" i="4"/>
  <c r="M1812" i="4"/>
  <c r="M1913" i="4"/>
  <c r="I146" i="4"/>
  <c r="D405" i="4"/>
  <c r="B64" i="4"/>
  <c r="K755" i="4"/>
  <c r="C1844" i="4"/>
  <c r="M502" i="4"/>
  <c r="I1260" i="4"/>
  <c r="J1957" i="4"/>
  <c r="I289" i="4"/>
  <c r="J1265" i="4"/>
  <c r="I145" i="4"/>
  <c r="J104" i="4"/>
  <c r="D227" i="4"/>
  <c r="K14" i="4"/>
  <c r="I1062" i="4"/>
  <c r="B1436" i="4"/>
  <c r="J532" i="4"/>
  <c r="M1283" i="4"/>
  <c r="B1989" i="4"/>
  <c r="F1133" i="4"/>
  <c r="C1443" i="4"/>
  <c r="M1681" i="4"/>
  <c r="D784" i="4"/>
  <c r="B1660" i="4"/>
  <c r="I1113" i="4"/>
  <c r="L681" i="4"/>
  <c r="J1381" i="4"/>
  <c r="K631" i="4"/>
  <c r="J69" i="4"/>
  <c r="F59" i="4"/>
  <c r="E1448" i="4"/>
  <c r="F473" i="4"/>
  <c r="G1278" i="4"/>
  <c r="M457" i="4"/>
  <c r="B43" i="4"/>
  <c r="I177" i="4"/>
  <c r="J671" i="4"/>
  <c r="J1429" i="4"/>
  <c r="L1016" i="4"/>
  <c r="M326" i="4"/>
  <c r="I1182" i="4"/>
  <c r="F1196" i="4"/>
  <c r="K645" i="4"/>
  <c r="D503" i="4"/>
  <c r="M1089" i="4"/>
  <c r="J1916" i="4"/>
  <c r="C576" i="4"/>
  <c r="D1481" i="4"/>
  <c r="D49" i="4"/>
  <c r="B1091" i="4"/>
  <c r="J575" i="4"/>
  <c r="E333" i="4"/>
  <c r="J1623" i="4"/>
  <c r="B504" i="4"/>
  <c r="K562" i="4"/>
  <c r="C609" i="4"/>
  <c r="M929" i="4"/>
  <c r="G1041" i="4"/>
  <c r="G910" i="4"/>
  <c r="G740" i="4"/>
  <c r="J1417" i="4"/>
  <c r="F277" i="4"/>
  <c r="K824" i="4"/>
  <c r="F282" i="4"/>
  <c r="F559" i="4"/>
  <c r="G1301" i="4"/>
  <c r="G977" i="4"/>
  <c r="C204" i="4"/>
  <c r="B49" i="4"/>
  <c r="G444" i="4"/>
  <c r="C1830" i="4"/>
  <c r="C107" i="4"/>
  <c r="L137" i="4"/>
  <c r="G1690" i="4"/>
  <c r="M345" i="4"/>
  <c r="K1415" i="4"/>
  <c r="C1457" i="4"/>
  <c r="L1980" i="4"/>
  <c r="D710" i="4"/>
  <c r="M1330" i="4"/>
  <c r="L322" i="4"/>
  <c r="B1422" i="4"/>
  <c r="L1088" i="4"/>
  <c r="B373" i="4"/>
  <c r="I438" i="4"/>
  <c r="C1176" i="4"/>
  <c r="I1059" i="4"/>
  <c r="C292" i="4"/>
  <c r="K444" i="4"/>
  <c r="G1620" i="4"/>
  <c r="F907" i="4"/>
  <c r="K1963" i="4"/>
  <c r="J540" i="4"/>
  <c r="I328" i="4"/>
  <c r="B140" i="4"/>
  <c r="D71" i="4"/>
  <c r="E184" i="4"/>
  <c r="M915" i="4"/>
  <c r="G332" i="4"/>
  <c r="I1371" i="4"/>
  <c r="E244" i="4"/>
  <c r="G1575" i="4"/>
  <c r="B772" i="4"/>
  <c r="B1354" i="4"/>
  <c r="E1003" i="4"/>
  <c r="I1649" i="4"/>
  <c r="E1294" i="4"/>
  <c r="K892" i="4"/>
  <c r="B1344" i="4"/>
  <c r="G547" i="4"/>
  <c r="B363" i="4"/>
  <c r="G768" i="4"/>
  <c r="I1704" i="4"/>
  <c r="G996" i="4"/>
  <c r="B970" i="4"/>
  <c r="C1249" i="4"/>
  <c r="L1901" i="4"/>
  <c r="E1772" i="4"/>
  <c r="F866" i="4"/>
  <c r="E1651" i="4"/>
  <c r="B73" i="4"/>
  <c r="K1014" i="4"/>
  <c r="B158" i="4"/>
  <c r="I411" i="4"/>
  <c r="C1542" i="4"/>
  <c r="C850" i="4"/>
  <c r="M1329" i="4"/>
  <c r="E1864" i="4"/>
  <c r="C298" i="4"/>
  <c r="D1345" i="4"/>
  <c r="K1971" i="4"/>
  <c r="D1429" i="4"/>
  <c r="J1966" i="4"/>
  <c r="J520" i="4"/>
  <c r="F109" i="4"/>
  <c r="C982" i="4"/>
  <c r="B485" i="4"/>
  <c r="G608" i="4"/>
  <c r="G401" i="4"/>
  <c r="I1716" i="4"/>
  <c r="F1825" i="4"/>
  <c r="L827" i="4"/>
  <c r="E1389" i="4"/>
  <c r="B1153" i="4"/>
  <c r="E462" i="4"/>
  <c r="K231" i="4"/>
  <c r="D333" i="4"/>
  <c r="M1267" i="4"/>
  <c r="B844" i="4"/>
  <c r="E36" i="4"/>
  <c r="F601" i="4"/>
  <c r="L1605" i="4"/>
  <c r="K864" i="4"/>
  <c r="C341" i="4"/>
  <c r="K913" i="4"/>
  <c r="D444" i="4"/>
  <c r="B1693" i="4"/>
  <c r="B846" i="4"/>
  <c r="D1078" i="4"/>
  <c r="G1901" i="4"/>
  <c r="M545" i="4"/>
  <c r="G555" i="4"/>
  <c r="C1760" i="4"/>
  <c r="C25" i="4"/>
  <c r="I390" i="4"/>
  <c r="I1169" i="4"/>
  <c r="J469" i="4"/>
  <c r="K1532" i="4"/>
  <c r="K815" i="4"/>
  <c r="D551" i="4"/>
  <c r="D576" i="4"/>
  <c r="E415" i="4"/>
  <c r="G77" i="4"/>
  <c r="E162" i="4"/>
  <c r="I1281" i="4"/>
  <c r="I1128" i="4"/>
  <c r="C1155" i="4"/>
  <c r="C258" i="4"/>
  <c r="I1656" i="4"/>
  <c r="C1436" i="4"/>
  <c r="F1707" i="4"/>
  <c r="E485" i="4"/>
  <c r="E1470" i="4"/>
  <c r="L1757" i="4"/>
  <c r="K668" i="4"/>
  <c r="K412" i="4"/>
  <c r="L294" i="4"/>
  <c r="C1771" i="4"/>
  <c r="F599" i="4"/>
  <c r="E253" i="4"/>
  <c r="G1975" i="4"/>
  <c r="G1737" i="4"/>
  <c r="F281" i="4"/>
  <c r="M153" i="4"/>
  <c r="K670" i="4"/>
  <c r="D167" i="4"/>
  <c r="D246" i="4"/>
  <c r="G619" i="4"/>
  <c r="M517" i="4"/>
  <c r="I444" i="4"/>
  <c r="D519" i="4"/>
  <c r="E425" i="4"/>
  <c r="J1676" i="4"/>
  <c r="I528" i="4"/>
  <c r="J128" i="4"/>
  <c r="J289" i="4"/>
  <c r="G941" i="4"/>
  <c r="J1621" i="4"/>
  <c r="J229" i="4"/>
  <c r="C514" i="4"/>
  <c r="B1208" i="4"/>
  <c r="I317" i="4"/>
  <c r="J1478" i="4"/>
  <c r="I1045" i="4"/>
  <c r="D324" i="4"/>
  <c r="J1463" i="4"/>
  <c r="D1831" i="4"/>
  <c r="I1741" i="4"/>
  <c r="C685" i="4"/>
  <c r="J1971" i="4"/>
  <c r="J1200" i="4"/>
  <c r="I713" i="4"/>
  <c r="I19" i="4"/>
  <c r="J1943" i="4"/>
  <c r="I1303" i="4"/>
  <c r="J88" i="4"/>
  <c r="I1346" i="4"/>
  <c r="J2004" i="4"/>
  <c r="K723" i="4"/>
  <c r="B782" i="4"/>
  <c r="K1312" i="4"/>
  <c r="L390" i="4"/>
  <c r="G72" i="4"/>
  <c r="C355" i="4"/>
  <c r="G908" i="4"/>
  <c r="I269" i="4"/>
  <c r="I541" i="4"/>
  <c r="I1791" i="4"/>
  <c r="K349" i="4"/>
  <c r="K539" i="4"/>
  <c r="K750" i="4"/>
  <c r="J428" i="4"/>
  <c r="J1573" i="4"/>
  <c r="F1740" i="4"/>
  <c r="I739" i="4"/>
  <c r="I477" i="4"/>
  <c r="J3" i="4"/>
  <c r="G708" i="4"/>
  <c r="J953" i="4"/>
  <c r="C922" i="4"/>
  <c r="I721" i="4"/>
  <c r="B80" i="4"/>
  <c r="B1377" i="4"/>
  <c r="I1865" i="4"/>
  <c r="E881" i="4"/>
  <c r="I1911" i="4"/>
  <c r="I550" i="4"/>
  <c r="B214" i="4"/>
  <c r="F1155" i="4"/>
  <c r="E619" i="4"/>
  <c r="D347" i="4"/>
  <c r="K118" i="4"/>
  <c r="K1169" i="4"/>
  <c r="J1100" i="4"/>
  <c r="J1018" i="4"/>
  <c r="J1819" i="4"/>
  <c r="D885" i="4"/>
  <c r="J1911" i="4"/>
  <c r="F809" i="4"/>
  <c r="J1755" i="4"/>
  <c r="K2001" i="4"/>
  <c r="G533" i="4"/>
  <c r="L281" i="4"/>
  <c r="D22" i="4"/>
  <c r="L378" i="4"/>
  <c r="I726" i="4"/>
  <c r="E651" i="4"/>
  <c r="J1780" i="4"/>
  <c r="J440" i="4"/>
  <c r="M888" i="4"/>
  <c r="E906" i="4"/>
  <c r="I682" i="4"/>
  <c r="D998" i="4"/>
  <c r="B1882" i="4"/>
  <c r="G1963" i="4"/>
  <c r="G828" i="4"/>
  <c r="D911" i="4"/>
  <c r="M1225" i="4"/>
  <c r="J1363" i="4"/>
  <c r="I995" i="4"/>
  <c r="D604" i="4"/>
  <c r="B276" i="4"/>
  <c r="M468" i="4"/>
  <c r="M1789" i="4"/>
  <c r="I924" i="4"/>
  <c r="J1281" i="4"/>
  <c r="F13" i="4"/>
  <c r="F955" i="4"/>
  <c r="C674" i="4"/>
  <c r="I1031" i="4"/>
  <c r="L1303" i="4"/>
  <c r="B1769" i="4"/>
  <c r="K46" i="4"/>
  <c r="I1608" i="4"/>
  <c r="I29" i="4"/>
  <c r="L758" i="4"/>
  <c r="J963" i="4"/>
  <c r="I825" i="4"/>
  <c r="D917" i="4"/>
  <c r="J505" i="4"/>
  <c r="J1559" i="4"/>
  <c r="C83" i="4"/>
  <c r="B1648" i="4"/>
  <c r="C264" i="4"/>
  <c r="F160" i="4"/>
  <c r="L1796" i="4"/>
  <c r="I968" i="4"/>
  <c r="C251" i="4"/>
  <c r="B959" i="4"/>
  <c r="C1473" i="4"/>
  <c r="E1687" i="4"/>
  <c r="J504" i="4"/>
  <c r="C43" i="4"/>
  <c r="B1526" i="4"/>
  <c r="D1369" i="4"/>
  <c r="M198" i="4"/>
  <c r="B1480" i="4"/>
  <c r="I161" i="4"/>
  <c r="I1138" i="4"/>
  <c r="J1486" i="4"/>
  <c r="G311" i="4"/>
  <c r="I79" i="4"/>
  <c r="G359" i="4"/>
  <c r="I664" i="4"/>
  <c r="J1597" i="4"/>
  <c r="M774" i="4"/>
  <c r="C71" i="4"/>
  <c r="J344" i="4"/>
  <c r="K1975" i="4"/>
  <c r="E944" i="4"/>
  <c r="I1200" i="4"/>
  <c r="I121" i="4"/>
  <c r="I701" i="4"/>
  <c r="M215" i="4"/>
  <c r="F822" i="4"/>
  <c r="D14" i="4"/>
  <c r="J572" i="4"/>
  <c r="D1294" i="4"/>
  <c r="K62" i="4"/>
  <c r="J390" i="4"/>
  <c r="K306" i="4"/>
  <c r="I1970" i="4"/>
  <c r="J474" i="4"/>
  <c r="C194" i="4"/>
  <c r="I637" i="4"/>
  <c r="K1000" i="4"/>
  <c r="L426" i="4"/>
  <c r="I281" i="4"/>
  <c r="J135" i="4"/>
  <c r="J180" i="4"/>
  <c r="E105" i="4"/>
  <c r="J612" i="4"/>
  <c r="I1851" i="4"/>
  <c r="E157" i="4"/>
  <c r="J1480" i="4"/>
  <c r="M346" i="4"/>
  <c r="C975" i="4"/>
  <c r="M616" i="4"/>
  <c r="I1054" i="4"/>
  <c r="D531" i="4"/>
  <c r="C166" i="4"/>
  <c r="J1194" i="4"/>
  <c r="L1432" i="4"/>
  <c r="J1083" i="4"/>
  <c r="E306" i="4"/>
  <c r="J1677" i="4"/>
  <c r="I204" i="4"/>
  <c r="J1505" i="4"/>
  <c r="I581" i="4"/>
  <c r="J1466" i="4"/>
  <c r="E446" i="4"/>
  <c r="C425" i="4"/>
  <c r="I200" i="4"/>
  <c r="D308" i="4"/>
  <c r="G626" i="4"/>
  <c r="K85" i="4"/>
  <c r="G1222" i="4"/>
  <c r="I1793" i="4"/>
  <c r="I583" i="4"/>
  <c r="K252" i="4"/>
  <c r="I1982" i="4"/>
  <c r="I1466" i="4"/>
  <c r="F1447" i="4"/>
  <c r="I842" i="4"/>
  <c r="B274" i="4"/>
  <c r="I1156" i="4"/>
  <c r="E1152" i="4"/>
  <c r="I1578" i="4"/>
  <c r="I1527" i="4"/>
  <c r="M9" i="4"/>
  <c r="J1973" i="4"/>
  <c r="B620" i="4"/>
  <c r="L1604" i="4"/>
  <c r="J285" i="4"/>
  <c r="J399" i="4"/>
  <c r="C165" i="4"/>
  <c r="J1590" i="4"/>
  <c r="I1030" i="4"/>
  <c r="B1535" i="4"/>
  <c r="J784" i="4"/>
  <c r="K465" i="4"/>
  <c r="I1960" i="4"/>
  <c r="J1415" i="4"/>
  <c r="I1983" i="4"/>
  <c r="G691" i="4"/>
  <c r="D373" i="4"/>
  <c r="J142" i="4"/>
  <c r="I1201" i="4"/>
  <c r="I1317" i="4"/>
  <c r="J1661" i="4"/>
  <c r="J1275" i="4"/>
  <c r="K54" i="4"/>
  <c r="B929" i="4"/>
  <c r="M837" i="4"/>
  <c r="M168" i="4"/>
  <c r="G360" i="4"/>
  <c r="I1923" i="4"/>
  <c r="D76" i="4"/>
  <c r="E285" i="4"/>
  <c r="D1176" i="4"/>
  <c r="I1724" i="4"/>
  <c r="J1789" i="4"/>
  <c r="F1400" i="4"/>
  <c r="M281" i="4"/>
  <c r="J1254" i="4"/>
  <c r="M1765" i="4"/>
  <c r="F925" i="4"/>
  <c r="M364" i="4"/>
  <c r="D136" i="4"/>
  <c r="J258" i="4"/>
  <c r="I301" i="4"/>
  <c r="D221" i="4"/>
  <c r="J1105" i="4"/>
  <c r="K125" i="4"/>
  <c r="J1319" i="4"/>
  <c r="F1336" i="4"/>
  <c r="G447" i="4"/>
  <c r="E227" i="4"/>
  <c r="F826" i="4"/>
  <c r="I774" i="4"/>
  <c r="C81" i="4"/>
  <c r="I372" i="4"/>
  <c r="G88" i="4"/>
  <c r="L587" i="4"/>
  <c r="I782" i="4"/>
  <c r="L218" i="4"/>
  <c r="D1124" i="4"/>
  <c r="E743" i="4"/>
  <c r="J1972" i="4"/>
  <c r="C711" i="4"/>
  <c r="J693" i="4"/>
  <c r="L1795" i="4"/>
  <c r="C1486" i="4"/>
  <c r="J1061" i="4"/>
  <c r="B24" i="4"/>
  <c r="M1859" i="4"/>
  <c r="I819" i="4"/>
  <c r="B827" i="4"/>
  <c r="F213" i="4"/>
  <c r="E1415" i="4"/>
  <c r="K287" i="4"/>
  <c r="K259" i="4"/>
  <c r="J444" i="4"/>
  <c r="K73" i="4"/>
  <c r="M1542" i="4"/>
  <c r="M1080" i="4"/>
  <c r="K8" i="4"/>
  <c r="F318" i="4"/>
  <c r="G1586" i="4"/>
  <c r="G1861" i="4"/>
  <c r="I692" i="4"/>
  <c r="M891" i="4"/>
  <c r="I1469" i="4"/>
  <c r="B781" i="4"/>
  <c r="D230" i="4"/>
  <c r="K1883" i="4"/>
  <c r="I1593" i="4"/>
  <c r="B917" i="4"/>
  <c r="I1048" i="4"/>
  <c r="D69" i="4"/>
  <c r="I923" i="4"/>
  <c r="J1164" i="4"/>
  <c r="C359" i="4"/>
  <c r="F1322" i="4"/>
  <c r="G413" i="4"/>
  <c r="B633" i="4"/>
  <c r="D893" i="4"/>
  <c r="K1216" i="4"/>
  <c r="K1789" i="4"/>
  <c r="B788" i="4"/>
  <c r="E1225" i="4"/>
  <c r="C594" i="4"/>
  <c r="B410" i="4"/>
  <c r="F1643" i="4"/>
  <c r="E386" i="4"/>
  <c r="I883" i="4"/>
  <c r="C444" i="4"/>
  <c r="G348" i="4"/>
  <c r="L1049" i="4"/>
  <c r="J1759" i="4"/>
  <c r="L520" i="4"/>
  <c r="M231" i="4"/>
  <c r="M1058" i="4"/>
  <c r="L1496" i="4"/>
  <c r="J1322" i="4"/>
  <c r="K1199" i="4"/>
  <c r="J89" i="4"/>
  <c r="I852" i="4"/>
  <c r="F854" i="4"/>
  <c r="G179" i="4"/>
  <c r="I544" i="4"/>
  <c r="K1768" i="4"/>
  <c r="K37" i="4"/>
  <c r="C755" i="4"/>
  <c r="D1160" i="4"/>
  <c r="J1898" i="4"/>
  <c r="K1102" i="4"/>
  <c r="L1476" i="4"/>
  <c r="B388" i="4"/>
  <c r="D411" i="4"/>
  <c r="I670" i="4"/>
  <c r="K76" i="4"/>
  <c r="E18" i="4"/>
  <c r="L456" i="4"/>
  <c r="B100" i="4"/>
  <c r="I729" i="4"/>
  <c r="K896" i="4"/>
  <c r="F534" i="4"/>
  <c r="F219" i="4"/>
  <c r="L222" i="4"/>
  <c r="E1854" i="4"/>
  <c r="M1040" i="4"/>
  <c r="M877" i="4"/>
  <c r="J1650" i="4"/>
  <c r="L40" i="4"/>
  <c r="L1852" i="4"/>
  <c r="F66" i="4"/>
  <c r="G477" i="4"/>
  <c r="J824" i="4"/>
  <c r="I501" i="4"/>
  <c r="F30" i="4"/>
  <c r="I1065" i="4"/>
  <c r="J259" i="4"/>
  <c r="L243" i="4"/>
  <c r="M519" i="4"/>
  <c r="B713" i="4"/>
  <c r="I1501" i="4"/>
  <c r="L1147" i="4"/>
  <c r="G1362" i="4"/>
  <c r="I336" i="4"/>
  <c r="D450" i="4"/>
  <c r="J678" i="4"/>
  <c r="I1098" i="4"/>
  <c r="I1286" i="4"/>
  <c r="J639" i="4"/>
  <c r="I1635" i="4"/>
  <c r="L1628" i="4"/>
  <c r="I1806" i="4"/>
  <c r="M1985" i="4"/>
  <c r="I1447" i="4"/>
  <c r="M1141" i="4"/>
  <c r="L1464" i="4"/>
  <c r="J1419" i="4"/>
  <c r="F365" i="4"/>
  <c r="K1887" i="4"/>
  <c r="L830" i="4"/>
  <c r="I1212" i="4"/>
  <c r="J1202" i="4"/>
  <c r="G722" i="4"/>
  <c r="I367" i="4"/>
  <c r="D700" i="4"/>
  <c r="J724" i="4"/>
  <c r="I1276" i="4"/>
  <c r="C1148" i="4"/>
  <c r="C1035" i="4"/>
  <c r="L301" i="4"/>
  <c r="K304" i="4"/>
  <c r="I1606" i="4"/>
  <c r="F650" i="4"/>
  <c r="C1674" i="4"/>
  <c r="K1183" i="4"/>
  <c r="E998" i="4"/>
  <c r="D1340" i="4"/>
  <c r="D247" i="4"/>
  <c r="K53" i="4"/>
  <c r="I1126" i="4"/>
  <c r="L1399" i="4"/>
  <c r="K1250" i="4"/>
  <c r="J782" i="4"/>
  <c r="E516" i="4"/>
  <c r="I496" i="4"/>
  <c r="I844" i="4"/>
  <c r="J1884" i="4"/>
  <c r="E1408" i="4"/>
  <c r="L172" i="4"/>
  <c r="I1327" i="4"/>
  <c r="L119" i="4"/>
  <c r="I1418" i="4"/>
  <c r="K1120" i="4"/>
  <c r="C900" i="4"/>
  <c r="C1506" i="4"/>
  <c r="J1424" i="4"/>
  <c r="J282" i="4"/>
  <c r="L55" i="4"/>
  <c r="J669" i="4"/>
  <c r="I1909" i="4"/>
  <c r="I1109" i="4"/>
  <c r="E604" i="4"/>
  <c r="E372" i="4"/>
  <c r="M1646" i="4"/>
  <c r="J1862" i="4"/>
  <c r="I1356" i="4"/>
  <c r="I389" i="4"/>
  <c r="I1344" i="4"/>
  <c r="F151" i="4"/>
  <c r="J1009" i="4"/>
  <c r="L708" i="4"/>
  <c r="J470" i="4"/>
  <c r="B1075" i="4"/>
  <c r="C552" i="4"/>
  <c r="B533" i="4"/>
  <c r="M193" i="4"/>
  <c r="M107" i="4"/>
  <c r="M166" i="4"/>
  <c r="M44" i="4"/>
  <c r="G951" i="4"/>
  <c r="K1417" i="4"/>
  <c r="I422" i="4"/>
  <c r="B395" i="4"/>
  <c r="J1414" i="4"/>
  <c r="I1305" i="4"/>
  <c r="E1064" i="4"/>
  <c r="I1847" i="4"/>
  <c r="J1204" i="4"/>
  <c r="E1707" i="4"/>
  <c r="D74" i="4"/>
  <c r="I109" i="4"/>
  <c r="D310" i="4"/>
  <c r="K1094" i="4"/>
  <c r="K1262" i="4"/>
  <c r="G142" i="4"/>
  <c r="E606" i="4"/>
  <c r="F531" i="4"/>
  <c r="L1087" i="4"/>
  <c r="K466" i="4"/>
  <c r="K274" i="4"/>
  <c r="L323" i="4"/>
  <c r="C804" i="4"/>
  <c r="K1124" i="4"/>
  <c r="I1363" i="4"/>
  <c r="D494" i="4"/>
  <c r="D1112" i="4"/>
  <c r="J577" i="4"/>
  <c r="K332" i="4"/>
  <c r="F442" i="4"/>
  <c r="D1489" i="4"/>
  <c r="L273" i="4"/>
  <c r="F1443" i="4"/>
  <c r="F863" i="4"/>
  <c r="K109" i="4"/>
  <c r="I1227" i="4"/>
  <c r="E766" i="4"/>
  <c r="J1330" i="4"/>
  <c r="I466" i="4"/>
  <c r="G605" i="4"/>
  <c r="G886" i="4"/>
  <c r="G255" i="4"/>
  <c r="I1630" i="4"/>
  <c r="F437" i="4"/>
  <c r="L12" i="4"/>
  <c r="F594" i="4"/>
  <c r="D299" i="4"/>
  <c r="D245" i="4"/>
  <c r="M673" i="4"/>
  <c r="C374" i="4"/>
  <c r="J463" i="4"/>
  <c r="M680" i="4"/>
  <c r="I60" i="4"/>
  <c r="F763" i="4"/>
  <c r="F1855" i="4"/>
  <c r="I4" i="4"/>
  <c r="J262" i="4"/>
  <c r="M1727" i="4"/>
  <c r="G748" i="4"/>
  <c r="I1491" i="4"/>
  <c r="M509" i="4"/>
  <c r="J194" i="4"/>
  <c r="M23" i="4"/>
  <c r="G853" i="4"/>
  <c r="I1611" i="4"/>
  <c r="L407" i="4"/>
  <c r="I1026" i="4"/>
  <c r="I49" i="4"/>
  <c r="K1918" i="4"/>
  <c r="J1234" i="4"/>
  <c r="F574" i="4"/>
  <c r="D1401" i="4"/>
  <c r="K155" i="4"/>
  <c r="D1178" i="4"/>
  <c r="D196" i="4"/>
  <c r="M1635" i="4"/>
  <c r="D1590" i="4"/>
  <c r="C1649" i="4"/>
  <c r="L256" i="4"/>
  <c r="F1909" i="4"/>
  <c r="K530" i="4"/>
  <c r="E1793" i="4"/>
  <c r="D1466" i="4"/>
  <c r="F1954" i="4"/>
  <c r="C1096" i="4"/>
  <c r="K990" i="4"/>
  <c r="J346" i="4"/>
  <c r="B307" i="4"/>
  <c r="F1095" i="4"/>
  <c r="I1552" i="4"/>
  <c r="B1830" i="4"/>
  <c r="E1494" i="4"/>
  <c r="M243" i="4"/>
  <c r="E1598" i="4"/>
  <c r="K1566" i="4"/>
  <c r="C924" i="4"/>
  <c r="D1083" i="4"/>
  <c r="L1945" i="4"/>
  <c r="J1645" i="4"/>
  <c r="D161" i="4"/>
  <c r="J1014" i="4"/>
  <c r="J279" i="4"/>
  <c r="C1208" i="4"/>
  <c r="F1656" i="4"/>
  <c r="C1779" i="4"/>
  <c r="M291" i="4"/>
  <c r="G158" i="4"/>
  <c r="E834" i="4"/>
  <c r="G1174" i="4"/>
  <c r="I2003" i="4"/>
  <c r="D234" i="4"/>
  <c r="G713" i="4"/>
  <c r="F1805" i="4"/>
  <c r="J149" i="4"/>
  <c r="J1635" i="4"/>
  <c r="J1803" i="4"/>
  <c r="I741" i="4"/>
  <c r="G597" i="4"/>
  <c r="I1092" i="4"/>
  <c r="L1646" i="4"/>
  <c r="L1024" i="4"/>
  <c r="B1601" i="4"/>
  <c r="G1456" i="4"/>
  <c r="M1936" i="4"/>
  <c r="I1531" i="4"/>
  <c r="B1893" i="4"/>
  <c r="M1651" i="4"/>
  <c r="M366" i="4"/>
  <c r="J1922" i="4"/>
  <c r="D233" i="4"/>
  <c r="F205" i="4"/>
  <c r="E210" i="4"/>
  <c r="J670" i="4"/>
  <c r="M437" i="4"/>
  <c r="I1641" i="4"/>
  <c r="C137" i="4"/>
  <c r="B82" i="4"/>
  <c r="F1435" i="4"/>
  <c r="B68" i="4"/>
  <c r="D1149" i="4"/>
  <c r="G1152" i="4"/>
  <c r="J827" i="4"/>
  <c r="G1229" i="4"/>
  <c r="G1307" i="4"/>
  <c r="B1764" i="4"/>
  <c r="C187" i="4"/>
  <c r="F10" i="4"/>
  <c r="F1653" i="4"/>
  <c r="B1571" i="4"/>
  <c r="C322" i="4"/>
  <c r="F1720" i="4"/>
  <c r="E1668" i="4"/>
  <c r="M1583" i="4"/>
  <c r="K1303" i="4"/>
  <c r="G1182" i="4"/>
  <c r="L1156" i="4"/>
  <c r="F166" i="4"/>
  <c r="L2000" i="4"/>
  <c r="J1495" i="4"/>
  <c r="F523" i="4"/>
  <c r="K651" i="4"/>
  <c r="C880" i="4"/>
  <c r="D1169" i="4"/>
  <c r="F691" i="4"/>
  <c r="K1895" i="4"/>
  <c r="G1239" i="4"/>
  <c r="G950" i="4"/>
  <c r="L307" i="4"/>
  <c r="L1212" i="4"/>
  <c r="B794" i="4"/>
  <c r="K1583" i="4"/>
  <c r="E258" i="4"/>
  <c r="D978" i="4"/>
  <c r="D1440" i="4"/>
  <c r="G519" i="4"/>
  <c r="J1506" i="4"/>
  <c r="M303" i="4"/>
  <c r="L1051" i="4"/>
  <c r="L1744" i="4"/>
  <c r="L321" i="4"/>
  <c r="G1506" i="4"/>
  <c r="M1784" i="4"/>
  <c r="I1197" i="4"/>
  <c r="F1170" i="4"/>
  <c r="K1666" i="4"/>
  <c r="K1763" i="4"/>
  <c r="G810" i="4"/>
  <c r="B18" i="4"/>
  <c r="M597" i="4"/>
  <c r="L571" i="4"/>
  <c r="I1273" i="4"/>
  <c r="F1778" i="4"/>
  <c r="J124" i="4"/>
  <c r="F405" i="4"/>
  <c r="C269" i="4"/>
  <c r="K884" i="4"/>
  <c r="K712" i="4"/>
  <c r="G393" i="4"/>
  <c r="G1696" i="4"/>
  <c r="J1255" i="4"/>
  <c r="J1326" i="4"/>
  <c r="E1640" i="4"/>
  <c r="J125" i="4"/>
  <c r="J1981" i="4"/>
  <c r="E1087" i="4"/>
  <c r="D489" i="4"/>
  <c r="J337" i="4"/>
  <c r="M907" i="4"/>
  <c r="C792" i="4"/>
  <c r="B1613" i="4"/>
  <c r="J1206" i="4"/>
  <c r="D1322" i="4"/>
  <c r="E1070" i="4"/>
  <c r="F340" i="4"/>
  <c r="I1784" i="4"/>
  <c r="B1323" i="4"/>
  <c r="I1067" i="4"/>
  <c r="K1973" i="4"/>
  <c r="J322" i="4"/>
  <c r="C368" i="4"/>
  <c r="F460" i="4"/>
  <c r="J1714" i="4"/>
  <c r="L1421" i="4"/>
  <c r="E1838" i="4"/>
  <c r="F1432" i="4"/>
  <c r="G511" i="4"/>
  <c r="L1956" i="4"/>
  <c r="I1106" i="4"/>
  <c r="B1292" i="4"/>
  <c r="G576" i="4"/>
  <c r="G167" i="4"/>
  <c r="E1959" i="4"/>
  <c r="M753" i="4"/>
  <c r="G1369" i="4"/>
  <c r="J438" i="4"/>
  <c r="E879" i="4"/>
  <c r="M811" i="4"/>
  <c r="M64" i="4"/>
  <c r="B146" i="4"/>
  <c r="K1933" i="4"/>
  <c r="E246" i="4"/>
  <c r="K1097" i="4"/>
  <c r="D1513" i="4"/>
  <c r="F1222" i="4"/>
  <c r="M1901" i="4"/>
  <c r="B695" i="4"/>
  <c r="I1651" i="4"/>
  <c r="C424" i="4"/>
  <c r="G1469" i="4"/>
  <c r="K748" i="4"/>
  <c r="G412" i="4"/>
  <c r="G295" i="4"/>
  <c r="C874" i="4"/>
  <c r="E666" i="4"/>
  <c r="F1889" i="4"/>
  <c r="D1423" i="4"/>
  <c r="M1974" i="4"/>
  <c r="K735" i="4"/>
  <c r="C1815" i="4"/>
  <c r="I1063" i="4"/>
  <c r="J1411" i="4"/>
  <c r="I1215" i="4"/>
  <c r="J636" i="4"/>
  <c r="B435" i="4"/>
  <c r="D98" i="4"/>
  <c r="E752" i="4"/>
  <c r="K935" i="4"/>
  <c r="I217" i="4"/>
  <c r="L584" i="4"/>
  <c r="E601" i="4"/>
  <c r="I1639" i="4"/>
  <c r="I833" i="4"/>
  <c r="G225" i="4"/>
  <c r="M518" i="4"/>
  <c r="B116" i="4"/>
  <c r="K624" i="4"/>
  <c r="L234" i="4"/>
  <c r="D188" i="4"/>
  <c r="I299" i="4"/>
  <c r="B664" i="4"/>
  <c r="J707" i="4"/>
  <c r="I957" i="4"/>
  <c r="D1710" i="4"/>
  <c r="I623" i="4"/>
  <c r="I723" i="4"/>
  <c r="J415" i="4"/>
  <c r="J1969" i="4"/>
  <c r="J1127" i="4"/>
  <c r="E721" i="4"/>
  <c r="F285" i="4"/>
  <c r="I287" i="4"/>
  <c r="G397" i="4"/>
  <c r="F778" i="4"/>
  <c r="K31" i="4"/>
  <c r="M258" i="4"/>
  <c r="E348" i="4"/>
  <c r="I1539" i="4"/>
  <c r="B31" i="4"/>
  <c r="E1766" i="4"/>
  <c r="C471" i="4"/>
  <c r="G1865" i="4"/>
  <c r="E530" i="4"/>
  <c r="K1170" i="4"/>
  <c r="B261" i="4"/>
  <c r="I1237" i="4"/>
  <c r="B67" i="4"/>
  <c r="J1722" i="4"/>
  <c r="J1050" i="4"/>
  <c r="D913" i="4"/>
  <c r="M1010" i="4"/>
  <c r="E866" i="4"/>
  <c r="L99" i="4"/>
  <c r="G76" i="4"/>
  <c r="D529" i="4"/>
  <c r="J649" i="4"/>
  <c r="I1953" i="4"/>
  <c r="I1934" i="4"/>
  <c r="L1366" i="4"/>
  <c r="G1124" i="4"/>
  <c r="I24" i="4"/>
  <c r="D580" i="4"/>
  <c r="C488" i="4"/>
  <c r="B1399" i="4"/>
  <c r="E419" i="4"/>
  <c r="K509" i="4"/>
  <c r="I890" i="4"/>
  <c r="I468" i="4"/>
  <c r="G1778" i="4"/>
  <c r="J1876" i="4"/>
  <c r="I1009" i="4"/>
  <c r="M664" i="4"/>
  <c r="I902" i="4"/>
  <c r="I1868" i="4"/>
  <c r="B446" i="4"/>
  <c r="D456" i="4"/>
  <c r="G623" i="4"/>
  <c r="B1376" i="4"/>
  <c r="J630" i="4"/>
  <c r="F105" i="4"/>
  <c r="F1773" i="4"/>
  <c r="J1422" i="4"/>
  <c r="E1086" i="4"/>
  <c r="D1138" i="4"/>
  <c r="L318" i="4"/>
  <c r="L729" i="4"/>
  <c r="K233" i="4"/>
  <c r="J481" i="4"/>
  <c r="B1383" i="4"/>
  <c r="K692" i="4"/>
  <c r="F1671" i="4"/>
  <c r="I1915" i="4"/>
  <c r="I1421" i="4"/>
  <c r="J1022" i="4"/>
  <c r="E450" i="4"/>
  <c r="B278" i="4"/>
  <c r="E374" i="4"/>
  <c r="F99" i="4"/>
  <c r="F260" i="4"/>
  <c r="I576" i="4"/>
  <c r="K127" i="4"/>
  <c r="B1887" i="4"/>
  <c r="F1254" i="4"/>
  <c r="M1637" i="4"/>
  <c r="K6" i="4"/>
  <c r="B668" i="4"/>
  <c r="B184" i="4"/>
  <c r="C1302" i="4"/>
  <c r="J1096" i="4"/>
  <c r="I1774" i="4"/>
  <c r="K82" i="4"/>
  <c r="G1826" i="4"/>
  <c r="K880" i="4"/>
  <c r="F1362" i="4"/>
  <c r="M452" i="4"/>
  <c r="M947" i="4"/>
  <c r="E940" i="4"/>
  <c r="D276" i="4"/>
  <c r="L13" i="4"/>
  <c r="M1607" i="4"/>
  <c r="L831" i="4"/>
  <c r="G599" i="4"/>
  <c r="B366" i="4"/>
  <c r="J776" i="4"/>
  <c r="L1844" i="4"/>
  <c r="D1999" i="4"/>
  <c r="K322" i="4"/>
  <c r="K1834" i="4"/>
  <c r="B1515" i="4"/>
  <c r="L1775" i="4"/>
  <c r="K219" i="4"/>
  <c r="K1038" i="4"/>
  <c r="L1475" i="4"/>
  <c r="K1454" i="4"/>
  <c r="I1406" i="4"/>
  <c r="B1823" i="4"/>
  <c r="M571" i="4"/>
  <c r="G761" i="4"/>
  <c r="K1164" i="4"/>
  <c r="K1865" i="4"/>
  <c r="I1250" i="4"/>
  <c r="J524" i="4"/>
  <c r="M1044" i="4"/>
  <c r="G1161" i="4"/>
  <c r="B308" i="4"/>
  <c r="J1856" i="4"/>
  <c r="K218" i="4"/>
  <c r="F128" i="4"/>
  <c r="M264" i="4"/>
  <c r="J227" i="4"/>
  <c r="B632" i="4"/>
  <c r="B964" i="4"/>
  <c r="J1827" i="4"/>
  <c r="G347" i="4"/>
  <c r="C1354" i="4"/>
  <c r="E28" i="4"/>
  <c r="G659" i="4"/>
  <c r="C1316" i="4"/>
  <c r="E1739" i="4"/>
  <c r="I1792" i="4"/>
  <c r="B1857" i="4"/>
  <c r="C1709" i="4"/>
  <c r="D1577" i="4"/>
  <c r="M235" i="4"/>
  <c r="C1196" i="4"/>
  <c r="L739" i="4"/>
  <c r="M970" i="4"/>
  <c r="E756" i="4"/>
  <c r="I302" i="4"/>
  <c r="C1647" i="4"/>
  <c r="M1360" i="4"/>
  <c r="M998" i="4"/>
  <c r="D725" i="4"/>
  <c r="C1967" i="4"/>
  <c r="E1700" i="4"/>
  <c r="E1109" i="4"/>
  <c r="M1339" i="4"/>
  <c r="I197" i="4"/>
  <c r="J1953" i="4"/>
  <c r="I187" i="4"/>
  <c r="D968" i="4"/>
  <c r="I1119" i="4"/>
  <c r="I1690" i="4"/>
  <c r="I462" i="4"/>
  <c r="J380" i="4"/>
  <c r="B187" i="4"/>
  <c r="I1040" i="4"/>
  <c r="I104" i="4"/>
  <c r="C429" i="4"/>
  <c r="I1318" i="4"/>
  <c r="J657" i="4"/>
  <c r="I395" i="4"/>
  <c r="K608" i="4"/>
  <c r="K1351" i="4"/>
  <c r="G215" i="4"/>
  <c r="D8" i="4"/>
  <c r="I984" i="4"/>
  <c r="D938" i="4"/>
  <c r="I163" i="4"/>
  <c r="E1370" i="4"/>
  <c r="F943" i="4"/>
  <c r="E1309" i="4"/>
  <c r="L339" i="4"/>
  <c r="I693" i="4"/>
  <c r="J1618" i="4"/>
  <c r="G210" i="4"/>
  <c r="L439" i="4"/>
  <c r="J200" i="4"/>
  <c r="L1527" i="4"/>
  <c r="L871" i="4"/>
  <c r="J1066" i="4"/>
  <c r="E174" i="4"/>
  <c r="C407" i="4"/>
  <c r="F1157" i="4"/>
  <c r="I805" i="4"/>
  <c r="D1001" i="4"/>
  <c r="M1865" i="4"/>
  <c r="K208" i="4"/>
  <c r="K1661" i="4"/>
  <c r="I349" i="4"/>
  <c r="B665" i="4"/>
  <c r="B210" i="4"/>
  <c r="I199" i="4"/>
  <c r="B444" i="4"/>
  <c r="B422" i="4"/>
  <c r="L1749" i="4"/>
  <c r="B1699" i="4"/>
  <c r="D423" i="4"/>
  <c r="I1304" i="4"/>
  <c r="C622" i="4"/>
  <c r="D1995" i="4"/>
  <c r="I1718" i="4"/>
  <c r="J1062" i="4"/>
  <c r="L1383" i="4"/>
  <c r="F258" i="4"/>
  <c r="G782" i="4"/>
  <c r="I1450" i="4"/>
  <c r="E1480" i="4"/>
  <c r="C555" i="4"/>
  <c r="E123" i="4"/>
  <c r="E691" i="4"/>
  <c r="J39" i="4"/>
  <c r="I1895" i="4"/>
  <c r="I1061" i="4"/>
  <c r="I211" i="4"/>
  <c r="L1428" i="4"/>
  <c r="E1253" i="4"/>
  <c r="D1441" i="4"/>
  <c r="I1567" i="4"/>
  <c r="E1498" i="4"/>
  <c r="C59" i="4"/>
  <c r="F199" i="4"/>
  <c r="L725" i="4"/>
  <c r="B1846" i="4"/>
  <c r="G143" i="4"/>
  <c r="I186" i="4"/>
  <c r="E1259" i="4"/>
  <c r="E452" i="4"/>
  <c r="J92" i="4"/>
  <c r="B425" i="4"/>
  <c r="C963" i="4"/>
  <c r="I1017" i="4"/>
  <c r="L267" i="4"/>
  <c r="L135" i="4"/>
  <c r="E89" i="4"/>
  <c r="I628" i="4"/>
  <c r="C981" i="4"/>
  <c r="B826" i="4"/>
  <c r="M975" i="4"/>
  <c r="E117" i="4"/>
  <c r="I1971" i="4"/>
  <c r="J1948" i="4"/>
  <c r="B627" i="4"/>
  <c r="L1054" i="4"/>
  <c r="J513" i="4"/>
  <c r="E322" i="4"/>
  <c r="E747" i="4"/>
  <c r="B1204" i="4"/>
  <c r="G1302" i="4"/>
  <c r="F89" i="4"/>
  <c r="M732" i="4"/>
  <c r="J1843" i="4"/>
  <c r="I640" i="4"/>
  <c r="D1804" i="4"/>
  <c r="D1155" i="4"/>
  <c r="F506" i="4"/>
  <c r="D1793" i="4"/>
  <c r="F789" i="4"/>
  <c r="J1523" i="4"/>
  <c r="F677" i="4"/>
  <c r="D44" i="4"/>
  <c r="L834" i="4"/>
  <c r="L1685" i="4"/>
  <c r="C1925" i="4"/>
  <c r="K1863" i="4"/>
  <c r="F52" i="4"/>
  <c r="M1656" i="4"/>
  <c r="B243" i="4"/>
  <c r="J940" i="4"/>
  <c r="B509" i="4"/>
  <c r="F1034" i="4"/>
  <c r="G633" i="4"/>
  <c r="M635" i="4"/>
  <c r="K311" i="4"/>
  <c r="J1557" i="4"/>
  <c r="I1932" i="4"/>
  <c r="I709" i="4"/>
  <c r="G1157" i="4"/>
  <c r="M504" i="4"/>
  <c r="I1695" i="4"/>
  <c r="J1962" i="4"/>
  <c r="I848" i="4"/>
  <c r="G596" i="4"/>
  <c r="G1387" i="4"/>
  <c r="D249" i="4"/>
  <c r="B1936" i="4"/>
  <c r="D979" i="4"/>
  <c r="M1510" i="4"/>
  <c r="K200" i="4"/>
  <c r="D583" i="4"/>
  <c r="I843" i="4"/>
  <c r="B247" i="4"/>
  <c r="D1763" i="4"/>
  <c r="B289" i="4"/>
  <c r="B335" i="4"/>
  <c r="L1182" i="4"/>
  <c r="J457" i="4"/>
  <c r="J1290" i="4"/>
  <c r="G1953" i="4"/>
  <c r="J1626" i="4"/>
  <c r="C1984" i="4"/>
  <c r="E1505" i="4"/>
  <c r="K176" i="4"/>
  <c r="L826" i="4"/>
  <c r="D1537" i="4"/>
  <c r="D198" i="4"/>
  <c r="J949" i="4"/>
  <c r="I1773" i="4"/>
  <c r="F1433" i="4"/>
  <c r="M737" i="4"/>
  <c r="J1970" i="4"/>
  <c r="J1023" i="4"/>
  <c r="K39" i="4"/>
  <c r="I69" i="4"/>
  <c r="L1038" i="4"/>
  <c r="J882" i="4"/>
  <c r="I939" i="4"/>
  <c r="I518" i="4"/>
  <c r="K618" i="4"/>
  <c r="D523" i="4"/>
  <c r="L2006" i="4"/>
  <c r="L31" i="4"/>
  <c r="K1406" i="4"/>
  <c r="E1458" i="4"/>
  <c r="E82" i="4"/>
  <c r="G648" i="4"/>
  <c r="I1302" i="4"/>
  <c r="E502" i="4"/>
  <c r="J1295" i="4"/>
  <c r="E852" i="4"/>
  <c r="C15" i="4"/>
  <c r="M1353" i="4"/>
  <c r="L1063" i="4"/>
  <c r="F519" i="4"/>
  <c r="C1345" i="4"/>
  <c r="L839" i="4"/>
  <c r="B1827" i="4"/>
  <c r="I1799" i="4"/>
  <c r="I548" i="4"/>
  <c r="K1037" i="4"/>
  <c r="E1335" i="4"/>
  <c r="G1747" i="4"/>
  <c r="B1520" i="4"/>
  <c r="G777" i="4"/>
  <c r="C640" i="4"/>
  <c r="K1941" i="4"/>
  <c r="C100" i="4"/>
  <c r="F887" i="4"/>
  <c r="M133" i="4"/>
  <c r="C1909" i="4"/>
  <c r="I753" i="4"/>
  <c r="K132" i="4"/>
  <c r="I416" i="4"/>
  <c r="L534" i="4"/>
  <c r="K976" i="4"/>
  <c r="E1463" i="4"/>
  <c r="K738" i="4"/>
  <c r="G156" i="4"/>
  <c r="I1536" i="4"/>
  <c r="E1171" i="4"/>
  <c r="E1790" i="4"/>
  <c r="G1017" i="4"/>
  <c r="E1978" i="4"/>
  <c r="C639" i="4"/>
  <c r="B1762" i="4"/>
  <c r="E1968" i="4"/>
  <c r="B217" i="4"/>
  <c r="D953" i="4"/>
  <c r="J1598" i="4"/>
  <c r="B1795" i="4"/>
  <c r="F345" i="4"/>
  <c r="F1110" i="4"/>
  <c r="E286" i="4"/>
  <c r="G407" i="4"/>
  <c r="F540" i="4"/>
  <c r="E973" i="4"/>
  <c r="K99" i="4"/>
  <c r="G767" i="4"/>
  <c r="C1732" i="4"/>
  <c r="G1928" i="4"/>
  <c r="E1490" i="4"/>
  <c r="G1069" i="4"/>
  <c r="L393" i="4"/>
  <c r="L913" i="4"/>
  <c r="E1722" i="4"/>
  <c r="B1337" i="4"/>
  <c r="M1274" i="4"/>
  <c r="J601" i="4"/>
  <c r="F1730" i="4"/>
  <c r="L1823" i="4"/>
  <c r="D1212" i="4"/>
  <c r="L1105" i="4"/>
  <c r="F1102" i="4"/>
  <c r="B96" i="4"/>
  <c r="F526" i="4"/>
  <c r="E1153" i="4"/>
  <c r="D1653" i="4"/>
  <c r="K1061" i="4"/>
  <c r="D1464" i="4"/>
  <c r="C554" i="4"/>
  <c r="L1621" i="4"/>
  <c r="D1934" i="4"/>
  <c r="L1286" i="4"/>
  <c r="K1868" i="4"/>
  <c r="M987" i="4"/>
  <c r="F930" i="4"/>
  <c r="G1482" i="4"/>
  <c r="B588" i="4"/>
  <c r="J1945" i="4"/>
  <c r="C585" i="4"/>
  <c r="I1703" i="4"/>
  <c r="K1543" i="4"/>
  <c r="L1797" i="4"/>
  <c r="K453" i="4"/>
  <c r="D1413" i="4"/>
  <c r="C1741" i="4"/>
  <c r="B1198" i="4"/>
  <c r="D516" i="4"/>
  <c r="C1794" i="4"/>
  <c r="J1402" i="4"/>
  <c r="G705" i="4"/>
  <c r="B905" i="4"/>
  <c r="K95" i="4"/>
  <c r="L1568" i="4"/>
  <c r="K185" i="4"/>
  <c r="F1143" i="4"/>
  <c r="D811" i="4"/>
  <c r="K587" i="4"/>
  <c r="G963" i="4"/>
  <c r="L939" i="4"/>
  <c r="C1907" i="4"/>
  <c r="G1890" i="4"/>
  <c r="J267" i="4"/>
  <c r="M2006" i="4"/>
  <c r="C183" i="4"/>
  <c r="E1151" i="4"/>
  <c r="K1349" i="4"/>
  <c r="B1954" i="4"/>
  <c r="M1242" i="4"/>
  <c r="G144" i="4"/>
  <c r="G1746" i="4"/>
  <c r="K1674" i="4"/>
  <c r="J296" i="4"/>
  <c r="F39" i="4"/>
  <c r="E470" i="4"/>
  <c r="F1427" i="4"/>
  <c r="I1537" i="4"/>
  <c r="D1952" i="4"/>
  <c r="G915" i="4"/>
  <c r="C737" i="4"/>
  <c r="B310" i="4"/>
  <c r="C1872" i="4"/>
  <c r="D734" i="4"/>
  <c r="M618" i="4"/>
  <c r="M822" i="4"/>
  <c r="E523" i="4"/>
  <c r="L627" i="4"/>
  <c r="E762" i="4"/>
  <c r="B571" i="4"/>
  <c r="J845" i="4"/>
  <c r="K359" i="4"/>
  <c r="F674" i="4"/>
  <c r="I23" i="4"/>
  <c r="B1952" i="4"/>
  <c r="L1301" i="4"/>
  <c r="D1208" i="4"/>
  <c r="I350" i="4"/>
  <c r="K1817" i="4"/>
  <c r="E1264" i="4"/>
  <c r="F341" i="4"/>
  <c r="C241" i="4"/>
  <c r="C1762" i="4"/>
  <c r="E761" i="4"/>
  <c r="F1945" i="4"/>
  <c r="L357" i="4"/>
  <c r="B442" i="4"/>
  <c r="L1313" i="4"/>
  <c r="E841" i="4"/>
  <c r="E911" i="4"/>
  <c r="C578" i="4"/>
  <c r="F243" i="4"/>
  <c r="F934" i="4"/>
  <c r="G870" i="4"/>
  <c r="D1202" i="4"/>
  <c r="C1753" i="4"/>
  <c r="C1537" i="4"/>
  <c r="J1720" i="4"/>
  <c r="G50" i="4"/>
  <c r="J1468" i="4"/>
  <c r="K399" i="4"/>
  <c r="I1555" i="4"/>
  <c r="E305" i="4"/>
  <c r="K18" i="4"/>
  <c r="I794" i="4"/>
  <c r="L170" i="4"/>
  <c r="M563" i="4"/>
  <c r="F12" i="4"/>
  <c r="L1098" i="4"/>
  <c r="I534" i="4"/>
  <c r="I905" i="4"/>
  <c r="D63" i="4"/>
  <c r="C423" i="4"/>
  <c r="G213" i="4"/>
  <c r="M194" i="4"/>
  <c r="J1834" i="4"/>
  <c r="D834" i="4"/>
  <c r="K885" i="4"/>
  <c r="E178" i="4"/>
  <c r="I133" i="4"/>
  <c r="E511" i="4"/>
  <c r="I446" i="4"/>
  <c r="I156" i="4"/>
  <c r="J1046" i="4"/>
  <c r="J1630" i="4"/>
  <c r="J1357" i="4"/>
  <c r="K159" i="4"/>
  <c r="K1162" i="4"/>
  <c r="G195" i="4"/>
  <c r="J1838" i="4"/>
  <c r="J1218" i="4"/>
  <c r="D475" i="4"/>
  <c r="I599" i="4"/>
  <c r="J921" i="4"/>
  <c r="M1098" i="4"/>
  <c r="I1367" i="4"/>
  <c r="J1033" i="4"/>
  <c r="C490" i="4"/>
  <c r="I467" i="4"/>
  <c r="D372" i="4"/>
  <c r="E418" i="4"/>
  <c r="G839" i="4"/>
  <c r="K1506" i="4"/>
  <c r="I348" i="4"/>
  <c r="B203" i="4"/>
  <c r="C1381" i="4"/>
  <c r="D835" i="4"/>
  <c r="G145" i="4"/>
  <c r="E475" i="4"/>
  <c r="I1000" i="4"/>
  <c r="L177" i="4"/>
  <c r="M660" i="4"/>
  <c r="J582" i="4"/>
  <c r="E1357" i="4"/>
  <c r="F172" i="4"/>
  <c r="C699" i="4"/>
  <c r="I1914" i="4"/>
  <c r="J1494" i="4"/>
  <c r="I1298" i="4"/>
  <c r="G1677" i="4"/>
  <c r="K25" i="4"/>
  <c r="I472" i="4"/>
  <c r="I1007" i="4"/>
  <c r="L417" i="4"/>
  <c r="J721" i="4"/>
  <c r="C1005" i="4"/>
  <c r="D919" i="4"/>
  <c r="J236" i="4"/>
  <c r="J1298" i="4"/>
  <c r="I859" i="4"/>
  <c r="I303" i="4"/>
  <c r="M870" i="4"/>
  <c r="I1473" i="4"/>
  <c r="C834" i="4"/>
  <c r="K543" i="4"/>
  <c r="J293" i="4"/>
  <c r="J1998" i="4"/>
  <c r="D1105" i="4"/>
  <c r="I1643" i="4"/>
  <c r="M716" i="4"/>
  <c r="J906" i="4"/>
  <c r="I1488" i="4"/>
  <c r="K604" i="4"/>
  <c r="F1543" i="4"/>
  <c r="E1400" i="4"/>
  <c r="I285" i="4"/>
  <c r="M317" i="4"/>
  <c r="G783" i="4"/>
  <c r="J404" i="4"/>
  <c r="I216" i="4"/>
  <c r="I1249" i="4"/>
  <c r="J185" i="4"/>
  <c r="C147" i="4"/>
  <c r="J1215" i="4"/>
  <c r="I955" i="4"/>
  <c r="B284" i="4"/>
  <c r="J828" i="4"/>
  <c r="B1007" i="4"/>
  <c r="E1568" i="4"/>
  <c r="F1172" i="4"/>
  <c r="M131" i="4"/>
  <c r="C1369" i="4"/>
  <c r="J1742" i="4"/>
  <c r="B285" i="4"/>
  <c r="B22" i="4"/>
  <c r="J235" i="4"/>
  <c r="L1438" i="4"/>
  <c r="G378" i="4"/>
  <c r="M847" i="4"/>
  <c r="C788" i="4"/>
  <c r="F5" i="4"/>
  <c r="M1500" i="4"/>
  <c r="C747" i="4"/>
  <c r="B865" i="4"/>
  <c r="L1709" i="4"/>
  <c r="F1327" i="4"/>
  <c r="L1569" i="4"/>
  <c r="J136" i="4"/>
  <c r="C1439" i="4"/>
  <c r="F1908" i="4"/>
  <c r="D1787" i="4"/>
  <c r="L1570" i="4"/>
  <c r="M372" i="4"/>
  <c r="F1186" i="4"/>
  <c r="D1091" i="4"/>
  <c r="K1036" i="4"/>
  <c r="G202" i="4"/>
  <c r="M205" i="4"/>
  <c r="M1715" i="4"/>
  <c r="K948" i="4"/>
  <c r="D1549" i="4"/>
  <c r="D1060" i="4"/>
  <c r="J1024" i="4"/>
  <c r="C1311" i="4"/>
  <c r="D173" i="4"/>
  <c r="F43" i="4"/>
  <c r="I1968" i="4"/>
  <c r="M769" i="4"/>
  <c r="K133" i="4"/>
  <c r="E307" i="4"/>
  <c r="B881" i="4"/>
  <c r="J152" i="4"/>
  <c r="L649" i="4"/>
  <c r="K1919" i="4"/>
  <c r="C496" i="4"/>
  <c r="F1005" i="4"/>
  <c r="F485" i="4"/>
  <c r="I1692" i="4"/>
  <c r="J942" i="4"/>
  <c r="L737" i="4"/>
  <c r="F1877" i="4"/>
  <c r="B118" i="4"/>
  <c r="E1135" i="4"/>
  <c r="M1090" i="4"/>
  <c r="F983" i="4"/>
  <c r="M1082" i="4"/>
  <c r="J1901" i="4"/>
  <c r="K183" i="4"/>
  <c r="J189" i="4"/>
  <c r="I627" i="4"/>
  <c r="C9" i="4"/>
  <c r="I308" i="4"/>
  <c r="B718" i="4"/>
  <c r="I1663" i="4"/>
  <c r="C274" i="4"/>
  <c r="C1441" i="4"/>
  <c r="I1599" i="4"/>
  <c r="C448" i="4"/>
  <c r="J1005" i="4"/>
  <c r="C1620" i="4"/>
  <c r="I1955" i="4"/>
  <c r="G261" i="4"/>
  <c r="J1778" i="4"/>
  <c r="I463" i="4"/>
  <c r="M856" i="4"/>
  <c r="G1429" i="4"/>
  <c r="K544" i="4"/>
  <c r="L14" i="4"/>
  <c r="J1347" i="4"/>
  <c r="F1287" i="4"/>
  <c r="I365" i="4"/>
  <c r="I53" i="4"/>
  <c r="J1435" i="4"/>
  <c r="C93" i="4"/>
  <c r="E665" i="4"/>
  <c r="I913" i="4"/>
  <c r="F1498" i="4"/>
  <c r="B1145" i="4"/>
  <c r="C284" i="4"/>
  <c r="C76" i="4"/>
  <c r="M610" i="4"/>
  <c r="J801" i="4"/>
  <c r="D19" i="4"/>
  <c r="C1736" i="4"/>
  <c r="J1093" i="4"/>
  <c r="J1567" i="4"/>
  <c r="J450" i="4"/>
  <c r="K1391" i="4"/>
  <c r="I1873" i="4"/>
  <c r="F995" i="4"/>
  <c r="F359" i="4"/>
  <c r="C938" i="4"/>
  <c r="E496" i="4"/>
  <c r="G1138" i="4"/>
  <c r="J1833" i="4"/>
  <c r="L333" i="4"/>
  <c r="J962" i="4"/>
  <c r="L1000" i="4"/>
  <c r="G2001" i="4"/>
  <c r="J1371" i="4"/>
  <c r="C725" i="4"/>
  <c r="K174" i="4"/>
  <c r="I537" i="4"/>
  <c r="J573" i="4"/>
  <c r="K172" i="4"/>
  <c r="M355" i="4"/>
  <c r="J1361" i="4"/>
  <c r="D1313" i="4"/>
  <c r="C318" i="4"/>
  <c r="J377" i="4"/>
  <c r="F315" i="4"/>
  <c r="M1289" i="4"/>
  <c r="G102" i="4"/>
  <c r="I862" i="4"/>
  <c r="I1387" i="4"/>
  <c r="L63" i="4"/>
  <c r="J1658" i="4"/>
  <c r="F904" i="4"/>
  <c r="D102" i="4"/>
  <c r="L1597" i="4"/>
  <c r="D351" i="4"/>
  <c r="C1256" i="4"/>
  <c r="I1722" i="4"/>
  <c r="J460" i="4"/>
  <c r="I174" i="4"/>
  <c r="L165" i="4"/>
  <c r="G1924" i="4"/>
  <c r="D215" i="4"/>
  <c r="G1820" i="4"/>
  <c r="C1087" i="4"/>
  <c r="L217" i="4"/>
  <c r="J1881" i="4"/>
  <c r="L732" i="4"/>
  <c r="I1282" i="4"/>
  <c r="M190" i="4"/>
  <c r="K192" i="4"/>
  <c r="J1675" i="4"/>
  <c r="I103" i="4"/>
  <c r="L1883" i="4"/>
  <c r="I1833" i="4"/>
  <c r="J1555" i="4"/>
  <c r="I17" i="4"/>
  <c r="K911" i="4"/>
  <c r="J889" i="4"/>
  <c r="J1235" i="4"/>
  <c r="K86" i="4"/>
  <c r="B302" i="4"/>
  <c r="G402" i="4"/>
  <c r="E527" i="4"/>
  <c r="J974" i="4"/>
  <c r="L723" i="4"/>
  <c r="F707" i="4"/>
  <c r="C1890" i="4"/>
  <c r="F1795" i="4"/>
  <c r="C571" i="4"/>
  <c r="E85" i="4"/>
  <c r="J86" i="4"/>
  <c r="J1401" i="4"/>
  <c r="I353" i="4"/>
  <c r="B1811" i="4"/>
  <c r="J1266" i="4"/>
  <c r="J1595" i="4"/>
  <c r="J1277" i="4"/>
  <c r="J2008" i="4"/>
  <c r="D1351" i="4"/>
  <c r="I268" i="4"/>
  <c r="I797" i="4"/>
  <c r="I1558" i="4"/>
  <c r="J705" i="4"/>
  <c r="D1408" i="4"/>
  <c r="D1669" i="4"/>
  <c r="B58" i="4"/>
  <c r="C313" i="4"/>
  <c r="J1936" i="4"/>
  <c r="K328" i="4"/>
  <c r="C295" i="4"/>
  <c r="I96" i="4"/>
  <c r="M13" i="4"/>
  <c r="M208" i="4"/>
  <c r="F813" i="4"/>
  <c r="B251" i="4"/>
  <c r="M1304" i="4"/>
  <c r="G732" i="4"/>
  <c r="M154" i="4"/>
  <c r="E392" i="4"/>
  <c r="F1021" i="4"/>
  <c r="B977" i="4"/>
  <c r="E833" i="4"/>
  <c r="D426" i="4"/>
  <c r="C127" i="4"/>
  <c r="J1167" i="4"/>
  <c r="F1242" i="4"/>
  <c r="G1112" i="4"/>
  <c r="C1374" i="4"/>
  <c r="G1642" i="4"/>
  <c r="E1256" i="4"/>
  <c r="M966" i="4"/>
  <c r="I111" i="4"/>
  <c r="D218" i="4"/>
  <c r="L1230" i="4"/>
  <c r="D1709" i="4"/>
  <c r="M1745" i="4"/>
  <c r="B1537" i="4"/>
  <c r="D1528" i="4"/>
  <c r="M175" i="4"/>
  <c r="C138" i="4"/>
  <c r="I55" i="4"/>
  <c r="M1428" i="4"/>
  <c r="I1231" i="4"/>
  <c r="J388" i="4"/>
  <c r="D1393" i="4"/>
  <c r="G680" i="4"/>
  <c r="L670" i="4"/>
  <c r="E1129" i="4"/>
  <c r="J1831" i="4"/>
  <c r="J234" i="4"/>
  <c r="K243" i="4"/>
  <c r="J1172" i="4"/>
  <c r="I1730" i="4"/>
  <c r="C1130" i="4"/>
  <c r="B1510" i="4"/>
  <c r="E1949" i="4"/>
  <c r="F750" i="4"/>
  <c r="B1658" i="4"/>
  <c r="L1771" i="4"/>
  <c r="J541" i="4"/>
  <c r="K569" i="4"/>
  <c r="I1043" i="4"/>
  <c r="G1883" i="4"/>
  <c r="J265" i="4"/>
  <c r="F859" i="4"/>
  <c r="K346" i="4"/>
  <c r="K129" i="4"/>
  <c r="B842" i="4"/>
  <c r="I150" i="4"/>
  <c r="I561" i="4"/>
  <c r="B480" i="4"/>
  <c r="E1364" i="4"/>
  <c r="B666" i="4"/>
  <c r="I922" i="4"/>
  <c r="D1444" i="4"/>
  <c r="G1905" i="4"/>
  <c r="E993" i="4"/>
  <c r="K875" i="4"/>
  <c r="F457" i="4"/>
  <c r="M1833" i="4"/>
  <c r="I1116" i="4"/>
  <c r="F703" i="4"/>
  <c r="B737" i="4"/>
  <c r="F817" i="4"/>
  <c r="K1709" i="4"/>
  <c r="D232" i="4"/>
  <c r="G248" i="4"/>
  <c r="E737" i="4"/>
  <c r="D1601" i="4"/>
  <c r="E1267" i="4"/>
  <c r="E676" i="4"/>
  <c r="J615" i="4"/>
  <c r="D709" i="4"/>
  <c r="I1515" i="4"/>
  <c r="J723" i="4"/>
  <c r="K205" i="4"/>
  <c r="D319" i="4"/>
  <c r="M1544" i="4"/>
  <c r="I1439" i="4"/>
  <c r="I251" i="4"/>
  <c r="I1756" i="4"/>
  <c r="F705" i="4"/>
  <c r="J173" i="4"/>
  <c r="L775" i="4"/>
  <c r="K626" i="4"/>
  <c r="I430" i="4"/>
  <c r="F806" i="4"/>
  <c r="D54" i="4"/>
  <c r="E552" i="4"/>
  <c r="J1008" i="4"/>
  <c r="J1840" i="4"/>
  <c r="F1799" i="4"/>
  <c r="C1809" i="4"/>
  <c r="J1503" i="4"/>
  <c r="K271" i="4"/>
  <c r="C268" i="4"/>
  <c r="B1174" i="4"/>
  <c r="C1187" i="4"/>
  <c r="G1716" i="4"/>
  <c r="D1659" i="4"/>
  <c r="D1630" i="4"/>
  <c r="K7" i="4"/>
  <c r="L202" i="4"/>
  <c r="B1623" i="4"/>
  <c r="L930" i="4"/>
  <c r="M1195" i="4"/>
  <c r="D629" i="4"/>
  <c r="C1474" i="4"/>
  <c r="J156" i="4"/>
  <c r="L850" i="4"/>
  <c r="K1392" i="4"/>
  <c r="K1148" i="4"/>
  <c r="B1911" i="4"/>
  <c r="D1997" i="4"/>
  <c r="K378" i="4"/>
  <c r="L95" i="4"/>
  <c r="C461" i="4"/>
  <c r="D309" i="4"/>
  <c r="E1350" i="4"/>
  <c r="C1410" i="4"/>
  <c r="K137" i="4"/>
  <c r="J348" i="4"/>
  <c r="L1416" i="4"/>
  <c r="K1808" i="4"/>
  <c r="L1722" i="4"/>
  <c r="E478" i="4"/>
  <c r="K1030" i="4"/>
  <c r="M1904" i="4"/>
  <c r="G1406" i="4"/>
  <c r="M432" i="4"/>
  <c r="L1841" i="4"/>
  <c r="L436" i="4"/>
  <c r="C484" i="4"/>
  <c r="B2009" i="4"/>
  <c r="E826" i="4"/>
  <c r="B1291" i="4"/>
  <c r="D2" i="4"/>
  <c r="F1315" i="4"/>
  <c r="J1437" i="4"/>
  <c r="L404" i="4"/>
  <c r="E2004" i="4"/>
  <c r="M1069" i="4"/>
  <c r="K1222" i="4"/>
  <c r="E1418" i="4"/>
  <c r="D1907" i="4"/>
  <c r="D1449" i="4"/>
  <c r="C2003" i="4"/>
  <c r="M1067" i="4"/>
  <c r="J576" i="4"/>
  <c r="E314" i="4"/>
  <c r="M2001" i="4"/>
  <c r="L1162" i="4"/>
  <c r="C1834" i="4"/>
  <c r="C990" i="4"/>
  <c r="I860" i="4"/>
  <c r="F553" i="4"/>
  <c r="L1848" i="4"/>
  <c r="E1416" i="4"/>
  <c r="D1482" i="4"/>
  <c r="L1713" i="4"/>
  <c r="K256" i="4"/>
  <c r="G268" i="4"/>
  <c r="D564" i="4"/>
  <c r="G1120" i="4"/>
  <c r="D909" i="4"/>
  <c r="L889" i="4"/>
  <c r="J1869" i="4"/>
  <c r="I1498" i="4"/>
  <c r="L903" i="4"/>
  <c r="I783" i="4"/>
  <c r="L160" i="4"/>
  <c r="D868" i="4"/>
  <c r="I1987" i="4"/>
  <c r="G1046" i="4"/>
  <c r="L70" i="4"/>
  <c r="D1712" i="4"/>
  <c r="K1905" i="4"/>
  <c r="M161" i="4"/>
  <c r="B969" i="4"/>
  <c r="K1678" i="4"/>
  <c r="D1084" i="4"/>
  <c r="I559" i="4"/>
  <c r="L1938" i="4"/>
  <c r="F1924" i="4"/>
  <c r="F1602" i="4"/>
  <c r="K508" i="4"/>
  <c r="K1432" i="4"/>
  <c r="D1366" i="4"/>
  <c r="C1278" i="4"/>
  <c r="L718" i="4"/>
  <c r="B526" i="4"/>
  <c r="K628" i="4"/>
  <c r="G1290" i="4"/>
  <c r="C672" i="4"/>
  <c r="M1662" i="4"/>
  <c r="J1445" i="4"/>
  <c r="B1534" i="4"/>
  <c r="M1935" i="4"/>
  <c r="M524" i="4"/>
  <c r="C799" i="4"/>
  <c r="G1237" i="4"/>
  <c r="K1173" i="4"/>
  <c r="G1473" i="4"/>
  <c r="B1472" i="4"/>
  <c r="J1991" i="4"/>
  <c r="G1420" i="4"/>
  <c r="G1984" i="4"/>
  <c r="F847" i="4"/>
  <c r="I434" i="4"/>
  <c r="I1893" i="4"/>
  <c r="J1599" i="4"/>
  <c r="G197" i="4"/>
  <c r="J1185" i="4"/>
  <c r="I65" i="4"/>
  <c r="M835" i="4"/>
  <c r="J613" i="4"/>
  <c r="J1460" i="4"/>
  <c r="K1791" i="4"/>
  <c r="I522" i="4"/>
  <c r="G64" i="4"/>
  <c r="C708" i="4"/>
  <c r="L1331" i="4"/>
  <c r="I1438" i="4"/>
  <c r="J1996" i="4"/>
  <c r="J1438" i="4"/>
  <c r="J329" i="4"/>
  <c r="J1273" i="4"/>
  <c r="E768" i="4"/>
  <c r="J502" i="4"/>
  <c r="C41" i="4"/>
  <c r="G526" i="4"/>
  <c r="K385" i="4"/>
  <c r="E1529" i="4"/>
  <c r="F610" i="4"/>
  <c r="K34" i="4"/>
  <c r="C73" i="4"/>
  <c r="I235" i="4"/>
  <c r="F122" i="4"/>
  <c r="B590" i="4"/>
  <c r="G1486" i="4"/>
  <c r="L911" i="4"/>
  <c r="E1445" i="4"/>
  <c r="M851" i="4"/>
  <c r="C551" i="4"/>
  <c r="L67" i="4"/>
  <c r="C1102" i="4"/>
  <c r="J178" i="4"/>
  <c r="G1280" i="4"/>
  <c r="E441" i="4"/>
  <c r="L1705" i="4"/>
  <c r="L923" i="4"/>
  <c r="L1815" i="4"/>
  <c r="I2002" i="4"/>
  <c r="C1211" i="4"/>
  <c r="I719" i="4"/>
  <c r="C481" i="4"/>
  <c r="F1969" i="4"/>
  <c r="E26" i="4"/>
  <c r="J1291" i="4"/>
  <c r="B562" i="4"/>
  <c r="C870" i="4"/>
  <c r="E277" i="4"/>
  <c r="L564" i="4"/>
  <c r="C432" i="4"/>
  <c r="L386" i="4"/>
  <c r="M211" i="4"/>
  <c r="E729" i="4"/>
  <c r="J1309" i="4"/>
  <c r="F938" i="4"/>
  <c r="D740" i="4"/>
  <c r="F143" i="4"/>
  <c r="L62" i="4"/>
  <c r="D567" i="4"/>
  <c r="I1135" i="4"/>
  <c r="F103" i="4"/>
  <c r="I226" i="4"/>
  <c r="J842" i="4"/>
  <c r="C1134" i="4"/>
  <c r="K901" i="4"/>
  <c r="M34" i="4"/>
  <c r="F977" i="4"/>
  <c r="D393" i="4"/>
  <c r="I1384" i="4"/>
  <c r="J817" i="4"/>
  <c r="F792" i="4"/>
  <c r="J1454" i="4"/>
  <c r="D933" i="4"/>
  <c r="L408" i="4"/>
  <c r="J112" i="4"/>
  <c r="K104" i="4"/>
  <c r="J18" i="4"/>
  <c r="J1436" i="4"/>
  <c r="D210" i="4"/>
  <c r="I524" i="4"/>
  <c r="I485" i="4"/>
  <c r="G998" i="4"/>
  <c r="B166" i="4"/>
  <c r="J818" i="4"/>
  <c r="B912" i="4"/>
  <c r="E618" i="4"/>
  <c r="M143" i="4"/>
  <c r="I170" i="4"/>
  <c r="M128" i="4"/>
  <c r="G189" i="4"/>
  <c r="C775" i="4"/>
  <c r="C301" i="4"/>
  <c r="D360" i="4"/>
  <c r="I1267" i="4"/>
  <c r="I87" i="4"/>
  <c r="D147" i="4"/>
  <c r="C53" i="4"/>
  <c r="K1853" i="4"/>
  <c r="I1577" i="4"/>
  <c r="C1659" i="4"/>
  <c r="F302" i="4"/>
  <c r="E1322" i="4"/>
  <c r="I326" i="4"/>
  <c r="B1268" i="4"/>
  <c r="K1705" i="4"/>
  <c r="C995" i="4"/>
  <c r="M594" i="4"/>
  <c r="L1001" i="4"/>
  <c r="C1853" i="4"/>
  <c r="G1333" i="4"/>
  <c r="E421" i="4"/>
  <c r="L786" i="4"/>
  <c r="K36" i="4"/>
  <c r="L1607" i="4"/>
  <c r="L27" i="4"/>
  <c r="J977" i="4"/>
  <c r="G31" i="4"/>
  <c r="D1853" i="4"/>
  <c r="E896" i="4"/>
  <c r="G75" i="4"/>
  <c r="D1949" i="4"/>
  <c r="I803" i="4"/>
  <c r="D1390" i="4"/>
  <c r="E549" i="4"/>
  <c r="B1726" i="4"/>
  <c r="E548" i="4"/>
  <c r="J758" i="4"/>
  <c r="L6" i="4"/>
  <c r="C839" i="4"/>
  <c r="F1475" i="4"/>
  <c r="D1721" i="4"/>
  <c r="F1821" i="4"/>
  <c r="K242" i="4"/>
  <c r="G1261" i="4"/>
  <c r="C1965" i="4"/>
  <c r="J1708" i="4"/>
  <c r="F754" i="4"/>
  <c r="B1353" i="4"/>
  <c r="M1042" i="4"/>
  <c r="B1024" i="4"/>
  <c r="I1772" i="4"/>
  <c r="G607" i="4"/>
  <c r="J1058" i="4"/>
  <c r="C1092" i="4"/>
  <c r="C1435" i="4"/>
  <c r="L774" i="4"/>
  <c r="C384" i="4"/>
  <c r="F1611" i="4"/>
  <c r="B1201" i="4"/>
  <c r="K1939" i="4"/>
  <c r="E1219" i="4"/>
  <c r="G656" i="4"/>
  <c r="C296" i="4"/>
  <c r="M234" i="4"/>
  <c r="D1640" i="4"/>
  <c r="K1467" i="4"/>
  <c r="I908" i="4"/>
  <c r="M1333" i="4"/>
  <c r="I1235" i="4"/>
  <c r="G1522" i="4"/>
  <c r="I1563" i="4"/>
  <c r="K995" i="4"/>
  <c r="C1284" i="4"/>
  <c r="J1777" i="4"/>
  <c r="I1403" i="4"/>
  <c r="B836" i="4"/>
  <c r="D506" i="4"/>
  <c r="E177" i="4"/>
  <c r="B576" i="4"/>
  <c r="B205" i="4"/>
  <c r="G757" i="4"/>
  <c r="C905" i="4"/>
  <c r="L240" i="4"/>
  <c r="L4" i="4"/>
  <c r="E585" i="4"/>
  <c r="K296" i="4"/>
  <c r="J1997" i="4"/>
  <c r="J1394" i="4"/>
  <c r="J1964" i="4"/>
  <c r="D410" i="4"/>
  <c r="E77" i="4"/>
  <c r="G1047" i="4"/>
  <c r="J1019" i="4"/>
  <c r="B596" i="4"/>
  <c r="B361" i="4"/>
  <c r="E1796" i="4"/>
  <c r="G655" i="4"/>
  <c r="L290" i="4"/>
  <c r="F133" i="4"/>
  <c r="M70" i="4"/>
  <c r="K333" i="4"/>
  <c r="E293" i="4"/>
  <c r="I39" i="4"/>
  <c r="C176" i="4"/>
  <c r="J1892" i="4"/>
  <c r="G1769" i="4"/>
  <c r="K742" i="4"/>
  <c r="M1331" i="4"/>
  <c r="K558" i="4"/>
  <c r="F248" i="4"/>
  <c r="B130" i="4"/>
  <c r="I1977" i="4"/>
  <c r="E554" i="4"/>
  <c r="J429" i="4"/>
  <c r="L500" i="4"/>
  <c r="M271" i="4"/>
  <c r="I1659" i="4"/>
  <c r="I1309" i="4"/>
  <c r="F690" i="4"/>
  <c r="D258" i="4"/>
  <c r="E83" i="4"/>
  <c r="I542" i="4"/>
  <c r="J735" i="4"/>
  <c r="E136" i="4"/>
  <c r="J1223" i="4"/>
  <c r="J158" i="4"/>
  <c r="B1608" i="4"/>
  <c r="F1651" i="4"/>
  <c r="K289" i="4"/>
  <c r="L185" i="4"/>
  <c r="D339" i="4"/>
  <c r="L1458" i="4"/>
  <c r="B347" i="4"/>
  <c r="D578" i="4"/>
  <c r="B1366" i="4"/>
  <c r="E1464" i="4"/>
  <c r="M1672" i="4"/>
  <c r="F290" i="4"/>
  <c r="J1864" i="4"/>
  <c r="G821" i="4"/>
  <c r="F1660" i="4"/>
  <c r="K1603" i="4"/>
  <c r="J938" i="4"/>
  <c r="J1297" i="4"/>
  <c r="E1758" i="4"/>
  <c r="D1463" i="4"/>
  <c r="C440" i="4"/>
  <c r="D452" i="4"/>
  <c r="E667" i="4"/>
  <c r="D1295" i="4"/>
  <c r="C228" i="4"/>
  <c r="M310" i="4"/>
  <c r="I658" i="4"/>
  <c r="L1409" i="4"/>
  <c r="I700" i="4"/>
  <c r="K811" i="4"/>
  <c r="L820" i="4"/>
  <c r="E1691" i="4"/>
  <c r="G1955" i="4"/>
  <c r="F1212" i="4"/>
  <c r="F279" i="4"/>
  <c r="L1822" i="4"/>
  <c r="L326" i="4"/>
  <c r="M335" i="4"/>
  <c r="I1814" i="4"/>
  <c r="B449" i="4"/>
  <c r="G509" i="4"/>
  <c r="L1964" i="4"/>
  <c r="F1923" i="4"/>
  <c r="L495" i="4"/>
  <c r="B1062" i="4"/>
  <c r="K1154" i="4"/>
  <c r="M477" i="4"/>
  <c r="G1253" i="4"/>
  <c r="F62" i="4"/>
  <c r="B521" i="4"/>
  <c r="K1002" i="4"/>
  <c r="D685" i="4"/>
  <c r="I1936" i="4"/>
  <c r="E337" i="4"/>
  <c r="C562" i="4"/>
  <c r="C1017" i="4"/>
  <c r="G1298" i="4"/>
  <c r="E152" i="4"/>
  <c r="I730" i="4"/>
  <c r="B670" i="4"/>
  <c r="J530" i="4"/>
  <c r="C709" i="4"/>
  <c r="J1258" i="4"/>
  <c r="L632" i="4"/>
  <c r="D152" i="4"/>
  <c r="C720" i="4"/>
  <c r="C966" i="4"/>
  <c r="G1323" i="4"/>
  <c r="L1887" i="4"/>
  <c r="I1632" i="4"/>
  <c r="I864" i="4"/>
  <c r="B1590" i="4"/>
  <c r="L1965" i="4"/>
  <c r="D862" i="4"/>
  <c r="F1259" i="4"/>
  <c r="C128" i="4"/>
  <c r="L180" i="4"/>
  <c r="E837" i="4"/>
  <c r="L89" i="4"/>
  <c r="I1452" i="4"/>
  <c r="E410" i="4"/>
  <c r="K1823" i="4"/>
  <c r="J1476" i="4"/>
  <c r="B212" i="4"/>
  <c r="G728" i="4"/>
  <c r="K986" i="4"/>
  <c r="C776" i="4"/>
  <c r="J139" i="4"/>
  <c r="J552" i="4"/>
  <c r="L1633" i="4"/>
  <c r="I1369" i="4"/>
  <c r="I1871" i="4"/>
  <c r="B522" i="4"/>
  <c r="B1931" i="4"/>
  <c r="M316" i="4"/>
  <c r="J972" i="4"/>
  <c r="L1807" i="4"/>
  <c r="J1672" i="4"/>
  <c r="L1629" i="4"/>
  <c r="J1199" i="4"/>
  <c r="L1178" i="4"/>
  <c r="K181" i="4"/>
  <c r="B440" i="4"/>
  <c r="J1946" i="4"/>
  <c r="J687" i="4"/>
  <c r="K261" i="4"/>
  <c r="M1071" i="4"/>
  <c r="L369" i="4"/>
  <c r="L1696" i="4"/>
  <c r="J848" i="4"/>
  <c r="E164" i="4"/>
  <c r="L1353" i="4"/>
  <c r="L302" i="4"/>
  <c r="B1371" i="4"/>
  <c r="M431" i="4"/>
  <c r="E1419" i="4"/>
  <c r="F1985" i="4"/>
  <c r="J812" i="4"/>
  <c r="C1682" i="4"/>
  <c r="F1169" i="4"/>
  <c r="C340" i="4"/>
  <c r="M255" i="4"/>
  <c r="C1507" i="4"/>
  <c r="I1519" i="4"/>
  <c r="G306" i="4"/>
  <c r="G813" i="4"/>
  <c r="J1396" i="4"/>
  <c r="M1281" i="4"/>
  <c r="L360" i="4"/>
  <c r="C1933" i="4"/>
  <c r="J1730" i="4"/>
  <c r="G688" i="4"/>
  <c r="L807" i="4"/>
  <c r="D1597" i="4"/>
  <c r="E720" i="4"/>
  <c r="C1488" i="4"/>
  <c r="I1221" i="4"/>
  <c r="E62" i="4"/>
  <c r="C1914" i="4"/>
  <c r="D1233" i="4"/>
  <c r="J1919" i="4"/>
  <c r="F1570" i="4"/>
  <c r="M269" i="4"/>
  <c r="E829" i="4"/>
  <c r="L1789" i="4"/>
  <c r="D945" i="4"/>
  <c r="M147" i="4"/>
  <c r="G684" i="4"/>
  <c r="F153" i="4"/>
  <c r="L1276" i="4"/>
  <c r="C742" i="4"/>
  <c r="K926" i="4"/>
  <c r="M1450" i="4"/>
  <c r="E393" i="4"/>
  <c r="L698" i="4"/>
  <c r="C1444" i="4"/>
  <c r="K529" i="4"/>
  <c r="C569" i="4"/>
  <c r="I1973" i="4"/>
  <c r="C614" i="4"/>
  <c r="C1018" i="4"/>
  <c r="J168" i="4"/>
  <c r="K834" i="4"/>
  <c r="G701" i="4"/>
  <c r="I914" i="4"/>
  <c r="C665" i="4"/>
  <c r="J1360" i="4"/>
  <c r="B873" i="4"/>
  <c r="E197" i="4"/>
  <c r="L1448" i="4"/>
  <c r="G642" i="4"/>
  <c r="F498" i="4"/>
  <c r="K1664" i="4"/>
  <c r="F320" i="4"/>
  <c r="E379" i="4"/>
  <c r="J624" i="4"/>
  <c r="K983" i="4"/>
  <c r="I624" i="4"/>
  <c r="F1537" i="4"/>
  <c r="E479" i="4"/>
  <c r="C1154" i="4"/>
  <c r="D1846" i="4"/>
  <c r="C977" i="4"/>
  <c r="G772" i="4"/>
  <c r="K1992" i="4"/>
  <c r="L756" i="4"/>
  <c r="K1297" i="4"/>
  <c r="L716" i="4"/>
  <c r="B1829" i="4"/>
  <c r="B1233" i="4"/>
  <c r="M178" i="4"/>
  <c r="E179" i="4"/>
  <c r="E388" i="4"/>
  <c r="I90" i="4"/>
  <c r="M556" i="4"/>
  <c r="F550" i="4"/>
  <c r="M1556" i="4"/>
  <c r="G1995" i="4"/>
  <c r="M94" i="4"/>
  <c r="F250" i="4"/>
  <c r="G1114" i="4"/>
  <c r="B1203" i="4"/>
  <c r="D50" i="4"/>
  <c r="M1077" i="4"/>
  <c r="J1196" i="4"/>
  <c r="F1003" i="4"/>
  <c r="M787" i="4"/>
  <c r="D678" i="4"/>
  <c r="F1264" i="4"/>
  <c r="M488" i="4"/>
  <c r="K1515" i="4"/>
  <c r="E1203" i="4"/>
  <c r="E568" i="4"/>
  <c r="M1511" i="4"/>
  <c r="K1775" i="4"/>
  <c r="G1796" i="4"/>
  <c r="I320" i="4"/>
  <c r="F1174" i="4"/>
  <c r="C588" i="4"/>
  <c r="E1055" i="4"/>
  <c r="M1689" i="4"/>
  <c r="C92" i="4"/>
  <c r="E789" i="4"/>
  <c r="I476" i="4"/>
  <c r="D154" i="4"/>
  <c r="J1538" i="4"/>
  <c r="E1074" i="4"/>
  <c r="C1020" i="4"/>
  <c r="M590" i="4"/>
  <c r="M1097" i="4"/>
  <c r="K638" i="4"/>
  <c r="E816" i="4"/>
  <c r="D1603" i="4"/>
  <c r="D1183" i="4"/>
  <c r="B25" i="4"/>
  <c r="B481" i="4"/>
  <c r="M1811" i="4"/>
  <c r="L508" i="4"/>
  <c r="K581" i="4"/>
  <c r="M1972" i="4"/>
  <c r="L846" i="4"/>
  <c r="C1022" i="4"/>
  <c r="C324" i="4"/>
  <c r="K45" i="4"/>
  <c r="L559" i="4"/>
  <c r="L425" i="4"/>
  <c r="K1615" i="4"/>
  <c r="G560" i="4"/>
  <c r="K1010" i="4"/>
  <c r="G228" i="4"/>
  <c r="J410" i="4"/>
  <c r="K1079" i="4"/>
  <c r="G1087" i="4"/>
  <c r="F1598" i="4"/>
  <c r="C1768" i="4"/>
  <c r="M655" i="4"/>
  <c r="C114" i="4"/>
  <c r="K1166" i="4"/>
  <c r="K1281" i="4"/>
  <c r="M944" i="4"/>
  <c r="L264" i="4"/>
  <c r="M1169" i="4"/>
  <c r="L480" i="4"/>
  <c r="C784" i="4"/>
  <c r="L883" i="4"/>
  <c r="E1992" i="4"/>
  <c r="L1210" i="4"/>
  <c r="E138" i="4"/>
  <c r="C1899" i="4"/>
  <c r="L1909" i="4"/>
  <c r="C648" i="4"/>
  <c r="L1918" i="4"/>
  <c r="G496" i="4"/>
  <c r="F1052" i="4"/>
  <c r="K16" i="4"/>
  <c r="C263" i="4"/>
  <c r="E796" i="4"/>
  <c r="D1473" i="4"/>
  <c r="D353" i="4"/>
  <c r="C1182" i="4"/>
  <c r="G569" i="4"/>
  <c r="K1947" i="4"/>
  <c r="C1039" i="4"/>
  <c r="G1897" i="4"/>
  <c r="L874" i="4"/>
  <c r="I946" i="4"/>
  <c r="G693" i="4"/>
  <c r="I1316" i="4"/>
  <c r="L1519" i="4"/>
  <c r="B1865" i="4"/>
  <c r="D139" i="4"/>
  <c r="G1850" i="4"/>
  <c r="I465" i="4"/>
  <c r="L548" i="4"/>
  <c r="I793" i="4"/>
  <c r="I1027" i="4"/>
  <c r="M300" i="4"/>
  <c r="J182" i="4"/>
  <c r="M1631" i="4"/>
  <c r="C279" i="4"/>
  <c r="C575" i="4"/>
  <c r="J1564" i="4"/>
  <c r="I1946" i="4"/>
  <c r="I242" i="4"/>
  <c r="B1522" i="4"/>
  <c r="I1451" i="4"/>
  <c r="M294" i="4"/>
  <c r="I315" i="4"/>
  <c r="C858" i="4"/>
  <c r="E269" i="4"/>
  <c r="I991" i="4"/>
  <c r="J732" i="4"/>
  <c r="B899" i="4"/>
  <c r="B48" i="4"/>
  <c r="F164" i="4"/>
  <c r="E1690" i="4"/>
  <c r="I181" i="4"/>
  <c r="B1057" i="4"/>
  <c r="I1628" i="4"/>
  <c r="I224" i="4"/>
  <c r="J1385" i="4"/>
  <c r="J885" i="4"/>
  <c r="I1693" i="4"/>
  <c r="C69" i="4"/>
  <c r="F858" i="4"/>
  <c r="C277" i="4"/>
  <c r="B91" i="4"/>
  <c r="D657" i="4"/>
  <c r="J961" i="4"/>
  <c r="I706" i="4"/>
  <c r="C1291" i="4"/>
  <c r="K842" i="4"/>
  <c r="G678" i="4"/>
  <c r="J1634" i="4"/>
  <c r="K221" i="4"/>
  <c r="E1142" i="4"/>
  <c r="L675" i="4"/>
  <c r="C378" i="4"/>
  <c r="K377" i="4"/>
  <c r="J1888" i="4"/>
  <c r="D214" i="4"/>
  <c r="J1744" i="4"/>
  <c r="M1200" i="4"/>
  <c r="M177" i="4"/>
  <c r="K1299" i="4"/>
  <c r="G1346" i="4"/>
  <c r="B972" i="4"/>
  <c r="J350" i="4"/>
  <c r="J685" i="4"/>
  <c r="F1529" i="4"/>
  <c r="K1137" i="4"/>
  <c r="E1669" i="4"/>
  <c r="D987" i="4"/>
  <c r="D1923" i="4"/>
  <c r="K1366" i="4"/>
  <c r="L1436" i="4"/>
  <c r="B1940" i="4"/>
  <c r="M1699" i="4"/>
  <c r="M1790" i="4"/>
  <c r="F471" i="4"/>
  <c r="J1049" i="4"/>
  <c r="B1069" i="4"/>
  <c r="E107" i="4"/>
  <c r="F1359" i="4"/>
  <c r="L169" i="4"/>
  <c r="C587" i="4"/>
  <c r="B940" i="4"/>
  <c r="M1918" i="4"/>
  <c r="E489" i="4"/>
  <c r="F397" i="4"/>
  <c r="E186" i="4"/>
  <c r="E360" i="4"/>
  <c r="F548" i="4"/>
  <c r="B1778" i="4"/>
  <c r="F482" i="4"/>
  <c r="J1341" i="4"/>
  <c r="D1407" i="4"/>
  <c r="J943" i="4"/>
  <c r="F1116" i="4"/>
  <c r="B95" i="4"/>
  <c r="J1798" i="4"/>
  <c r="I855" i="4"/>
  <c r="G1559" i="4"/>
  <c r="J539" i="4"/>
  <c r="I266" i="4"/>
  <c r="J253" i="4"/>
  <c r="J146" i="4"/>
  <c r="B189" i="4"/>
  <c r="E465" i="4"/>
  <c r="J989" i="4"/>
  <c r="L1308" i="4"/>
  <c r="J1933" i="4"/>
  <c r="D1530" i="4"/>
  <c r="L542" i="4"/>
  <c r="I888" i="4"/>
  <c r="F924" i="4"/>
  <c r="E1709" i="4"/>
  <c r="M533" i="4"/>
  <c r="J534" i="4"/>
  <c r="J231" i="4"/>
  <c r="J1184" i="4"/>
  <c r="G1681" i="4"/>
  <c r="M1776" i="4"/>
  <c r="E1218" i="4"/>
  <c r="F446" i="4"/>
  <c r="D1619" i="4"/>
  <c r="D1088" i="4"/>
  <c r="F93" i="4"/>
  <c r="M389" i="4"/>
  <c r="B1820" i="4"/>
  <c r="K108" i="4"/>
  <c r="E330" i="4"/>
  <c r="M176" i="4"/>
  <c r="G155" i="4"/>
  <c r="I1830" i="4"/>
  <c r="I814" i="4"/>
  <c r="I1535" i="4"/>
  <c r="G974" i="4"/>
  <c r="I1543" i="4"/>
  <c r="I1236" i="4"/>
  <c r="B432" i="4"/>
  <c r="J697" i="4"/>
  <c r="L1647" i="4"/>
  <c r="M632" i="4"/>
  <c r="C1767" i="4"/>
  <c r="C94" i="4"/>
  <c r="J1570" i="4"/>
  <c r="I961" i="4"/>
  <c r="F450" i="4"/>
  <c r="J1077" i="4"/>
  <c r="J40" i="4"/>
  <c r="I832" i="4"/>
  <c r="L126" i="4"/>
  <c r="I976" i="4"/>
  <c r="F882" i="4"/>
  <c r="I1817" i="4"/>
  <c r="I1315" i="4"/>
  <c r="E389" i="4"/>
  <c r="F1803" i="4"/>
  <c r="F272" i="4"/>
  <c r="K1192" i="4"/>
  <c r="I970" i="4"/>
  <c r="M1661" i="4"/>
  <c r="B377" i="4"/>
  <c r="G885" i="4"/>
  <c r="M1966" i="4"/>
  <c r="J794" i="4"/>
  <c r="C1563" i="4"/>
  <c r="G1404" i="4"/>
  <c r="J1134" i="4"/>
  <c r="B804" i="4"/>
  <c r="K420" i="4"/>
  <c r="F300" i="4"/>
  <c r="L1058" i="4"/>
  <c r="M1134" i="4"/>
  <c r="G296" i="4"/>
  <c r="K1501" i="4"/>
  <c r="I2011" i="4"/>
  <c r="G1978" i="4"/>
  <c r="E999" i="4"/>
  <c r="I1621" i="4"/>
  <c r="M1243" i="4"/>
  <c r="J1882" i="4"/>
  <c r="J203" i="4"/>
  <c r="D1432" i="4"/>
  <c r="M179" i="4"/>
  <c r="M1301" i="4"/>
  <c r="I592" i="4"/>
  <c r="J1274" i="4"/>
  <c r="J1107" i="4"/>
  <c r="I1102" i="4"/>
  <c r="D552" i="4"/>
  <c r="F1106" i="4"/>
  <c r="M889" i="4"/>
  <c r="D1633" i="4"/>
  <c r="J863" i="4"/>
  <c r="F1688" i="4"/>
  <c r="F910" i="4"/>
  <c r="F1746" i="4"/>
  <c r="M272" i="4"/>
  <c r="I1297" i="4"/>
  <c r="C1320" i="4"/>
  <c r="M222" i="4"/>
  <c r="E656" i="4"/>
  <c r="G1791" i="4"/>
  <c r="D1142" i="4"/>
  <c r="F1122" i="4"/>
  <c r="C499" i="4"/>
  <c r="J117" i="4"/>
  <c r="M1336" i="4"/>
  <c r="L399" i="4"/>
  <c r="D480" i="4"/>
  <c r="C1783" i="4"/>
  <c r="M1521" i="4"/>
  <c r="K1867" i="4"/>
  <c r="C1398" i="4"/>
  <c r="J645" i="4"/>
  <c r="F11" i="4"/>
  <c r="K1994" i="4"/>
  <c r="K1587" i="4"/>
  <c r="J1721" i="4"/>
  <c r="F267" i="4"/>
  <c r="K20" i="4"/>
  <c r="K1161" i="4"/>
  <c r="M1536" i="4"/>
  <c r="K1565" i="4"/>
  <c r="B239" i="4"/>
  <c r="C1681" i="4"/>
  <c r="C883" i="4"/>
  <c r="K1966" i="4"/>
  <c r="D1063" i="4"/>
  <c r="K627" i="4"/>
  <c r="L1067" i="4"/>
  <c r="L1070" i="4"/>
  <c r="J584" i="4"/>
  <c r="C1553" i="4"/>
  <c r="G335" i="4"/>
  <c r="F1214" i="4"/>
  <c r="E34" i="4"/>
  <c r="E1377" i="4"/>
  <c r="I1835" i="4"/>
  <c r="J16" i="4"/>
  <c r="G1507" i="4"/>
  <c r="L796" i="4"/>
  <c r="M614" i="4"/>
  <c r="F1558" i="4"/>
  <c r="L985" i="4"/>
  <c r="B1627" i="4"/>
  <c r="M1758" i="4"/>
  <c r="M1037" i="4"/>
  <c r="F1241" i="4"/>
  <c r="M817" i="4"/>
  <c r="F1845" i="4"/>
  <c r="J1527" i="4"/>
  <c r="M330" i="4"/>
  <c r="I1654" i="4"/>
  <c r="B2008" i="4"/>
  <c r="F1753" i="4"/>
  <c r="B1064" i="4"/>
  <c r="F1560" i="4"/>
  <c r="B706" i="4"/>
  <c r="D352" i="4"/>
  <c r="C1405" i="4"/>
  <c r="I219" i="4"/>
  <c r="K1691" i="4"/>
  <c r="B292" i="4"/>
  <c r="E644" i="4"/>
  <c r="L1258" i="4"/>
  <c r="I1972" i="4"/>
  <c r="M77" i="4"/>
  <c r="I985" i="4"/>
  <c r="C1223" i="4"/>
  <c r="M1363" i="4"/>
  <c r="E1317" i="4"/>
  <c r="B557" i="4"/>
  <c r="J783" i="4"/>
  <c r="G658" i="4"/>
  <c r="J1549" i="4"/>
  <c r="I91" i="4"/>
  <c r="I263" i="4"/>
  <c r="I1901" i="4"/>
  <c r="I853" i="4"/>
  <c r="E239" i="4"/>
  <c r="C707" i="4"/>
  <c r="B1055" i="4"/>
  <c r="J1418" i="4"/>
  <c r="M1208" i="4"/>
  <c r="I151" i="4"/>
  <c r="M1175" i="4"/>
  <c r="M139" i="4"/>
  <c r="F403" i="4"/>
  <c r="J323" i="4"/>
  <c r="J1879" i="4"/>
  <c r="F480" i="4"/>
  <c r="I1426" i="4"/>
  <c r="M1695" i="4"/>
  <c r="J2001" i="4"/>
  <c r="F752" i="4"/>
  <c r="I1781" i="4"/>
  <c r="L440" i="4"/>
  <c r="J679" i="4"/>
  <c r="C778" i="4"/>
  <c r="M98" i="4"/>
  <c r="I763" i="4"/>
  <c r="I1077" i="4"/>
  <c r="B147" i="4"/>
  <c r="G877" i="4"/>
  <c r="J111" i="4"/>
  <c r="M422" i="4"/>
  <c r="J888" i="4"/>
  <c r="F569" i="4"/>
  <c r="I756" i="4"/>
  <c r="G675" i="4"/>
  <c r="B816" i="4"/>
  <c r="D296" i="4"/>
  <c r="D169" i="4"/>
  <c r="J1461" i="4"/>
  <c r="J1067" i="4"/>
  <c r="F1474" i="4"/>
  <c r="M301" i="4"/>
  <c r="J1940" i="4"/>
  <c r="L133" i="4"/>
  <c r="F1277" i="4"/>
  <c r="E1239" i="4"/>
  <c r="J1614" i="4"/>
  <c r="C1455" i="4"/>
  <c r="M1747" i="4"/>
  <c r="B27" i="4"/>
  <c r="E1422" i="4"/>
  <c r="F1507" i="4"/>
  <c r="F1321" i="4"/>
  <c r="J1474" i="4"/>
  <c r="M308" i="4"/>
  <c r="D1836" i="4"/>
  <c r="J1816" i="4"/>
  <c r="J1183" i="4"/>
  <c r="I1502" i="4"/>
  <c r="J1069" i="4"/>
  <c r="B578" i="4"/>
  <c r="I331" i="4"/>
  <c r="F602" i="4"/>
  <c r="C1292" i="4"/>
  <c r="D825" i="4"/>
  <c r="I836" i="4"/>
  <c r="D256" i="4"/>
  <c r="M606" i="4"/>
  <c r="E368" i="4"/>
  <c r="I56" i="4"/>
  <c r="E453" i="4"/>
  <c r="B1605" i="4"/>
  <c r="M1550" i="4"/>
  <c r="E587" i="4"/>
  <c r="L772" i="4"/>
  <c r="K343" i="4"/>
  <c r="K1283" i="4"/>
  <c r="C642" i="4"/>
  <c r="F613" i="4"/>
  <c r="I1665" i="4"/>
  <c r="J412" i="4"/>
  <c r="C86" i="4"/>
  <c r="J1496" i="4"/>
  <c r="I108" i="4"/>
  <c r="B1180" i="4"/>
  <c r="B355" i="4"/>
  <c r="M429" i="4"/>
  <c r="L348" i="4"/>
  <c r="B965" i="4"/>
  <c r="J357" i="4"/>
  <c r="B1053" i="4"/>
  <c r="K807" i="4"/>
  <c r="L361" i="4"/>
  <c r="M1221" i="4"/>
  <c r="M1362" i="4"/>
  <c r="I1612" i="4"/>
  <c r="D1136" i="4"/>
  <c r="B861" i="4"/>
  <c r="J877" i="4"/>
  <c r="J1622" i="4"/>
  <c r="L477" i="4"/>
  <c r="B333" i="4"/>
  <c r="B460" i="4"/>
  <c r="M752" i="4"/>
  <c r="C869" i="4"/>
  <c r="C1722" i="4"/>
  <c r="K592" i="4"/>
  <c r="E1678" i="4"/>
  <c r="M1900" i="4"/>
  <c r="G1448" i="4"/>
  <c r="D1013" i="4"/>
  <c r="L669" i="4"/>
  <c r="D663" i="4"/>
  <c r="B693" i="4"/>
  <c r="L1929" i="4"/>
  <c r="J1546" i="4"/>
  <c r="G1909" i="4"/>
  <c r="L594" i="4"/>
  <c r="M1029" i="4"/>
  <c r="G21" i="4"/>
  <c r="I1308" i="4"/>
  <c r="L354" i="4"/>
  <c r="B433" i="4"/>
  <c r="D1450" i="4"/>
  <c r="F719" i="4"/>
  <c r="M428" i="4"/>
  <c r="D89" i="4"/>
  <c r="E541" i="4"/>
  <c r="J935" i="4"/>
  <c r="D817" i="4"/>
  <c r="B1220" i="4"/>
  <c r="M1860" i="4"/>
  <c r="D1558" i="4"/>
  <c r="M1000" i="4"/>
  <c r="B1155" i="4"/>
  <c r="D628" i="4"/>
  <c r="I1723" i="4"/>
  <c r="E1214" i="4"/>
  <c r="G333" i="4"/>
  <c r="K696" i="4"/>
  <c r="L504" i="4"/>
  <c r="M1968" i="4"/>
  <c r="I1168" i="4"/>
  <c r="L1688" i="4"/>
  <c r="C300" i="4"/>
  <c r="J113" i="4"/>
  <c r="I16" i="4"/>
  <c r="I743" i="4"/>
  <c r="E436" i="4"/>
  <c r="J1985" i="4"/>
  <c r="C460" i="4"/>
  <c r="E688" i="4"/>
  <c r="J1441" i="4"/>
  <c r="J241" i="4"/>
  <c r="I892" i="4"/>
  <c r="K190" i="4"/>
  <c r="K1824" i="4"/>
  <c r="B1825" i="4"/>
  <c r="M415" i="4"/>
  <c r="I893" i="4"/>
  <c r="I1686" i="4"/>
  <c r="K1857" i="4"/>
  <c r="E451" i="4"/>
  <c r="C126" i="4"/>
  <c r="G914" i="4"/>
  <c r="G674" i="4"/>
  <c r="G958" i="4"/>
  <c r="I796" i="4"/>
  <c r="J1766" i="4"/>
  <c r="M1976" i="4"/>
  <c r="M910" i="4"/>
  <c r="E108" i="4"/>
  <c r="L468" i="4"/>
  <c r="E377" i="4"/>
  <c r="L507" i="4"/>
  <c r="D1754" i="4"/>
  <c r="J1897" i="4"/>
  <c r="K1195" i="4"/>
  <c r="C1019" i="4"/>
  <c r="G913" i="4"/>
  <c r="L84" i="4"/>
  <c r="C133" i="4"/>
  <c r="G256" i="4"/>
  <c r="C287" i="4"/>
  <c r="G60" i="4"/>
  <c r="L953" i="4"/>
  <c r="M1142" i="4"/>
  <c r="G1847" i="4"/>
  <c r="D1411" i="4"/>
  <c r="I142" i="4"/>
  <c r="K654" i="4"/>
  <c r="K1644" i="4"/>
  <c r="B270" i="4"/>
  <c r="F268" i="4"/>
  <c r="B1306" i="4"/>
  <c r="B2011" i="4"/>
  <c r="E404" i="4"/>
  <c r="J1317" i="4"/>
  <c r="I1813" i="4"/>
  <c r="L753" i="4"/>
  <c r="K1502" i="4"/>
  <c r="J903" i="4"/>
  <c r="F1184" i="4"/>
  <c r="I2000" i="4"/>
  <c r="M280" i="4"/>
  <c r="C1665" i="4"/>
  <c r="D1377" i="4"/>
  <c r="I1551" i="4"/>
  <c r="M1074" i="4"/>
  <c r="M899" i="4"/>
  <c r="J884" i="4"/>
  <c r="F611" i="4"/>
  <c r="F1928" i="4"/>
  <c r="C1390" i="4"/>
  <c r="J772" i="4"/>
  <c r="D478" i="4"/>
  <c r="C206" i="4"/>
  <c r="K779" i="4"/>
  <c r="K799" i="4"/>
  <c r="K1740" i="4"/>
  <c r="G1073" i="4"/>
  <c r="J1236" i="4"/>
  <c r="D320" i="4"/>
  <c r="E1465" i="4"/>
  <c r="F577" i="4"/>
  <c r="J63" i="4"/>
  <c r="K1065" i="4"/>
  <c r="C1395" i="4"/>
  <c r="B1355" i="4"/>
  <c r="K421" i="4"/>
  <c r="J851" i="4"/>
  <c r="F1455" i="4"/>
  <c r="E1268" i="4"/>
  <c r="B720" i="4"/>
  <c r="G1400" i="4"/>
  <c r="G1680" i="4"/>
  <c r="E922" i="4"/>
  <c r="B41" i="4"/>
  <c r="K1389" i="4"/>
  <c r="E540" i="4"/>
  <c r="M918" i="4"/>
  <c r="F965" i="4"/>
  <c r="I1897" i="4"/>
  <c r="M1231" i="4"/>
  <c r="K1677" i="4"/>
  <c r="G632" i="4"/>
  <c r="I1836" i="4"/>
  <c r="J1106" i="4"/>
  <c r="D1980" i="4"/>
  <c r="B1945" i="4"/>
  <c r="B1013" i="4"/>
  <c r="L924" i="4"/>
  <c r="D364" i="4"/>
  <c r="E726" i="4"/>
  <c r="B1065" i="4"/>
  <c r="M773" i="4"/>
  <c r="F1428" i="4"/>
  <c r="G515" i="4"/>
  <c r="E1620" i="4"/>
  <c r="E854" i="4"/>
  <c r="L1469" i="4"/>
  <c r="F835" i="4"/>
  <c r="F700" i="4"/>
  <c r="K1802" i="4"/>
  <c r="I1010" i="4"/>
  <c r="E206" i="4"/>
  <c r="D667" i="4"/>
  <c r="L1048" i="4"/>
  <c r="D1985" i="4"/>
  <c r="K588" i="4"/>
  <c r="E1276" i="4"/>
  <c r="I440" i="4"/>
  <c r="G1802" i="4"/>
  <c r="B722" i="4"/>
  <c r="K1093" i="4"/>
  <c r="E1145" i="4"/>
  <c r="B906" i="4"/>
  <c r="L1768" i="4"/>
  <c r="M521" i="4"/>
  <c r="M489" i="4"/>
  <c r="B479" i="4"/>
  <c r="K800" i="4"/>
  <c r="E710" i="4"/>
  <c r="M1372" i="4"/>
  <c r="E1010" i="4"/>
  <c r="D694" i="4"/>
  <c r="E1453" i="4"/>
  <c r="E1136" i="4"/>
  <c r="M472" i="4"/>
  <c r="G774" i="4"/>
  <c r="E614" i="4"/>
  <c r="K1961" i="4"/>
  <c r="B1134" i="4"/>
  <c r="G2008" i="4"/>
  <c r="K1218" i="4"/>
  <c r="C235" i="4"/>
  <c r="C61" i="4"/>
  <c r="F113" i="4"/>
  <c r="J754" i="4"/>
  <c r="I837" i="4"/>
  <c r="I413" i="4"/>
  <c r="K374" i="4"/>
  <c r="F647" i="4"/>
  <c r="E265" i="4"/>
  <c r="K1480" i="4"/>
  <c r="M10" i="4"/>
  <c r="J1737" i="4"/>
  <c r="D17" i="4"/>
  <c r="C1078" i="4"/>
  <c r="C1885" i="4"/>
  <c r="K881" i="4"/>
  <c r="K74" i="4"/>
  <c r="K136" i="4"/>
  <c r="K925" i="4"/>
  <c r="D30" i="4"/>
  <c r="B33" i="4"/>
  <c r="L1021" i="4"/>
  <c r="D240" i="4"/>
  <c r="F8" i="4"/>
  <c r="G1896" i="4"/>
  <c r="K1020" i="4"/>
  <c r="F1417" i="4"/>
  <c r="M1665" i="4"/>
  <c r="M1051" i="4"/>
  <c r="C509" i="4"/>
  <c r="F1055" i="4"/>
  <c r="D428" i="4"/>
  <c r="I1262" i="4"/>
  <c r="K1070" i="4"/>
  <c r="J1517" i="4"/>
  <c r="B265" i="4"/>
  <c r="E555" i="4"/>
  <c r="D1195" i="4"/>
  <c r="D616" i="4"/>
  <c r="D1087" i="4"/>
  <c r="K353" i="4"/>
  <c r="B236" i="4"/>
  <c r="M217" i="4"/>
  <c r="F709" i="4"/>
  <c r="J206" i="4"/>
  <c r="F1509" i="4"/>
  <c r="I394" i="4"/>
  <c r="E1954" i="4"/>
  <c r="E316" i="4"/>
  <c r="K178" i="4"/>
  <c r="I1311" i="4"/>
  <c r="D1660" i="4"/>
  <c r="E1922" i="4"/>
  <c r="D521" i="4"/>
  <c r="K1733" i="4"/>
  <c r="D449" i="4"/>
  <c r="M189" i="4"/>
  <c r="E1061" i="4"/>
  <c r="G1744" i="4"/>
  <c r="F1309" i="4"/>
  <c r="F1456" i="4"/>
  <c r="M1223" i="4"/>
  <c r="E838" i="4"/>
  <c r="M1624" i="4"/>
  <c r="D1820" i="4"/>
  <c r="L978" i="4"/>
  <c r="D1705" i="4"/>
  <c r="F140" i="4"/>
  <c r="B1194" i="4"/>
  <c r="C1599" i="4"/>
  <c r="E1211" i="4"/>
  <c r="L1831" i="4"/>
  <c r="M1027" i="4"/>
  <c r="I1734" i="4"/>
  <c r="F478" i="4"/>
  <c r="J1102" i="4"/>
  <c r="F549" i="4"/>
  <c r="I1636" i="4"/>
  <c r="I1640" i="4"/>
  <c r="D1988" i="4"/>
  <c r="M1261" i="4"/>
  <c r="G1752" i="4"/>
  <c r="B60" i="4"/>
  <c r="J510" i="4"/>
  <c r="F360" i="4"/>
  <c r="I207" i="4"/>
  <c r="G1131" i="4"/>
  <c r="F626" i="4"/>
  <c r="J1616" i="4"/>
  <c r="J1694" i="4"/>
  <c r="D1863" i="4"/>
  <c r="D55" i="4"/>
  <c r="F1505" i="4"/>
  <c r="G1863" i="4"/>
  <c r="F1079" i="4"/>
  <c r="I1549" i="4"/>
  <c r="B579" i="4"/>
  <c r="B957" i="4"/>
  <c r="E1882" i="4"/>
  <c r="B1032" i="4"/>
  <c r="F325" i="4"/>
  <c r="E1321" i="4"/>
  <c r="L39" i="4"/>
  <c r="I1157" i="4"/>
  <c r="F1492" i="4"/>
  <c r="K182" i="4"/>
  <c r="L1862" i="4"/>
  <c r="M1279" i="4"/>
  <c r="L1931" i="4"/>
  <c r="E959" i="4"/>
  <c r="D1148" i="4"/>
  <c r="C1994" i="4"/>
  <c r="K785" i="4"/>
  <c r="L1401" i="4"/>
  <c r="E447" i="4"/>
  <c r="E160" i="4"/>
  <c r="E1623" i="4"/>
  <c r="F50" i="4"/>
  <c r="K1956" i="4"/>
  <c r="L967" i="4"/>
  <c r="I286" i="4"/>
  <c r="B1567" i="4"/>
  <c r="M1094" i="4"/>
  <c r="L1785" i="4"/>
  <c r="L934" i="4"/>
  <c r="M1825" i="4"/>
  <c r="K787" i="4"/>
  <c r="B1303" i="4"/>
  <c r="I499" i="4"/>
  <c r="E760" i="4"/>
  <c r="G1704" i="4"/>
  <c r="D81" i="4"/>
  <c r="J1866" i="4"/>
  <c r="M1720" i="4"/>
  <c r="D1862" i="4"/>
  <c r="B1463" i="4"/>
  <c r="D1225" i="4"/>
  <c r="M879" i="4"/>
  <c r="D1101" i="4"/>
  <c r="J1388" i="4"/>
  <c r="I1195" i="4"/>
  <c r="B1126" i="4"/>
  <c r="M1641" i="4"/>
  <c r="D1574" i="4"/>
  <c r="J354" i="4"/>
  <c r="E1344" i="4"/>
  <c r="K166" i="4"/>
  <c r="K607" i="4"/>
  <c r="B769" i="4"/>
  <c r="G1780" i="4"/>
  <c r="K47" i="4"/>
  <c r="E1665" i="4"/>
  <c r="G1528" i="4"/>
  <c r="C1229" i="4"/>
  <c r="B165" i="4"/>
  <c r="D1188" i="4"/>
  <c r="C1772" i="4"/>
  <c r="B1968" i="4"/>
  <c r="L734" i="4"/>
  <c r="E1537" i="4"/>
  <c r="E767" i="4"/>
  <c r="G573" i="4"/>
  <c r="B685" i="4"/>
  <c r="L570" i="4"/>
  <c r="F384" i="4"/>
  <c r="M1805" i="4"/>
  <c r="D1531" i="4"/>
  <c r="M210" i="4"/>
  <c r="G1803" i="4"/>
  <c r="D349" i="4"/>
  <c r="I1637" i="4"/>
  <c r="D742" i="4"/>
  <c r="L142" i="4"/>
  <c r="G719" i="4"/>
  <c r="G1961" i="4"/>
  <c r="G241" i="4"/>
  <c r="E346" i="4"/>
  <c r="F1231" i="4"/>
  <c r="B1242" i="4"/>
  <c r="F668" i="4"/>
  <c r="L1419" i="4"/>
  <c r="C2004" i="4"/>
  <c r="D569" i="4"/>
  <c r="J978" i="4"/>
  <c r="M100" i="4"/>
  <c r="C1337" i="4"/>
  <c r="G1368" i="4"/>
  <c r="B610" i="4"/>
  <c r="M219" i="4"/>
  <c r="I608" i="4"/>
  <c r="K143" i="4"/>
  <c r="L251" i="4"/>
  <c r="D433" i="4"/>
  <c r="E20" i="4"/>
  <c r="I1400" i="4"/>
  <c r="M1969" i="4"/>
  <c r="J1513" i="4"/>
  <c r="C207" i="4"/>
  <c r="L454" i="4"/>
  <c r="F1584" i="4"/>
  <c r="F581" i="4"/>
  <c r="J901" i="4"/>
  <c r="E213" i="4"/>
  <c r="I131" i="4"/>
  <c r="E1178" i="4"/>
  <c r="B882" i="4"/>
  <c r="D1599" i="4"/>
  <c r="M841" i="4"/>
  <c r="M125" i="4"/>
  <c r="M1545" i="4"/>
  <c r="D1421" i="4"/>
  <c r="I777" i="4"/>
  <c r="C1896" i="4"/>
  <c r="J48" i="4"/>
  <c r="K1627" i="4"/>
  <c r="E480" i="4"/>
  <c r="D1172" i="4"/>
  <c r="M1937" i="4"/>
  <c r="J1346" i="4"/>
  <c r="C348" i="4"/>
  <c r="B1415" i="4"/>
  <c r="G190" i="4"/>
  <c r="E1405" i="4"/>
  <c r="C1014" i="4"/>
  <c r="B1532" i="4"/>
  <c r="K1443" i="4"/>
  <c r="F508" i="4"/>
  <c r="G1338" i="4"/>
  <c r="D289" i="4"/>
  <c r="G392" i="4"/>
  <c r="M623" i="4"/>
  <c r="K1688" i="4"/>
  <c r="I1736" i="4"/>
  <c r="K1850" i="4"/>
  <c r="L1863" i="4"/>
  <c r="E1301" i="4"/>
  <c r="G628" i="4"/>
  <c r="G1454" i="4"/>
  <c r="D172" i="4"/>
  <c r="D1290" i="4"/>
  <c r="M1312" i="4"/>
  <c r="E2010" i="4"/>
  <c r="G427" i="4"/>
  <c r="G1921" i="4"/>
  <c r="G1513" i="4"/>
  <c r="C1288" i="4"/>
  <c r="J1872" i="4"/>
  <c r="I1714" i="4"/>
  <c r="I1839" i="4"/>
  <c r="L330" i="4"/>
  <c r="C1510" i="4"/>
  <c r="C563" i="4"/>
  <c r="M463" i="4"/>
  <c r="D736" i="4"/>
  <c r="F954" i="4"/>
  <c r="D1074" i="4"/>
  <c r="E1533" i="4"/>
  <c r="C879" i="4"/>
  <c r="J214" i="4"/>
  <c r="G647" i="4"/>
  <c r="E1898" i="4"/>
  <c r="G1722" i="4"/>
  <c r="G545" i="4"/>
  <c r="L236" i="4"/>
  <c r="L195" i="4"/>
  <c r="F1879" i="4"/>
  <c r="M537" i="4"/>
  <c r="C1802" i="4"/>
  <c r="B890" i="4"/>
  <c r="L1805" i="4"/>
  <c r="M167" i="4"/>
  <c r="B849" i="4"/>
  <c r="G1006" i="4"/>
  <c r="I1171" i="4"/>
  <c r="K784" i="4"/>
  <c r="M37" i="4"/>
  <c r="M1398" i="4"/>
  <c r="E188" i="4"/>
  <c r="B1686" i="4"/>
  <c r="L1950" i="4"/>
  <c r="F225" i="4"/>
  <c r="G1914" i="4"/>
  <c r="D962" i="4"/>
  <c r="G1670" i="4"/>
  <c r="D387" i="4"/>
  <c r="B875" i="4"/>
  <c r="L1305" i="4"/>
  <c r="D726" i="4"/>
  <c r="G1389" i="4"/>
  <c r="E68" i="4"/>
  <c r="M1608" i="4"/>
  <c r="E233" i="4"/>
  <c r="F350" i="4"/>
  <c r="C276" i="4"/>
  <c r="K728" i="4"/>
  <c r="M829" i="4"/>
  <c r="M1621" i="4"/>
  <c r="C1064" i="4"/>
  <c r="E1119" i="4"/>
  <c r="D767" i="4"/>
  <c r="M875" i="4"/>
  <c r="F1158" i="4"/>
  <c r="B1956" i="4"/>
  <c r="B1943" i="4"/>
  <c r="M1064" i="4"/>
  <c r="K124" i="4"/>
  <c r="F1029" i="4"/>
  <c r="D1235" i="4"/>
  <c r="L1314" i="4"/>
  <c r="K1840" i="4"/>
  <c r="E477" i="4"/>
  <c r="B286" i="4"/>
  <c r="D1012" i="4"/>
  <c r="E139" i="4"/>
  <c r="D965" i="4"/>
  <c r="E1083" i="4"/>
  <c r="G439" i="4"/>
  <c r="B1147" i="4"/>
  <c r="K1187" i="4"/>
  <c r="M1355" i="4"/>
  <c r="E850" i="4"/>
  <c r="C1559" i="4"/>
  <c r="C1670" i="4"/>
  <c r="C253" i="4"/>
  <c r="L1477" i="4"/>
  <c r="L210" i="4"/>
  <c r="D589" i="4"/>
  <c r="D1664" i="4"/>
  <c r="D1720" i="4"/>
  <c r="C1954" i="4"/>
  <c r="E514" i="4"/>
  <c r="B2006" i="4"/>
  <c r="M1112" i="4"/>
  <c r="M91" i="4"/>
  <c r="J1089" i="4"/>
  <c r="L29" i="4"/>
  <c r="J918" i="4"/>
  <c r="C459" i="4"/>
  <c r="G1351" i="4"/>
  <c r="J508" i="4"/>
  <c r="I1475" i="4"/>
  <c r="J1893" i="4"/>
  <c r="I307" i="4"/>
  <c r="E1874" i="4"/>
  <c r="J133" i="4"/>
  <c r="E965" i="4"/>
  <c r="I1472" i="4"/>
  <c r="J193" i="4"/>
  <c r="K202" i="4"/>
  <c r="I1992" i="4"/>
  <c r="I1604" i="4"/>
  <c r="M1228" i="4"/>
  <c r="L343" i="4"/>
  <c r="G1252" i="4"/>
  <c r="F844" i="4"/>
  <c r="M1024" i="4"/>
  <c r="B1188" i="4"/>
  <c r="D223" i="4"/>
  <c r="K984" i="4"/>
  <c r="C148" i="4"/>
  <c r="G1319" i="4"/>
  <c r="E4" i="4"/>
  <c r="B1266" i="4"/>
  <c r="J1195" i="4"/>
  <c r="B747" i="4"/>
  <c r="B1183" i="4"/>
  <c r="K1639" i="4"/>
  <c r="E474" i="4"/>
  <c r="L208" i="4"/>
  <c r="B734" i="4"/>
  <c r="I1395" i="4"/>
  <c r="M1917" i="4"/>
  <c r="M1255" i="4"/>
  <c r="L1676" i="4"/>
  <c r="I694" i="4"/>
  <c r="B466" i="4"/>
  <c r="C270" i="4"/>
  <c r="B797" i="4"/>
  <c r="D1708" i="4"/>
  <c r="G1616" i="4"/>
  <c r="G1045" i="4"/>
  <c r="D1315" i="4"/>
  <c r="B1854" i="4"/>
  <c r="K269" i="4"/>
  <c r="K1153" i="4"/>
  <c r="L113" i="4"/>
  <c r="L60" i="4"/>
  <c r="B369" i="4"/>
  <c r="G1135" i="4"/>
  <c r="C1805" i="4"/>
  <c r="B547" i="4"/>
  <c r="E118" i="4"/>
  <c r="G1838" i="4"/>
  <c r="B1841" i="4"/>
  <c r="D1031" i="4"/>
  <c r="F1319" i="4"/>
  <c r="C689" i="4"/>
  <c r="D1858" i="4"/>
  <c r="J1692" i="4"/>
  <c r="G710" i="4"/>
  <c r="G1356" i="4"/>
  <c r="B1748" i="4"/>
  <c r="K254" i="4"/>
  <c r="L815" i="4"/>
  <c r="G1471" i="4"/>
  <c r="E1075" i="4"/>
  <c r="L1176" i="4"/>
  <c r="L1854" i="4"/>
  <c r="I459" i="4"/>
  <c r="I1951" i="4"/>
  <c r="I1771" i="4"/>
  <c r="L1369" i="4"/>
  <c r="B1202" i="4"/>
  <c r="L873" i="4"/>
  <c r="E1558" i="4"/>
  <c r="K1805" i="4"/>
  <c r="E1798" i="4"/>
  <c r="C1948" i="4"/>
  <c r="E1810" i="4"/>
  <c r="B1892" i="4"/>
  <c r="C1808" i="4"/>
  <c r="B263" i="4"/>
  <c r="B1172" i="4"/>
  <c r="M115" i="4"/>
  <c r="G1683" i="4"/>
  <c r="D1008" i="4"/>
  <c r="L88" i="4"/>
  <c r="F1568" i="4"/>
  <c r="G1436" i="4"/>
  <c r="D1909" i="4"/>
  <c r="E680" i="4"/>
  <c r="D1066" i="4"/>
  <c r="L1693" i="4"/>
  <c r="D1280" i="4"/>
  <c r="K59" i="4"/>
  <c r="M1152" i="4"/>
  <c r="L252" i="4"/>
  <c r="L1502" i="4"/>
  <c r="B1092" i="4"/>
  <c r="I1881" i="4"/>
  <c r="B1586" i="4"/>
  <c r="J874" i="4"/>
  <c r="E22" i="4"/>
  <c r="B651" i="4"/>
  <c r="M451" i="4"/>
  <c r="G1026" i="4"/>
  <c r="F1181" i="4"/>
  <c r="F1453" i="4"/>
  <c r="M1960" i="4"/>
  <c r="J244" i="4"/>
  <c r="F1654" i="4"/>
  <c r="D982" i="4"/>
  <c r="B1642" i="4"/>
  <c r="L274" i="4"/>
  <c r="B885" i="4"/>
  <c r="J1796" i="4"/>
  <c r="G1960" i="4"/>
  <c r="G787" i="4"/>
  <c r="I1264" i="4"/>
  <c r="L1716" i="4"/>
  <c r="F1390" i="4"/>
  <c r="D679" i="4"/>
  <c r="F1929" i="4"/>
  <c r="F494" i="4"/>
  <c r="C724" i="4"/>
  <c r="B867" i="4"/>
  <c r="B1741" i="4"/>
  <c r="B201" i="4"/>
  <c r="K1638" i="4"/>
  <c r="G933" i="4"/>
  <c r="G1807" i="4"/>
  <c r="L1201" i="4"/>
  <c r="C558" i="4"/>
  <c r="L496" i="4"/>
  <c r="L921" i="4"/>
  <c r="D1476" i="4"/>
  <c r="K1974" i="4"/>
  <c r="K1047" i="4"/>
  <c r="D1230" i="4"/>
  <c r="G1594" i="4"/>
  <c r="G891" i="4"/>
  <c r="G400" i="4"/>
  <c r="M448" i="4"/>
  <c r="M1868" i="4"/>
  <c r="E791" i="4"/>
  <c r="F659" i="4"/>
  <c r="F632" i="4"/>
  <c r="B928" i="4"/>
  <c r="E1177" i="4"/>
  <c r="I1449" i="4"/>
  <c r="E1928" i="4"/>
  <c r="D1321" i="4"/>
  <c r="B1330" i="4"/>
  <c r="G123" i="4"/>
  <c r="G236" i="4"/>
  <c r="B1259" i="4"/>
  <c r="J453" i="4"/>
  <c r="G81" i="4"/>
  <c r="I1288" i="4"/>
  <c r="F1372" i="4"/>
  <c r="E704" i="4"/>
  <c r="E63" i="4"/>
  <c r="L121" i="4"/>
  <c r="D1544" i="4"/>
  <c r="K591" i="4"/>
  <c r="D1018" i="4"/>
  <c r="F1652" i="4"/>
  <c r="D1081" i="4"/>
  <c r="M902" i="4"/>
  <c r="L672" i="4"/>
  <c r="B1482" i="4"/>
  <c r="F1842" i="4"/>
  <c r="M357" i="4"/>
  <c r="M1106" i="4"/>
  <c r="M1260" i="4"/>
  <c r="G739" i="4"/>
  <c r="L188" i="4"/>
  <c r="I1143" i="4"/>
  <c r="G791" i="4"/>
  <c r="I510" i="4"/>
  <c r="B1733" i="4"/>
  <c r="F656" i="4"/>
  <c r="L1668" i="4"/>
  <c r="G814" i="4"/>
  <c r="I536" i="4"/>
  <c r="F348" i="4"/>
  <c r="M412" i="4"/>
  <c r="D1908" i="4"/>
  <c r="G1489" i="4"/>
  <c r="L438" i="4"/>
  <c r="F944" i="4"/>
  <c r="K1796" i="4"/>
  <c r="I1339" i="4"/>
  <c r="B1298" i="4"/>
  <c r="L308" i="4"/>
  <c r="F805" i="4"/>
  <c r="K1189" i="4"/>
  <c r="E1843" i="4"/>
  <c r="F1804" i="4"/>
  <c r="M1216" i="4"/>
  <c r="K1925" i="4"/>
  <c r="B1192" i="4"/>
  <c r="K1440" i="4"/>
  <c r="D83" i="4"/>
  <c r="K1143" i="4"/>
  <c r="G1336" i="4"/>
  <c r="I448" i="4"/>
  <c r="E340" i="4"/>
  <c r="B1137" i="4"/>
  <c r="D889" i="4"/>
  <c r="E10" i="4"/>
  <c r="F1726" i="4"/>
  <c r="M641" i="4"/>
  <c r="M309" i="4"/>
  <c r="M844" i="4"/>
  <c r="C1127" i="4"/>
  <c r="G1529" i="4"/>
  <c r="E1920" i="4"/>
  <c r="B1332" i="4"/>
  <c r="B613" i="4"/>
  <c r="G1992" i="4"/>
  <c r="C68" i="4"/>
  <c r="I1291" i="4"/>
  <c r="M1241" i="4"/>
  <c r="G1621" i="4"/>
  <c r="G151" i="4"/>
  <c r="C479" i="4"/>
  <c r="B1966" i="4"/>
  <c r="J531" i="4"/>
  <c r="G73" i="4"/>
  <c r="I54" i="4"/>
  <c r="C1073" i="4"/>
  <c r="F1414" i="4"/>
  <c r="E1789" i="4"/>
  <c r="J744" i="4"/>
  <c r="C1342" i="4"/>
  <c r="J393" i="4"/>
  <c r="K906" i="4"/>
  <c r="F814" i="4"/>
  <c r="M1076" i="4"/>
  <c r="K266" i="4"/>
  <c r="C420" i="4"/>
  <c r="C1920" i="4"/>
  <c r="D1428" i="4"/>
  <c r="M1988" i="4"/>
  <c r="B1948" i="4"/>
  <c r="L36" i="4"/>
  <c r="K730" i="4"/>
  <c r="C1618" i="4"/>
  <c r="I264" i="4"/>
  <c r="J372" i="4"/>
  <c r="I1005" i="4"/>
  <c r="E189" i="4"/>
  <c r="C366" i="4"/>
  <c r="J1268" i="4"/>
  <c r="I562" i="4"/>
  <c r="B11" i="4"/>
  <c r="J795" i="4"/>
  <c r="D662" i="4"/>
  <c r="I120" i="4"/>
  <c r="D1361" i="4"/>
  <c r="J375" i="4"/>
  <c r="E1546" i="4"/>
  <c r="D1376" i="4"/>
  <c r="B971" i="4"/>
  <c r="M600" i="4"/>
  <c r="F1739" i="4"/>
  <c r="J864" i="4"/>
  <c r="K1455" i="4"/>
  <c r="K1313" i="4"/>
  <c r="F1708" i="4"/>
  <c r="J107" i="4"/>
  <c r="K1732" i="4"/>
  <c r="M1159" i="4"/>
  <c r="C195" i="4"/>
  <c r="K1212" i="4"/>
  <c r="G1481" i="4"/>
  <c r="L1131" i="4"/>
  <c r="B1579" i="4"/>
  <c r="C1371" i="4"/>
  <c r="E637" i="4"/>
  <c r="M1785" i="4"/>
  <c r="L617" i="4"/>
  <c r="M1197" i="4"/>
  <c r="L1947" i="4"/>
  <c r="B38" i="4"/>
  <c r="J934" i="4"/>
  <c r="J1914" i="4"/>
  <c r="M1196" i="4"/>
  <c r="B1530" i="4"/>
  <c r="E1318" i="4"/>
  <c r="L49" i="4"/>
  <c r="C885" i="4"/>
  <c r="C1735" i="4"/>
  <c r="B1935" i="4"/>
  <c r="B938" i="4"/>
  <c r="M1239" i="4"/>
  <c r="B1428" i="4"/>
  <c r="K1599" i="4"/>
  <c r="C220" i="4"/>
  <c r="G1832" i="4"/>
  <c r="L1099" i="4"/>
  <c r="C1611" i="4"/>
  <c r="D513" i="4"/>
  <c r="K1914" i="4"/>
  <c r="M102" i="4"/>
  <c r="M88" i="4"/>
  <c r="L843" i="4"/>
  <c r="K467" i="4"/>
  <c r="M390" i="4"/>
  <c r="B1316" i="4"/>
  <c r="I1362" i="4"/>
  <c r="K486" i="4"/>
  <c r="E901" i="4"/>
  <c r="D146" i="4"/>
  <c r="D666" i="4"/>
  <c r="C1785" i="4"/>
  <c r="I1121" i="4"/>
  <c r="E1338" i="4"/>
  <c r="G651" i="4"/>
  <c r="M19" i="4"/>
  <c r="F784" i="4"/>
  <c r="K480" i="4"/>
  <c r="G1566" i="4"/>
  <c r="M834" i="4"/>
  <c r="E1333" i="4"/>
  <c r="L1123" i="4"/>
  <c r="K1318" i="4"/>
  <c r="F851" i="4"/>
  <c r="K1619" i="4"/>
  <c r="C1225" i="4"/>
  <c r="L1974" i="4"/>
  <c r="L1339" i="4"/>
  <c r="J491" i="4"/>
  <c r="I960" i="4"/>
  <c r="B561" i="4"/>
  <c r="K1780" i="4"/>
  <c r="G1028" i="4"/>
  <c r="L1556" i="4"/>
  <c r="E1998" i="4"/>
  <c r="G1490" i="4"/>
  <c r="C1465" i="4"/>
  <c r="J1867" i="4"/>
  <c r="M1629" i="4"/>
  <c r="K351" i="4"/>
  <c r="B1715" i="4"/>
  <c r="D375" i="4"/>
  <c r="D1678" i="4"/>
  <c r="F1768" i="4"/>
  <c r="D794" i="4"/>
  <c r="E1051" i="4"/>
  <c r="J459" i="4"/>
  <c r="K1849" i="4"/>
  <c r="J416" i="4"/>
  <c r="J46" i="4"/>
  <c r="G434" i="4"/>
  <c r="E1649" i="4"/>
  <c r="G1177" i="4"/>
  <c r="I1151" i="4"/>
  <c r="K1482" i="4"/>
  <c r="I126" i="4"/>
  <c r="E924" i="4"/>
  <c r="J1653" i="4"/>
  <c r="D158" i="4"/>
  <c r="D1186" i="4"/>
  <c r="J1561" i="4"/>
  <c r="J1238" i="4"/>
  <c r="F179" i="4"/>
  <c r="L1514" i="4"/>
  <c r="B1723" i="4"/>
  <c r="L1355" i="4"/>
  <c r="K1884" i="4"/>
  <c r="K567" i="4"/>
  <c r="K839" i="4"/>
  <c r="F980" i="4"/>
  <c r="E1103" i="4"/>
  <c r="F1792" i="4"/>
  <c r="M116" i="4"/>
  <c r="G471" i="4"/>
  <c r="M1736" i="4"/>
  <c r="E638" i="4"/>
  <c r="B669" i="4"/>
  <c r="B314" i="4"/>
  <c r="L1135" i="4"/>
  <c r="J210" i="4"/>
  <c r="E531" i="4"/>
  <c r="D1538" i="4"/>
  <c r="G1053" i="4"/>
  <c r="G1614" i="4"/>
  <c r="L1921" i="4"/>
  <c r="K1364" i="4"/>
  <c r="D693" i="4"/>
  <c r="L245" i="4"/>
  <c r="C1566" i="4"/>
  <c r="K2008" i="4"/>
  <c r="C314" i="4"/>
  <c r="D1621" i="4"/>
  <c r="M151" i="4"/>
  <c r="K1593" i="4"/>
  <c r="E1654" i="4"/>
  <c r="K1831" i="4"/>
  <c r="E1612" i="4"/>
  <c r="B69" i="4"/>
  <c r="F198" i="4"/>
  <c r="D332" i="4"/>
  <c r="L1029" i="4"/>
  <c r="G432" i="4"/>
  <c r="D496" i="4"/>
  <c r="G425" i="4"/>
  <c r="B1676" i="4"/>
  <c r="D1516" i="4"/>
  <c r="M1429" i="4"/>
  <c r="D1336" i="4"/>
  <c r="K1325" i="4"/>
  <c r="D77" i="4"/>
  <c r="G666" i="4"/>
  <c r="L606" i="4"/>
  <c r="J1131" i="4"/>
  <c r="F1724" i="4"/>
  <c r="C1321" i="4"/>
  <c r="K1734" i="4"/>
  <c r="G1534" i="4"/>
  <c r="G771" i="4"/>
  <c r="M204" i="4"/>
  <c r="F1097" i="4"/>
  <c r="C403" i="4"/>
  <c r="C1964" i="4"/>
  <c r="F1630" i="4"/>
  <c r="F991" i="4"/>
  <c r="E440" i="4"/>
  <c r="I570" i="4"/>
  <c r="K1778" i="4"/>
  <c r="E1121" i="4"/>
  <c r="I697" i="4"/>
  <c r="I1745" i="4"/>
  <c r="G371" i="4"/>
  <c r="G881" i="4"/>
  <c r="G1269" i="4"/>
  <c r="F662" i="4"/>
  <c r="G203" i="4"/>
  <c r="F1445" i="4"/>
  <c r="M931" i="4"/>
  <c r="B1157" i="4"/>
  <c r="B134" i="4"/>
  <c r="K1428" i="4"/>
  <c r="B907" i="4"/>
  <c r="F454" i="4"/>
  <c r="E878" i="4"/>
  <c r="L788" i="4"/>
  <c r="K1561" i="4"/>
  <c r="G1384" i="4"/>
  <c r="F41" i="4"/>
  <c r="E1213" i="4"/>
  <c r="C1894" i="4"/>
  <c r="K918" i="4"/>
  <c r="I1408" i="4"/>
  <c r="C1257" i="4"/>
  <c r="B825" i="4"/>
  <c r="L304" i="4"/>
  <c r="E828" i="4"/>
  <c r="K516" i="4"/>
  <c r="D1237" i="4"/>
  <c r="D500" i="4"/>
  <c r="B1824" i="4"/>
  <c r="G1860" i="4"/>
  <c r="C470" i="4"/>
  <c r="K655" i="4"/>
  <c r="G1730" i="4"/>
  <c r="B301" i="4"/>
  <c r="F1462" i="4"/>
  <c r="M1835" i="4"/>
  <c r="L1180" i="4"/>
  <c r="F407" i="4"/>
  <c r="F641" i="4"/>
  <c r="L285" i="4"/>
  <c r="M924" i="4"/>
  <c r="G226" i="4"/>
  <c r="C1100" i="4"/>
  <c r="G1588" i="4"/>
  <c r="G1019" i="4"/>
  <c r="L588" i="4"/>
  <c r="B589" i="4"/>
  <c r="F779" i="4"/>
  <c r="J1529" i="4"/>
  <c r="L1972" i="4"/>
  <c r="M651" i="4"/>
  <c r="B1814" i="4"/>
  <c r="K1352" i="4"/>
  <c r="K375" i="4"/>
  <c r="B1598" i="4"/>
  <c r="D899" i="4"/>
  <c r="B125" i="4"/>
  <c r="K334" i="4"/>
  <c r="F312" i="4"/>
  <c r="F1523" i="4"/>
  <c r="F190" i="4"/>
  <c r="L1023" i="4"/>
  <c r="G1635" i="4"/>
  <c r="C1140" i="4"/>
  <c r="E677" i="4"/>
  <c r="C1487" i="4"/>
  <c r="M322" i="4"/>
  <c r="L1975" i="4"/>
  <c r="D395" i="4"/>
  <c r="B709" i="4"/>
  <c r="M1250" i="4"/>
  <c r="C1656" i="4"/>
  <c r="L615" i="4"/>
  <c r="C240" i="4"/>
  <c r="D1744" i="4"/>
  <c r="E431" i="4"/>
  <c r="D165" i="4"/>
  <c r="B1041" i="4"/>
  <c r="C364" i="4"/>
  <c r="F1754" i="4"/>
  <c r="C904" i="4"/>
  <c r="G1470" i="4"/>
  <c r="M538" i="4"/>
  <c r="K1487" i="4"/>
  <c r="M1639" i="4"/>
  <c r="K210" i="4"/>
  <c r="E611" i="4"/>
  <c r="K1799" i="4"/>
  <c r="C577" i="4"/>
  <c r="B1664" i="4"/>
  <c r="L800" i="4"/>
  <c r="C732" i="4"/>
  <c r="F1931" i="4"/>
  <c r="G1549" i="4"/>
  <c r="C1974" i="4"/>
  <c r="K1450" i="4"/>
  <c r="B515" i="4"/>
  <c r="M720" i="4"/>
  <c r="E1704" i="4"/>
  <c r="E1403" i="4"/>
  <c r="K805" i="4"/>
  <c r="L768" i="4"/>
  <c r="M1055" i="4"/>
  <c r="L279" i="4"/>
  <c r="B1418" i="4"/>
  <c r="M903" i="4"/>
  <c r="M1821" i="4"/>
  <c r="L1806" i="4"/>
  <c r="E134" i="4"/>
  <c r="G238" i="4"/>
  <c r="G1023" i="4"/>
  <c r="C953" i="4"/>
  <c r="E1300" i="4"/>
  <c r="D1939" i="4"/>
  <c r="F1084" i="4"/>
  <c r="G1956" i="4"/>
  <c r="M1533" i="4"/>
  <c r="I1848" i="4"/>
  <c r="L912" i="4"/>
  <c r="M580" i="4"/>
  <c r="E362" i="4"/>
  <c r="J608" i="4"/>
  <c r="C637" i="4"/>
  <c r="D990" i="4"/>
  <c r="F137" i="4"/>
  <c r="B232" i="4"/>
  <c r="E1168" i="4"/>
  <c r="K1075" i="4"/>
  <c r="K1272" i="4"/>
  <c r="F920" i="4"/>
  <c r="G1160" i="4"/>
  <c r="J140" i="4"/>
  <c r="I34" i="4"/>
  <c r="K320" i="4"/>
  <c r="G3" i="4"/>
  <c r="G457" i="4"/>
  <c r="D1582" i="4"/>
  <c r="D896" i="4"/>
  <c r="K1069" i="4"/>
  <c r="M187" i="4"/>
  <c r="M1559" i="4"/>
  <c r="J1883" i="4"/>
  <c r="M1980" i="4"/>
  <c r="E1831" i="4"/>
  <c r="L659" i="4"/>
  <c r="F6" i="4"/>
  <c r="L458" i="4"/>
  <c r="E229" i="4"/>
  <c r="F1952" i="4"/>
  <c r="E1786" i="4"/>
  <c r="D1189" i="4"/>
  <c r="G966" i="4"/>
  <c r="J1057" i="4"/>
  <c r="E1411" i="4"/>
  <c r="J147" i="4"/>
  <c r="L1329" i="4"/>
  <c r="M1166" i="4"/>
  <c r="G1568" i="4"/>
  <c r="J1680" i="4"/>
  <c r="M127" i="4"/>
  <c r="C352" i="4"/>
  <c r="D783" i="4"/>
  <c r="M1897" i="4"/>
  <c r="G706" i="4"/>
  <c r="D1443" i="4"/>
  <c r="L402" i="4"/>
  <c r="M1723" i="4"/>
  <c r="M1262" i="4"/>
  <c r="D766" i="4"/>
  <c r="F42" i="4"/>
  <c r="J786" i="4"/>
  <c r="K545" i="4"/>
  <c r="K1520" i="4"/>
  <c r="K520" i="4"/>
  <c r="D2008" i="4"/>
  <c r="B1225" i="4"/>
  <c r="K1998" i="4"/>
  <c r="M318" i="4"/>
  <c r="C189" i="4"/>
  <c r="F1514" i="4"/>
  <c r="L235" i="4"/>
  <c r="K1968" i="4"/>
  <c r="L878" i="4"/>
  <c r="E1078" i="4"/>
  <c r="J1625" i="4"/>
  <c r="I1905" i="4"/>
  <c r="J987" i="4"/>
  <c r="G1254" i="4"/>
  <c r="J862" i="4"/>
  <c r="D1192" i="4"/>
  <c r="M104" i="4"/>
  <c r="I1896" i="4"/>
  <c r="C199" i="4"/>
  <c r="M214" i="4"/>
  <c r="F1881" i="4"/>
  <c r="F2000" i="4"/>
  <c r="D1152" i="4"/>
  <c r="L1853" i="4"/>
  <c r="K944" i="4"/>
  <c r="C1109" i="4"/>
  <c r="J1836" i="4"/>
  <c r="C1880" i="4"/>
  <c r="E1605" i="4"/>
  <c r="I215" i="4"/>
  <c r="J990" i="4"/>
  <c r="B1702" i="4"/>
  <c r="L241" i="4"/>
  <c r="D462" i="4"/>
  <c r="G817" i="4"/>
  <c r="M722" i="4"/>
  <c r="L983" i="4"/>
  <c r="K650" i="4"/>
  <c r="F58" i="4"/>
  <c r="D1115" i="4"/>
  <c r="F1217" i="4"/>
  <c r="E192" i="4"/>
  <c r="F760" i="4"/>
  <c r="G1158" i="4"/>
  <c r="E55" i="4"/>
  <c r="B858" i="4"/>
  <c r="F546" i="4"/>
  <c r="G1833" i="4"/>
  <c r="D1314" i="4"/>
  <c r="B1339" i="4"/>
  <c r="D532" i="4"/>
  <c r="F736" i="4"/>
  <c r="F1658" i="4"/>
  <c r="C610" i="4"/>
  <c r="F1035" i="4"/>
  <c r="D1350" i="4"/>
  <c r="B269" i="4"/>
  <c r="I800" i="4"/>
  <c r="F443" i="4"/>
  <c r="M728" i="4"/>
  <c r="I1319" i="4"/>
  <c r="C1939" i="4"/>
  <c r="L724" i="4"/>
  <c r="K643" i="4"/>
  <c r="G668" i="4"/>
  <c r="D548" i="4"/>
  <c r="G1156" i="4"/>
  <c r="B1408" i="4"/>
  <c r="C1330" i="4"/>
  <c r="G249" i="4"/>
  <c r="E1844" i="4"/>
  <c r="C1396" i="4"/>
  <c r="F890" i="4"/>
  <c r="B636" i="4"/>
  <c r="C1558" i="4"/>
  <c r="G1987" i="4"/>
  <c r="G1754" i="4"/>
  <c r="E694" i="4"/>
  <c r="D424" i="4"/>
  <c r="C1313" i="4"/>
  <c r="M270" i="4"/>
  <c r="D882" i="4"/>
  <c r="I673" i="4"/>
  <c r="F1495" i="4"/>
  <c r="D1260" i="4"/>
  <c r="J970" i="4"/>
  <c r="K1344" i="4"/>
  <c r="K674" i="4"/>
  <c r="E847" i="4"/>
  <c r="B1403" i="4"/>
  <c r="B1755" i="4"/>
  <c r="C328" i="4"/>
  <c r="B1909" i="4"/>
  <c r="E290" i="4"/>
  <c r="D1245" i="4"/>
  <c r="L255" i="4"/>
  <c r="M1125" i="4"/>
  <c r="E1561" i="4"/>
  <c r="G132" i="4"/>
  <c r="K1434" i="4"/>
  <c r="K1531" i="4"/>
  <c r="B196" i="4"/>
  <c r="M402" i="4"/>
  <c r="K1972" i="4"/>
  <c r="G1993" i="4"/>
  <c r="K625" i="4"/>
  <c r="L482" i="4"/>
  <c r="E1279" i="4"/>
  <c r="L1541" i="4"/>
  <c r="G290" i="4"/>
  <c r="L783" i="4"/>
  <c r="L592" i="4"/>
  <c r="G178" i="4"/>
  <c r="G1925" i="4"/>
  <c r="C26" i="4"/>
  <c r="M1162" i="4"/>
  <c r="K1815" i="4"/>
  <c r="K1339" i="4"/>
  <c r="L1407" i="4"/>
  <c r="I1815" i="4"/>
  <c r="C462" i="4"/>
  <c r="D902" i="4"/>
  <c r="J865" i="4"/>
  <c r="C795" i="4"/>
  <c r="E750" i="4"/>
  <c r="M1410" i="4"/>
  <c r="C1513" i="4"/>
  <c r="K314" i="4"/>
  <c r="I725" i="4"/>
  <c r="G152" i="4"/>
  <c r="L1161" i="4"/>
  <c r="M71" i="4"/>
  <c r="M1634" i="4"/>
  <c r="D437" i="4"/>
  <c r="L1390" i="4"/>
  <c r="M1437" i="4"/>
  <c r="L445" i="4"/>
  <c r="D1146" i="4"/>
  <c r="K403" i="4"/>
  <c r="L1832" i="4"/>
  <c r="G443" i="4"/>
  <c r="C1578" i="4"/>
  <c r="J1229" i="4"/>
  <c r="D2010" i="4"/>
  <c r="L966" i="4"/>
  <c r="M643" i="4"/>
  <c r="L1543" i="4"/>
  <c r="K1859" i="4"/>
  <c r="G1672" i="4"/>
  <c r="G899" i="4"/>
  <c r="G552" i="4"/>
  <c r="D1818" i="4"/>
  <c r="G2007" i="4"/>
  <c r="J998" i="4"/>
  <c r="G472" i="4"/>
  <c r="K1910" i="4"/>
  <c r="L1325" i="4"/>
  <c r="D1348" i="4"/>
  <c r="E1292" i="4"/>
  <c r="L1351" i="4"/>
  <c r="K951" i="4"/>
  <c r="C969" i="4"/>
  <c r="F1437" i="4"/>
  <c r="G714" i="4"/>
  <c r="C1336" i="4"/>
  <c r="M506" i="4"/>
  <c r="F1167" i="4"/>
  <c r="G712" i="4"/>
  <c r="D1067" i="4"/>
  <c r="E1835" i="4"/>
  <c r="C513" i="4"/>
  <c r="D1291" i="4"/>
  <c r="C1976" i="4"/>
  <c r="L324" i="4"/>
  <c r="D804" i="4"/>
  <c r="K826" i="4"/>
  <c r="F432" i="4"/>
  <c r="L1593" i="4"/>
  <c r="C1068" i="4"/>
  <c r="D1921" i="4"/>
  <c r="D1647" i="4"/>
  <c r="B1351" i="4"/>
  <c r="M1381" i="4"/>
  <c r="B1210" i="4"/>
  <c r="C1996" i="4"/>
  <c r="B1420" i="4"/>
  <c r="C1856" i="4"/>
  <c r="B1380" i="4"/>
  <c r="E1697" i="4"/>
  <c r="F829" i="4"/>
  <c r="B1232" i="4"/>
  <c r="I1701" i="4"/>
  <c r="J26" i="4"/>
  <c r="M596" i="4"/>
  <c r="E962" i="4"/>
  <c r="E1897" i="4"/>
  <c r="F1446" i="4"/>
  <c r="C669" i="4"/>
  <c r="M1210" i="4"/>
  <c r="K537" i="4"/>
  <c r="G275" i="4"/>
  <c r="I1246" i="4"/>
  <c r="B372" i="4"/>
  <c r="K1095" i="4"/>
  <c r="E856" i="4"/>
  <c r="M1464" i="4"/>
  <c r="E1913" i="4"/>
  <c r="E1899" i="4"/>
  <c r="F1226" i="4"/>
  <c r="C748" i="4"/>
  <c r="E495" i="4"/>
  <c r="B260" i="4"/>
  <c r="L780" i="4"/>
  <c r="D810" i="4"/>
  <c r="D756" i="4"/>
  <c r="G174" i="4"/>
  <c r="F766" i="4"/>
  <c r="K938" i="4"/>
  <c r="I691" i="4"/>
  <c r="E1509" i="4"/>
  <c r="F580" i="4"/>
  <c r="B966" i="4"/>
  <c r="B1616" i="4"/>
  <c r="G1070" i="4"/>
  <c r="L1059" i="4"/>
  <c r="F512" i="4"/>
  <c r="M1436" i="4"/>
  <c r="C1623" i="4"/>
  <c r="I1945" i="4"/>
  <c r="M1756" i="4"/>
  <c r="E972" i="4"/>
  <c r="M896" i="4"/>
  <c r="D1557" i="4"/>
  <c r="F1785" i="4"/>
  <c r="D1058" i="4"/>
  <c r="E1889" i="4"/>
  <c r="I1146" i="4"/>
  <c r="B1050" i="4"/>
  <c r="F1071" i="4"/>
  <c r="G796" i="4"/>
  <c r="E1524" i="4"/>
  <c r="G579" i="4"/>
  <c r="J1126" i="4"/>
  <c r="C1861" i="4"/>
  <c r="J920" i="4"/>
  <c r="F908" i="4"/>
  <c r="L879" i="4"/>
  <c r="B823" i="4"/>
  <c r="L1787" i="4"/>
  <c r="G518" i="4"/>
  <c r="K1861" i="4"/>
  <c r="F979" i="4"/>
  <c r="G230" i="4"/>
  <c r="I332" i="4"/>
  <c r="L50" i="4"/>
  <c r="E1802" i="4"/>
  <c r="M796" i="4"/>
  <c r="F1536" i="4"/>
  <c r="L1833" i="4"/>
  <c r="D1070" i="4"/>
  <c r="J857" i="4"/>
  <c r="L74" i="4"/>
  <c r="G285" i="4"/>
  <c r="E1191" i="4"/>
  <c r="L179" i="4"/>
  <c r="C6" i="4"/>
  <c r="F36" i="4"/>
  <c r="K969" i="4"/>
  <c r="D479" i="4"/>
  <c r="F1410" i="4"/>
  <c r="C1303" i="4"/>
  <c r="E1158" i="4"/>
  <c r="E991" i="4"/>
  <c r="K369" i="4"/>
  <c r="D861" i="4"/>
  <c r="M1247" i="4"/>
  <c r="E628" i="4"/>
  <c r="D129" i="4"/>
  <c r="C751" i="4"/>
  <c r="K816" i="4"/>
  <c r="L1690" i="4"/>
  <c r="J1835" i="4"/>
  <c r="K946" i="4"/>
  <c r="L1891" i="4"/>
  <c r="I847" i="4"/>
  <c r="E705" i="4"/>
  <c r="G815" i="4"/>
  <c r="E1940" i="4"/>
  <c r="D1389" i="4"/>
  <c r="F88" i="4"/>
  <c r="E476" i="4"/>
  <c r="D1758" i="4"/>
  <c r="C1509" i="4"/>
  <c r="D797" i="4"/>
  <c r="M1186" i="4"/>
  <c r="K862" i="4"/>
  <c r="B2001" i="4"/>
  <c r="D1734" i="4"/>
  <c r="G1493" i="4"/>
  <c r="D1598" i="4"/>
  <c r="C531" i="4"/>
  <c r="D1542" i="4"/>
  <c r="E632" i="4"/>
  <c r="C1231" i="4"/>
  <c r="I391" i="4"/>
  <c r="B740" i="4"/>
  <c r="K1132" i="4"/>
  <c r="L678" i="4"/>
  <c r="K1747" i="4"/>
  <c r="F1953" i="4"/>
  <c r="K72" i="4"/>
  <c r="K1188" i="4"/>
  <c r="G1235" i="4"/>
  <c r="B516" i="4"/>
  <c r="B1338" i="4"/>
  <c r="D631" i="4"/>
  <c r="F1124" i="4"/>
  <c r="J1637" i="4"/>
  <c r="K284" i="4"/>
  <c r="G1666" i="4"/>
  <c r="M1516" i="4"/>
  <c r="K302" i="4"/>
  <c r="I1572" i="4"/>
  <c r="G1810" i="4"/>
  <c r="L876" i="4"/>
  <c r="J1410" i="4"/>
  <c r="E280" i="4"/>
  <c r="L1318" i="4"/>
  <c r="B1543" i="4"/>
  <c r="D1425" i="4"/>
  <c r="G1347" i="4"/>
  <c r="E1451" i="4"/>
  <c r="C1470" i="4"/>
  <c r="G318" i="4"/>
  <c r="K552" i="4"/>
  <c r="G1777" i="4"/>
  <c r="C590" i="4"/>
  <c r="F1635" i="4"/>
  <c r="B1122" i="4"/>
  <c r="D1961" i="4"/>
  <c r="M1684" i="4"/>
  <c r="E1551" i="4"/>
  <c r="F1284" i="4"/>
  <c r="K92" i="4"/>
  <c r="I1974" i="4"/>
  <c r="G211" i="4"/>
  <c r="L970" i="4"/>
  <c r="D2000" i="4"/>
  <c r="L1774" i="4"/>
  <c r="G1091" i="4"/>
  <c r="G51" i="4"/>
  <c r="G1466" i="4"/>
  <c r="L552" i="4"/>
  <c r="I356" i="4"/>
  <c r="J1587" i="4"/>
  <c r="B677" i="4"/>
  <c r="L624" i="4"/>
  <c r="D1956" i="4"/>
  <c r="M467" i="4"/>
  <c r="E1547" i="4"/>
  <c r="C35" i="4"/>
  <c r="D901" i="4"/>
  <c r="M1594" i="4"/>
  <c r="L1539" i="4"/>
  <c r="M386" i="4"/>
  <c r="K1839" i="4"/>
  <c r="M59" i="4"/>
  <c r="F1401" i="4"/>
  <c r="L1712" i="4"/>
  <c r="D1238" i="4"/>
  <c r="E1936" i="4"/>
  <c r="D297" i="4"/>
  <c r="G1030" i="4"/>
  <c r="L1666" i="4"/>
  <c r="E687" i="4"/>
  <c r="E1372" i="4"/>
  <c r="K923" i="4"/>
  <c r="D1777" i="4"/>
  <c r="G1176" i="4"/>
  <c r="B1711" i="4"/>
  <c r="C1379" i="4"/>
  <c r="C1904" i="4"/>
  <c r="F1126" i="4"/>
  <c r="K1365" i="4"/>
  <c r="E99" i="4"/>
  <c r="L1801" i="4"/>
  <c r="M582" i="4"/>
  <c r="G669" i="4"/>
  <c r="C1285" i="4"/>
  <c r="G1523" i="4"/>
  <c r="K774" i="4"/>
  <c r="M327" i="4"/>
  <c r="G711" i="4"/>
  <c r="C679" i="4"/>
  <c r="C1334" i="4"/>
  <c r="F533" i="4"/>
  <c r="D1596" i="4"/>
  <c r="B1791" i="4"/>
  <c r="C643" i="4"/>
  <c r="D1990" i="4"/>
  <c r="K1929" i="4"/>
  <c r="B1622" i="4"/>
  <c r="G501" i="4"/>
  <c r="I61" i="4"/>
  <c r="M1006" i="4"/>
  <c r="K1841" i="4"/>
  <c r="F900" i="4"/>
  <c r="F134" i="4"/>
  <c r="J1318" i="4"/>
  <c r="D1258" i="4"/>
  <c r="F1897" i="4"/>
  <c r="M356" i="4"/>
  <c r="B1521" i="4"/>
  <c r="M988" i="4"/>
  <c r="K1679" i="4"/>
  <c r="G139" i="4"/>
  <c r="B1775" i="4"/>
  <c r="G1499" i="4"/>
  <c r="E262" i="4"/>
  <c r="K1794" i="4"/>
  <c r="F461" i="4"/>
  <c r="M1908" i="4"/>
  <c r="E835" i="4"/>
  <c r="I1225" i="4"/>
  <c r="C1679" i="4"/>
  <c r="M1884" i="4"/>
  <c r="C173" i="4"/>
  <c r="F739" i="4"/>
  <c r="B1394" i="4"/>
  <c r="C1422" i="4"/>
  <c r="M520" i="4"/>
  <c r="G1457" i="4"/>
  <c r="F802" i="4"/>
  <c r="K365" i="4"/>
  <c r="I1658" i="4"/>
  <c r="D111" i="4"/>
  <c r="M1517" i="4"/>
  <c r="J1707" i="4"/>
  <c r="F515" i="4"/>
  <c r="G270" i="4"/>
  <c r="L719" i="4"/>
  <c r="M867" i="4"/>
  <c r="C1498" i="4"/>
  <c r="F522" i="4"/>
  <c r="C972" i="4"/>
  <c r="L1635" i="4"/>
  <c r="B888" i="4"/>
  <c r="M1803" i="4"/>
  <c r="L1066" i="4"/>
  <c r="E857" i="4"/>
  <c r="L1903" i="4"/>
  <c r="C116" i="4"/>
  <c r="I910" i="4"/>
  <c r="B1717" i="4"/>
  <c r="M1446" i="4"/>
  <c r="C1750" i="4"/>
  <c r="B1844" i="4"/>
  <c r="M152" i="4"/>
  <c r="F1142" i="4"/>
  <c r="F968" i="4"/>
  <c r="L73" i="4"/>
  <c r="C1717" i="4"/>
  <c r="J619" i="4"/>
  <c r="E1819" i="4"/>
  <c r="D1845" i="4"/>
  <c r="D1904" i="4"/>
  <c r="E331" i="4"/>
  <c r="L372" i="4"/>
  <c r="B371" i="4"/>
  <c r="J1826" i="4"/>
  <c r="G448" i="4"/>
  <c r="M1718" i="4"/>
  <c r="M1415" i="4"/>
  <c r="K1119" i="4"/>
  <c r="M1048" i="4"/>
  <c r="I768" i="4"/>
  <c r="G362" i="4"/>
  <c r="D1543" i="4"/>
  <c r="I8" i="4"/>
  <c r="E1682" i="4"/>
  <c r="D1972" i="4"/>
  <c r="M676" i="4"/>
  <c r="G1084" i="4"/>
  <c r="B1774" i="4"/>
  <c r="M1962" i="4"/>
  <c r="F332" i="4"/>
  <c r="L1966" i="4"/>
  <c r="G848" i="4"/>
  <c r="C1915" i="4"/>
  <c r="J326" i="4"/>
  <c r="D1496" i="4"/>
  <c r="B851" i="4"/>
  <c r="L1970" i="4"/>
  <c r="C29" i="4"/>
  <c r="L882" i="4"/>
  <c r="I1976" i="4"/>
  <c r="M1390" i="4"/>
  <c r="B658" i="4"/>
  <c r="L1882" i="4"/>
  <c r="E941" i="4"/>
  <c r="J742" i="4"/>
  <c r="D910" i="4"/>
  <c r="E914" i="4"/>
  <c r="E76" i="4"/>
  <c r="E1777" i="4"/>
  <c r="J205" i="4"/>
  <c r="L144" i="4"/>
  <c r="C475" i="4"/>
  <c r="L1655" i="4"/>
  <c r="E974" i="4"/>
  <c r="C1198" i="4"/>
  <c r="D1374" i="4"/>
  <c r="C940" i="4"/>
  <c r="C161" i="4"/>
  <c r="F263" i="4"/>
  <c r="I1526" i="4"/>
  <c r="E90" i="4"/>
  <c r="K725" i="4"/>
  <c r="F970" i="4"/>
  <c r="F458" i="4"/>
  <c r="D1107" i="4"/>
  <c r="B421" i="4"/>
  <c r="L960" i="4"/>
  <c r="F333" i="4"/>
  <c r="B512" i="4"/>
  <c r="I1996" i="4"/>
  <c r="L988" i="4"/>
  <c r="K677" i="4"/>
  <c r="L305" i="4"/>
  <c r="E1985" i="4"/>
  <c r="C523" i="4"/>
  <c r="E255" i="4"/>
  <c r="E1821" i="4"/>
  <c r="K1635" i="4"/>
  <c r="C617" i="4"/>
  <c r="D118" i="4"/>
  <c r="C343" i="4"/>
  <c r="D337" i="4"/>
  <c r="K595" i="4"/>
  <c r="J336" i="4"/>
  <c r="I418" i="4"/>
  <c r="D26" i="4"/>
  <c r="J25" i="4"/>
  <c r="I154" i="4"/>
  <c r="I1170" i="4"/>
  <c r="J830" i="4"/>
  <c r="J773" i="4"/>
  <c r="I1167" i="4"/>
  <c r="F61" i="4"/>
  <c r="J1370" i="4"/>
  <c r="B566" i="4"/>
  <c r="J1582" i="4"/>
  <c r="J80" i="4"/>
  <c r="I696" i="4"/>
  <c r="J186" i="4"/>
  <c r="L47" i="4"/>
  <c r="I1047" i="4"/>
  <c r="J1362" i="4"/>
  <c r="F37" i="4"/>
  <c r="I1708" i="4"/>
  <c r="K1133" i="4"/>
  <c r="E996" i="4"/>
  <c r="I1903" i="4"/>
  <c r="L1179" i="4"/>
  <c r="J1669" i="4"/>
  <c r="J424" i="4"/>
  <c r="I1840" i="4"/>
  <c r="C566" i="4"/>
  <c r="J629" i="4"/>
  <c r="J568" i="4"/>
  <c r="F4" i="4"/>
  <c r="G136" i="4"/>
  <c r="I415" i="4"/>
  <c r="E512" i="4"/>
  <c r="C690" i="4"/>
  <c r="C193" i="4"/>
  <c r="J1331" i="4"/>
  <c r="F1151" i="4"/>
  <c r="I1266" i="4"/>
  <c r="J868" i="4"/>
  <c r="I1625" i="4"/>
  <c r="J1490" i="4"/>
  <c r="J1071" i="4"/>
  <c r="J1821" i="4"/>
  <c r="G1442" i="4"/>
  <c r="I2001" i="4"/>
  <c r="I962" i="4"/>
  <c r="J1332" i="4"/>
  <c r="L435" i="4"/>
  <c r="F95" i="4"/>
  <c r="E363" i="4"/>
  <c r="K392" i="4"/>
  <c r="F1712" i="4"/>
  <c r="F1144" i="4"/>
  <c r="J1039" i="4"/>
  <c r="C224" i="4"/>
  <c r="E103" i="4"/>
  <c r="L414" i="4"/>
  <c r="I603" i="4"/>
  <c r="E1376" i="4"/>
  <c r="F347" i="4"/>
  <c r="K1409" i="4"/>
  <c r="L125" i="4"/>
  <c r="K1104" i="4"/>
  <c r="C797" i="4"/>
  <c r="C452" i="4"/>
  <c r="C887" i="4"/>
  <c r="B503" i="4"/>
  <c r="D390" i="4"/>
  <c r="D1973" i="4"/>
  <c r="K1157" i="4"/>
  <c r="I1079" i="4"/>
  <c r="I1124" i="4"/>
  <c r="J338" i="4"/>
  <c r="L958" i="4"/>
  <c r="M396" i="4"/>
  <c r="L1876" i="4"/>
  <c r="C1828" i="4"/>
  <c r="B199" i="4"/>
  <c r="J1451" i="4"/>
  <c r="J598" i="4"/>
  <c r="F1043" i="4"/>
  <c r="C210" i="4"/>
  <c r="E887" i="4"/>
  <c r="J1051" i="4"/>
  <c r="I977" i="4"/>
  <c r="I1352" i="4"/>
  <c r="G1281" i="4"/>
  <c r="F530" i="4"/>
  <c r="B614" i="4"/>
  <c r="K138" i="4"/>
  <c r="K401" i="4"/>
  <c r="D880" i="4"/>
  <c r="G1169" i="4"/>
  <c r="B973" i="4"/>
  <c r="K633" i="4"/>
  <c r="G1626" i="4"/>
  <c r="K533" i="4"/>
  <c r="I1257" i="4"/>
  <c r="M196" i="4"/>
  <c r="I493" i="4"/>
  <c r="F1819" i="4"/>
  <c r="G52" i="4"/>
  <c r="I989" i="4"/>
  <c r="K69" i="4"/>
  <c r="K246" i="4"/>
  <c r="C392" i="4"/>
  <c r="G343" i="4"/>
  <c r="B828" i="4"/>
  <c r="C465" i="4"/>
  <c r="G1712" i="4"/>
  <c r="G13" i="4"/>
  <c r="I291" i="4"/>
  <c r="D114" i="4"/>
  <c r="I679" i="4"/>
  <c r="J651" i="4"/>
  <c r="K485" i="4"/>
  <c r="B77" i="4"/>
  <c r="M20" i="4"/>
  <c r="B120" i="4"/>
  <c r="I744" i="4"/>
  <c r="F398" i="4"/>
  <c r="G906" i="4"/>
  <c r="M1060" i="4"/>
  <c r="K547" i="4"/>
  <c r="C1898" i="4"/>
  <c r="D704" i="4"/>
  <c r="C1305" i="4"/>
  <c r="J1613" i="4"/>
  <c r="G153" i="4"/>
  <c r="G1258" i="4"/>
  <c r="I378" i="4"/>
  <c r="M370" i="4"/>
  <c r="K1962" i="4"/>
  <c r="D47" i="4"/>
  <c r="C962" i="4"/>
  <c r="I622" i="4"/>
  <c r="I1287" i="4"/>
  <c r="J1087" i="4"/>
  <c r="F1248" i="4"/>
  <c r="J730" i="4"/>
  <c r="D380" i="4"/>
  <c r="G1313" i="4"/>
  <c r="B12" i="4"/>
  <c r="D1271" i="4"/>
  <c r="K504" i="4"/>
  <c r="E1560" i="4"/>
  <c r="F2001" i="4"/>
  <c r="J1395" i="4"/>
  <c r="B467" i="4"/>
  <c r="F79" i="4"/>
  <c r="L166" i="4"/>
  <c r="M1690" i="4"/>
  <c r="K1588" i="4"/>
  <c r="F1294" i="4"/>
  <c r="C1002" i="4"/>
  <c r="I338" i="4"/>
  <c r="C1979" i="4"/>
  <c r="G45" i="4"/>
  <c r="F1735" i="4"/>
  <c r="K1054" i="4"/>
  <c r="C394" i="4"/>
  <c r="M1185" i="4"/>
  <c r="I1219" i="4"/>
  <c r="B757" i="4"/>
  <c r="D287" i="4"/>
  <c r="L1719" i="4"/>
  <c r="M426" i="4"/>
  <c r="L1520" i="4"/>
  <c r="D1604" i="4"/>
  <c r="L1925" i="4"/>
  <c r="D1579" i="4"/>
  <c r="F1345" i="4"/>
  <c r="L1205" i="4"/>
  <c r="L147" i="4"/>
  <c r="C433" i="4"/>
  <c r="M1472" i="4"/>
  <c r="M66" i="4"/>
  <c r="B1873" i="4"/>
  <c r="G538" i="4"/>
  <c r="I258" i="4"/>
  <c r="E135" i="4"/>
  <c r="C646" i="4"/>
  <c r="G819" i="4"/>
  <c r="C1469" i="4"/>
  <c r="I249" i="4"/>
  <c r="G1399" i="4"/>
  <c r="D1185" i="4"/>
  <c r="D785" i="4"/>
  <c r="J1968" i="4"/>
  <c r="G345" i="4"/>
  <c r="D1405" i="4"/>
  <c r="K1951" i="4"/>
  <c r="D1772" i="4"/>
  <c r="D1801" i="4"/>
  <c r="C231" i="4"/>
  <c r="B1397" i="4"/>
  <c r="D134" i="4"/>
  <c r="M977" i="4"/>
  <c r="L1745" i="4"/>
  <c r="B992" i="4"/>
  <c r="C2002" i="4"/>
  <c r="L938" i="4"/>
  <c r="L1508" i="4"/>
  <c r="C1378" i="4"/>
  <c r="K394" i="4"/>
  <c r="C896" i="4"/>
  <c r="D762" i="4"/>
  <c r="E735" i="4"/>
  <c r="F1683" i="4"/>
  <c r="D1852" i="4"/>
  <c r="L100" i="4"/>
  <c r="D1147" i="4"/>
  <c r="K510" i="4"/>
  <c r="M1498" i="4"/>
  <c r="E693" i="4"/>
  <c r="F1411" i="4"/>
  <c r="F330" i="4"/>
  <c r="L1010" i="4"/>
  <c r="M1478" i="4"/>
  <c r="G124" i="4"/>
  <c r="M1104" i="4"/>
  <c r="C1164" i="4"/>
  <c r="D1521" i="4"/>
  <c r="G800" i="4"/>
  <c r="L1158" i="4"/>
  <c r="L32" i="4"/>
  <c r="B200" i="4"/>
  <c r="F1148" i="4"/>
  <c r="C239" i="4"/>
  <c r="J1177" i="4"/>
  <c r="D2001" i="4"/>
  <c r="G28" i="4"/>
  <c r="M236" i="4"/>
  <c r="L829" i="4"/>
  <c r="D690" i="4"/>
  <c r="D133" i="4"/>
  <c r="F672" i="4"/>
  <c r="B17" i="4"/>
  <c r="B1169" i="4"/>
  <c r="G1581" i="4"/>
  <c r="D1223" i="4"/>
  <c r="E782" i="4"/>
  <c r="G956" i="4"/>
  <c r="B983" i="4"/>
  <c r="E1360" i="4"/>
  <c r="G1484" i="4"/>
  <c r="C1408" i="4"/>
  <c r="D1175" i="4"/>
  <c r="B1096" i="4"/>
  <c r="L1913" i="4"/>
  <c r="M1924" i="4"/>
  <c r="I1353" i="4"/>
  <c r="J349" i="4"/>
  <c r="J1000" i="4"/>
  <c r="L43" i="4"/>
  <c r="E1806" i="4"/>
  <c r="L589" i="4"/>
  <c r="L175" i="4"/>
  <c r="G231" i="4"/>
  <c r="I28" i="4"/>
  <c r="G523" i="4"/>
  <c r="B329" i="4"/>
  <c r="F77" i="4"/>
  <c r="E1052" i="4"/>
  <c r="B1313" i="4"/>
  <c r="J1790" i="4"/>
  <c r="I128" i="4"/>
  <c r="D224" i="4"/>
  <c r="D672" i="4"/>
  <c r="J301" i="4"/>
  <c r="C586" i="4"/>
  <c r="D808" i="4"/>
  <c r="F1915" i="4"/>
  <c r="I1627" i="4"/>
  <c r="G338" i="4"/>
  <c r="I344" i="4"/>
  <c r="J1603" i="4"/>
  <c r="L193" i="4"/>
  <c r="I956" i="4"/>
  <c r="J233" i="4"/>
  <c r="C1091" i="4"/>
  <c r="G1689" i="4"/>
  <c r="E817" i="4"/>
  <c r="I22" i="4"/>
  <c r="J476" i="4"/>
  <c r="C1397" i="4"/>
  <c r="J642" i="4"/>
  <c r="E214" i="4"/>
  <c r="F63" i="4"/>
  <c r="G896" i="4"/>
  <c r="I329" i="4"/>
  <c r="D51" i="4"/>
  <c r="F1698" i="4"/>
  <c r="K606" i="4"/>
  <c r="E202" i="4"/>
  <c r="E165" i="4"/>
  <c r="G113" i="4"/>
  <c r="C1418" i="4"/>
  <c r="G1765" i="4"/>
  <c r="K928" i="4"/>
  <c r="E456" i="4"/>
  <c r="J1863" i="4"/>
  <c r="M755" i="4"/>
  <c r="J383" i="4"/>
  <c r="E672" i="4"/>
  <c r="D1409" i="4"/>
  <c r="L575" i="4"/>
  <c r="K524" i="4"/>
  <c r="G1784" i="4"/>
  <c r="M1507" i="4"/>
  <c r="J549" i="4"/>
  <c r="C518" i="4"/>
  <c r="C875" i="4"/>
  <c r="M276" i="4"/>
  <c r="C288" i="4"/>
  <c r="M1059" i="4"/>
  <c r="G920" i="4"/>
  <c r="E1304" i="4"/>
  <c r="J96" i="4"/>
  <c r="K1460" i="4"/>
  <c r="B1443" i="4"/>
  <c r="G1577" i="4"/>
  <c r="J1865" i="4"/>
  <c r="I1579" i="4"/>
  <c r="J1619" i="4"/>
  <c r="J1354" i="4"/>
  <c r="L1388" i="4"/>
  <c r="K801" i="4"/>
  <c r="M1770" i="4"/>
  <c r="I1412" i="4"/>
  <c r="B976" i="4"/>
  <c r="J1213" i="4"/>
  <c r="I1583" i="4"/>
  <c r="M1397" i="4"/>
  <c r="D1164" i="4"/>
  <c r="I1366" i="4"/>
  <c r="D1249" i="4"/>
  <c r="M656" i="4"/>
  <c r="L1842" i="4"/>
  <c r="B874" i="4"/>
  <c r="D1783" i="4"/>
  <c r="C473" i="4"/>
  <c r="J201" i="4"/>
  <c r="I1838" i="4"/>
  <c r="L1877" i="4"/>
  <c r="C1123" i="4"/>
  <c r="J1705" i="4"/>
  <c r="J1114" i="4"/>
  <c r="K452" i="4"/>
  <c r="I1468" i="4"/>
  <c r="B428" i="4"/>
  <c r="I203" i="4"/>
  <c r="K664" i="4"/>
  <c r="J1498" i="4"/>
  <c r="E149" i="4"/>
  <c r="J30" i="4"/>
  <c r="J1975" i="4"/>
  <c r="I553" i="4"/>
  <c r="L80" i="4"/>
  <c r="I1214" i="4"/>
  <c r="I1810" i="4"/>
  <c r="B997" i="4"/>
  <c r="J1751" i="4"/>
  <c r="J1832" i="4"/>
  <c r="J1769" i="4"/>
  <c r="C1812" i="4"/>
  <c r="D577" i="4"/>
  <c r="B1426" i="4"/>
  <c r="I1357" i="4"/>
  <c r="I769" i="4"/>
  <c r="D669" i="4"/>
  <c r="I119" i="4"/>
  <c r="C1219" i="4"/>
  <c r="I1853" i="4"/>
  <c r="J1499" i="4"/>
  <c r="I964" i="4"/>
  <c r="I1634" i="4"/>
  <c r="L148" i="4"/>
  <c r="F474" i="4"/>
  <c r="C354" i="4"/>
  <c r="L540" i="4"/>
  <c r="K1629" i="4"/>
  <c r="M1072" i="4"/>
  <c r="I1877" i="4"/>
  <c r="F264" i="4"/>
  <c r="K865" i="4"/>
  <c r="F1292" i="4"/>
  <c r="E943" i="4"/>
  <c r="I275" i="4"/>
  <c r="D318" i="4"/>
  <c r="M1824" i="4"/>
  <c r="C696" i="4"/>
  <c r="C1630" i="4"/>
  <c r="G1520" i="4"/>
  <c r="E1434" i="4"/>
  <c r="F1572" i="4"/>
  <c r="F586" i="4"/>
  <c r="G1382" i="4"/>
  <c r="D989" i="4"/>
  <c r="E987" i="4"/>
  <c r="J1132" i="4"/>
  <c r="E872" i="4"/>
  <c r="L770" i="4"/>
  <c r="L1013" i="4"/>
  <c r="E32" i="4"/>
  <c r="E1027" i="4"/>
  <c r="I1596" i="4"/>
  <c r="J1300" i="4"/>
  <c r="J225" i="4"/>
  <c r="C1445" i="4"/>
  <c r="I30" i="4"/>
  <c r="J587" i="4"/>
  <c r="D421" i="4"/>
  <c r="B1046" i="4"/>
  <c r="J1208" i="4"/>
  <c r="I827" i="4"/>
  <c r="J1584" i="4"/>
  <c r="I1037" i="4"/>
  <c r="C1621" i="4"/>
  <c r="E562" i="4"/>
  <c r="L1398" i="4"/>
  <c r="K1997" i="4"/>
  <c r="M336" i="4"/>
  <c r="B465" i="4"/>
  <c r="M1822" i="4"/>
  <c r="M1537" i="4"/>
  <c r="B520" i="4"/>
  <c r="D1914" i="4"/>
  <c r="C1633" i="4"/>
  <c r="D1016" i="4"/>
  <c r="I633" i="4"/>
  <c r="K1227" i="4"/>
  <c r="J1140" i="4"/>
  <c r="E236" i="4"/>
  <c r="B680" i="4"/>
  <c r="G1917" i="4"/>
  <c r="G1311" i="4"/>
  <c r="K518" i="4"/>
  <c r="B1307" i="4"/>
  <c r="L1039" i="4"/>
  <c r="G1517" i="4"/>
  <c r="K422" i="4"/>
  <c r="B367" i="4"/>
  <c r="E1549" i="4"/>
  <c r="E384" i="4"/>
  <c r="F138" i="4"/>
  <c r="G707" i="4"/>
  <c r="F1941" i="4"/>
  <c r="C1781" i="4"/>
  <c r="M252" i="4"/>
  <c r="G1116" i="4"/>
  <c r="B213" i="4"/>
  <c r="F629" i="4"/>
  <c r="E1906" i="4"/>
  <c r="D1437" i="4"/>
  <c r="J837" i="4"/>
  <c r="J2009" i="4"/>
  <c r="J1108" i="4"/>
  <c r="F1874" i="4"/>
  <c r="G1785" i="4"/>
  <c r="E572" i="4"/>
  <c r="C1701" i="4"/>
  <c r="M109" i="4"/>
  <c r="B1385" i="4"/>
  <c r="I1464" i="4"/>
  <c r="K761" i="4"/>
  <c r="M393" i="4"/>
  <c r="G1629" i="4"/>
  <c r="E318" i="4"/>
  <c r="F1311" i="4"/>
  <c r="J1082" i="4"/>
  <c r="I1073" i="4"/>
  <c r="C419" i="4"/>
  <c r="F1180" i="4"/>
  <c r="G578" i="4"/>
  <c r="M1712" i="4"/>
  <c r="L1840" i="4"/>
  <c r="G1132" i="4"/>
  <c r="J1221" i="4"/>
  <c r="D97" i="4"/>
  <c r="G644" i="4"/>
  <c r="E1616" i="4"/>
  <c r="I750" i="4"/>
  <c r="C1485" i="4"/>
  <c r="C1323" i="4"/>
  <c r="G990" i="4"/>
  <c r="C945" i="4"/>
  <c r="E1023" i="4"/>
  <c r="G879" i="4"/>
  <c r="D1829" i="4"/>
  <c r="D122" i="4"/>
  <c r="G836" i="4"/>
  <c r="D1724" i="4"/>
  <c r="L803" i="4"/>
  <c r="L1680" i="4"/>
  <c r="F697" i="4"/>
  <c r="G716" i="4"/>
  <c r="M873" i="4"/>
  <c r="E195" i="4"/>
  <c r="L576" i="4"/>
  <c r="L1875" i="4"/>
  <c r="F1026" i="4"/>
  <c r="M1829" i="4"/>
  <c r="L1641" i="4"/>
  <c r="M1156" i="4"/>
  <c r="L1323" i="4"/>
  <c r="E1366" i="4"/>
  <c r="G794" i="4"/>
  <c r="B1797" i="4"/>
  <c r="E1159" i="4"/>
  <c r="C715" i="4"/>
  <c r="K1098" i="4"/>
  <c r="I1646" i="4"/>
  <c r="M262" i="4"/>
  <c r="C1867" i="4"/>
  <c r="M926" i="4"/>
  <c r="G1600" i="4"/>
  <c r="D1819" i="4"/>
  <c r="K1267" i="4"/>
  <c r="L22" i="4"/>
  <c r="E1713" i="4"/>
  <c r="G1927" i="4"/>
  <c r="D1319" i="4"/>
  <c r="G289" i="4"/>
  <c r="J1423" i="4"/>
  <c r="C1419" i="4"/>
  <c r="E37" i="4"/>
  <c r="L1711" i="4"/>
  <c r="F807" i="4"/>
  <c r="D1937" i="4"/>
  <c r="C1690" i="4"/>
  <c r="E1765" i="4"/>
  <c r="M2005" i="4"/>
  <c r="E599" i="4"/>
  <c r="I1782" i="4"/>
  <c r="E805" i="4"/>
  <c r="C629" i="4"/>
  <c r="G1085" i="4"/>
  <c r="J1272" i="4"/>
  <c r="M1743" i="4"/>
  <c r="C700" i="4"/>
  <c r="B604" i="4"/>
  <c r="C1233" i="4"/>
  <c r="E657" i="4"/>
  <c r="F177" i="4"/>
  <c r="G1321" i="4"/>
  <c r="E298" i="4"/>
  <c r="J1352" i="4"/>
  <c r="L987" i="4"/>
  <c r="F1120" i="4"/>
  <c r="F427" i="4"/>
  <c r="L1835" i="4"/>
  <c r="K1141" i="4"/>
  <c r="G1611" i="4"/>
  <c r="D56" i="4"/>
  <c r="B1104" i="4"/>
  <c r="K927" i="4"/>
  <c r="B1189" i="4"/>
  <c r="I1570" i="4"/>
  <c r="F1001" i="4"/>
  <c r="F615" i="4"/>
  <c r="L105" i="4"/>
  <c r="J1064" i="4"/>
  <c r="J506" i="4"/>
  <c r="L349" i="4"/>
  <c r="I147" i="4"/>
  <c r="C426" i="4"/>
  <c r="I369" i="4"/>
  <c r="G93" i="4"/>
  <c r="I1336" i="4"/>
  <c r="C101" i="4"/>
  <c r="G1305" i="4"/>
  <c r="M1130" i="4"/>
  <c r="D739" i="4"/>
  <c r="D207" i="4"/>
  <c r="M328" i="4"/>
  <c r="D141" i="4"/>
  <c r="D1686" i="4"/>
  <c r="M382" i="4"/>
  <c r="L738" i="4"/>
  <c r="E1769" i="4"/>
  <c r="I959" i="4"/>
  <c r="G1232" i="4"/>
  <c r="J1719" i="4"/>
  <c r="L766" i="4"/>
  <c r="I1507" i="4"/>
  <c r="E807" i="4"/>
  <c r="E1717" i="4"/>
  <c r="L1677" i="4"/>
  <c r="B483" i="4"/>
  <c r="J1491" i="4"/>
  <c r="J928" i="4"/>
  <c r="M1343" i="4"/>
  <c r="B758" i="4"/>
  <c r="J544" i="4"/>
  <c r="F1636" i="4"/>
  <c r="G234" i="4"/>
  <c r="C726" i="4"/>
  <c r="G912" i="4"/>
  <c r="L1609" i="4"/>
  <c r="K1622" i="4"/>
  <c r="I1731" i="4"/>
  <c r="I1863" i="4"/>
  <c r="M1848" i="4"/>
  <c r="I1912" i="4"/>
  <c r="G638" i="4"/>
  <c r="K193" i="4"/>
  <c r="I863" i="4"/>
  <c r="J750" i="4"/>
  <c r="C457" i="4"/>
  <c r="F713" i="4"/>
  <c r="B1156" i="4"/>
  <c r="K726" i="4"/>
  <c r="L909" i="4"/>
  <c r="E212" i="4"/>
  <c r="E1146" i="4"/>
  <c r="I653" i="4"/>
  <c r="M540" i="4"/>
  <c r="F1627" i="4"/>
  <c r="F1452" i="4"/>
  <c r="C1319" i="4"/>
  <c r="M1004" i="4"/>
  <c r="J1407" i="4"/>
  <c r="L702" i="4"/>
  <c r="D15" i="4"/>
  <c r="F714" i="4"/>
  <c r="C13" i="4"/>
  <c r="I346" i="4"/>
  <c r="M365" i="4"/>
  <c r="L271" i="4"/>
  <c r="C201" i="4"/>
  <c r="J1548" i="4"/>
  <c r="C1819" i="4"/>
  <c r="L396" i="4"/>
  <c r="K1698" i="4"/>
  <c r="G49" i="4"/>
  <c r="C745" i="4"/>
  <c r="M1100" i="4"/>
  <c r="M578" i="4"/>
  <c r="J1912" i="4"/>
  <c r="E359" i="4"/>
  <c r="J986" i="4"/>
  <c r="C1687" i="4"/>
  <c r="D124" i="4"/>
  <c r="B1550" i="4"/>
  <c r="D446" i="4"/>
  <c r="G1344" i="4"/>
  <c r="B1680" i="4"/>
  <c r="J1432" i="4"/>
  <c r="E808" i="4"/>
  <c r="E1133" i="4"/>
  <c r="K40" i="4"/>
  <c r="C1613" i="4"/>
  <c r="E627" i="4"/>
  <c r="E1208" i="4"/>
  <c r="E711" i="4"/>
  <c r="F1093" i="4"/>
  <c r="G1459" i="4"/>
  <c r="F686" i="4"/>
  <c r="D1591" i="4"/>
  <c r="K1342" i="4"/>
  <c r="L192" i="4"/>
  <c r="I1216" i="4"/>
  <c r="D90" i="4"/>
  <c r="G1817" i="4"/>
  <c r="M57" i="4"/>
  <c r="E215" i="4"/>
  <c r="K507" i="4"/>
  <c r="E1082" i="4"/>
  <c r="E1069" i="4"/>
  <c r="J1792" i="4"/>
  <c r="F1706" i="4"/>
  <c r="M1444" i="4"/>
  <c r="L1378" i="4"/>
  <c r="J1811" i="4"/>
  <c r="E1181" i="4"/>
  <c r="D250" i="4"/>
  <c r="F1767" i="4"/>
  <c r="F665" i="4"/>
  <c r="E80" i="4"/>
  <c r="L444" i="4"/>
  <c r="G844" i="4"/>
  <c r="J1267" i="4"/>
  <c r="D1861" i="4"/>
  <c r="C280" i="4"/>
  <c r="K1806" i="4"/>
  <c r="L790" i="4"/>
  <c r="F1839" i="4"/>
  <c r="K106" i="4"/>
  <c r="K1494" i="4"/>
  <c r="C1833" i="4"/>
  <c r="B1412" i="4"/>
  <c r="F186" i="4"/>
  <c r="F1166" i="4"/>
  <c r="C1158" i="4"/>
  <c r="G1596" i="4"/>
  <c r="K433" i="4"/>
  <c r="C1026" i="4"/>
  <c r="C1058" i="4"/>
  <c r="K620" i="4"/>
  <c r="M321" i="4"/>
  <c r="E132" i="4"/>
  <c r="L671" i="4"/>
  <c r="L1229" i="4"/>
  <c r="F753" i="4"/>
  <c r="E1310" i="4"/>
  <c r="M742" i="4"/>
  <c r="I1872" i="4"/>
  <c r="K1955" i="4"/>
  <c r="M388" i="4"/>
  <c r="K706" i="4"/>
  <c r="L1657" i="4"/>
  <c r="B1040" i="4"/>
  <c r="B1912" i="4"/>
  <c r="K1986" i="4"/>
  <c r="L1089" i="4"/>
  <c r="F1395" i="4"/>
  <c r="B898" i="4"/>
  <c r="D1499" i="4"/>
  <c r="C819" i="4"/>
  <c r="E35" i="4"/>
  <c r="I1705" i="4"/>
  <c r="G1230" i="4"/>
  <c r="M1883" i="4"/>
  <c r="L1470" i="4"/>
  <c r="G381" i="4"/>
  <c r="F1828" i="4"/>
  <c r="D1915" i="4"/>
  <c r="L710" i="4"/>
  <c r="B1162" i="4"/>
  <c r="K100" i="4"/>
  <c r="F1354" i="4"/>
  <c r="B662" i="4"/>
  <c r="G510" i="4"/>
  <c r="I1115" i="4"/>
  <c r="E586" i="4"/>
  <c r="E593" i="4"/>
  <c r="I1337" i="4"/>
  <c r="J913" i="4"/>
  <c r="J94" i="4"/>
  <c r="I292" i="4"/>
  <c r="B616" i="4"/>
  <c r="J1791" i="4"/>
  <c r="B554" i="4"/>
  <c r="J1640" i="4"/>
  <c r="L226" i="4"/>
  <c r="G837" i="4"/>
  <c r="M671" i="4"/>
  <c r="F429" i="4"/>
  <c r="F29" i="4"/>
  <c r="D1072" i="4"/>
  <c r="M1647" i="4"/>
  <c r="K602" i="4"/>
  <c r="F9" i="4"/>
  <c r="B1085" i="4"/>
  <c r="F998" i="4"/>
  <c r="F1791" i="4"/>
  <c r="J1142" i="4"/>
  <c r="E1523" i="4"/>
  <c r="G1980" i="4"/>
  <c r="F1105" i="4"/>
  <c r="C308" i="4"/>
  <c r="D263" i="4"/>
  <c r="J1514" i="4"/>
  <c r="E1837" i="4"/>
  <c r="K75" i="4"/>
  <c r="L647" i="4"/>
  <c r="J1329" i="4"/>
  <c r="C262" i="4"/>
  <c r="G497" i="4"/>
  <c r="C1675" i="4"/>
  <c r="G1869" i="4"/>
  <c r="G1257" i="4"/>
  <c r="L1064" i="4"/>
  <c r="F1188" i="4"/>
  <c r="F597" i="4"/>
  <c r="G790" i="4"/>
  <c r="K1562" i="4"/>
  <c r="M1422" i="4"/>
  <c r="I78" i="4"/>
  <c r="G91" i="4"/>
  <c r="G901" i="4"/>
  <c r="L227" i="4"/>
  <c r="I38" i="4"/>
  <c r="K1290" i="4"/>
  <c r="D1367" i="4"/>
  <c r="G303" i="4"/>
  <c r="K1932" i="4"/>
  <c r="G1341" i="4"/>
  <c r="C1318" i="4"/>
  <c r="D145" i="4"/>
  <c r="B1821" i="4"/>
  <c r="D753" i="4"/>
  <c r="K540" i="4"/>
  <c r="F941" i="4"/>
  <c r="J1532" i="4"/>
  <c r="G1972" i="4"/>
  <c r="B360" i="4"/>
  <c r="C1420" i="4"/>
  <c r="E1455" i="4"/>
  <c r="K224" i="4"/>
  <c r="E1747" i="4"/>
  <c r="K307" i="4"/>
  <c r="J20" i="4"/>
  <c r="K1121" i="4"/>
  <c r="G339" i="4"/>
  <c r="K1651" i="4"/>
  <c r="B1752" i="4"/>
  <c r="M1325" i="4"/>
  <c r="G1216" i="4"/>
  <c r="E966" i="4"/>
  <c r="C1905" i="4"/>
  <c r="M1344" i="4"/>
  <c r="L741" i="4"/>
  <c r="C1699" i="4"/>
  <c r="B1531" i="4"/>
  <c r="J548" i="4"/>
  <c r="B1683" i="4"/>
  <c r="C1758" i="4"/>
  <c r="D2009" i="4"/>
  <c r="I1942" i="4"/>
  <c r="M1370" i="4"/>
  <c r="M880" i="4"/>
  <c r="C1258" i="4"/>
  <c r="E1794" i="4"/>
  <c r="J288" i="4"/>
  <c r="D1156" i="4"/>
  <c r="K300" i="4"/>
  <c r="B573" i="4"/>
  <c r="I1405" i="4"/>
  <c r="I651" i="4"/>
  <c r="D1196" i="4"/>
  <c r="G300" i="4"/>
  <c r="J1122" i="4"/>
  <c r="J1649" i="4"/>
  <c r="F811" i="4"/>
  <c r="M675" i="4"/>
  <c r="L465" i="4"/>
  <c r="B1652" i="4"/>
  <c r="K501" i="4"/>
  <c r="D719" i="4"/>
  <c r="K1126" i="4"/>
  <c r="C1545" i="4"/>
  <c r="D806" i="4"/>
  <c r="B1835" i="4"/>
  <c r="C315" i="4"/>
  <c r="G1107" i="4"/>
  <c r="I778" i="4"/>
  <c r="D1835" i="4"/>
  <c r="M1834" i="4"/>
  <c r="F1854" i="4"/>
  <c r="C743" i="4"/>
  <c r="C200" i="4"/>
  <c r="C1724" i="4"/>
  <c r="D1394" i="4"/>
  <c r="D1259" i="4"/>
  <c r="D399" i="4"/>
  <c r="F751" i="4"/>
  <c r="F1339" i="4"/>
  <c r="G1902" i="4"/>
  <c r="K1103" i="4"/>
  <c r="E1876" i="4"/>
  <c r="K331" i="4"/>
  <c r="B250" i="4"/>
  <c r="E930" i="4"/>
  <c r="D502" i="4"/>
  <c r="B1223" i="4"/>
  <c r="C1036" i="4"/>
  <c r="C1136" i="4"/>
  <c r="D277" i="4"/>
  <c r="D1006" i="4"/>
  <c r="E1595" i="4"/>
  <c r="J154" i="4"/>
  <c r="E532" i="4"/>
  <c r="E853" i="4"/>
  <c r="G1206" i="4"/>
  <c r="K1172" i="4"/>
  <c r="I1574" i="4"/>
  <c r="E102" i="4"/>
  <c r="E1853" i="4"/>
  <c r="G832" i="4"/>
  <c r="G1175" i="4"/>
  <c r="D1944" i="4"/>
  <c r="B1694" i="4"/>
  <c r="B1919" i="4"/>
  <c r="M323" i="4"/>
  <c r="B568" i="4"/>
  <c r="D534" i="4"/>
  <c r="G867" i="4"/>
  <c r="M1692" i="4"/>
  <c r="G582" i="4"/>
  <c r="I490" i="4"/>
  <c r="K1486" i="4"/>
  <c r="I590" i="4"/>
  <c r="K858" i="4"/>
  <c r="J1015" i="4"/>
  <c r="J875" i="4"/>
  <c r="L715" i="4"/>
  <c r="G11" i="4"/>
  <c r="G137" i="4"/>
  <c r="G20" i="4"/>
  <c r="K1308" i="4"/>
  <c r="M1165" i="4"/>
  <c r="G971" i="4"/>
  <c r="I165" i="4"/>
  <c r="M40" i="4"/>
  <c r="B393" i="4"/>
  <c r="M1073" i="4"/>
  <c r="K1499" i="4"/>
  <c r="D1356" i="4"/>
  <c r="I765" i="4"/>
  <c r="F306" i="4"/>
  <c r="M87" i="4"/>
  <c r="J1612" i="4"/>
  <c r="M1021" i="4"/>
  <c r="D1560" i="4"/>
  <c r="F699" i="4"/>
  <c r="F1847" i="4"/>
  <c r="G1864" i="4"/>
  <c r="D1326" i="4"/>
  <c r="E948" i="4"/>
  <c r="M854" i="4"/>
  <c r="J1977" i="4"/>
  <c r="L1374" i="4"/>
  <c r="F189" i="4"/>
  <c r="F363" i="4"/>
  <c r="K1131" i="4"/>
  <c r="C1928" i="4"/>
  <c r="F1823" i="4"/>
  <c r="B342" i="4"/>
  <c r="C1169" i="4"/>
  <c r="E382" i="4"/>
  <c r="C174" i="4"/>
  <c r="D1080" i="4"/>
  <c r="L1191" i="4"/>
  <c r="I1110" i="4"/>
  <c r="E1929" i="4"/>
  <c r="L722" i="4"/>
  <c r="L1735" i="4"/>
  <c r="E144" i="4"/>
  <c r="E383" i="4"/>
  <c r="K60" i="4"/>
  <c r="G1665" i="4"/>
  <c r="B728" i="4"/>
  <c r="L519" i="4"/>
  <c r="L1338" i="4"/>
  <c r="M475" i="4"/>
  <c r="M1389" i="4"/>
  <c r="M1717" i="4"/>
  <c r="D733" i="4"/>
  <c r="I1020" i="4"/>
  <c r="L207" i="4"/>
  <c r="B1858" i="4"/>
  <c r="M1346" i="4"/>
  <c r="J51" i="4"/>
  <c r="F525" i="4"/>
  <c r="D91" i="4"/>
  <c r="B1010" i="4"/>
  <c r="F184" i="4"/>
  <c r="B1763" i="4"/>
  <c r="B405" i="4"/>
  <c r="I681" i="4"/>
  <c r="L1788" i="4"/>
  <c r="J878" i="4"/>
  <c r="L917" i="4"/>
  <c r="J579" i="4"/>
  <c r="C85" i="4"/>
  <c r="K1845" i="4"/>
  <c r="K1540" i="4"/>
  <c r="L969" i="4"/>
  <c r="L1602" i="4"/>
  <c r="L329" i="4"/>
  <c r="E1007" i="4"/>
  <c r="C1810" i="4"/>
  <c r="E558" i="4"/>
  <c r="E1645" i="4"/>
  <c r="D1506" i="4"/>
  <c r="G1794" i="4"/>
  <c r="E718" i="4"/>
  <c r="C8" i="4"/>
  <c r="G1020" i="4"/>
  <c r="L680" i="4"/>
  <c r="G1511" i="4"/>
  <c r="M1983" i="4"/>
  <c r="F693" i="4"/>
  <c r="L717" i="4"/>
  <c r="I160" i="4"/>
  <c r="B644" i="4"/>
  <c r="L184" i="4"/>
  <c r="D1707" i="4"/>
  <c r="J1727" i="4"/>
  <c r="K751" i="4"/>
  <c r="F842" i="4"/>
  <c r="B1035" i="4"/>
  <c r="B376" i="4"/>
  <c r="L1026" i="4"/>
  <c r="C45" i="4"/>
  <c r="B237" i="4"/>
  <c r="F208" i="4"/>
  <c r="I1822" i="4"/>
  <c r="C1355" i="4"/>
  <c r="E577" i="4"/>
  <c r="K838" i="4"/>
  <c r="L457" i="4"/>
  <c r="D1737" i="4"/>
  <c r="B1311" i="4"/>
  <c r="E1424" i="4"/>
  <c r="M990" i="4"/>
  <c r="I785" i="4"/>
  <c r="D852" i="4"/>
  <c r="M1212" i="4"/>
  <c r="D1310" i="4"/>
  <c r="G1433" i="4"/>
  <c r="B109" i="4"/>
  <c r="D1982" i="4"/>
  <c r="K830" i="4"/>
  <c r="F1933" i="4"/>
  <c r="F358" i="4"/>
  <c r="J1260" i="4"/>
  <c r="G294" i="4"/>
  <c r="G176" i="4"/>
  <c r="G1052" i="4"/>
  <c r="M150" i="4"/>
  <c r="E219" i="4"/>
  <c r="E1367" i="4"/>
  <c r="G1256" i="4"/>
  <c r="L655" i="4"/>
  <c r="D1349" i="4"/>
  <c r="F592" i="4"/>
  <c r="D1392" i="4"/>
  <c r="I1495" i="4"/>
  <c r="M1191" i="4"/>
  <c r="I1487" i="4"/>
  <c r="B1566" i="4"/>
  <c r="E1581" i="4"/>
  <c r="C1912" i="4"/>
  <c r="L641" i="4"/>
  <c r="G797" i="4"/>
  <c r="C758" i="4"/>
  <c r="K1044" i="4"/>
  <c r="M92" i="4"/>
  <c r="K1949" i="4"/>
  <c r="L311" i="4"/>
  <c r="F1183" i="4"/>
  <c r="B2004" i="4"/>
  <c r="L489" i="4"/>
  <c r="G932" i="4"/>
  <c r="K809" i="4"/>
  <c r="F55" i="4"/>
  <c r="F609" i="4"/>
  <c r="F773" i="4"/>
  <c r="M339" i="4"/>
  <c r="D687" i="4"/>
  <c r="D171" i="4"/>
  <c r="B1328" i="4"/>
  <c r="C1353" i="4"/>
  <c r="D849" i="4"/>
  <c r="B1930" i="4"/>
  <c r="G1125" i="4"/>
  <c r="C1918" i="4"/>
  <c r="B1544" i="4"/>
  <c r="K947" i="4"/>
  <c r="C278" i="4"/>
  <c r="K806" i="4"/>
  <c r="L71" i="4"/>
  <c r="K490" i="4"/>
  <c r="B1221" i="4"/>
  <c r="M1818" i="4"/>
  <c r="G1495" i="4"/>
  <c r="G493" i="4"/>
  <c r="C1820" i="4"/>
  <c r="J1380" i="4"/>
  <c r="L1739" i="4"/>
  <c r="D1041" i="4"/>
  <c r="J1475" i="4"/>
  <c r="C1341" i="4"/>
  <c r="G476" i="4"/>
  <c r="C727" i="4"/>
  <c r="E739" i="4"/>
  <c r="B630" i="4"/>
  <c r="F1949" i="4"/>
  <c r="E38" i="4"/>
  <c r="L733" i="4"/>
  <c r="B182" i="4"/>
  <c r="L1916" i="4"/>
  <c r="J29" i="4"/>
  <c r="K682" i="4"/>
  <c r="E216" i="4"/>
  <c r="M401" i="4"/>
  <c r="K1752" i="4"/>
  <c r="D1415" i="4"/>
  <c r="K1280" i="4"/>
  <c r="C853" i="4"/>
  <c r="D814" i="4"/>
  <c r="M1313" i="4"/>
  <c r="D816" i="4"/>
  <c r="E1673" i="4"/>
  <c r="F1550" i="4"/>
  <c r="G664" i="4"/>
  <c r="M570" i="4"/>
  <c r="B296" i="4"/>
  <c r="F1899" i="4"/>
  <c r="B2005" i="4"/>
  <c r="M1970" i="4"/>
  <c r="G785" i="4"/>
  <c r="L1969" i="4"/>
  <c r="K1967" i="4"/>
  <c r="K416" i="4"/>
  <c r="C103" i="4"/>
  <c r="D31" i="4"/>
  <c r="E1867" i="4"/>
  <c r="G571" i="4"/>
  <c r="M1303" i="4"/>
  <c r="F1919" i="4"/>
  <c r="I488" i="4"/>
  <c r="D1683" i="4"/>
  <c r="B564" i="4"/>
  <c r="D293" i="4"/>
  <c r="M849" i="4"/>
  <c r="K882" i="4"/>
  <c r="C1849" i="4"/>
  <c r="M1045" i="4"/>
  <c r="C1346" i="4"/>
  <c r="D874" i="4"/>
  <c r="B727" i="4"/>
  <c r="K168" i="4"/>
  <c r="C717" i="4"/>
  <c r="B1193" i="4"/>
  <c r="K1228" i="4"/>
  <c r="F49" i="4"/>
  <c r="B30" i="4"/>
  <c r="G660" i="4"/>
  <c r="K338" i="4"/>
  <c r="F357" i="4"/>
  <c r="F916" i="4"/>
  <c r="L1119" i="4"/>
  <c r="L1298" i="4"/>
  <c r="G1287" i="4"/>
  <c r="C135" i="4"/>
  <c r="K1634" i="4"/>
  <c r="M1698" i="4"/>
  <c r="B1908" i="4"/>
  <c r="M534" i="4"/>
  <c r="D32" i="4"/>
  <c r="M376" i="4"/>
  <c r="F1997" i="4"/>
  <c r="L676" i="4"/>
  <c r="C600" i="4"/>
  <c r="E1485" i="4"/>
  <c r="B401" i="4"/>
  <c r="I1425" i="4"/>
  <c r="B832" i="4"/>
  <c r="L1836" i="4"/>
  <c r="G1360" i="4"/>
  <c r="G1751" i="4"/>
  <c r="B609" i="4"/>
  <c r="C512" i="4"/>
  <c r="E938" i="4"/>
  <c r="K42" i="4"/>
  <c r="F667" i="4"/>
  <c r="D1984" i="4"/>
  <c r="B1343" i="4"/>
  <c r="B1528" i="4"/>
  <c r="D747" i="4"/>
  <c r="F899" i="4"/>
  <c r="D1769" i="4"/>
  <c r="D1714" i="4"/>
  <c r="B1615" i="4"/>
  <c r="D193" i="4"/>
  <c r="B1633" i="4"/>
  <c r="B71" i="4"/>
  <c r="M640" i="4"/>
  <c r="G618" i="4"/>
  <c r="I1361" i="4"/>
  <c r="E723" i="4"/>
  <c r="K1777" i="4"/>
  <c r="D1037" i="4"/>
  <c r="G945" i="4"/>
  <c r="B171" i="4"/>
  <c r="F1650" i="4"/>
  <c r="B1732" i="4"/>
  <c r="G888" i="4"/>
  <c r="C1343" i="4"/>
  <c r="G1634" i="4"/>
  <c r="I1681" i="4"/>
  <c r="K551" i="4"/>
  <c r="J1150" i="4"/>
  <c r="F1977" i="4"/>
  <c r="F959" i="4"/>
  <c r="G845" i="4"/>
  <c r="J871" i="4"/>
  <c r="G208" i="4"/>
  <c r="G1997" i="4"/>
  <c r="I1623" i="4"/>
  <c r="E1479" i="4"/>
  <c r="G1090" i="4"/>
  <c r="B382" i="4"/>
  <c r="D584" i="4"/>
  <c r="D1868" i="4"/>
  <c r="E1667" i="4"/>
  <c r="I386" i="4"/>
  <c r="G1601" i="4"/>
  <c r="I233" i="4"/>
  <c r="J1965" i="4"/>
  <c r="E579" i="4"/>
  <c r="G193" i="4"/>
  <c r="I1626" i="4"/>
  <c r="J1746" i="4"/>
  <c r="E539" i="4"/>
  <c r="G159" i="4"/>
  <c r="L1217" i="4"/>
  <c r="I1837" i="4"/>
  <c r="F1161" i="4"/>
  <c r="D274" i="4"/>
  <c r="K360" i="4"/>
  <c r="E988" i="4"/>
  <c r="C218" i="4"/>
  <c r="M162" i="4"/>
  <c r="D1954" i="4"/>
  <c r="B1994" i="4"/>
  <c r="K145" i="4"/>
  <c r="D737" i="4"/>
  <c r="G1425" i="4"/>
  <c r="C1367" i="4"/>
  <c r="K347" i="4"/>
  <c r="M584" i="4"/>
  <c r="C1609" i="4"/>
  <c r="C1924" i="4"/>
  <c r="M1716" i="4"/>
  <c r="D525" i="4"/>
  <c r="J1545" i="4"/>
  <c r="B1918" i="4"/>
  <c r="J1758" i="4"/>
  <c r="B1249" i="4"/>
  <c r="E1610" i="4"/>
  <c r="L845" i="4"/>
  <c r="E220" i="4"/>
  <c r="L976" i="4"/>
  <c r="L469" i="4"/>
  <c r="D1838" i="4"/>
  <c r="J1485" i="4"/>
  <c r="K936" i="4"/>
  <c r="B161" i="4"/>
  <c r="F1458" i="4"/>
  <c r="E378" i="4"/>
  <c r="D155" i="4"/>
  <c r="L964" i="4"/>
  <c r="F1221" i="4"/>
  <c r="K171" i="4"/>
  <c r="I1788" i="4"/>
  <c r="L1345" i="4"/>
  <c r="K1874" i="4"/>
  <c r="B1454" i="4"/>
  <c r="I1585" i="4"/>
  <c r="L1659" i="4"/>
  <c r="E864" i="4"/>
  <c r="G654" i="4"/>
  <c r="J1913" i="4"/>
  <c r="B837" i="4"/>
  <c r="K1447" i="4"/>
  <c r="J1465" i="4"/>
  <c r="B168" i="4"/>
  <c r="C1184" i="4"/>
  <c r="L743" i="4"/>
  <c r="K1898" i="4"/>
  <c r="M804" i="4"/>
  <c r="B45" i="4"/>
  <c r="L1834" i="4"/>
  <c r="M1586" i="4"/>
  <c r="D832" i="4"/>
  <c r="M1168" i="4"/>
  <c r="F869" i="4"/>
  <c r="D1996" i="4"/>
  <c r="F823" i="4"/>
  <c r="B595" i="4"/>
  <c r="F1890" i="4"/>
  <c r="L1752" i="4"/>
  <c r="F1546" i="4"/>
  <c r="M1424" i="4"/>
  <c r="J373" i="4"/>
  <c r="L1847" i="4"/>
  <c r="C1744" i="4"/>
  <c r="L139" i="4"/>
  <c r="B914" i="4"/>
  <c r="J1111" i="4"/>
  <c r="G1565" i="4"/>
  <c r="K1754" i="4"/>
  <c r="I840" i="4"/>
  <c r="M767" i="4"/>
  <c r="C1963" i="4"/>
  <c r="I1258" i="4"/>
  <c r="G1996" i="4"/>
  <c r="E1659" i="4"/>
  <c r="F1786" i="4"/>
  <c r="M779" i="4"/>
  <c r="C794" i="4"/>
  <c r="F646" i="4"/>
  <c r="E94" i="4"/>
  <c r="G162" i="4"/>
  <c r="C1877" i="4"/>
  <c r="I921" i="4"/>
  <c r="L893" i="4"/>
  <c r="C356" i="4"/>
  <c r="M869" i="4"/>
  <c r="D130" i="4"/>
  <c r="E1779" i="4"/>
  <c r="J1179" i="4"/>
  <c r="L1076" i="4"/>
  <c r="L441" i="4"/>
  <c r="J1166" i="4"/>
  <c r="C1908" i="4"/>
  <c r="G1602" i="4"/>
  <c r="G1835" i="4"/>
  <c r="F1283" i="4"/>
  <c r="K96" i="4"/>
  <c r="E1246" i="4"/>
  <c r="G1432" i="4"/>
  <c r="L1330" i="4"/>
  <c r="G85" i="4"/>
  <c r="E1702" i="4"/>
  <c r="L771" i="4"/>
  <c r="D35" i="4"/>
  <c r="M1570" i="4"/>
  <c r="I676" i="4"/>
  <c r="K479" i="4"/>
  <c r="M1459" i="4"/>
  <c r="M1998" i="4"/>
  <c r="G38" i="4"/>
  <c r="K1736" i="4"/>
  <c r="K1797" i="4"/>
  <c r="E1491" i="4"/>
  <c r="B1216" i="4"/>
  <c r="D1214" i="4"/>
  <c r="B273" i="4"/>
  <c r="C323" i="4"/>
  <c r="L1935" i="4"/>
  <c r="K934" i="4"/>
  <c r="G1417" i="4"/>
  <c r="M905" i="4"/>
  <c r="B441" i="4"/>
  <c r="K835" i="4"/>
  <c r="B1611" i="4"/>
  <c r="G484" i="4"/>
  <c r="F841" i="4"/>
  <c r="M1704" i="4"/>
  <c r="I1241" i="4"/>
  <c r="K1309" i="4"/>
  <c r="M1056" i="4"/>
  <c r="G1343" i="4"/>
  <c r="E1531" i="4"/>
  <c r="F167" i="4"/>
  <c r="M609" i="4"/>
  <c r="B671" i="4"/>
  <c r="K407" i="4"/>
  <c r="E1068" i="4"/>
  <c r="G964" i="4"/>
  <c r="K1053" i="4"/>
  <c r="C60" i="4"/>
  <c r="D1670" i="4"/>
  <c r="G1815" i="4"/>
  <c r="L1086" i="4"/>
  <c r="L932" i="4"/>
  <c r="B1569" i="4"/>
  <c r="J1181" i="4"/>
  <c r="F1517" i="4"/>
  <c r="L1985" i="4"/>
  <c r="L747" i="4"/>
  <c r="K1545" i="4"/>
  <c r="B1218" i="4"/>
  <c r="F1163" i="4"/>
  <c r="F654" i="4"/>
  <c r="B932" i="4"/>
  <c r="G611" i="4"/>
  <c r="B107" i="4"/>
  <c r="F1983" i="4"/>
  <c r="G1641" i="4"/>
  <c r="K888" i="4"/>
  <c r="J1303" i="4"/>
  <c r="J1365" i="4"/>
  <c r="D1205" i="4"/>
  <c r="L1368" i="4"/>
  <c r="K836" i="4"/>
  <c r="C159" i="4"/>
  <c r="F1875" i="4"/>
  <c r="D1364" i="4"/>
  <c r="L1986" i="4"/>
  <c r="D312" i="4"/>
  <c r="C1505" i="4"/>
  <c r="C803" i="4"/>
  <c r="E1361" i="4"/>
  <c r="B1082" i="4"/>
  <c r="G1798" i="4"/>
  <c r="C1139" i="4"/>
  <c r="G99" i="4"/>
  <c r="G1735" i="4"/>
  <c r="F1375" i="4"/>
  <c r="D1316" i="4"/>
  <c r="C1713" i="4"/>
  <c r="D922" i="4"/>
  <c r="L1311" i="4"/>
  <c r="M1585" i="4"/>
  <c r="M1180" i="4"/>
  <c r="B1886" i="4"/>
  <c r="M1382" i="4"/>
  <c r="M1392" i="4"/>
  <c r="M1352" i="4"/>
  <c r="J376" i="4"/>
  <c r="K319" i="4"/>
  <c r="G182" i="4"/>
  <c r="F987" i="4"/>
  <c r="M930" i="4"/>
  <c r="F603" i="4"/>
  <c r="D878" i="4"/>
  <c r="K1990" i="4"/>
  <c r="B1739" i="4"/>
  <c r="G1146" i="4"/>
  <c r="B177" i="4"/>
  <c r="M1095" i="4"/>
  <c r="G351" i="4"/>
  <c r="B1404" i="4"/>
  <c r="E884" i="4"/>
  <c r="L1694" i="4"/>
  <c r="C1529" i="4"/>
  <c r="M156" i="4"/>
  <c r="F1140" i="4"/>
  <c r="B272" i="4"/>
  <c r="K559" i="4"/>
  <c r="K1390" i="4"/>
  <c r="M1762" i="4"/>
  <c r="K1113" i="4"/>
  <c r="M1514" i="4"/>
  <c r="L1414" i="4"/>
  <c r="F1691" i="4"/>
  <c r="M649" i="4"/>
  <c r="K598" i="4"/>
  <c r="B1247" i="4"/>
  <c r="E1892" i="4"/>
  <c r="B1118" i="4"/>
  <c r="M1831" i="4"/>
  <c r="C386" i="4"/>
  <c r="D197" i="4"/>
  <c r="C1972" i="4"/>
  <c r="D542" i="4"/>
  <c r="F558" i="4"/>
  <c r="G1874" i="4"/>
  <c r="C1029" i="4"/>
  <c r="E1138" i="4"/>
  <c r="F1273" i="4"/>
  <c r="L596" i="4"/>
  <c r="C1040" i="4"/>
  <c r="F912" i="4"/>
  <c r="M916" i="4"/>
  <c r="F1301" i="4"/>
  <c r="C1137" i="4"/>
  <c r="L530" i="4"/>
  <c r="L1870" i="4"/>
  <c r="K356" i="4"/>
  <c r="L1967" i="4"/>
  <c r="M28" i="4"/>
  <c r="K114" i="4"/>
  <c r="E1496" i="4"/>
  <c r="L1715" i="4"/>
  <c r="M30" i="4"/>
  <c r="D278" i="4"/>
  <c r="L862" i="4"/>
  <c r="J853" i="4"/>
  <c r="I1483" i="4"/>
  <c r="C305" i="4"/>
  <c r="I1340" i="4"/>
  <c r="M47" i="4"/>
  <c r="J1779" i="4"/>
  <c r="I1285" i="4"/>
  <c r="J1459" i="4"/>
  <c r="K1046" i="4"/>
  <c r="M1984" i="4"/>
  <c r="F1668" i="4"/>
  <c r="L7" i="4"/>
  <c r="I234" i="4"/>
  <c r="I185" i="4"/>
  <c r="D1446" i="4"/>
  <c r="F631" i="4"/>
  <c r="C1652" i="4"/>
  <c r="J1334" i="4"/>
  <c r="J303" i="4"/>
  <c r="M288" i="4"/>
  <c r="F845" i="4"/>
  <c r="F1731" i="4"/>
  <c r="D1796" i="4"/>
  <c r="F876" i="4"/>
  <c r="C1548" i="4"/>
  <c r="C1322" i="4"/>
  <c r="L1268" i="4"/>
  <c r="M1845" i="4"/>
  <c r="L157" i="4"/>
  <c r="C598" i="4"/>
  <c r="I1978" i="4"/>
  <c r="D782" i="4"/>
  <c r="L223" i="4"/>
  <c r="L1613" i="4"/>
  <c r="I572" i="4"/>
  <c r="B790" i="4"/>
  <c r="E790" i="4"/>
  <c r="K1611" i="4"/>
  <c r="B1467" i="4"/>
  <c r="F966" i="4"/>
  <c r="M298" i="4"/>
  <c r="E1041" i="4"/>
  <c r="E1535" i="4"/>
  <c r="G1128" i="4"/>
  <c r="B1575" i="4"/>
  <c r="D1335" i="4"/>
  <c r="F1960" i="4"/>
  <c r="E1353" i="4"/>
  <c r="J1339" i="4"/>
  <c r="K528" i="4"/>
  <c r="E770" i="4"/>
  <c r="F1588" i="4"/>
  <c r="G33" i="4"/>
  <c r="I1540" i="4"/>
  <c r="F1758" i="4"/>
  <c r="I1068" i="4"/>
  <c r="B98" i="4"/>
  <c r="M1797" i="4"/>
  <c r="F375" i="4"/>
  <c r="L1500" i="4"/>
  <c r="C412" i="4"/>
  <c r="I343" i="4"/>
  <c r="F259" i="4"/>
  <c r="L270" i="4"/>
  <c r="G770" i="4"/>
  <c r="F1489" i="4"/>
  <c r="E1738" i="4"/>
  <c r="F832" i="4"/>
  <c r="J1456" i="4"/>
  <c r="M1391" i="4"/>
  <c r="L1392" i="4"/>
  <c r="L643" i="4"/>
  <c r="K1068" i="4"/>
  <c r="E259" i="4"/>
  <c r="F883" i="4"/>
  <c r="M858" i="4"/>
  <c r="F1604" i="4"/>
  <c r="D944" i="4"/>
  <c r="J895" i="4"/>
  <c r="M1348" i="4"/>
  <c r="B994" i="4"/>
  <c r="I373" i="4"/>
  <c r="E1567" i="4"/>
  <c r="L183" i="4"/>
  <c r="C1651" i="4"/>
  <c r="F946" i="4"/>
  <c r="C597" i="4"/>
  <c r="G1663" i="4"/>
  <c r="E481" i="4"/>
  <c r="G936" i="4"/>
  <c r="M1616" i="4"/>
  <c r="C31" i="4"/>
  <c r="C1392" i="4"/>
  <c r="L1294" i="4"/>
  <c r="J324" i="4"/>
  <c r="E1432" i="4"/>
  <c r="M1577" i="4"/>
  <c r="I1961" i="4"/>
  <c r="L1187" i="4"/>
  <c r="B1583" i="4"/>
  <c r="L503" i="4"/>
  <c r="I1878" i="4"/>
  <c r="D1583" i="4"/>
  <c r="G1583" i="4"/>
  <c r="B1317" i="4"/>
  <c r="J764" i="4"/>
  <c r="E317" i="4"/>
  <c r="B389" i="4"/>
  <c r="K395" i="4"/>
  <c r="B1107" i="4"/>
  <c r="D300" i="4"/>
  <c r="B1248" i="4"/>
  <c r="L989" i="4"/>
  <c r="M320" i="4"/>
  <c r="F1313" i="4"/>
  <c r="B946" i="4"/>
  <c r="B1181" i="4"/>
  <c r="G1526" i="4"/>
  <c r="D869" i="4"/>
  <c r="M1075" i="4"/>
  <c r="B106" i="4"/>
  <c r="D225" i="4"/>
  <c r="L852" i="4"/>
  <c r="E1240" i="4"/>
  <c r="L1348" i="4"/>
  <c r="C956" i="4"/>
  <c r="C667" i="4"/>
  <c r="G512" i="4"/>
  <c r="D186" i="4"/>
  <c r="K1496" i="4"/>
  <c r="M416" i="4"/>
  <c r="K500" i="4"/>
  <c r="C1534" i="4"/>
  <c r="B349" i="4"/>
  <c r="E1102" i="4"/>
  <c r="C1698" i="4"/>
  <c r="J718" i="4"/>
  <c r="L1439" i="4"/>
  <c r="C17" i="4"/>
  <c r="E874" i="4"/>
  <c r="B1476" i="4"/>
  <c r="F576" i="4"/>
  <c r="G1782" i="4"/>
  <c r="F163" i="4"/>
  <c r="K1006" i="4"/>
  <c r="G1643" i="4"/>
  <c r="F1434" i="4"/>
  <c r="K847" i="4"/>
  <c r="J1944" i="4"/>
  <c r="C1048" i="4"/>
  <c r="L2007" i="4"/>
  <c r="I1222" i="4"/>
  <c r="M112" i="4"/>
  <c r="F757" i="4"/>
  <c r="L977" i="4"/>
  <c r="F820" i="4"/>
  <c r="D1220" i="4"/>
  <c r="B1477" i="4"/>
  <c r="E1937" i="4"/>
  <c r="D1614" i="4"/>
  <c r="G554" i="4"/>
  <c r="B1731" i="4"/>
  <c r="K954" i="4"/>
  <c r="D1042" i="4"/>
  <c r="D942" i="4"/>
  <c r="I1432" i="4"/>
  <c r="B1677" i="4"/>
  <c r="C416" i="4"/>
  <c r="C1673" i="4"/>
  <c r="F188" i="4"/>
  <c r="G1431" i="4"/>
  <c r="I1435" i="4"/>
  <c r="M461" i="4"/>
  <c r="D924" i="4"/>
  <c r="L1753" i="4"/>
  <c r="M833" i="4"/>
  <c r="M876" i="4"/>
  <c r="F911" i="4"/>
  <c r="F951" i="4"/>
  <c r="E1653" i="4"/>
  <c r="C1361" i="4"/>
  <c r="L1316" i="4"/>
  <c r="I1854" i="4"/>
  <c r="F1125" i="4"/>
  <c r="L1762" i="4"/>
  <c r="C1262" i="4"/>
  <c r="B1982" i="4"/>
  <c r="G558" i="4"/>
  <c r="B93" i="4"/>
  <c r="B1486" i="4"/>
  <c r="B657" i="4"/>
  <c r="E1775" i="4"/>
  <c r="E1514" i="4"/>
  <c r="B1890" i="4"/>
  <c r="C1004" i="4"/>
  <c r="C304" i="4"/>
  <c r="L403" i="4"/>
  <c r="C1046" i="4"/>
  <c r="B824" i="4"/>
  <c r="K749" i="4"/>
  <c r="C893" i="4"/>
  <c r="G1096" i="4"/>
  <c r="C878" i="4"/>
  <c r="E1759" i="4"/>
  <c r="C635" i="4"/>
  <c r="C1427" i="4"/>
  <c r="M266" i="4"/>
  <c r="B1229" i="4"/>
  <c r="G406" i="4"/>
  <c r="D1453" i="4"/>
  <c r="C186" i="4"/>
  <c r="F1000" i="4"/>
  <c r="M1227" i="4"/>
  <c r="F1563" i="4"/>
  <c r="J465" i="4"/>
  <c r="B1407" i="4"/>
  <c r="L1130" i="4"/>
  <c r="D359" i="4"/>
  <c r="I494" i="4"/>
  <c r="M1830" i="4"/>
  <c r="M1885" i="4"/>
  <c r="L582" i="4"/>
  <c r="D1211" i="4"/>
  <c r="M527" i="4"/>
  <c r="E1123" i="4"/>
  <c r="F1031" i="4"/>
  <c r="E1277" i="4"/>
  <c r="K981" i="4"/>
  <c r="B1488" i="4"/>
  <c r="L1703" i="4"/>
  <c r="C976" i="4"/>
  <c r="K1179" i="4"/>
  <c r="B283" i="4"/>
  <c r="F280" i="4"/>
  <c r="E1314" i="4"/>
  <c r="E902" i="4"/>
  <c r="G429" i="4"/>
  <c r="K1525" i="4"/>
  <c r="F819" i="4"/>
  <c r="J122" i="4"/>
  <c r="M583" i="4"/>
  <c r="E1600" i="4"/>
  <c r="K690" i="4"/>
  <c r="M760" i="4"/>
  <c r="K496" i="4"/>
  <c r="F892" i="4"/>
  <c r="D773" i="4"/>
  <c r="B935" i="4"/>
  <c r="B420" i="4"/>
  <c r="C1551" i="4"/>
  <c r="K1202" i="4"/>
  <c r="D857" i="4"/>
  <c r="F449" i="4"/>
  <c r="E522" i="4"/>
  <c r="E1404" i="4"/>
  <c r="B228" i="4"/>
  <c r="D1046" i="4"/>
  <c r="B686" i="4"/>
  <c r="M690" i="4"/>
  <c r="D1955" i="4"/>
  <c r="D43" i="4"/>
  <c r="E1585" i="4"/>
  <c r="M1932" i="4"/>
  <c r="I1764" i="4"/>
  <c r="K301" i="4"/>
  <c r="B1979" i="4"/>
  <c r="I1513" i="4"/>
  <c r="C1864" i="4"/>
  <c r="E1519" i="4"/>
  <c r="D1442" i="4"/>
  <c r="K619" i="4"/>
  <c r="F652" i="4"/>
  <c r="K162" i="4"/>
  <c r="K1234" i="4"/>
  <c r="K1642" i="4"/>
  <c r="G305" i="4"/>
  <c r="B1132" i="4"/>
  <c r="E1592" i="4"/>
  <c r="D1864" i="4"/>
  <c r="G527" i="4"/>
  <c r="L1259" i="4"/>
  <c r="G1430" i="4"/>
  <c r="L1558" i="4"/>
  <c r="D268" i="4"/>
  <c r="M1206" i="4"/>
  <c r="D397" i="4"/>
  <c r="J365" i="4"/>
  <c r="M1513" i="4"/>
  <c r="C1981" i="4"/>
  <c r="M1284" i="4"/>
  <c r="J1074" i="4"/>
  <c r="D1106" i="4"/>
  <c r="E776" i="4"/>
  <c r="B1076" i="4"/>
  <c r="E713" i="4"/>
  <c r="K1411" i="4"/>
  <c r="L666" i="4"/>
  <c r="J1384" i="4"/>
  <c r="L1417" i="4"/>
  <c r="L1747" i="4"/>
  <c r="F1776" i="4"/>
  <c r="I149" i="4"/>
  <c r="C705" i="4"/>
  <c r="M718" i="4"/>
  <c r="L1885" i="4"/>
  <c r="D601" i="4"/>
  <c r="E715" i="4"/>
  <c r="F542" i="4"/>
  <c r="M964" i="4"/>
  <c r="F648" i="4"/>
  <c r="M1086" i="4"/>
  <c r="C1602" i="4"/>
  <c r="C1404" i="4"/>
  <c r="L1166" i="4"/>
  <c r="L1766" i="4"/>
  <c r="B1768" i="4"/>
  <c r="C1308" i="4"/>
  <c r="K1039" i="4"/>
  <c r="L1364" i="4"/>
  <c r="B1206" i="4"/>
  <c r="K291" i="4"/>
  <c r="D680" i="4"/>
  <c r="L1904" i="4"/>
  <c r="C1945" i="4"/>
  <c r="C1365" i="4"/>
  <c r="C1873" i="4"/>
  <c r="C1934" i="4"/>
  <c r="I932" i="4"/>
  <c r="M692" i="4"/>
  <c r="B592" i="4"/>
  <c r="G433" i="4"/>
  <c r="M1610" i="4"/>
  <c r="C1800" i="4"/>
  <c r="G907" i="4"/>
  <c r="E559" i="4"/>
  <c r="D778" i="4"/>
  <c r="L1902" i="4"/>
  <c r="F1591" i="4"/>
  <c r="K1109" i="4"/>
  <c r="E461" i="4"/>
  <c r="K372" i="4"/>
  <c r="E268" i="4"/>
  <c r="M2011" i="4"/>
  <c r="F1379" i="4"/>
  <c r="B1602" i="4"/>
  <c r="M897" i="4"/>
  <c r="B1215" i="4"/>
  <c r="E1195" i="4"/>
  <c r="K660" i="4"/>
  <c r="B332" i="4"/>
  <c r="E1037" i="4"/>
  <c r="L1084" i="4"/>
  <c r="F620" i="4"/>
  <c r="C1260" i="4"/>
  <c r="L1584" i="4"/>
  <c r="F1613" i="4"/>
  <c r="M1215" i="4"/>
  <c r="K1458" i="4"/>
  <c r="C712" i="4"/>
  <c r="F1204" i="4"/>
  <c r="D1338" i="4"/>
  <c r="L1617" i="4"/>
  <c r="G807" i="4"/>
  <c r="D1187" i="4"/>
  <c r="E861" i="4"/>
  <c r="F993" i="4"/>
  <c r="B1538" i="4"/>
  <c r="G1502" i="4"/>
  <c r="D336" i="4"/>
  <c r="E684" i="4"/>
  <c r="I1631" i="4"/>
  <c r="M90" i="4"/>
  <c r="C1929" i="4"/>
  <c r="K1706" i="4"/>
  <c r="L1462" i="4"/>
  <c r="B689" i="4"/>
  <c r="C1025" i="4"/>
  <c r="M1324" i="4"/>
  <c r="M1490" i="4"/>
  <c r="E1271" i="4"/>
  <c r="F305" i="4"/>
  <c r="E409" i="4"/>
  <c r="B1471" i="4"/>
  <c r="B989" i="4"/>
  <c r="L703" i="4"/>
  <c r="F303" i="4"/>
  <c r="F261" i="4"/>
  <c r="F1982" i="4"/>
  <c r="E13" i="4"/>
  <c r="C1344" i="4"/>
  <c r="C1956" i="4"/>
  <c r="B908" i="4"/>
  <c r="F712" i="4"/>
  <c r="F1154" i="4"/>
  <c r="F764" i="4"/>
  <c r="B1941" i="4"/>
  <c r="L1341" i="4"/>
  <c r="M1448" i="4"/>
  <c r="D1625" i="4"/>
  <c r="J831" i="4"/>
  <c r="B967" i="4"/>
  <c r="F873" i="4"/>
  <c r="M1504" i="4"/>
  <c r="E981" i="4"/>
  <c r="M523" i="4"/>
  <c r="C1012" i="4"/>
  <c r="K240" i="4"/>
  <c r="K708" i="4"/>
  <c r="J1060" i="4"/>
  <c r="B1267" i="4"/>
  <c r="C899" i="4"/>
  <c r="F1499" i="4"/>
  <c r="F790" i="4"/>
  <c r="E302" i="4"/>
  <c r="E712" i="4"/>
  <c r="G905" i="4"/>
  <c r="F1723" i="4"/>
  <c r="D384" i="4"/>
  <c r="K1213" i="4"/>
  <c r="K1723" i="4"/>
  <c r="L1307" i="4"/>
  <c r="M446" i="4"/>
  <c r="F22" i="4"/>
  <c r="I804" i="4"/>
  <c r="M1063" i="4"/>
  <c r="F710" i="4"/>
  <c r="E1438" i="4"/>
  <c r="D1332" i="4"/>
  <c r="E956" i="4"/>
  <c r="L52" i="4"/>
  <c r="L1660" i="4"/>
  <c r="D1457" i="4"/>
  <c r="L1493" i="4"/>
  <c r="B266" i="4"/>
  <c r="E1435" i="4"/>
  <c r="F1510" i="4"/>
  <c r="B1889" i="4"/>
  <c r="M1122" i="4"/>
  <c r="I930" i="4"/>
  <c r="B1921" i="4"/>
  <c r="D1472" i="4"/>
  <c r="F1066" i="4"/>
  <c r="F1193" i="4"/>
  <c r="F818" i="4"/>
  <c r="M1009" i="4"/>
  <c r="J1338" i="4"/>
  <c r="G897" i="4"/>
  <c r="K383" i="4"/>
  <c r="B429" i="4"/>
  <c r="M142" i="4"/>
  <c r="F1687" i="4"/>
  <c r="K1071" i="4"/>
  <c r="L1564" i="4"/>
  <c r="E1614" i="4"/>
  <c r="G1375" i="4"/>
  <c r="E1163" i="4"/>
  <c r="D451" i="4"/>
  <c r="D170" i="4"/>
  <c r="K1399" i="4"/>
  <c r="D777" i="4"/>
  <c r="D1941" i="4"/>
  <c r="C1557" i="4"/>
  <c r="C1949" i="4"/>
  <c r="C1406" i="4"/>
  <c r="K201" i="4"/>
  <c r="G1276" i="4"/>
  <c r="M1229" i="4"/>
  <c r="K1311" i="4"/>
  <c r="E1015" i="4"/>
  <c r="J292" i="4"/>
  <c r="G384" i="4"/>
  <c r="G925" i="4"/>
  <c r="D750" i="4"/>
  <c r="K232" i="4"/>
  <c r="B1540" i="4"/>
  <c r="L1092" i="4"/>
  <c r="E1974" i="4"/>
  <c r="G820" i="4"/>
  <c r="E563" i="4"/>
  <c r="D789" i="4"/>
  <c r="C1582" i="4"/>
  <c r="F952" i="4"/>
  <c r="E909" i="4"/>
  <c r="C23" i="4"/>
  <c r="M485" i="4"/>
  <c r="M1961" i="4"/>
  <c r="K1111" i="4"/>
  <c r="C793" i="4"/>
  <c r="F1793" i="4"/>
  <c r="F1450" i="4"/>
  <c r="D1951" i="4"/>
  <c r="C1194" i="4"/>
  <c r="G567" i="4"/>
  <c r="C1822" i="4"/>
  <c r="J448" i="4"/>
  <c r="L2" i="4"/>
  <c r="E1371" i="4"/>
  <c r="D1841" i="4"/>
  <c r="G356" i="4"/>
  <c r="D259" i="4"/>
  <c r="D606" i="4"/>
  <c r="D252" i="4"/>
  <c r="B1492" i="4"/>
  <c r="L1889" i="4"/>
  <c r="E1785" i="4"/>
  <c r="B1347" i="4"/>
  <c r="F222" i="4"/>
  <c r="J734" i="4"/>
  <c r="G994" i="4"/>
  <c r="B198" i="4"/>
  <c r="L546" i="4"/>
  <c r="K1410" i="4"/>
  <c r="F547" i="4"/>
  <c r="M60" i="4"/>
  <c r="B546" i="4"/>
  <c r="E1050" i="4"/>
  <c r="B591" i="4"/>
  <c r="M1361" i="4"/>
  <c r="L1894" i="4"/>
  <c r="E211" i="4"/>
  <c r="D1874" i="4"/>
  <c r="K324" i="4"/>
  <c r="I1875" i="4"/>
  <c r="L1734" i="4"/>
  <c r="D1981" i="4"/>
  <c r="C1065" i="4"/>
  <c r="B864" i="4"/>
  <c r="C1356" i="4"/>
  <c r="M1787" i="4"/>
  <c r="D807" i="4"/>
  <c r="I388" i="4"/>
  <c r="E598" i="4"/>
  <c r="B1688" i="4"/>
  <c r="K899" i="4"/>
  <c r="F1968" i="4"/>
  <c r="C1309" i="4"/>
  <c r="D650" i="4"/>
  <c r="C1111" i="4"/>
  <c r="K1750" i="4"/>
  <c r="E1484" i="4"/>
  <c r="L1319" i="4"/>
  <c r="F175" i="4"/>
  <c r="I2009" i="4"/>
  <c r="K1735" i="4"/>
  <c r="L828" i="4"/>
  <c r="G968" i="4"/>
  <c r="L1194" i="4"/>
  <c r="J1359" i="4"/>
  <c r="J60" i="4"/>
  <c r="J1228" i="4"/>
  <c r="D88" i="4"/>
  <c r="J1404" i="4"/>
  <c r="J501" i="4"/>
  <c r="M45" i="4"/>
  <c r="I1521" i="4"/>
  <c r="E2011" i="4"/>
  <c r="F1420" i="4"/>
  <c r="F38" i="4"/>
  <c r="F187" i="4"/>
  <c r="K659" i="4"/>
  <c r="I1652" i="4"/>
  <c r="J216" i="4"/>
  <c r="G1736" i="4"/>
  <c r="G194" i="4"/>
  <c r="I1114" i="4"/>
  <c r="J144" i="4"/>
  <c r="D61" i="4"/>
  <c r="L212" i="4"/>
  <c r="G122" i="4"/>
  <c r="C866" i="4"/>
  <c r="C2001" i="4"/>
  <c r="I731" i="4"/>
  <c r="C44" i="4"/>
  <c r="B663" i="4"/>
  <c r="D544" i="4"/>
  <c r="E208" i="4"/>
  <c r="D745" i="4"/>
  <c r="L23" i="4"/>
  <c r="C65" i="4"/>
  <c r="D75" i="4"/>
  <c r="E281" i="4"/>
  <c r="G889" i="4"/>
  <c r="J1519" i="4"/>
  <c r="B348" i="4"/>
  <c r="K1798" i="4"/>
  <c r="L1767" i="4"/>
  <c r="J803" i="4"/>
  <c r="B1724" i="4"/>
  <c r="J105" i="4"/>
  <c r="E686" i="4"/>
  <c r="I944" i="4"/>
  <c r="K513" i="4"/>
  <c r="E376" i="4"/>
  <c r="F1991" i="4"/>
  <c r="L1740" i="4"/>
  <c r="K1279" i="4"/>
  <c r="L1746" i="4"/>
  <c r="F373" i="4"/>
  <c r="J1806" i="4"/>
  <c r="J1522" i="4"/>
  <c r="M353" i="4"/>
  <c r="D190" i="4"/>
  <c r="I1670" i="4"/>
  <c r="B1308" i="4"/>
  <c r="J860" i="4"/>
  <c r="E1663" i="4"/>
  <c r="I256" i="4"/>
  <c r="E221" i="4"/>
  <c r="E472" i="4"/>
  <c r="I1359" i="4"/>
  <c r="E1680" i="4"/>
  <c r="J1813" i="4"/>
  <c r="K1616" i="4"/>
  <c r="D1901" i="4"/>
  <c r="D41" i="4"/>
  <c r="I130" i="4"/>
  <c r="B1564" i="4"/>
  <c r="E1685" i="4"/>
  <c r="C350" i="4"/>
  <c r="G696" i="4"/>
  <c r="C439" i="4"/>
  <c r="K549" i="4"/>
  <c r="D821" i="4"/>
  <c r="J1433" i="4"/>
  <c r="F1342" i="4"/>
  <c r="F1592" i="4"/>
  <c r="B1745" i="4"/>
  <c r="F1565" i="4"/>
  <c r="C1850" i="4"/>
  <c r="K1607" i="4"/>
  <c r="M479" i="4"/>
  <c r="J1431" i="4"/>
  <c r="B1675" i="4"/>
  <c r="K1766" i="4"/>
  <c r="K361" i="4"/>
  <c r="F1160" i="4"/>
  <c r="E915" i="4"/>
  <c r="E1175" i="4"/>
  <c r="J757" i="4"/>
  <c r="I279" i="4"/>
  <c r="L453" i="4"/>
  <c r="E417" i="4"/>
  <c r="E1808" i="4"/>
  <c r="M171" i="4"/>
  <c r="G1574" i="4"/>
  <c r="B473" i="4"/>
  <c r="D1153" i="4"/>
  <c r="L1642" i="4"/>
  <c r="D1375" i="4"/>
  <c r="K844" i="4"/>
  <c r="C1212" i="4"/>
  <c r="I792" i="4"/>
  <c r="B1740" i="4"/>
  <c r="C852" i="4"/>
  <c r="G826" i="4"/>
  <c r="E1583" i="4"/>
  <c r="K583" i="4"/>
  <c r="D1170" i="4"/>
  <c r="F1702" i="4"/>
  <c r="L561" i="4"/>
  <c r="B1072" i="4"/>
  <c r="I2" i="4"/>
  <c r="G1060" i="4"/>
  <c r="K773" i="4"/>
  <c r="C867" i="4"/>
  <c r="M1814" i="4"/>
  <c r="B1713" i="4"/>
  <c r="M505" i="4"/>
  <c r="M403" i="4"/>
  <c r="M1177" i="4"/>
  <c r="M1367" i="4"/>
  <c r="E442" i="4"/>
  <c r="C1294" i="4"/>
  <c r="F770" i="4"/>
  <c r="D1663" i="4"/>
  <c r="J222" i="4"/>
  <c r="D229" i="4"/>
  <c r="G40" i="4"/>
  <c r="J166" i="4"/>
  <c r="E110" i="4"/>
  <c r="C1195" i="4"/>
  <c r="D1193" i="4"/>
  <c r="E1804" i="4"/>
  <c r="F206" i="4"/>
  <c r="F1732" i="4"/>
  <c r="J191" i="4"/>
  <c r="K1602" i="4"/>
  <c r="L1661" i="4"/>
  <c r="E844" i="4"/>
  <c r="L1433" i="4"/>
  <c r="M122" i="4"/>
  <c r="I288" i="4"/>
  <c r="J1343" i="4"/>
  <c r="I799" i="4"/>
  <c r="I755" i="4"/>
  <c r="L1989" i="4"/>
  <c r="G575" i="4"/>
  <c r="M1771" i="4"/>
  <c r="G125" i="4"/>
  <c r="I248" i="4"/>
  <c r="G1115" i="4"/>
  <c r="M694" i="4"/>
  <c r="E1921" i="4"/>
  <c r="D1198" i="4"/>
  <c r="E23" i="4"/>
  <c r="D48" i="4"/>
  <c r="I958" i="4"/>
  <c r="J925" i="4"/>
  <c r="B277" i="4"/>
  <c r="C34" i="4"/>
  <c r="F1257" i="4"/>
  <c r="I431" i="4"/>
  <c r="B996" i="4"/>
  <c r="B1905" i="4"/>
  <c r="B1238" i="4"/>
  <c r="I1545" i="4"/>
  <c r="D265" i="4"/>
  <c r="D879" i="4"/>
  <c r="F1298" i="4"/>
  <c r="J300" i="4"/>
  <c r="C780" i="4"/>
  <c r="J592" i="4"/>
  <c r="J876" i="4"/>
  <c r="D187" i="4"/>
  <c r="C1628" i="4"/>
  <c r="J590" i="4"/>
  <c r="I429" i="4"/>
  <c r="L346" i="4"/>
  <c r="B16" i="4"/>
  <c r="F447" i="4"/>
  <c r="E1369" i="4"/>
  <c r="G735" i="4"/>
  <c r="I1284" i="4"/>
  <c r="I457" i="4"/>
  <c r="C345" i="4"/>
  <c r="C1094" i="4"/>
  <c r="F47" i="4"/>
  <c r="F1302" i="4"/>
  <c r="B661" i="4"/>
  <c r="L1312" i="4"/>
  <c r="I1732" i="4"/>
  <c r="E1048" i="4"/>
  <c r="E1189" i="4"/>
  <c r="I85" i="4"/>
  <c r="F1381" i="4"/>
  <c r="L224" i="4"/>
  <c r="J551" i="4"/>
  <c r="K1786" i="4"/>
  <c r="C1082" i="4"/>
  <c r="G121" i="4"/>
  <c r="M824" i="4"/>
  <c r="J489" i="4"/>
  <c r="F489" i="4"/>
  <c r="I1510" i="4"/>
  <c r="M248" i="4"/>
  <c r="D180" i="4"/>
  <c r="E1753" i="4"/>
  <c r="J1539" i="4"/>
  <c r="G2010" i="4"/>
  <c r="E1392" i="4"/>
  <c r="L1443" i="4"/>
  <c r="G10" i="4"/>
  <c r="K110" i="4"/>
  <c r="M1217" i="4"/>
  <c r="B102" i="4"/>
  <c r="F1299" i="4"/>
  <c r="B684" i="4"/>
  <c r="M828" i="4"/>
  <c r="M200" i="4"/>
  <c r="G1724" i="4"/>
  <c r="L861" i="4"/>
  <c r="D149" i="4"/>
  <c r="F1134" i="4"/>
  <c r="K993" i="4"/>
  <c r="G586" i="4"/>
  <c r="D243" i="4"/>
  <c r="C746" i="4"/>
  <c r="M1484" i="4"/>
  <c r="L841" i="4"/>
  <c r="J1092" i="4"/>
  <c r="B1165" i="4"/>
  <c r="G177" i="4"/>
  <c r="F239" i="4"/>
  <c r="B924" i="4"/>
  <c r="E783" i="4"/>
  <c r="G1788" i="4"/>
  <c r="F1633" i="4"/>
  <c r="I124" i="4"/>
  <c r="G1839" i="4"/>
  <c r="G1193" i="4"/>
  <c r="B94" i="4"/>
  <c r="D469" i="4"/>
  <c r="F1394" i="4"/>
  <c r="D148" i="4"/>
  <c r="D128" i="4"/>
  <c r="B1037" i="4"/>
  <c r="B57" i="4"/>
  <c r="L206" i="4"/>
  <c r="G1412" i="4"/>
  <c r="C1220" i="4"/>
  <c r="C845" i="4"/>
  <c r="J1030" i="4"/>
  <c r="F608" i="4"/>
  <c r="K68" i="4"/>
  <c r="M1017" i="4"/>
  <c r="F1012" i="4"/>
  <c r="J952" i="4"/>
  <c r="C1399" i="4"/>
  <c r="K1748" i="4"/>
  <c r="L688" i="4"/>
  <c r="L306" i="4"/>
  <c r="G592" i="4"/>
  <c r="B424" i="4"/>
  <c r="F1363" i="4"/>
  <c r="D1913" i="4"/>
  <c r="J1053" i="4"/>
  <c r="B19" i="4"/>
  <c r="C1870" i="4"/>
  <c r="G262" i="4"/>
  <c r="D1093" i="4"/>
  <c r="F1387" i="4"/>
  <c r="I981" i="4"/>
  <c r="F627" i="4"/>
  <c r="K362" i="4"/>
  <c r="I1181" i="4"/>
  <c r="F1870" i="4"/>
  <c r="B339" i="4"/>
  <c r="L1751" i="4"/>
  <c r="K41" i="4"/>
  <c r="E1024" i="4"/>
  <c r="E170" i="4"/>
  <c r="J519" i="4"/>
  <c r="F396" i="4"/>
  <c r="I632" i="4"/>
  <c r="J1771" i="4"/>
  <c r="D275" i="4"/>
  <c r="J1035" i="4"/>
  <c r="J1607" i="4"/>
  <c r="F1096" i="4"/>
  <c r="D1304" i="4"/>
  <c r="D160" i="4"/>
  <c r="F1326" i="4"/>
  <c r="J466" i="4"/>
  <c r="E301" i="4"/>
  <c r="J1351" i="4"/>
  <c r="L467" i="4"/>
  <c r="J1017" i="4"/>
  <c r="B216" i="4"/>
  <c r="C931" i="4"/>
  <c r="F247" i="4"/>
  <c r="G564" i="4"/>
  <c r="K456" i="4"/>
  <c r="K775" i="4"/>
  <c r="L46" i="4"/>
  <c r="L191" i="4"/>
  <c r="G703" i="4"/>
  <c r="E1574" i="4"/>
  <c r="C1612" i="4"/>
  <c r="L1052" i="4"/>
  <c r="F1073" i="4"/>
  <c r="M14" i="4"/>
  <c r="F1501" i="4"/>
  <c r="I1702" i="4"/>
  <c r="C526" i="4"/>
  <c r="E682" i="4"/>
  <c r="F898" i="4"/>
  <c r="D1331" i="4"/>
  <c r="C1144" i="4"/>
  <c r="G991" i="4"/>
  <c r="J1647" i="4"/>
  <c r="B491" i="4"/>
  <c r="D1798" i="4"/>
  <c r="C211" i="4"/>
  <c r="F1752" i="4"/>
  <c r="F649" i="4"/>
  <c r="J1716" i="4"/>
  <c r="C1832" i="4"/>
  <c r="K1018" i="4"/>
  <c r="B249" i="4"/>
  <c r="F756" i="4"/>
  <c r="B297" i="4"/>
  <c r="M969" i="4"/>
  <c r="K1547" i="4"/>
  <c r="G981" i="4"/>
  <c r="I1601" i="4"/>
  <c r="F1477" i="4"/>
  <c r="D194" i="4"/>
  <c r="J1749" i="4"/>
  <c r="K1584" i="4"/>
  <c r="D2002" i="4"/>
  <c r="B1300" i="4"/>
  <c r="G29" i="4"/>
  <c r="F402" i="4"/>
  <c r="M400" i="4"/>
  <c r="C903" i="4"/>
  <c r="J595" i="4"/>
  <c r="K326" i="4"/>
  <c r="C2" i="4"/>
  <c r="D1505" i="4"/>
  <c r="D1371" i="4"/>
  <c r="I1589" i="4"/>
  <c r="B3" i="4"/>
  <c r="C676" i="4"/>
  <c r="I1140" i="4"/>
  <c r="L601" i="4"/>
  <c r="E1695" i="4"/>
  <c r="J855" i="4"/>
  <c r="C121" i="4"/>
  <c r="M745" i="4"/>
  <c r="D1747" i="4"/>
  <c r="D898" i="4"/>
  <c r="L1006" i="4"/>
  <c r="M657" i="4"/>
  <c r="F1415" i="4"/>
  <c r="B1999" i="4"/>
  <c r="C1851" i="4"/>
  <c r="L1104" i="4"/>
  <c r="I293" i="4"/>
  <c r="I565" i="4"/>
  <c r="F252" i="4"/>
  <c r="F352" i="4"/>
  <c r="L107" i="4"/>
  <c r="J99" i="4"/>
  <c r="C921" i="4"/>
  <c r="F1344" i="4"/>
  <c r="E759" i="4"/>
  <c r="K1648" i="4"/>
  <c r="I1894" i="4"/>
  <c r="K1400" i="4"/>
  <c r="F230" i="4"/>
  <c r="M1149" i="4"/>
  <c r="E464" i="4"/>
  <c r="E1969" i="4"/>
  <c r="M286" i="4"/>
  <c r="E381" i="4"/>
  <c r="I1461" i="4"/>
  <c r="G1592" i="4"/>
  <c r="B461" i="4"/>
  <c r="K1837" i="4"/>
  <c r="L567" i="4"/>
  <c r="M406" i="4"/>
  <c r="K930" i="4"/>
  <c r="C1467" i="4"/>
  <c r="M158" i="4"/>
  <c r="C1835" i="4"/>
  <c r="F242" i="4"/>
  <c r="E1319" i="4"/>
  <c r="L266" i="4"/>
  <c r="B455" i="4"/>
  <c r="K1214" i="4"/>
  <c r="I973" i="4"/>
  <c r="L28" i="4"/>
  <c r="B1743" i="4"/>
  <c r="K1135" i="4"/>
  <c r="G1055" i="4"/>
  <c r="M628" i="4"/>
  <c r="G1840" i="4"/>
  <c r="M1179" i="4"/>
  <c r="G1695" i="4"/>
  <c r="K578" i="4"/>
  <c r="G833" i="4"/>
  <c r="M1906" i="4"/>
  <c r="L1211" i="4"/>
  <c r="D1180" i="4"/>
  <c r="G1656" i="4"/>
  <c r="I63" i="4"/>
  <c r="E695" i="4"/>
  <c r="D138" i="4"/>
  <c r="F1491" i="4"/>
  <c r="G764" i="4"/>
  <c r="G588" i="4"/>
  <c r="K1358" i="4"/>
  <c r="D369" i="4"/>
  <c r="M1205" i="4"/>
  <c r="M354" i="4"/>
  <c r="D925" i="4"/>
  <c r="D441" i="4"/>
  <c r="F1640" i="4"/>
  <c r="M555" i="4"/>
  <c r="L1839" i="4"/>
  <c r="C1490" i="4"/>
  <c r="M1495" i="4"/>
  <c r="M1792" i="4"/>
  <c r="M1144" i="4"/>
  <c r="B1609" i="4"/>
  <c r="K1368" i="4"/>
  <c r="D603" i="4"/>
  <c r="E580" i="4"/>
  <c r="E904" i="4"/>
  <c r="D448" i="4"/>
  <c r="B380" i="4"/>
  <c r="F1113" i="4"/>
  <c r="J165" i="4"/>
  <c r="J1028" i="4"/>
  <c r="F16" i="4"/>
  <c r="G104" i="4"/>
  <c r="C507" i="4"/>
  <c r="G1658" i="4"/>
  <c r="B1030" i="4"/>
  <c r="E1755" i="4"/>
  <c r="E947" i="4"/>
  <c r="J397" i="4"/>
  <c r="E96" i="4"/>
  <c r="L1132" i="4"/>
  <c r="J421" i="4"/>
  <c r="G350" i="4"/>
  <c r="L658" i="4"/>
  <c r="J740" i="4"/>
  <c r="K214" i="4"/>
  <c r="M1475" i="4"/>
  <c r="C769" i="4"/>
  <c r="B577" i="4"/>
  <c r="B1772" i="4"/>
  <c r="G1247" i="4"/>
  <c r="D404" i="4"/>
  <c r="L1255" i="4"/>
  <c r="I521" i="4"/>
  <c r="K1720" i="4"/>
  <c r="G1460" i="4"/>
  <c r="K1462" i="4"/>
  <c r="D846" i="4"/>
  <c r="D1200" i="4"/>
  <c r="C221" i="4"/>
  <c r="G1604" i="4"/>
  <c r="C623" i="4"/>
  <c r="D1545" i="4"/>
  <c r="C222" i="4"/>
  <c r="E486" i="4"/>
  <c r="K1538" i="4"/>
  <c r="B980" i="4"/>
  <c r="E373" i="4"/>
  <c r="G1188" i="4"/>
  <c r="K1347" i="4"/>
  <c r="D1385" i="4"/>
  <c r="B362" i="4"/>
  <c r="E1439" i="4"/>
  <c r="F67" i="4"/>
  <c r="F1662" i="4"/>
  <c r="G1536" i="4"/>
  <c r="B257" i="4"/>
  <c r="F1526" i="4"/>
  <c r="D723" i="4"/>
  <c r="C920" i="4"/>
  <c r="G1727" i="4"/>
  <c r="E639" i="4"/>
  <c r="J1754" i="4"/>
  <c r="F1762" i="4"/>
  <c r="K1177" i="4"/>
  <c r="F1859" i="4"/>
  <c r="M1337" i="4"/>
  <c r="M1777" i="4"/>
  <c r="B1359" i="4"/>
  <c r="G1571" i="4"/>
  <c r="K979" i="4"/>
  <c r="G1243" i="4"/>
  <c r="K639" i="4"/>
  <c r="J1682" i="4"/>
  <c r="E1575" i="4"/>
  <c r="G702" i="4"/>
  <c r="I650" i="4"/>
  <c r="D1486" i="4"/>
  <c r="F762" i="4"/>
  <c r="K1277" i="4"/>
  <c r="E1885" i="4"/>
  <c r="C376" i="4"/>
  <c r="G83" i="4"/>
  <c r="D859" i="4"/>
  <c r="G286" i="4"/>
  <c r="M1640" i="4"/>
  <c r="K397" i="4"/>
  <c r="M786" i="4"/>
  <c r="D286" i="4"/>
  <c r="F1230" i="4"/>
  <c r="L857" i="4"/>
  <c r="D1044" i="4"/>
  <c r="E1923" i="4"/>
  <c r="I609" i="4"/>
  <c r="J1928" i="4"/>
  <c r="L1350" i="4"/>
  <c r="E1327" i="4"/>
  <c r="G606" i="4"/>
  <c r="C1662" i="4"/>
  <c r="D1946" i="4"/>
  <c r="L864" i="4"/>
  <c r="G94" i="4"/>
  <c r="B1706" i="4"/>
  <c r="D621" i="4"/>
  <c r="C117" i="4"/>
  <c r="I724" i="4"/>
  <c r="F1664" i="4"/>
  <c r="K615" i="4"/>
  <c r="K396" i="4"/>
  <c r="M668" i="4"/>
  <c r="M1993" i="4"/>
  <c r="D760" i="4"/>
  <c r="G755" i="4"/>
  <c r="G617" i="4"/>
  <c r="G1742" i="4"/>
  <c r="G1740" i="4"/>
  <c r="C1497" i="4"/>
  <c r="L1594" i="4"/>
  <c r="D1420" i="4"/>
  <c r="C2006" i="4"/>
  <c r="M801" i="4"/>
  <c r="E1862" i="4"/>
  <c r="G673" i="4"/>
  <c r="J1615" i="4"/>
  <c r="C557" i="4"/>
  <c r="K464" i="4"/>
  <c r="K1617" i="4"/>
  <c r="C1502" i="4"/>
  <c r="C414" i="4"/>
  <c r="F1430" i="4"/>
  <c r="M1569" i="4"/>
  <c r="B1143" i="4"/>
  <c r="C1007" i="4"/>
  <c r="F1809" i="4"/>
  <c r="C402" i="4"/>
  <c r="G1130" i="4"/>
  <c r="E503" i="4"/>
  <c r="D1317" i="4"/>
  <c r="C537" i="4"/>
  <c r="C172" i="4"/>
  <c r="I594" i="4"/>
  <c r="L131" i="4"/>
  <c r="B1738" i="4"/>
  <c r="L17" i="4"/>
  <c r="C1763" i="4"/>
  <c r="D1020" i="4"/>
  <c r="D103" i="4"/>
  <c r="G66" i="4"/>
  <c r="D1000" i="4"/>
  <c r="F1674" i="4"/>
  <c r="C149" i="4"/>
  <c r="J307" i="4"/>
  <c r="G1407" i="4"/>
  <c r="C185" i="4"/>
  <c r="I383" i="4"/>
  <c r="C179" i="4"/>
  <c r="L158" i="4"/>
  <c r="L693" i="4"/>
  <c r="B2" i="4"/>
  <c r="B1549" i="4"/>
  <c r="J1531" i="4"/>
  <c r="K1158" i="4"/>
  <c r="K430" i="4"/>
  <c r="M1224" i="4"/>
  <c r="G1551" i="4"/>
  <c r="G769" i="4"/>
  <c r="B1245" i="4"/>
  <c r="K1430" i="4"/>
  <c r="G514" i="4"/>
  <c r="G532" i="4"/>
  <c r="M968" i="4"/>
  <c r="B1914" i="4"/>
  <c r="K1847" i="4"/>
  <c r="M1525" i="4"/>
  <c r="M473" i="4"/>
  <c r="D1033" i="4"/>
  <c r="E779" i="4"/>
  <c r="M863" i="4"/>
  <c r="J985" i="4"/>
  <c r="M289" i="4"/>
  <c r="C375" i="4"/>
  <c r="F1835" i="4"/>
  <c r="L1756" i="4"/>
  <c r="L1603" i="4"/>
  <c r="C175" i="4"/>
  <c r="B397" i="4"/>
  <c r="G779" i="4"/>
  <c r="J1493" i="4"/>
  <c r="E1576" i="4"/>
  <c r="J442" i="4"/>
  <c r="C252" i="4"/>
  <c r="B1621" i="4"/>
  <c r="K646" i="4"/>
  <c r="C1913" i="4"/>
  <c r="B1785" i="4"/>
  <c r="C184" i="4"/>
  <c r="G26" i="4"/>
  <c r="G811" i="4"/>
  <c r="C1790" i="4"/>
  <c r="C1238" i="4"/>
  <c r="K929" i="4"/>
  <c r="B729" i="4"/>
  <c r="K582" i="4"/>
  <c r="C1743" i="4"/>
  <c r="L491" i="4"/>
  <c r="M741" i="4"/>
  <c r="D1283" i="4"/>
  <c r="G1524" i="4"/>
  <c r="K1186" i="4"/>
  <c r="I1669" i="4"/>
  <c r="M1532" i="4"/>
  <c r="I1981" i="4"/>
  <c r="K1585" i="4"/>
  <c r="J1577" i="4"/>
  <c r="K1713" i="4"/>
  <c r="I1803" i="4"/>
  <c r="F1530" i="4"/>
  <c r="K2002" i="4"/>
  <c r="E237" i="4"/>
  <c r="G1076" i="4"/>
  <c r="D1254" i="4"/>
  <c r="G395" i="4"/>
  <c r="B1884" i="4"/>
  <c r="K1891" i="4"/>
  <c r="D786" i="4"/>
  <c r="B581" i="4"/>
  <c r="E1801" i="4"/>
  <c r="F1306" i="4"/>
  <c r="L1534" i="4"/>
  <c r="G307" i="4"/>
  <c r="I509" i="4"/>
  <c r="L802" i="4"/>
  <c r="I1228" i="4"/>
  <c r="D1677" i="4"/>
  <c r="F888" i="4"/>
  <c r="F1987" i="4"/>
  <c r="M1519" i="4"/>
  <c r="L1830" i="4"/>
  <c r="F918" i="4"/>
  <c r="F1587" i="4"/>
  <c r="G1711" i="4"/>
  <c r="C1787" i="4"/>
  <c r="B1168" i="4"/>
  <c r="J976" i="4"/>
  <c r="C1845" i="4"/>
  <c r="K366" i="4"/>
  <c r="M1854" i="4"/>
  <c r="M1028" i="4"/>
  <c r="M7" i="4"/>
  <c r="E276" i="4"/>
  <c r="D1718" i="4"/>
  <c r="J1713" i="4"/>
  <c r="E24" i="4"/>
  <c r="J47" i="4"/>
  <c r="F894" i="4"/>
  <c r="G1950" i="4"/>
  <c r="K667" i="4"/>
  <c r="C612" i="4"/>
  <c r="D117" i="4"/>
  <c r="K572" i="4"/>
  <c r="E338" i="4"/>
  <c r="K1099" i="4"/>
  <c r="D11" i="4"/>
  <c r="B1409" i="4"/>
  <c r="B950" i="4"/>
  <c r="G450" i="4"/>
  <c r="L1193" i="4"/>
  <c r="I1004" i="4"/>
  <c r="K1567" i="4"/>
  <c r="G1550" i="4"/>
  <c r="E1941" i="4"/>
  <c r="D1945" i="4"/>
  <c r="K506" i="4"/>
  <c r="E1206" i="4"/>
  <c r="B1411" i="4"/>
  <c r="J1170" i="4"/>
  <c r="L1780" i="4"/>
  <c r="L313" i="4"/>
  <c r="B1258" i="4"/>
  <c r="C1456" i="4"/>
  <c r="E862" i="4"/>
  <c r="M1546" i="4"/>
  <c r="B872" i="4"/>
  <c r="K1165" i="4"/>
  <c r="G736" i="4"/>
  <c r="F245" i="4"/>
  <c r="K1758" i="4"/>
  <c r="K1999" i="4"/>
  <c r="K348" i="4"/>
  <c r="G953" i="4"/>
  <c r="L513" i="4"/>
  <c r="L1254" i="4"/>
  <c r="J1525" i="4"/>
  <c r="M442" i="4"/>
  <c r="E1036" i="4"/>
  <c r="G1149" i="4"/>
  <c r="I1180" i="4"/>
  <c r="I449" i="4"/>
  <c r="J1483" i="4"/>
  <c r="C584" i="4"/>
  <c r="F1014" i="4"/>
  <c r="B915" i="4"/>
  <c r="K823" i="4"/>
  <c r="L1207" i="4"/>
  <c r="E1245" i="4"/>
  <c r="I712" i="4"/>
  <c r="E155" i="4"/>
  <c r="F1086" i="4"/>
  <c r="L581" i="4"/>
  <c r="G1701" i="4"/>
  <c r="D1209" i="4"/>
  <c r="F1335" i="4"/>
  <c r="E283" i="4"/>
  <c r="J1408" i="4"/>
  <c r="J327" i="4"/>
  <c r="I1743" i="4"/>
  <c r="D701" i="4"/>
  <c r="K1275" i="4"/>
  <c r="E1106" i="4"/>
  <c r="J2003" i="4"/>
  <c r="B402" i="4"/>
  <c r="D46" i="4"/>
  <c r="C1653" i="4"/>
  <c r="E411" i="4"/>
  <c r="J832" i="4"/>
  <c r="B605" i="4"/>
  <c r="D827" i="4"/>
  <c r="B1197" i="4"/>
  <c r="M260" i="4"/>
  <c r="D486" i="4"/>
  <c r="D1773" i="4"/>
  <c r="L138" i="4"/>
  <c r="I1747" i="4"/>
  <c r="F1398" i="4"/>
  <c r="D1938" i="4"/>
  <c r="F1689" i="4"/>
  <c r="B1214" i="4"/>
  <c r="M1725" i="4"/>
  <c r="C236" i="4"/>
  <c r="B1937" i="4"/>
  <c r="M1781" i="4"/>
  <c r="D941" i="4"/>
  <c r="K1620" i="4"/>
  <c r="K146" i="4"/>
  <c r="D717" i="4"/>
  <c r="I1957" i="4"/>
  <c r="D1161" i="4"/>
  <c r="L141" i="4"/>
  <c r="F1044" i="4"/>
  <c r="K937" i="4"/>
  <c r="I1378" i="4"/>
  <c r="D1883" i="4"/>
  <c r="L229" i="4"/>
  <c r="D209" i="4"/>
  <c r="D1363" i="4"/>
  <c r="K1704" i="4"/>
  <c r="L1612" i="4"/>
  <c r="K1139" i="4"/>
  <c r="D1962" i="4"/>
  <c r="C1729" i="4"/>
  <c r="M1246" i="4"/>
  <c r="F507" i="4"/>
  <c r="J1641" i="4"/>
  <c r="D1637" i="4"/>
  <c r="B1187" i="4"/>
  <c r="E843" i="4"/>
  <c r="E871" i="4"/>
  <c r="F1895" i="4"/>
  <c r="F162" i="4"/>
  <c r="C1910" i="4"/>
  <c r="E1601" i="4"/>
  <c r="C2011" i="4"/>
  <c r="L1261" i="4"/>
  <c r="F624" i="4"/>
  <c r="E1763" i="4"/>
  <c r="K1205" i="4"/>
  <c r="K1801" i="4"/>
  <c r="K1015" i="4"/>
  <c r="M1609" i="4"/>
  <c r="E1407" i="4"/>
  <c r="G1394" i="4"/>
  <c r="C1409" i="4"/>
  <c r="K1871" i="4"/>
  <c r="K1764" i="4"/>
  <c r="C1688" i="4"/>
  <c r="E605" i="4"/>
  <c r="C28" i="4"/>
  <c r="G1102" i="4"/>
  <c r="F431" i="4"/>
  <c r="G1654" i="4"/>
  <c r="K1035" i="4"/>
  <c r="E1312" i="4"/>
  <c r="E567" i="4"/>
  <c r="L1333" i="4"/>
  <c r="F1549" i="4"/>
  <c r="L246" i="4"/>
  <c r="F1820" i="4"/>
  <c r="L808" i="4"/>
  <c r="F207" i="4"/>
  <c r="E926" i="4"/>
  <c r="M1316" i="4"/>
  <c r="C1935" i="4"/>
  <c r="G1929" i="4"/>
  <c r="M1203" i="4"/>
  <c r="D905" i="4"/>
  <c r="F1913" i="4"/>
  <c r="B419" i="4"/>
  <c r="F1438" i="4"/>
  <c r="K1903" i="4"/>
  <c r="E876" i="4"/>
  <c r="B1782" i="4"/>
  <c r="M1801" i="4"/>
  <c r="C155" i="4"/>
  <c r="E1148" i="4"/>
  <c r="K1957" i="4"/>
  <c r="J164" i="4"/>
  <c r="C1200" i="4"/>
  <c r="C1462" i="4"/>
  <c r="K1058" i="4"/>
  <c r="E1784" i="4"/>
  <c r="F1944" i="4"/>
  <c r="G887" i="4"/>
  <c r="L115" i="4"/>
  <c r="E1962" i="4"/>
  <c r="J886" i="4"/>
  <c r="G1828" i="4"/>
  <c r="E153" i="4"/>
  <c r="L1809" i="4"/>
  <c r="J473" i="4"/>
  <c r="L1586" i="4"/>
  <c r="C1306" i="4"/>
  <c r="G624" i="4"/>
  <c r="M548" i="4"/>
  <c r="L1592" i="4"/>
  <c r="J1109" i="4"/>
  <c r="E1311" i="4"/>
  <c r="D295" i="4"/>
  <c r="M275" i="4"/>
  <c r="D515" i="4"/>
  <c r="M312" i="4"/>
  <c r="M1590" i="4"/>
  <c r="K1387" i="4"/>
  <c r="G1878" i="4"/>
  <c r="G973" i="4"/>
  <c r="E1193" i="4"/>
  <c r="F1136" i="4"/>
  <c r="F988" i="4"/>
  <c r="D788" i="4"/>
  <c r="B1793" i="4"/>
  <c r="F726" i="4"/>
  <c r="F810" i="4"/>
  <c r="B343" i="4"/>
  <c r="L1758" i="4"/>
  <c r="K1276" i="4"/>
  <c r="E561" i="4"/>
  <c r="J1305" i="4"/>
  <c r="M1571" i="4"/>
  <c r="D1293" i="4"/>
  <c r="I1175" i="4"/>
  <c r="B1302" i="4"/>
  <c r="M1584" i="4"/>
  <c r="B763" i="4"/>
  <c r="F278" i="4"/>
  <c r="K589" i="4"/>
  <c r="K1381" i="4"/>
  <c r="D722" i="4"/>
  <c r="D1967" i="4"/>
  <c r="M706" i="4"/>
  <c r="M696" i="4"/>
  <c r="E1834" i="4"/>
  <c r="D1334" i="4"/>
  <c r="M1954" i="4"/>
  <c r="B179" i="4"/>
  <c r="M1489" i="4"/>
  <c r="D644" i="4"/>
  <c r="L1866" i="4"/>
  <c r="K1728" i="4"/>
  <c r="K746" i="4"/>
  <c r="M1151" i="4"/>
  <c r="M392" i="4"/>
  <c r="D993" i="4"/>
  <c r="C1995" i="4"/>
  <c r="I1036" i="4"/>
  <c r="K355" i="4"/>
  <c r="B640" i="4"/>
  <c r="L481" i="4"/>
  <c r="E942" i="4"/>
  <c r="D1049" i="4"/>
  <c r="B1086" i="4"/>
  <c r="C369" i="4"/>
  <c r="G1772" i="4"/>
  <c r="G1868" i="4"/>
  <c r="B415" i="4"/>
  <c r="D307" i="4"/>
  <c r="M1332" i="4"/>
  <c r="D1607" i="4"/>
  <c r="I1691" i="4"/>
  <c r="K1498" i="4"/>
  <c r="M1967" i="4"/>
  <c r="K1307" i="4"/>
  <c r="C1289" i="4"/>
  <c r="C1971" i="4"/>
  <c r="F678" i="4"/>
  <c r="F1373" i="4"/>
  <c r="C365" i="4"/>
  <c r="M1046" i="4"/>
  <c r="F1190" i="4"/>
  <c r="D1618" i="4"/>
  <c r="J1815" i="4"/>
  <c r="L291" i="4"/>
  <c r="D1061" i="4"/>
  <c r="M265" i="4"/>
  <c r="B1867" i="4"/>
  <c r="D205" i="4"/>
  <c r="K1136" i="4"/>
  <c r="C1902" i="4"/>
  <c r="M1523" i="4"/>
  <c r="G868" i="4"/>
  <c r="B1479" i="4"/>
  <c r="K1725" i="4"/>
  <c r="C1663" i="4"/>
  <c r="B1923" i="4"/>
  <c r="E416" i="4"/>
  <c r="M629" i="4"/>
  <c r="D132" i="4"/>
  <c r="E1349" i="4"/>
  <c r="K102" i="4"/>
  <c r="C1567" i="4"/>
  <c r="E1113" i="4"/>
  <c r="F761" i="4"/>
  <c r="L631" i="4"/>
  <c r="F880" i="4"/>
  <c r="C1508" i="4"/>
  <c r="C606" i="4"/>
  <c r="M952" i="4"/>
  <c r="F17" i="4"/>
  <c r="C1090" i="4"/>
  <c r="C1045" i="4"/>
  <c r="E1266" i="4"/>
  <c r="L1665" i="4"/>
  <c r="E1875" i="4"/>
  <c r="C1114" i="4"/>
  <c r="B1304" i="4"/>
  <c r="M1163" i="4"/>
  <c r="L550" i="4"/>
  <c r="C925" i="4"/>
  <c r="D257" i="4"/>
  <c r="J1583" i="4"/>
  <c r="B1324" i="4"/>
  <c r="E557" i="4"/>
  <c r="L1873" i="4"/>
  <c r="D1936" i="4"/>
  <c r="D1165" i="4"/>
  <c r="C49" i="4"/>
  <c r="D34" i="4"/>
  <c r="I1653" i="4"/>
  <c r="D156" i="4"/>
  <c r="L634" i="4"/>
  <c r="C377" i="4"/>
  <c r="L1260" i="4"/>
  <c r="L422" i="4"/>
  <c r="K1452" i="4"/>
  <c r="J1123" i="4"/>
  <c r="M226" i="4"/>
  <c r="G1004" i="4"/>
  <c r="F487" i="4"/>
  <c r="M958" i="4"/>
  <c r="L1154" i="4"/>
  <c r="I1088" i="4"/>
  <c r="K768" i="4"/>
  <c r="K964" i="4"/>
  <c r="G324" i="4"/>
  <c r="L578" i="4"/>
  <c r="C993" i="4"/>
  <c r="K910" i="4"/>
  <c r="M1366" i="4"/>
  <c r="D1324" i="4"/>
  <c r="G1603" i="4"/>
  <c r="F1062" i="4"/>
  <c r="G1836" i="4"/>
  <c r="C55" i="4"/>
  <c r="B886" i="4"/>
  <c r="B1478" i="4"/>
  <c r="J1257" i="4"/>
  <c r="G1335" i="4"/>
  <c r="G806" i="4"/>
  <c r="L1295" i="4"/>
  <c r="D809" i="4"/>
  <c r="B1164" i="4"/>
  <c r="L1764" i="4"/>
  <c r="G169" i="4"/>
  <c r="F56" i="4"/>
  <c r="D1755" i="4"/>
  <c r="K972" i="4"/>
  <c r="C454" i="4"/>
  <c r="L1238" i="4"/>
  <c r="G1036" i="4"/>
  <c r="B639" i="4"/>
  <c r="E573" i="4"/>
  <c r="B1736" i="4"/>
  <c r="K226" i="4"/>
  <c r="M1222" i="4"/>
  <c r="I153" i="4"/>
  <c r="G1813" i="4"/>
  <c r="E547" i="4"/>
  <c r="F564" i="4"/>
  <c r="G388" i="4"/>
  <c r="F2004" i="4"/>
  <c r="E1476" i="4"/>
  <c r="E1952" i="4"/>
  <c r="E1951" i="4"/>
  <c r="B785" i="4"/>
  <c r="E869" i="4"/>
  <c r="G1708" i="4"/>
  <c r="M1779" i="4"/>
  <c r="E1676" i="4"/>
  <c r="L1359" i="4"/>
  <c r="M238" i="4"/>
  <c r="F135" i="4"/>
  <c r="K1323" i="4"/>
  <c r="L856" i="4"/>
  <c r="K494" i="4"/>
  <c r="K1485" i="4"/>
  <c r="M1804" i="4"/>
  <c r="E1247" i="4"/>
  <c r="B949" i="4"/>
  <c r="F981" i="4"/>
  <c r="B606" i="4"/>
  <c r="M1696" i="4"/>
  <c r="M371" i="4"/>
  <c r="M648" i="4"/>
  <c r="J766" i="4"/>
  <c r="B1052" i="4"/>
  <c r="M878" i="4"/>
  <c r="M1915" i="4"/>
  <c r="G841" i="4"/>
  <c r="D1746" i="4"/>
  <c r="M1761" i="4"/>
  <c r="J13" i="4"/>
  <c r="E1306" i="4"/>
  <c r="K1025" i="4"/>
  <c r="D311" i="4"/>
  <c r="L1075" i="4"/>
  <c r="K1647" i="4"/>
  <c r="L1828" i="4"/>
  <c r="C1447" i="4"/>
  <c r="F1988" i="4"/>
  <c r="D66" i="4"/>
  <c r="I685" i="4"/>
  <c r="C1550" i="4"/>
  <c r="E1174" i="4"/>
  <c r="E935" i="4"/>
  <c r="K1917" i="4"/>
  <c r="C1263" i="4"/>
  <c r="B1756" i="4"/>
  <c r="F1817" i="4"/>
  <c r="E1989" i="4"/>
  <c r="B599" i="4"/>
  <c r="K1211" i="4"/>
  <c r="K841" i="4"/>
  <c r="K1298" i="4"/>
  <c r="F346" i="4"/>
  <c r="L1030" i="4"/>
  <c r="D855" i="4"/>
  <c r="D1910" i="4"/>
  <c r="B55" i="4"/>
  <c r="I1706" i="4"/>
  <c r="L1422" i="4"/>
  <c r="M695" i="4"/>
  <c r="I1481" i="4"/>
  <c r="M1440" i="4"/>
  <c r="K1722" i="4"/>
  <c r="M1469" i="4"/>
  <c r="D1174" i="4"/>
  <c r="F23" i="4"/>
  <c r="G992" i="4"/>
  <c r="G534" i="4"/>
  <c r="E1139" i="4"/>
  <c r="C1786" i="4"/>
  <c r="D110" i="4"/>
  <c r="L1793" i="4"/>
  <c r="C1185" i="4"/>
  <c r="M744" i="4"/>
  <c r="C1677" i="4"/>
  <c r="C634" i="4"/>
  <c r="K577" i="4"/>
  <c r="C593" i="4"/>
  <c r="C325" i="4"/>
  <c r="L851" i="4"/>
  <c r="G1812" i="4"/>
  <c r="D473" i="4"/>
  <c r="B262" i="4"/>
  <c r="L340" i="4"/>
  <c r="L1079" i="4"/>
  <c r="F1496" i="4"/>
  <c r="M1101" i="4"/>
  <c r="F1081" i="4"/>
  <c r="G546" i="4"/>
  <c r="B883" i="4"/>
  <c r="I1760" i="4"/>
  <c r="G823" i="4"/>
  <c r="L101" i="4"/>
  <c r="C1959" i="4"/>
  <c r="B1917" i="4"/>
  <c r="E595" i="4"/>
  <c r="B1128" i="4"/>
  <c r="M140" i="4"/>
  <c r="L1871" i="4"/>
  <c r="C760" i="4"/>
  <c r="G82" i="4"/>
  <c r="B468" i="4"/>
  <c r="F1898" i="4"/>
  <c r="E830" i="4"/>
  <c r="K1042" i="4"/>
  <c r="D1842" i="4"/>
  <c r="E473" i="4"/>
  <c r="E1401" i="4"/>
  <c r="M790" i="4"/>
  <c r="G1556" i="4"/>
  <c r="B926" i="4"/>
  <c r="G903" i="4"/>
  <c r="L1376" i="4"/>
  <c r="B1539" i="4"/>
  <c r="F1032" i="4"/>
  <c r="F1622" i="4"/>
  <c r="C1037" i="4"/>
  <c r="K1692" i="4"/>
  <c r="K869" i="4"/>
  <c r="C1577" i="4"/>
  <c r="L2009" i="4"/>
  <c r="E989" i="4"/>
  <c r="D838" i="4"/>
  <c r="D334" i="4"/>
  <c r="C1458" i="4"/>
  <c r="L1915" i="4"/>
  <c r="G463" i="4"/>
  <c r="I1707" i="4"/>
  <c r="C1778" i="4"/>
  <c r="B1109" i="4"/>
  <c r="E1303" i="4"/>
  <c r="K1090" i="4"/>
  <c r="D1894" i="4"/>
  <c r="K1074" i="4"/>
  <c r="D219" i="4"/>
  <c r="B318" i="4"/>
  <c r="K1064" i="4"/>
  <c r="J745" i="4"/>
  <c r="L1289" i="4"/>
  <c r="G565" i="4"/>
  <c r="C836" i="4"/>
  <c r="E1141" i="4"/>
  <c r="G1337" i="4"/>
  <c r="D611" i="4"/>
  <c r="K1374" i="4"/>
  <c r="L1702" i="4"/>
  <c r="F1115" i="4"/>
  <c r="K895" i="4"/>
  <c r="M513" i="4"/>
  <c r="F1932" i="4"/>
  <c r="I1874" i="4"/>
  <c r="C857" i="4"/>
  <c r="B1992" i="4"/>
  <c r="L982" i="4"/>
  <c r="E728" i="4"/>
  <c r="G1913" i="4"/>
  <c r="G1056" i="4"/>
  <c r="C1521" i="4"/>
  <c r="F1360" i="4"/>
  <c r="K978" i="4"/>
  <c r="E745" i="4"/>
  <c r="I1390" i="4"/>
  <c r="M943" i="4"/>
  <c r="F1770" i="4"/>
  <c r="F147" i="4"/>
  <c r="E707" i="4"/>
  <c r="D751" i="4"/>
  <c r="L1326" i="4"/>
  <c r="K851" i="4"/>
  <c r="G1015" i="4"/>
  <c r="G1637" i="4"/>
  <c r="K1491" i="4"/>
  <c r="L1121" i="4"/>
  <c r="F1759" i="4"/>
  <c r="M1530" i="4"/>
  <c r="K414" i="4"/>
  <c r="M1632" i="4"/>
  <c r="B34" i="4"/>
  <c r="G17" i="4"/>
  <c r="J1158" i="4"/>
  <c r="D217" i="4"/>
  <c r="G1363" i="4"/>
  <c r="L1598" i="4"/>
  <c r="D1308" i="4"/>
  <c r="D1419" i="4"/>
  <c r="J994" i="4"/>
  <c r="L1730" i="4"/>
  <c r="K1246" i="4"/>
  <c r="E685" i="4"/>
  <c r="B1991" i="4"/>
  <c r="B1842" i="4"/>
  <c r="B1166" i="4"/>
  <c r="E631" i="4"/>
  <c r="D338" i="4"/>
  <c r="I912" i="4"/>
  <c r="J1264" i="4"/>
  <c r="D1905" i="4"/>
  <c r="E365" i="4"/>
  <c r="K744" i="4"/>
  <c r="E1409" i="4"/>
  <c r="F1515" i="4"/>
  <c r="F1051" i="4"/>
  <c r="C941" i="4"/>
  <c r="K204" i="4"/>
  <c r="G1886" i="4"/>
  <c r="C1131" i="4"/>
  <c r="G1872" i="4"/>
  <c r="M771" i="4"/>
  <c r="L1869" i="4"/>
  <c r="B469" i="4"/>
  <c r="D1581" i="4"/>
  <c r="G549" i="4"/>
  <c r="C974" i="4"/>
  <c r="G1058" i="4"/>
  <c r="G252" i="4"/>
  <c r="F1228" i="4"/>
  <c r="E70" i="4"/>
  <c r="G1181" i="4"/>
  <c r="B1305" i="4"/>
  <c r="G1933" i="4"/>
  <c r="F1747" i="4"/>
  <c r="G946" i="4"/>
  <c r="J1443" i="4"/>
  <c r="E1857" i="4"/>
  <c r="M1451" i="4"/>
  <c r="F849" i="4"/>
  <c r="F293" i="4"/>
  <c r="C430" i="4"/>
  <c r="F1083" i="4"/>
  <c r="K1626" i="4"/>
  <c r="F679" i="4"/>
  <c r="D596" i="4"/>
  <c r="L1946" i="4"/>
  <c r="E1823" i="4"/>
  <c r="G491" i="4"/>
  <c r="G1738" i="4"/>
  <c r="K613" i="4"/>
  <c r="C721" i="4"/>
  <c r="G128" i="4"/>
  <c r="C942" i="4"/>
  <c r="K445" i="4"/>
  <c r="B186" i="4"/>
  <c r="B1790" i="4"/>
  <c r="I13" i="4"/>
  <c r="D590" i="4"/>
  <c r="E774" i="4"/>
  <c r="L1743" i="4"/>
  <c r="L2001" i="4"/>
  <c r="L1032" i="4"/>
  <c r="L129" i="4"/>
  <c r="F296" i="4"/>
  <c r="F1802" i="4"/>
  <c r="E1062" i="4"/>
  <c r="L806" i="4"/>
  <c r="D12" i="4"/>
  <c r="M1388" i="4"/>
  <c r="G363" i="4"/>
  <c r="I1345" i="4"/>
  <c r="B743" i="4"/>
  <c r="F561" i="4"/>
  <c r="C390" i="4"/>
  <c r="K1500" i="4"/>
  <c r="D1264" i="4"/>
  <c r="B1639" i="4"/>
  <c r="E1210" i="4"/>
  <c r="F328" i="4"/>
  <c r="L965" i="4"/>
  <c r="F554" i="4"/>
  <c r="B569" i="4"/>
  <c r="L657" i="4"/>
  <c r="K164" i="4"/>
  <c r="L1791" i="4"/>
  <c r="D1177" i="4"/>
  <c r="D1272" i="4"/>
  <c r="L364" i="4"/>
  <c r="D1471" i="4"/>
  <c r="B1059" i="4"/>
  <c r="M982" i="4"/>
  <c r="I404" i="4"/>
  <c r="B1125" i="4"/>
  <c r="B656" i="4"/>
  <c r="E482" i="4"/>
  <c r="D776" i="4"/>
  <c r="K2009" i="4"/>
  <c r="L1547" i="4"/>
  <c r="D649" i="4"/>
  <c r="L382" i="4"/>
  <c r="B1270" i="4"/>
  <c r="F298" i="4"/>
  <c r="C1016" i="4"/>
  <c r="M1636" i="4"/>
  <c r="F783" i="4"/>
  <c r="G1898" i="4"/>
  <c r="M1603" i="4"/>
  <c r="K705" i="4"/>
  <c r="L1512" i="4"/>
  <c r="G1476" i="4"/>
  <c r="F1538" i="4"/>
  <c r="L1281" i="4"/>
  <c r="C232" i="4"/>
  <c r="E1628" i="4"/>
  <c r="F1645" i="4"/>
  <c r="E402" i="4"/>
  <c r="E1858" i="4"/>
  <c r="J1226" i="4"/>
  <c r="C338" i="4"/>
  <c r="F1834" i="4"/>
  <c r="K449" i="4"/>
  <c r="G1537" i="4"/>
  <c r="J1278" i="4"/>
  <c r="I1518" i="4"/>
  <c r="D1885" i="4"/>
  <c r="B1152" i="4"/>
  <c r="B65" i="4"/>
  <c r="E297" i="4"/>
  <c r="D1900" i="4"/>
  <c r="E1396" i="4"/>
  <c r="E1577" i="4"/>
  <c r="L1725" i="4"/>
  <c r="E953" i="4"/>
  <c r="E1261" i="4"/>
  <c r="L1589" i="4"/>
  <c r="M1486" i="4"/>
  <c r="G1277" i="4"/>
  <c r="L870" i="4"/>
  <c r="B1998" i="4"/>
  <c r="L1170" i="4"/>
  <c r="B1773" i="4"/>
  <c r="K1067" i="4"/>
  <c r="C1608" i="4"/>
  <c r="K175" i="4"/>
  <c r="M1001" i="4"/>
  <c r="E1807" i="4"/>
  <c r="B1920" i="4"/>
  <c r="K391" i="4"/>
  <c r="E1060" i="4"/>
  <c r="K1530" i="4"/>
  <c r="C666" i="4"/>
  <c r="K1779" i="4"/>
  <c r="E270" i="4"/>
  <c r="J1736" i="4"/>
  <c r="J1627" i="4"/>
  <c r="L620" i="4"/>
  <c r="B1978" i="4"/>
  <c r="E1387" i="4"/>
  <c r="F1694" i="4"/>
  <c r="L692" i="4"/>
  <c r="F1614" i="4"/>
  <c r="K1940" i="4"/>
  <c r="G1202" i="4"/>
  <c r="D1483" i="4"/>
  <c r="M1923" i="4"/>
  <c r="D730" i="4"/>
  <c r="C1282" i="4"/>
  <c r="B947" i="4"/>
  <c r="B173" i="4"/>
  <c r="K390" i="4"/>
  <c r="E1815" i="4"/>
  <c r="G168" i="4"/>
  <c r="M1746" i="4"/>
  <c r="K1291" i="4"/>
  <c r="E435" i="4"/>
  <c r="G473" i="4"/>
  <c r="M1413" i="4"/>
  <c r="L1172" i="4"/>
  <c r="C1693" i="4"/>
  <c r="C1442" i="4"/>
  <c r="J1239" i="4"/>
  <c r="B1695" i="4"/>
  <c r="C373" i="4"/>
  <c r="M661" i="4"/>
  <c r="G733" i="4"/>
  <c r="B1398" i="4"/>
  <c r="F1962" i="4"/>
  <c r="E1516" i="4"/>
  <c r="B1160" i="4"/>
  <c r="I273" i="4"/>
  <c r="C1368" i="4"/>
  <c r="B1953" i="4"/>
  <c r="E1818" i="4"/>
  <c r="E1385" i="4"/>
  <c r="L327" i="4"/>
  <c r="F865" i="4"/>
  <c r="M820" i="4"/>
  <c r="M325" i="4"/>
  <c r="B1444" i="4"/>
  <c r="E1002" i="4"/>
  <c r="G1316" i="4"/>
  <c r="G322" i="4"/>
  <c r="J542" i="4"/>
  <c r="I1935" i="4"/>
  <c r="M233" i="4"/>
  <c r="K1289" i="4"/>
  <c r="L1683" i="4"/>
  <c r="B89" i="4"/>
  <c r="G422" i="4"/>
  <c r="M638" i="4"/>
  <c r="M1199" i="4"/>
  <c r="L471" i="4"/>
  <c r="G2009" i="4"/>
  <c r="I1576" i="4"/>
  <c r="B735" i="4"/>
  <c r="L1494" i="4"/>
  <c r="F1189" i="4"/>
  <c r="K710" i="4"/>
  <c r="M1426" i="4"/>
  <c r="F155" i="4"/>
  <c r="L42" i="4"/>
  <c r="C1178" i="4"/>
  <c r="C1400" i="4"/>
  <c r="L1551" i="4"/>
  <c r="K640" i="4"/>
  <c r="F1224" i="4"/>
  <c r="K1155" i="4"/>
  <c r="L1626" i="4"/>
  <c r="F1108" i="4"/>
  <c r="I1852" i="4"/>
  <c r="B56" i="4"/>
  <c r="L1068" i="4"/>
  <c r="L558" i="4"/>
  <c r="C1798" i="4"/>
  <c r="L656" i="4"/>
  <c r="C67" i="4"/>
  <c r="G559" i="4"/>
  <c r="C910" i="4"/>
  <c r="L1953" i="4"/>
  <c r="K857" i="4"/>
  <c r="K389" i="4"/>
  <c r="C1328" i="4"/>
  <c r="K206" i="4"/>
  <c r="E1487" i="4"/>
  <c r="J565" i="4"/>
  <c r="D844" i="4"/>
  <c r="E1029" i="4"/>
  <c r="D1645" i="4"/>
  <c r="L1825" i="4"/>
  <c r="J960" i="4"/>
  <c r="C1751" i="4"/>
  <c r="M297" i="4"/>
  <c r="K1809" i="4"/>
  <c r="D560" i="4"/>
  <c r="F120" i="4"/>
  <c r="M845" i="4"/>
  <c r="L383" i="4"/>
  <c r="M1287" i="4"/>
  <c r="K1942" i="4"/>
  <c r="M645" i="4"/>
  <c r="D959" i="4"/>
  <c r="G251" i="4"/>
  <c r="D1048" i="4"/>
  <c r="D642" i="4"/>
  <c r="K878" i="4"/>
  <c r="B1525" i="4"/>
  <c r="G704" i="4"/>
  <c r="L37" i="4"/>
  <c r="K996" i="4"/>
  <c r="G1904" i="4"/>
  <c r="K1305" i="4"/>
  <c r="J1655" i="4"/>
  <c r="K511" i="4"/>
  <c r="D818" i="4"/>
  <c r="M992" i="4"/>
  <c r="M1387" i="4"/>
  <c r="F874" i="4"/>
  <c r="M1623" i="4"/>
  <c r="C1594" i="4"/>
  <c r="K65" i="4"/>
  <c r="E525" i="4"/>
  <c r="E1107" i="4"/>
  <c r="E1825" i="4"/>
  <c r="I1094" i="4"/>
  <c r="B951" i="4"/>
  <c r="F1920" i="4"/>
  <c r="B1048" i="4"/>
  <c r="K160" i="4"/>
  <c r="F1364" i="4"/>
  <c r="D1661" i="4"/>
  <c r="F1750" i="4"/>
  <c r="L894" i="4"/>
  <c r="L1465" i="4"/>
  <c r="J480" i="4"/>
  <c r="G1118" i="4"/>
  <c r="C1691" i="4"/>
  <c r="M423" i="4"/>
  <c r="B1929" i="4"/>
  <c r="K789" i="4"/>
  <c r="K1708" i="4"/>
  <c r="D1760" i="4"/>
  <c r="C1664" i="4"/>
  <c r="C230" i="4"/>
  <c r="D356" i="4"/>
  <c r="K1781" i="4"/>
  <c r="C1411" i="4"/>
  <c r="G720" i="4"/>
  <c r="F477" i="4"/>
  <c r="K1614" i="4"/>
  <c r="M1460" i="4"/>
  <c r="D543" i="4"/>
  <c r="G1043" i="4"/>
  <c r="M591" i="4"/>
  <c r="G1012" i="4"/>
  <c r="G456" i="4"/>
  <c r="D87" i="4"/>
  <c r="C1576" i="4"/>
  <c r="F165" i="4"/>
  <c r="F1545" i="4"/>
  <c r="D647" i="4"/>
  <c r="F1111" i="4"/>
  <c r="M575" i="4"/>
  <c r="J533" i="4"/>
  <c r="E491" i="4"/>
  <c r="D471" i="4"/>
  <c r="E510" i="4"/>
  <c r="G584" i="4"/>
  <c r="M1237" i="4"/>
  <c r="B1910" i="4"/>
  <c r="K994" i="4"/>
  <c r="E955" i="4"/>
  <c r="G1944" i="4"/>
  <c r="K1229" i="4"/>
  <c r="J566" i="4"/>
  <c r="E1506" i="4"/>
  <c r="C1259" i="4"/>
  <c r="E1053" i="4"/>
  <c r="J1659" i="4"/>
  <c r="C1526" i="4"/>
  <c r="E1212" i="4"/>
  <c r="F1202" i="4"/>
  <c r="J1403" i="4"/>
  <c r="C1095" i="4"/>
  <c r="G1543" i="4"/>
  <c r="M225" i="4"/>
  <c r="C197" i="4"/>
  <c r="M980" i="4"/>
  <c r="E1363" i="4"/>
  <c r="M1323" i="4"/>
  <c r="C1886" i="4"/>
  <c r="G909" i="4"/>
  <c r="B1348" i="4"/>
  <c r="E1226" i="4"/>
  <c r="C1712" i="4"/>
  <c r="D1479" i="4"/>
  <c r="J49" i="4"/>
  <c r="J341" i="4"/>
  <c r="L1223" i="4"/>
  <c r="M1945" i="4"/>
  <c r="E1938" i="4"/>
  <c r="F606" i="4"/>
  <c r="C1482" i="4"/>
  <c r="F777" i="4"/>
  <c r="D1911" i="4"/>
  <c r="M458" i="4"/>
  <c r="C1500" i="4"/>
  <c r="B1448" i="4"/>
  <c r="E1140" i="4"/>
  <c r="M1085" i="4"/>
  <c r="B1386" i="4"/>
  <c r="K968" i="4"/>
  <c r="G1871" i="4"/>
  <c r="B1138" i="4"/>
  <c r="K1001" i="4"/>
  <c r="C750" i="4"/>
  <c r="B1592" i="4"/>
  <c r="J813" i="4"/>
  <c r="J1685" i="4"/>
  <c r="M1653" i="4"/>
  <c r="C901" i="4"/>
  <c r="L936" i="4"/>
  <c r="G1255" i="4"/>
  <c r="C1277" i="4"/>
  <c r="G25" i="4"/>
  <c r="C1421" i="4"/>
  <c r="G1485" i="4"/>
  <c r="B398" i="4"/>
  <c r="G1633" i="4"/>
  <c r="C831" i="4"/>
  <c r="C1117" i="4"/>
  <c r="F1340" i="4"/>
  <c r="B766" i="4"/>
  <c r="J433" i="4"/>
  <c r="M169" i="4"/>
  <c r="B1545" i="4"/>
  <c r="M1258" i="4"/>
  <c r="M1463" i="4"/>
  <c r="L573" i="4"/>
  <c r="B1997" i="4"/>
  <c r="M1002" i="4"/>
  <c r="D432" i="4"/>
  <c r="K1091" i="4"/>
  <c r="G1034" i="4"/>
  <c r="E273" i="4"/>
  <c r="L1406" i="4"/>
  <c r="L1895" i="4"/>
  <c r="C818" i="4"/>
  <c r="L1455" i="4"/>
  <c r="F1406" i="4"/>
  <c r="L1940" i="4"/>
  <c r="G1221" i="4"/>
  <c r="F1595" i="4"/>
  <c r="B752" i="4"/>
  <c r="I1834" i="4"/>
  <c r="M1404" i="4"/>
  <c r="I1263" i="4"/>
  <c r="G55" i="4"/>
  <c r="C1731" i="4"/>
  <c r="G1816" i="4"/>
  <c r="E1285" i="4"/>
  <c r="I368" i="4"/>
  <c r="F1503" i="4"/>
  <c r="K1978" i="4"/>
  <c r="M1148" i="4"/>
  <c r="K1595" i="4"/>
  <c r="G1374" i="4"/>
  <c r="G1318" i="4"/>
  <c r="G482" i="4"/>
  <c r="L1139" i="4"/>
  <c r="B291" i="4"/>
  <c r="F1351" i="4"/>
  <c r="F950" i="4"/>
  <c r="K975" i="4"/>
  <c r="G292" i="4"/>
  <c r="D1922" i="4"/>
  <c r="D1964" i="4"/>
  <c r="L498" i="4"/>
  <c r="E309" i="4"/>
  <c r="G613" i="4"/>
  <c r="K621" i="4"/>
  <c r="B1552" i="4"/>
  <c r="L761" i="4"/>
  <c r="E1688" i="4"/>
  <c r="L233" i="4"/>
  <c r="D964" i="4"/>
  <c r="D1400" i="4"/>
  <c r="G620" i="4"/>
  <c r="M775" i="4"/>
  <c r="M1642" i="4"/>
  <c r="C1124" i="4"/>
  <c r="D1792" i="4"/>
  <c r="L263" i="4"/>
  <c r="D1947" i="4"/>
  <c r="C1167" i="4"/>
  <c r="E1009" i="4"/>
  <c r="F1832" i="4"/>
  <c r="E1126" i="4"/>
  <c r="L1930" i="4"/>
  <c r="E41" i="4"/>
  <c r="I1749" i="4"/>
  <c r="B170" i="4"/>
  <c r="G1111" i="4"/>
  <c r="D1100" i="4"/>
  <c r="M1050" i="4"/>
  <c r="C1512" i="4"/>
  <c r="F456" i="4"/>
  <c r="C286" i="4"/>
  <c r="E1541" i="4"/>
  <c r="D497" i="4"/>
  <c r="B715" i="4"/>
  <c r="C589" i="4"/>
  <c r="D501" i="4"/>
  <c r="M909" i="4"/>
  <c r="L1530" i="4"/>
  <c r="F1478" i="4"/>
  <c r="J751" i="4"/>
  <c r="F867" i="4"/>
  <c r="M1606" i="4"/>
  <c r="K1856" i="4"/>
  <c r="I1999" i="4"/>
  <c r="K642" i="4"/>
  <c r="M1869" i="4"/>
  <c r="E1527" i="4"/>
  <c r="E56" i="4"/>
  <c r="E848" i="4"/>
  <c r="D619" i="4"/>
  <c r="D1794" i="4"/>
  <c r="D321" i="4"/>
  <c r="K169" i="4"/>
  <c r="C1247" i="4"/>
  <c r="L1824" i="4"/>
  <c r="C649" i="4"/>
  <c r="K672" i="4"/>
  <c r="G849" i="4"/>
  <c r="K474" i="4"/>
  <c r="L811" i="4"/>
  <c r="K194" i="4"/>
  <c r="B412" i="4"/>
  <c r="L111" i="4"/>
  <c r="C680" i="4"/>
  <c r="B1753" i="4"/>
  <c r="K1913" i="4"/>
  <c r="J1896" i="4"/>
  <c r="B1367" i="4"/>
  <c r="F495" i="4"/>
  <c r="F917" i="4"/>
  <c r="C1103" i="4"/>
  <c r="D1958" i="4"/>
  <c r="D1554" i="4"/>
  <c r="D1292" i="4"/>
  <c r="G1385" i="4"/>
  <c r="L1309" i="4"/>
  <c r="D1404" i="4"/>
  <c r="E1196" i="4"/>
  <c r="B1744" i="4"/>
  <c r="D664" i="4"/>
  <c r="F1994" i="4"/>
  <c r="M1482" i="4"/>
  <c r="B1460" i="4"/>
  <c r="C1973" i="4"/>
  <c r="F1045" i="4"/>
  <c r="G396" i="4"/>
  <c r="C124" i="4"/>
  <c r="M1145" i="4"/>
  <c r="M942" i="4"/>
  <c r="F1710" i="4"/>
  <c r="G1837" i="4"/>
  <c r="K1009" i="4"/>
  <c r="J1162" i="4"/>
  <c r="B1888" i="4"/>
  <c r="C130" i="4"/>
  <c r="L219" i="4"/>
  <c r="F1508" i="4"/>
  <c r="L1755" i="4"/>
  <c r="C1806" i="4"/>
  <c r="E978" i="4"/>
  <c r="G430" i="4"/>
  <c r="F1380" i="4"/>
  <c r="L1636" i="4"/>
  <c r="G2006" i="4"/>
  <c r="D119" i="4"/>
  <c r="D1126" i="4"/>
  <c r="F493" i="4"/>
  <c r="G467" i="4"/>
  <c r="G1074" i="4"/>
  <c r="K715" i="4"/>
  <c r="K814" i="4"/>
  <c r="G744" i="4"/>
  <c r="F535" i="4"/>
  <c r="M1889" i="4"/>
  <c r="C1425" i="4"/>
  <c r="C833" i="4"/>
  <c r="K1249" i="4"/>
  <c r="L1928" i="4"/>
  <c r="K483" i="4"/>
  <c r="C694" i="4"/>
  <c r="L16" i="4"/>
  <c r="K330" i="4"/>
  <c r="E1799" i="4"/>
  <c r="F1721" i="4"/>
  <c r="L516" i="4"/>
  <c r="G1027" i="4"/>
  <c r="L880" i="4"/>
  <c r="G114" i="4"/>
  <c r="E880" i="4"/>
  <c r="C1401" i="4"/>
  <c r="C983" i="4"/>
  <c r="I786" i="4"/>
  <c r="F563" i="4"/>
  <c r="L1865" i="4"/>
  <c r="F1628" i="4"/>
  <c r="E200" i="4"/>
  <c r="M230" i="4"/>
  <c r="L249" i="4"/>
  <c r="B226" i="4"/>
  <c r="C548" i="4"/>
  <c r="F1921" i="4"/>
  <c r="K922" i="4"/>
  <c r="B1707" i="4"/>
  <c r="L1590" i="4"/>
  <c r="M798" i="4"/>
  <c r="C1489" i="4"/>
  <c r="F1902" i="4"/>
  <c r="L1710" i="4"/>
  <c r="C66" i="4"/>
  <c r="B641" i="4"/>
  <c r="C1434" i="4"/>
  <c r="J1848" i="4"/>
  <c r="F1700" i="4"/>
  <c r="K1181" i="4"/>
  <c r="C1038" i="4"/>
  <c r="F793" i="4"/>
  <c r="M212" i="4"/>
  <c r="K1408" i="4"/>
  <c r="D853" i="4"/>
  <c r="M1539" i="4"/>
  <c r="M1393" i="4"/>
  <c r="E11" i="4"/>
  <c r="C1816" i="4"/>
  <c r="K1385" i="4"/>
  <c r="J1983" i="4"/>
  <c r="E1326" i="4"/>
  <c r="E1607" i="4"/>
  <c r="I617" i="4"/>
  <c r="L228" i="4"/>
  <c r="C994" i="4"/>
  <c r="K1191" i="4"/>
  <c r="D1771" i="4"/>
  <c r="G1408" i="4"/>
  <c r="I1525" i="4"/>
  <c r="B582" i="4"/>
  <c r="D1711" i="4"/>
  <c r="F1244" i="4"/>
  <c r="F1103" i="4"/>
  <c r="B1558" i="4"/>
  <c r="F1252" i="4"/>
  <c r="K1645" i="4"/>
  <c r="D661" i="4"/>
  <c r="M973" i="4"/>
  <c r="B1017" i="4"/>
  <c r="D1050" i="4"/>
  <c r="D1715" i="4"/>
  <c r="F1429" i="4"/>
  <c r="L1861" i="4"/>
  <c r="M17" i="4"/>
  <c r="E1127" i="4"/>
  <c r="B152" i="4"/>
  <c r="L298" i="4"/>
  <c r="C604" i="4"/>
  <c r="G1011" i="4"/>
  <c r="D1344" i="4"/>
  <c r="F251" i="4"/>
  <c r="L1354" i="4"/>
  <c r="F862" i="4"/>
  <c r="M1458" i="4"/>
  <c r="G1723" i="4"/>
  <c r="B941" i="4"/>
  <c r="M144" i="4"/>
  <c r="K1167" i="4"/>
  <c r="E800" i="4"/>
  <c r="K1987" i="4"/>
  <c r="I1844" i="4"/>
  <c r="C1042" i="4"/>
  <c r="C422" i="4"/>
  <c r="G1854" i="4"/>
  <c r="G424" i="4"/>
  <c r="B417" i="4"/>
  <c r="D1519" i="4"/>
  <c r="C1055" i="4"/>
  <c r="K318" i="4"/>
  <c r="M1181" i="4"/>
  <c r="E1067" i="4"/>
  <c r="D1467" i="4"/>
  <c r="K241" i="4"/>
  <c r="B755" i="4"/>
  <c r="E1522" i="4"/>
  <c r="C703" i="4"/>
  <c r="L1382" i="4"/>
  <c r="B761" i="4"/>
  <c r="D946" i="4"/>
  <c r="F1396" i="4"/>
  <c r="D1732" i="4"/>
  <c r="M1964" i="4"/>
  <c r="C949" i="4"/>
  <c r="E1948" i="4"/>
  <c r="K802" i="4"/>
  <c r="F1451" i="4"/>
  <c r="F1717" i="4"/>
  <c r="I40" i="4"/>
  <c r="M1595" i="4"/>
  <c r="E1724" i="4"/>
  <c r="E1332" i="4"/>
  <c r="F566" i="4"/>
  <c r="B1555" i="4"/>
  <c r="D843" i="4"/>
  <c r="M1269" i="4"/>
  <c r="D980" i="4"/>
  <c r="E1833" i="4"/>
  <c r="E1241" i="4"/>
  <c r="I412" i="4"/>
  <c r="C259" i="4"/>
  <c r="J1871" i="4"/>
  <c r="L789" i="4"/>
  <c r="E423" i="4"/>
  <c r="G336" i="4"/>
  <c r="C1632" i="4"/>
  <c r="F173" i="4"/>
  <c r="F1564" i="4"/>
  <c r="C1428" i="4"/>
  <c r="D1536" i="4"/>
  <c r="D1515" i="4"/>
  <c r="E825" i="4"/>
  <c r="C1215" i="4"/>
  <c r="K1881" i="4"/>
  <c r="F1797" i="4"/>
  <c r="C1755" i="4"/>
  <c r="G459" i="4"/>
  <c r="F1967" i="4"/>
  <c r="K1261" i="4"/>
  <c r="L449" i="4"/>
  <c r="E1390" i="4"/>
  <c r="E757" i="4"/>
  <c r="G631" i="4"/>
  <c r="K1541" i="4"/>
  <c r="E1557" i="4"/>
  <c r="M1944" i="4"/>
  <c r="G721" i="4"/>
  <c r="C744" i="4"/>
  <c r="D975" i="4"/>
  <c r="E173" i="4"/>
  <c r="B1098" i="4"/>
  <c r="G1123" i="4"/>
  <c r="L1550" i="4"/>
  <c r="B1114" i="4"/>
  <c r="L1998" i="4"/>
  <c r="F1612" i="4"/>
  <c r="M872" i="4"/>
  <c r="D1611" i="4"/>
  <c r="C1157" i="4"/>
  <c r="G1170" i="4"/>
  <c r="L1777" i="4"/>
  <c r="B1527" i="4"/>
  <c r="C1720" i="4"/>
  <c r="E324" i="4"/>
  <c r="I283" i="4"/>
  <c r="F310" i="4"/>
  <c r="I1602" i="4"/>
  <c r="K1219" i="4"/>
  <c r="C1754" i="4"/>
  <c r="F1891" i="4"/>
  <c r="B8" i="4"/>
  <c r="D972" i="4"/>
  <c r="F729" i="4"/>
  <c r="G1330" i="4"/>
  <c r="F521" i="4"/>
  <c r="E226" i="4"/>
  <c r="K1660" i="4"/>
  <c r="M1317" i="4"/>
  <c r="C1104" i="4"/>
  <c r="C334" i="4"/>
  <c r="F380" i="4"/>
  <c r="M229" i="4"/>
  <c r="F1236" i="4"/>
  <c r="D400" i="4"/>
  <c r="J1227" i="4"/>
  <c r="B1697" i="4"/>
  <c r="I1591" i="4"/>
  <c r="F1185" i="4"/>
  <c r="E1684" i="4"/>
  <c r="D670" i="4"/>
  <c r="K564" i="4"/>
  <c r="B501" i="4"/>
  <c r="L401" i="4"/>
  <c r="E332" i="4"/>
  <c r="L1637" i="4"/>
  <c r="B1653" i="4"/>
  <c r="K1836" i="4"/>
  <c r="E1764" i="4"/>
  <c r="F1192" i="4"/>
  <c r="K550" i="4"/>
  <c r="L1302" i="4"/>
  <c r="E1579" i="4"/>
  <c r="L1845" i="4"/>
  <c r="B535" i="4"/>
  <c r="B1419" i="4"/>
  <c r="L1196" i="4"/>
  <c r="L1997" i="4"/>
  <c r="K1367" i="4"/>
  <c r="D1565" i="4"/>
  <c r="M1418" i="4"/>
  <c r="B1175" i="4"/>
  <c r="J232" i="4"/>
  <c r="D1399" i="4"/>
  <c r="E494" i="4"/>
  <c r="D1869" i="4"/>
  <c r="D648" i="4"/>
  <c r="M1079" i="4"/>
  <c r="F156" i="4"/>
  <c r="L79" i="4"/>
  <c r="M1772" i="4"/>
  <c r="D705" i="4"/>
  <c r="B530" i="4"/>
  <c r="M1405" i="4"/>
  <c r="E814" i="4"/>
  <c r="F1038" i="4"/>
  <c r="B1975" i="4"/>
  <c r="L1750" i="4"/>
  <c r="L817" i="4"/>
  <c r="D930" i="4"/>
  <c r="C601" i="4"/>
  <c r="K424" i="4"/>
  <c r="F1074" i="4"/>
  <c r="G469" i="4"/>
  <c r="B774" i="4"/>
  <c r="I1504" i="4"/>
  <c r="E1830" i="4"/>
  <c r="E1987" i="4"/>
  <c r="F76" i="4"/>
  <c r="E758" i="4"/>
  <c r="E1699" i="4"/>
  <c r="K90" i="4"/>
  <c r="G742" i="4"/>
  <c r="I1797" i="4"/>
  <c r="B1666" i="4"/>
  <c r="K1437" i="4"/>
  <c r="G106" i="4"/>
  <c r="D1563" i="4"/>
  <c r="B1123" i="4"/>
  <c r="K131" i="4"/>
  <c r="L863" i="4"/>
  <c r="K1612" i="4"/>
  <c r="F1371" i="4"/>
  <c r="D316" i="4"/>
  <c r="C913" i="4"/>
  <c r="B359" i="4"/>
  <c r="F1617" i="4"/>
  <c r="E1841" i="4"/>
  <c r="B1934" i="4"/>
  <c r="L531" i="4"/>
  <c r="E899" i="4"/>
  <c r="K1073" i="4"/>
  <c r="C1265" i="4"/>
  <c r="B558" i="4"/>
  <c r="B76" i="4"/>
  <c r="I458" i="4"/>
  <c r="K336" i="4"/>
  <c r="L549" i="4"/>
  <c r="D1691" i="4"/>
  <c r="K1866" i="4"/>
  <c r="F1082" i="4"/>
  <c r="L493" i="4"/>
  <c r="K1623" i="4"/>
  <c r="K325" i="4"/>
  <c r="F1008" i="4"/>
  <c r="G1426" i="4"/>
  <c r="B357" i="4"/>
  <c r="E1591" i="4"/>
  <c r="G1295" i="4"/>
  <c r="K610" i="4"/>
  <c r="G829" i="4"/>
  <c r="G1758" i="4"/>
  <c r="K1376" i="4"/>
  <c r="E1469" i="4"/>
  <c r="E1238" i="4"/>
  <c r="J1581" i="4"/>
  <c r="K843" i="4"/>
  <c r="I209" i="4"/>
  <c r="B625" i="4"/>
  <c r="D1808" i="4"/>
  <c r="L1284" i="4"/>
  <c r="J1589" i="4"/>
  <c r="M707" i="4"/>
  <c r="C772" i="4"/>
  <c r="I1829" i="4"/>
  <c r="C202" i="4"/>
  <c r="K1578" i="4"/>
  <c r="E113" i="4"/>
  <c r="F897" i="4"/>
  <c r="G1935" i="4"/>
  <c r="D932" i="4"/>
  <c r="B1939" i="4"/>
  <c r="B1618" i="4"/>
  <c r="B598" i="4"/>
  <c r="E810" i="4"/>
  <c r="M1184" i="4"/>
  <c r="L595" i="4"/>
  <c r="I1024" i="4"/>
  <c r="D615" i="4"/>
  <c r="B211" i="4"/>
  <c r="F1873" i="4"/>
  <c r="E228" i="4"/>
  <c r="B122" i="4"/>
  <c r="G860" i="4"/>
  <c r="C1126" i="4"/>
  <c r="L118" i="4"/>
  <c r="I1132" i="4"/>
  <c r="G1021" i="4"/>
  <c r="E1872" i="4"/>
  <c r="K1646" i="4"/>
  <c r="J1620" i="4"/>
  <c r="D718" i="4"/>
  <c r="B884" i="4"/>
  <c r="D1932" i="4"/>
  <c r="F1903" i="4"/>
  <c r="F368" i="4"/>
  <c r="M967" i="4"/>
  <c r="K808" i="4"/>
  <c r="K1936" i="4"/>
  <c r="B488" i="4"/>
  <c r="C752" i="4"/>
  <c r="D1626" i="4"/>
  <c r="G1959" i="4"/>
  <c r="L1385" i="4"/>
  <c r="J302" i="4"/>
  <c r="G985" i="4"/>
  <c r="F1800" i="4"/>
  <c r="D1128" i="4"/>
  <c r="M1288" i="4"/>
  <c r="B1112" i="4"/>
  <c r="F675" i="4"/>
  <c r="D1342" i="4"/>
  <c r="B1504" i="4"/>
  <c r="C400" i="4"/>
  <c r="F1964" i="4"/>
  <c r="E484" i="4"/>
  <c r="K1655" i="4"/>
  <c r="F1965" i="4"/>
  <c r="K1337" i="4"/>
  <c r="I1849" i="4"/>
  <c r="L1242" i="4"/>
  <c r="F963" i="4"/>
  <c r="E650" i="4"/>
  <c r="D1508" i="4"/>
  <c r="G89" i="4"/>
  <c r="G1753" i="4"/>
  <c r="D1629" i="4"/>
  <c r="L1200" i="4"/>
  <c r="E1217" i="4"/>
  <c r="K437" i="4"/>
  <c r="D262" i="4"/>
  <c r="L1958" i="4"/>
  <c r="G1109" i="4"/>
  <c r="F1856" i="4"/>
  <c r="F1314" i="4"/>
  <c r="E1679" i="4"/>
  <c r="B1980" i="4"/>
  <c r="I1448" i="4"/>
  <c r="C783" i="4"/>
  <c r="B404" i="4"/>
  <c r="K740" i="4"/>
  <c r="M1668" i="4"/>
  <c r="D163" i="4"/>
  <c r="G816" i="4"/>
  <c r="B1113" i="4"/>
  <c r="C1492" i="4"/>
  <c r="F1711" i="4"/>
  <c r="I410" i="4"/>
  <c r="D613" i="4"/>
  <c r="E923" i="4"/>
  <c r="E1735" i="4"/>
  <c r="M1836" i="4"/>
  <c r="F231" i="4"/>
  <c r="E71" i="4"/>
  <c r="B1641" i="4"/>
  <c r="F491" i="4"/>
  <c r="F1440" i="4"/>
  <c r="M1233" i="4"/>
  <c r="E1868" i="4"/>
  <c r="B1657" i="4"/>
  <c r="E716" i="4"/>
  <c r="M1714" i="4"/>
  <c r="J616" i="4"/>
  <c r="E629" i="4"/>
  <c r="B942" i="4"/>
  <c r="C1108" i="4"/>
  <c r="I1456" i="4"/>
  <c r="L1501" i="4"/>
  <c r="J1099" i="4"/>
  <c r="B776" i="4"/>
  <c r="F142" i="4"/>
  <c r="J714" i="4"/>
  <c r="L781" i="4"/>
  <c r="L1549" i="4"/>
  <c r="M1124" i="4"/>
  <c r="E1489" i="4"/>
  <c r="L779" i="4"/>
  <c r="E1112" i="4"/>
  <c r="F1276" i="4"/>
  <c r="L1912" i="4"/>
  <c r="K370" i="4"/>
  <c r="M237" i="4"/>
  <c r="F1806" i="4"/>
  <c r="C1757" i="4"/>
  <c r="L451" i="4"/>
  <c r="K822" i="4"/>
  <c r="E533" i="4"/>
  <c r="C1992" i="4"/>
  <c r="B1295" i="4"/>
  <c r="L156" i="4"/>
  <c r="M478" i="4"/>
  <c r="B248" i="4"/>
  <c r="M1320" i="4"/>
  <c r="B1529" i="4"/>
  <c r="E1471" i="4"/>
  <c r="G1066" i="4"/>
  <c r="C1235" i="4"/>
  <c r="C731" i="4"/>
  <c r="C51" i="4"/>
  <c r="L705" i="4"/>
  <c r="E1525" i="4"/>
  <c r="E574" i="4"/>
  <c r="M936" i="4"/>
  <c r="K1878" i="4"/>
  <c r="G1679" i="4"/>
  <c r="B982" i="4"/>
  <c r="I871" i="4"/>
  <c r="K1160" i="4"/>
  <c r="K1909" i="4"/>
  <c r="M1297" i="4"/>
  <c r="G1440" i="4"/>
  <c r="K766" i="4"/>
  <c r="E1932" i="4"/>
  <c r="B820" i="4"/>
  <c r="C1201" i="4"/>
  <c r="B1691" i="4"/>
  <c r="M1280" i="4"/>
  <c r="C1271" i="4"/>
  <c r="D301" i="4"/>
  <c r="F125" i="4"/>
  <c r="I2007" i="4"/>
  <c r="B1430" i="4"/>
  <c r="M155" i="4"/>
  <c r="M253" i="4"/>
  <c r="G1976" i="4"/>
  <c r="L962" i="4"/>
  <c r="C561" i="4"/>
  <c r="L685" i="4"/>
  <c r="K83" i="4"/>
  <c r="G1016" i="4"/>
  <c r="K1089" i="4"/>
  <c r="K1004" i="4"/>
  <c r="L1055" i="4"/>
  <c r="F1289" i="4"/>
  <c r="K1680" i="4"/>
  <c r="K949" i="4"/>
  <c r="G758" i="4"/>
  <c r="F1704" i="4"/>
  <c r="L1415" i="4"/>
  <c r="B1025" i="4"/>
  <c r="L1535" i="4"/>
  <c r="D1839" i="4"/>
  <c r="G1607" i="4"/>
  <c r="C282" i="4"/>
  <c r="E1602" i="4"/>
  <c r="E642" i="4"/>
  <c r="G1891" i="4"/>
  <c r="M1036" i="4"/>
  <c r="M1052" i="4"/>
  <c r="B172" i="4"/>
  <c r="I260" i="4"/>
  <c r="I1159" i="4"/>
  <c r="E1975" i="4"/>
  <c r="L916" i="4"/>
  <c r="G1199" i="4"/>
  <c r="B101" i="4"/>
  <c r="B50" i="4"/>
  <c r="G1072" i="4"/>
  <c r="D1475" i="4"/>
  <c r="B1906" i="4"/>
  <c r="B1279" i="4"/>
  <c r="B783" i="4"/>
  <c r="F324" i="4"/>
  <c r="D498" i="4"/>
  <c r="I113" i="4"/>
  <c r="J1761" i="4"/>
  <c r="M874" i="4"/>
  <c r="F313" i="4"/>
  <c r="K1435" i="4"/>
  <c r="C1372" i="4"/>
  <c r="K648" i="4"/>
  <c r="F711" i="4"/>
  <c r="C333" i="4"/>
  <c r="J1978" i="4"/>
  <c r="K719" i="4"/>
  <c r="E467" i="4"/>
  <c r="C1293" i="4"/>
  <c r="I1294" i="4"/>
  <c r="M209" i="4"/>
  <c r="E1131" i="4"/>
  <c r="E1774" i="4"/>
  <c r="G1982" i="4"/>
  <c r="M662" i="4"/>
  <c r="B1563" i="4"/>
  <c r="K103" i="4"/>
  <c r="G878" i="4"/>
  <c r="J538" i="4"/>
  <c r="B1932" i="4"/>
  <c r="I671" i="4"/>
  <c r="K699" i="4"/>
  <c r="L466" i="4"/>
  <c r="E347" i="4"/>
  <c r="M747" i="4"/>
  <c r="E1243" i="4"/>
  <c r="B221" i="4"/>
  <c r="L993" i="4"/>
  <c r="D681" i="4"/>
  <c r="M1551" i="4"/>
  <c r="B112" i="4"/>
  <c r="C1881" i="4"/>
  <c r="L593" i="4"/>
  <c r="L1256" i="4"/>
  <c r="B1624" i="4"/>
  <c r="I1534" i="4"/>
  <c r="E1744" i="4"/>
  <c r="J1116" i="4"/>
  <c r="L479" i="4"/>
  <c r="B1269" i="4"/>
  <c r="E513" i="4"/>
  <c r="G855" i="4"/>
  <c r="E566" i="4"/>
  <c r="E1224" i="4"/>
  <c r="F881" i="4"/>
  <c r="C1696" i="4"/>
  <c r="C1742" i="4"/>
  <c r="I1471" i="4"/>
  <c r="L1033" i="4"/>
  <c r="M1943" i="4"/>
  <c r="G1576" i="4"/>
  <c r="G321" i="4"/>
  <c r="M1733" i="4"/>
  <c r="C888" i="4"/>
  <c r="E15" i="4"/>
  <c r="M1434" i="4"/>
  <c r="K1017" i="4"/>
  <c r="D674" i="4"/>
  <c r="D1673" i="4"/>
  <c r="L1611" i="4"/>
  <c r="K1201" i="4"/>
  <c r="M1875" i="4"/>
  <c r="M1116" i="4"/>
  <c r="K1260" i="4"/>
  <c r="M791" i="4"/>
  <c r="E1637" i="4"/>
  <c r="I324" i="4"/>
  <c r="L1173" i="4"/>
  <c r="K632" i="4"/>
  <c r="K731" i="4"/>
  <c r="G1561" i="4"/>
  <c r="F1480" i="4"/>
  <c r="D518" i="4"/>
  <c r="L1575" i="4"/>
  <c r="J1855" i="4"/>
  <c r="E225" i="4"/>
  <c r="E592" i="4"/>
  <c r="K769" i="4"/>
  <c r="E939" i="4"/>
  <c r="B1803" i="4"/>
  <c r="L1169" i="4"/>
  <c r="J880" i="4"/>
  <c r="M86" i="4"/>
  <c r="G824" i="4"/>
  <c r="G1148" i="4"/>
  <c r="L700" i="4"/>
  <c r="L1718" i="4"/>
  <c r="B1986" i="4"/>
  <c r="B472" i="4"/>
  <c r="E1477" i="4"/>
  <c r="M97" i="4"/>
  <c r="F1666" i="4"/>
  <c r="B99" i="4"/>
  <c r="F670" i="4"/>
  <c r="M530" i="4"/>
  <c r="M1819" i="4"/>
  <c r="G1540" i="4"/>
  <c r="G385" i="4"/>
  <c r="M634" i="4"/>
  <c r="F1940" i="4"/>
  <c r="K1403" i="4"/>
  <c r="J1440" i="4"/>
  <c r="C1074" i="4"/>
  <c r="D18" i="4"/>
  <c r="J273" i="4"/>
  <c r="C718" i="4"/>
  <c r="G334" i="4"/>
  <c r="L1990" i="4"/>
  <c r="D1330" i="4"/>
  <c r="J951" i="4"/>
  <c r="D1069" i="4"/>
  <c r="K1586" i="4"/>
  <c r="I1462" i="4"/>
  <c r="L865" i="4"/>
  <c r="K1269" i="4"/>
  <c r="E74" i="4"/>
  <c r="M1671" i="4"/>
  <c r="M420" i="4"/>
  <c r="E1760" i="4"/>
  <c r="F1955" i="4"/>
  <c r="F191" i="4"/>
  <c r="G1285" i="4"/>
  <c r="E1851" i="4"/>
  <c r="E1995" i="4"/>
  <c r="G1539" i="4"/>
  <c r="E753" i="4"/>
  <c r="L1860" i="4"/>
  <c r="D13" i="4"/>
  <c r="F32" i="4"/>
  <c r="G267" i="4"/>
  <c r="L608" i="4"/>
  <c r="E1870" i="4"/>
  <c r="M1468" i="4"/>
  <c r="C358" i="4"/>
  <c r="M1403" i="4"/>
  <c r="B1019" i="4"/>
  <c r="G1361" i="4"/>
  <c r="J228" i="4"/>
  <c r="M1526" i="4"/>
  <c r="D335" i="4"/>
  <c r="F800" i="4"/>
  <c r="D429" i="4"/>
  <c r="D1416" i="4"/>
  <c r="K1711" i="4"/>
  <c r="K1507" i="4"/>
  <c r="M546" i="4"/>
  <c r="B1907" i="4"/>
  <c r="F1995" i="4"/>
  <c r="E1636" i="4"/>
  <c r="E1149" i="4"/>
  <c r="F1426" i="4"/>
  <c r="C559" i="4"/>
  <c r="G317" i="4"/>
  <c r="K1115" i="4"/>
  <c r="F1177" i="4"/>
  <c r="E272" i="4"/>
  <c r="K156" i="4"/>
  <c r="E1049" i="4"/>
  <c r="B1944" i="4"/>
  <c r="B1455" i="4"/>
  <c r="B1116" i="4"/>
  <c r="E1382" i="4"/>
  <c r="D328" i="4"/>
  <c r="L1525" i="4"/>
  <c r="M1452" i="4"/>
  <c r="B74" i="4"/>
  <c r="K1108" i="4"/>
  <c r="M274" i="4"/>
  <c r="I764" i="4"/>
  <c r="M1423" i="4"/>
  <c r="K1755" i="4"/>
  <c r="E1732" i="4"/>
  <c r="F249" i="4"/>
  <c r="L1387" i="4"/>
  <c r="K1683" i="4"/>
  <c r="G959" i="4"/>
  <c r="B1350" i="4"/>
  <c r="L1237" i="4"/>
  <c r="G1213" i="4"/>
  <c r="F1047" i="4"/>
  <c r="C428" i="4"/>
  <c r="M1778" i="4"/>
  <c r="M447" i="4"/>
  <c r="I1956" i="4"/>
  <c r="J821" i="4"/>
  <c r="D1971" i="4"/>
  <c r="F158" i="4"/>
  <c r="F1986" i="4"/>
  <c r="M495" i="4"/>
  <c r="E1749" i="4"/>
  <c r="F1590" i="4"/>
  <c r="E1447" i="4"/>
  <c r="D840" i="4"/>
  <c r="G561" i="4"/>
  <c r="B1312" i="4"/>
  <c r="G1593" i="4"/>
  <c r="C1530" i="4"/>
  <c r="C650" i="4"/>
  <c r="G1762" i="4"/>
  <c r="F1623" i="4"/>
  <c r="K493" i="4"/>
  <c r="B1212" i="4"/>
  <c r="F385" i="4"/>
  <c r="I1785" i="4"/>
  <c r="G1674" i="4"/>
  <c r="J1611" i="4"/>
  <c r="L1654" i="4"/>
  <c r="G1214" i="4"/>
  <c r="C344" i="4"/>
  <c r="L90" i="4"/>
  <c r="F1112" i="4"/>
  <c r="F452" i="4"/>
  <c r="J1242" i="4"/>
  <c r="L1741" i="4"/>
  <c r="F1528" i="4"/>
  <c r="M1739" i="4"/>
  <c r="C848" i="4"/>
  <c r="C930" i="4"/>
  <c r="K1024" i="4"/>
  <c r="M974" i="4"/>
  <c r="B110" i="4"/>
  <c r="B1133" i="4"/>
  <c r="L1944" i="4"/>
  <c r="B584" i="4"/>
  <c r="F1240" i="4"/>
  <c r="M358" i="4"/>
  <c r="E1125" i="4"/>
  <c r="D409" i="4"/>
  <c r="B103" i="4"/>
  <c r="B835" i="4"/>
  <c r="K686" i="4"/>
  <c r="E698" i="4"/>
  <c r="E100" i="4"/>
  <c r="D1559" i="4"/>
  <c r="M1876" i="4"/>
  <c r="B59" i="4"/>
  <c r="G1830" i="4"/>
  <c r="G1372" i="4"/>
  <c r="J1029" i="4"/>
  <c r="B1662" i="4"/>
  <c r="D995" i="4"/>
  <c r="F1625" i="4"/>
  <c r="C1587" i="4"/>
  <c r="F1374" i="4"/>
  <c r="F1137" i="4"/>
  <c r="M1187" i="4"/>
  <c r="C326" i="4"/>
  <c r="E1066" i="4"/>
  <c r="J570" i="4"/>
  <c r="F181" i="4"/>
  <c r="L1536" i="4"/>
  <c r="E1088" i="4"/>
  <c r="L1346" i="4"/>
  <c r="B601" i="4"/>
  <c r="M343" i="4"/>
  <c r="F1282" i="4"/>
  <c r="J1217" i="4"/>
  <c r="M160" i="4"/>
  <c r="D1882" i="4"/>
  <c r="K1594" i="4"/>
  <c r="M772" i="4"/>
  <c r="D831" i="4"/>
  <c r="C145" i="4"/>
  <c r="B139" i="4"/>
  <c r="D1897" i="4"/>
  <c r="L679" i="4"/>
  <c r="L1008" i="4"/>
  <c r="M1987" i="4"/>
  <c r="F1810" i="4"/>
  <c r="M349" i="4"/>
  <c r="F362" i="4"/>
  <c r="D1279" i="4"/>
  <c r="F273" i="4"/>
  <c r="F706" i="4"/>
  <c r="C1175" i="4"/>
  <c r="D1975" i="4"/>
  <c r="G199" i="4"/>
  <c r="M1364" i="4"/>
  <c r="F1755" i="4"/>
  <c r="K5" i="4"/>
  <c r="K1156" i="4"/>
  <c r="L1080" i="4"/>
  <c r="C1464" i="4"/>
  <c r="K1649" i="4"/>
  <c r="K157" i="4"/>
  <c r="B1176" i="4"/>
  <c r="F704" i="4"/>
  <c r="B290" i="4"/>
  <c r="M1497" i="4"/>
  <c r="L745" i="4"/>
  <c r="B1574" i="4"/>
  <c r="C1707" i="4"/>
  <c r="F801" i="4"/>
  <c r="B984" i="4"/>
  <c r="G858" i="4"/>
  <c r="K497" i="4"/>
  <c r="E1334" i="4"/>
  <c r="L1816" i="4"/>
  <c r="G754" i="4"/>
  <c r="C616" i="4"/>
  <c r="G937" i="4"/>
  <c r="F1397" i="4"/>
  <c r="J1163" i="4"/>
  <c r="B1361" i="4"/>
  <c r="G1078" i="4"/>
  <c r="C1680" i="4"/>
  <c r="L1532" i="4"/>
  <c r="B1617" i="4"/>
  <c r="C927" i="4"/>
  <c r="F1725" i="4"/>
  <c r="D1752" i="4"/>
  <c r="J1327" i="4"/>
  <c r="F319" i="4"/>
  <c r="M1421" i="4"/>
  <c r="F497" i="4"/>
  <c r="L1287" i="4"/>
  <c r="B319" i="4"/>
  <c r="G1402" i="4"/>
  <c r="M906" i="4"/>
  <c r="L1097" i="4"/>
  <c r="J1788" i="4"/>
  <c r="D1624" i="4"/>
  <c r="E1423" i="4"/>
  <c r="I1274" i="4"/>
  <c r="K1369" i="4"/>
  <c r="F1576" i="4"/>
  <c r="E224" i="4"/>
  <c r="C1050" i="4"/>
  <c r="M932" i="4"/>
  <c r="D251" i="4"/>
  <c r="G1283" i="4"/>
  <c r="L1466" i="4"/>
  <c r="L517" i="4"/>
  <c r="D1474" i="4"/>
  <c r="B1661" i="4"/>
  <c r="B336" i="4"/>
  <c r="L35" i="4"/>
  <c r="D966" i="4"/>
  <c r="K24" i="4"/>
  <c r="B1750" i="4"/>
  <c r="C766" i="4"/>
  <c r="K1954" i="4"/>
  <c r="E1207" i="4"/>
  <c r="B1749" i="4"/>
  <c r="E1446" i="4"/>
  <c r="D1248" i="4"/>
  <c r="K1238" i="4"/>
  <c r="L1262" i="4"/>
  <c r="C1648" i="4"/>
  <c r="D116" i="4"/>
  <c r="G462" i="4"/>
  <c r="E681" i="4"/>
  <c r="M528" i="4"/>
  <c r="B1094" i="4"/>
  <c r="M994" i="4"/>
  <c r="K796" i="4"/>
  <c r="D526" i="4"/>
  <c r="L1588" i="4"/>
  <c r="M1157" i="4"/>
  <c r="K79" i="4"/>
  <c r="G1951" i="4"/>
  <c r="F741" i="4"/>
  <c r="B1783" i="4"/>
  <c r="F1407" i="4"/>
  <c r="M1118" i="4"/>
  <c r="M778" i="4"/>
  <c r="C1098" i="4"/>
  <c r="G1143" i="4"/>
  <c r="L1411" i="4"/>
  <c r="G1340" i="4"/>
  <c r="D38" i="4"/>
  <c r="F1072" i="4"/>
  <c r="E734" i="4"/>
  <c r="F1926" i="4"/>
  <c r="M29" i="4"/>
  <c r="C1362" i="4"/>
  <c r="K1716" i="4"/>
  <c r="G1155" i="4"/>
  <c r="K1224" i="4"/>
  <c r="J1178" i="4"/>
  <c r="L776" i="4"/>
  <c r="D1749" i="4"/>
  <c r="C779" i="4"/>
  <c r="C1752" i="4"/>
  <c r="D1943" i="4"/>
  <c r="C535" i="4"/>
  <c r="E300" i="4"/>
  <c r="D593" i="4"/>
  <c r="M1870" i="4"/>
  <c r="L677" i="4"/>
  <c r="D1346" i="4"/>
  <c r="I1609" i="4"/>
  <c r="L1627" i="4"/>
  <c r="F1634" i="4"/>
  <c r="K35" i="4"/>
  <c r="E358" i="4"/>
  <c r="F2" i="4"/>
  <c r="E1900" i="4"/>
  <c r="G1801" i="4"/>
  <c r="J680" i="4"/>
  <c r="E1222" i="4"/>
  <c r="F1513" i="4"/>
  <c r="K1699" i="4"/>
  <c r="L523" i="4"/>
  <c r="D1775" i="4"/>
  <c r="D107" i="4"/>
  <c r="L331" i="4"/>
  <c r="E141" i="4"/>
  <c r="L1582" i="4"/>
  <c r="F468" i="4"/>
  <c r="B1766" i="4"/>
  <c r="M1120" i="4"/>
  <c r="B70" i="4"/>
  <c r="D1207" i="4"/>
  <c r="J1135" i="4"/>
  <c r="B1725" i="4"/>
  <c r="G1282" i="4"/>
  <c r="E788" i="4"/>
  <c r="D800" i="4"/>
  <c r="B431" i="4"/>
  <c r="L1872" i="4"/>
  <c r="L413" i="4"/>
  <c r="K404" i="4"/>
  <c r="B280" i="4"/>
  <c r="G293" i="4"/>
  <c r="I1459" i="4"/>
  <c r="M1351" i="4"/>
  <c r="B856" i="4"/>
  <c r="L190" i="4"/>
  <c r="E180" i="4"/>
  <c r="D1121" i="4"/>
  <c r="M1753" i="4"/>
  <c r="D1899" i="4"/>
  <c r="G1504" i="4"/>
  <c r="D1047" i="4"/>
  <c r="C1179" i="4"/>
  <c r="G1797" i="4"/>
  <c r="B51" i="4"/>
  <c r="B1860" i="4"/>
  <c r="G856" i="4"/>
  <c r="B1414" i="4"/>
  <c r="G1514" i="4"/>
  <c r="L1367" i="4"/>
  <c r="L1585" i="4"/>
  <c r="B1234" i="4"/>
  <c r="M1602" i="4"/>
  <c r="C1561" i="4"/>
  <c r="D976" i="4"/>
  <c r="B933" i="4"/>
  <c r="D461" i="4"/>
  <c r="E428" i="4"/>
  <c r="E1116" i="4"/>
  <c r="D837" i="4"/>
  <c r="G1050" i="4"/>
  <c r="L1900" i="4"/>
  <c r="M1240" i="4"/>
  <c r="F1998" i="4"/>
  <c r="J1728" i="4"/>
  <c r="J417" i="4"/>
  <c r="K342" i="4"/>
  <c r="K1456" i="4"/>
  <c r="E1417" i="4"/>
  <c r="D1578" i="4"/>
  <c r="E1745" i="4"/>
  <c r="J270" i="4"/>
  <c r="E1983" i="4"/>
  <c r="L220" i="4"/>
  <c r="D425" i="4"/>
  <c r="E765" i="4"/>
  <c r="K1128" i="4"/>
  <c r="G880" i="4"/>
  <c r="B1329" i="4"/>
  <c r="K1663" i="4"/>
  <c r="K1996" i="4"/>
  <c r="I1127" i="4"/>
  <c r="M1794" i="4"/>
  <c r="C396" i="4"/>
  <c r="K1163" i="4"/>
  <c r="C892" i="4"/>
  <c r="C950" i="4"/>
  <c r="D703" i="4"/>
  <c r="F1837" i="4"/>
  <c r="I770" i="4"/>
  <c r="M1322" i="4"/>
  <c r="G875" i="4"/>
  <c r="L1565" i="4"/>
  <c r="D113" i="4"/>
  <c r="D928" i="4"/>
  <c r="L1973" i="4"/>
  <c r="K1426" i="4"/>
  <c r="F1353" i="4"/>
  <c r="E92" i="4"/>
  <c r="K1327" i="4"/>
  <c r="K398" i="4"/>
  <c r="M1065" i="4"/>
  <c r="K1373" i="4"/>
  <c r="L543" i="4"/>
  <c r="K1355" i="4"/>
  <c r="C979" i="4"/>
  <c r="L146" i="4"/>
  <c r="B1916" i="4"/>
  <c r="C1827" i="4"/>
  <c r="M803" i="4"/>
  <c r="E812" i="4"/>
  <c r="L855" i="4"/>
  <c r="M1939" i="4"/>
  <c r="C1106" i="4"/>
  <c r="C495" i="4"/>
  <c r="E1110" i="4"/>
  <c r="L1790" i="4"/>
  <c r="G1875" i="4"/>
  <c r="E708" i="4"/>
  <c r="B1190" i="4"/>
  <c r="L586" i="4"/>
  <c r="F1263" i="4"/>
  <c r="B1501" i="4"/>
  <c r="C1325" i="4"/>
  <c r="M951" i="4"/>
  <c r="M808" i="4"/>
  <c r="M1380" i="4"/>
  <c r="M1456" i="4"/>
  <c r="M1003" i="4"/>
  <c r="M1738" i="4"/>
  <c r="C1295" i="4"/>
  <c r="G1766" i="4"/>
  <c r="G1706" i="4"/>
  <c r="D545" i="4"/>
  <c r="C329" i="4"/>
  <c r="F1540" i="4"/>
  <c r="B381" i="4"/>
  <c r="F1059" i="4"/>
  <c r="F1518" i="4"/>
  <c r="D1847" i="4"/>
  <c r="C139" i="4"/>
  <c r="D1906" i="4"/>
  <c r="F18" i="4"/>
  <c r="B1167" i="4"/>
  <c r="C492" i="4"/>
  <c r="D1634" i="4"/>
  <c r="C1173" i="4"/>
  <c r="K763" i="4"/>
  <c r="I880" i="4"/>
  <c r="G827" i="4"/>
  <c r="B854" i="4"/>
  <c r="C814" i="4"/>
  <c r="D1606" i="4"/>
  <c r="K1285" i="4"/>
  <c r="G1918" i="4"/>
  <c r="M1611" i="4"/>
  <c r="C1053" i="4"/>
  <c r="M1828" i="4"/>
  <c r="M913" i="4"/>
  <c r="L345" i="4"/>
  <c r="B1947" i="4"/>
  <c r="C1882" i="4"/>
  <c r="E1302" i="4"/>
  <c r="G1946" i="4"/>
  <c r="K635" i="4"/>
  <c r="B385" i="4"/>
  <c r="M1580" i="4"/>
  <c r="D1250" i="4"/>
  <c r="F1476" i="4"/>
  <c r="L859" i="4"/>
  <c r="E1517" i="4"/>
  <c r="K388" i="4"/>
  <c r="G1934" i="4"/>
  <c r="B1672" i="4"/>
  <c r="B108" i="4"/>
  <c r="B841" i="4"/>
  <c r="D1134" i="4"/>
  <c r="D1680" i="4"/>
  <c r="F956" i="4"/>
  <c r="F1748" i="4"/>
  <c r="M669" i="4"/>
  <c r="F1838" i="4"/>
  <c r="D822" i="4"/>
  <c r="K1350" i="4"/>
  <c r="M470" i="4"/>
  <c r="L1227" i="4"/>
  <c r="G201" i="4"/>
  <c r="M621" i="4"/>
  <c r="L1342" i="4"/>
  <c r="D482" i="4"/>
  <c r="G1082" i="4"/>
  <c r="K1239" i="4"/>
  <c r="I1211" i="4"/>
  <c r="B275" i="4"/>
  <c r="M890" i="4"/>
  <c r="E263" i="4"/>
  <c r="E256" i="4"/>
  <c r="C361" i="4"/>
  <c r="M733" i="4"/>
  <c r="B1124" i="4"/>
  <c r="K30" i="4"/>
  <c r="L1343" i="4"/>
  <c r="J1747" i="4"/>
  <c r="G1339" i="4"/>
  <c r="D643" i="4"/>
  <c r="F1178" i="4"/>
  <c r="I1950" i="4"/>
  <c r="B956" i="4"/>
  <c r="K170" i="4"/>
  <c r="C118" i="4"/>
  <c r="D1671" i="4"/>
  <c r="F322" i="4"/>
  <c r="M1886" i="4"/>
  <c r="B1038" i="4"/>
  <c r="E709" i="4"/>
  <c r="M788" i="4"/>
  <c r="I1855" i="4"/>
  <c r="M806" i="4"/>
  <c r="K373" i="4"/>
  <c r="G1994" i="4"/>
  <c r="L355" i="4"/>
  <c r="B690" i="4"/>
  <c r="C1024" i="4"/>
  <c r="C1062" i="4"/>
  <c r="J1136" i="4"/>
  <c r="I1742" i="4"/>
  <c r="F455" i="4"/>
  <c r="E1848" i="4"/>
  <c r="D1551" i="4"/>
  <c r="J640" i="4"/>
  <c r="L187" i="4"/>
  <c r="F840" i="4"/>
  <c r="D140" i="4"/>
  <c r="L890" i="4"/>
  <c r="M1694" i="4"/>
  <c r="K1469" i="4"/>
  <c r="E1381" i="4"/>
  <c r="M1286" i="4"/>
  <c r="E1947" i="4"/>
  <c r="D1568" i="4"/>
  <c r="E1295" i="4"/>
  <c r="C1382" i="4"/>
  <c r="C1616" i="4"/>
  <c r="M1625" i="4"/>
  <c r="E1701" i="4"/>
  <c r="D288" i="4"/>
  <c r="F1578" i="4"/>
  <c r="F1139" i="4"/>
  <c r="B439" i="4"/>
  <c r="C827" i="4"/>
  <c r="M1591" i="4"/>
  <c r="M573" i="4"/>
  <c r="B1286" i="4"/>
  <c r="K419" i="4"/>
  <c r="D1131" i="4"/>
  <c r="L1829" i="4"/>
  <c r="K1253" i="4"/>
  <c r="E1553" i="4"/>
  <c r="C1862" i="4"/>
  <c r="K1273" i="4"/>
  <c r="I1445" i="4"/>
  <c r="C806" i="4"/>
  <c r="B1508" i="4"/>
  <c r="G1244" i="4"/>
  <c r="F857" i="4"/>
  <c r="G454" i="4"/>
  <c r="C1955" i="4"/>
  <c r="L832" i="4"/>
  <c r="C1544" i="4"/>
  <c r="B1861" i="4"/>
  <c r="E1497" i="4"/>
  <c r="M802" i="4"/>
  <c r="L1639" i="4"/>
  <c r="J1387" i="4"/>
  <c r="K1357" i="4"/>
  <c r="F743" i="4"/>
  <c r="K1894" i="4"/>
  <c r="I591" i="4"/>
  <c r="G825" i="4"/>
  <c r="G737" i="4"/>
  <c r="M1827" i="4"/>
  <c r="M1841" i="4"/>
  <c r="C1149" i="4"/>
  <c r="L1356" i="4"/>
  <c r="L1136" i="4"/>
  <c r="M1485" i="4"/>
  <c r="C556" i="4"/>
  <c r="G955" i="4"/>
  <c r="M427" i="4"/>
  <c r="D199" i="4"/>
  <c r="B510" i="4"/>
  <c r="B1272" i="4"/>
  <c r="B1885" i="4"/>
  <c r="E437" i="4"/>
  <c r="M960" i="4"/>
  <c r="D1122" i="4"/>
  <c r="B1681" i="4"/>
  <c r="M1682" i="4"/>
  <c r="G781" i="4"/>
  <c r="L1760" i="4"/>
  <c r="K1555" i="4"/>
  <c r="K856" i="4"/>
  <c r="L947" i="4"/>
  <c r="G1418" i="4"/>
  <c r="B1346" i="4"/>
  <c r="L1468" i="4"/>
  <c r="I12" i="4"/>
  <c r="M391" i="4"/>
  <c r="D231" i="4"/>
  <c r="I246" i="4"/>
  <c r="M58" i="4"/>
  <c r="J964" i="4"/>
  <c r="F104" i="4"/>
  <c r="G500" i="4"/>
  <c r="K781" i="4"/>
  <c r="L518" i="4"/>
  <c r="C1586" i="4"/>
  <c r="G1044" i="4"/>
  <c r="K1935" i="4"/>
  <c r="F1794" i="4"/>
  <c r="C1642" i="4"/>
  <c r="B1581" i="4"/>
  <c r="K590" i="4"/>
  <c r="M1678" i="4"/>
  <c r="B1054" i="4"/>
  <c r="G1299" i="4"/>
  <c r="G1866" i="4"/>
  <c r="E182" i="4"/>
  <c r="L1372" i="4"/>
  <c r="C385" i="4"/>
  <c r="B1612" i="4"/>
  <c r="C828" i="4"/>
  <c r="C997" i="4"/>
  <c r="I1667" i="4"/>
  <c r="B647" i="4"/>
  <c r="K66" i="4"/>
  <c r="K729" i="4"/>
  <c r="E1562" i="4"/>
  <c r="B1352" i="4"/>
  <c r="L1437" i="4"/>
  <c r="D1682" i="4"/>
  <c r="E16" i="4"/>
  <c r="D1834" i="4"/>
  <c r="D1717" i="4"/>
  <c r="B1554" i="4"/>
  <c r="L536" i="4"/>
  <c r="K893" i="4"/>
  <c r="C944" i="4"/>
  <c r="I948" i="4"/>
  <c r="D774" i="4"/>
  <c r="E1199" i="4"/>
  <c r="F1992" i="4"/>
  <c r="C992" i="4"/>
  <c r="C1189" i="4"/>
  <c r="D279" i="4"/>
  <c r="B1826" i="4"/>
  <c r="L1386" i="4"/>
  <c r="E1860" i="4"/>
  <c r="K833" i="4"/>
  <c r="B739" i="4"/>
  <c r="K678" i="4"/>
  <c r="I1186" i="4"/>
  <c r="F915" i="4"/>
  <c r="D1424" i="4"/>
  <c r="M1925" i="4"/>
  <c r="E1395" i="4"/>
  <c r="K1715" i="4"/>
  <c r="B855" i="4"/>
  <c r="K1930" i="4"/>
  <c r="K1901" i="4"/>
  <c r="J1501" i="4"/>
  <c r="D1532" i="4"/>
  <c r="F1286" i="4"/>
  <c r="F2006" i="4"/>
  <c r="G1774" i="4"/>
  <c r="E1513" i="4"/>
  <c r="J1518" i="4"/>
  <c r="M1091" i="4"/>
  <c r="C996" i="4"/>
  <c r="L1184" i="4"/>
  <c r="G301" i="4"/>
  <c r="F401" i="4"/>
  <c r="D986" i="4"/>
  <c r="E1716" i="4"/>
  <c r="D1740" i="4"/>
  <c r="D1706" i="4"/>
  <c r="E714" i="4"/>
  <c r="B9" i="4"/>
  <c r="C1901" i="4"/>
  <c r="J1507" i="4"/>
  <c r="F221" i="4"/>
  <c r="E990" i="4"/>
  <c r="E366" i="4"/>
  <c r="D999" i="4"/>
  <c r="K1960" i="4"/>
  <c r="B416" i="4"/>
  <c r="K1641" i="4"/>
  <c r="C1837" i="4"/>
  <c r="K2" i="4"/>
  <c r="E1117" i="4"/>
  <c r="I1107" i="4"/>
  <c r="E1104" i="4"/>
  <c r="E589" i="4"/>
  <c r="L1315" i="4"/>
  <c r="E1111" i="4"/>
  <c r="K1084" i="4"/>
  <c r="L1250" i="4"/>
  <c r="L1152" i="4"/>
  <c r="C1254" i="4"/>
  <c r="K1106" i="4"/>
  <c r="E576" i="4"/>
  <c r="M1377" i="4"/>
  <c r="C1575" i="4"/>
  <c r="G1518" i="4"/>
  <c r="L1700" i="4"/>
  <c r="G499" i="4"/>
  <c r="L455" i="4"/>
  <c r="B1863" i="4"/>
  <c r="E1767" i="4"/>
  <c r="B1255" i="4"/>
  <c r="D1151" i="4"/>
  <c r="D1484" i="4"/>
  <c r="B1587" i="4"/>
  <c r="L3" i="4"/>
  <c r="D1215" i="4"/>
  <c r="D1552" i="4"/>
  <c r="E565" i="4"/>
  <c r="K721" i="4"/>
  <c r="G1767" i="4"/>
  <c r="D1865" i="4"/>
  <c r="L1322" i="4"/>
  <c r="L1050" i="4"/>
  <c r="J1631" i="4"/>
  <c r="K1783" i="4"/>
  <c r="D2011" i="4"/>
  <c r="C579" i="4"/>
  <c r="L674" i="4"/>
  <c r="C1936" i="4"/>
  <c r="E1930" i="4"/>
  <c r="K1637" i="4"/>
  <c r="E1399" i="4"/>
  <c r="D570" i="4"/>
  <c r="G780" i="4"/>
  <c r="I538" i="4"/>
  <c r="E1406" i="4"/>
  <c r="E1532" i="4"/>
  <c r="E1167" i="4"/>
  <c r="E733" i="4"/>
  <c r="F604" i="4"/>
  <c r="L432" i="4"/>
  <c r="B1100" i="4"/>
  <c r="D891" i="4"/>
  <c r="J1367" i="4"/>
  <c r="G1393" i="4"/>
  <c r="I1419" i="4"/>
  <c r="L556" i="4"/>
  <c r="G585" i="4"/>
  <c r="F1469" i="4"/>
  <c r="B1591" i="4"/>
  <c r="G1461" i="4"/>
  <c r="K876" i="4"/>
  <c r="C1940" i="4"/>
  <c r="M757" i="4"/>
  <c r="L730" i="4"/>
  <c r="G1086" i="4"/>
  <c r="C1107" i="4"/>
  <c r="G662" i="4"/>
  <c r="J314" i="4"/>
  <c r="K912" i="4"/>
  <c r="D787" i="4"/>
  <c r="L1548" i="4"/>
  <c r="E664" i="4"/>
  <c r="G1438" i="4"/>
  <c r="E992" i="4"/>
  <c r="M736" i="4"/>
  <c r="E1130" i="4"/>
  <c r="F1680" i="4"/>
  <c r="M758" i="4"/>
  <c r="F1325" i="4"/>
  <c r="K868" i="4"/>
  <c r="G131" i="4"/>
  <c r="L1108" i="4"/>
  <c r="J594" i="4"/>
  <c r="B358" i="4"/>
  <c r="L1160" i="4"/>
  <c r="F725" i="4"/>
  <c r="F1938" i="4"/>
  <c r="G4" i="4"/>
  <c r="M1750" i="4"/>
  <c r="G1655" i="4"/>
  <c r="E1502" i="4"/>
  <c r="D1548" i="4"/>
  <c r="C1784" i="4"/>
  <c r="D957" i="4"/>
  <c r="F1531" i="4"/>
  <c r="M659" i="4"/>
  <c r="C1226" i="4"/>
  <c r="B1369" i="4"/>
  <c r="B1288" i="4"/>
  <c r="B699" i="4"/>
  <c r="B1027" i="4"/>
  <c r="C547" i="4"/>
  <c r="F1004" i="4"/>
  <c r="G1732" i="4"/>
  <c r="I1779" i="4"/>
  <c r="B1491" i="4"/>
  <c r="M588" i="4"/>
  <c r="I20" i="4"/>
  <c r="C1156" i="4"/>
  <c r="L1754" i="4"/>
  <c r="K1150" i="4"/>
  <c r="B687" i="4"/>
  <c r="K1296" i="4"/>
  <c r="G1434" i="4"/>
  <c r="L1225" i="4"/>
  <c r="G247" i="4"/>
  <c r="L1224" i="4"/>
  <c r="L1542" i="4"/>
  <c r="L760" i="4"/>
  <c r="F226" i="4"/>
  <c r="G1649" i="4"/>
  <c r="E815" i="4"/>
  <c r="F1220" i="4"/>
  <c r="L197" i="4"/>
  <c r="K804" i="4"/>
  <c r="M1257" i="4"/>
  <c r="L1321" i="4"/>
  <c r="K1911" i="4"/>
  <c r="G1790" i="4"/>
  <c r="C1999" i="4"/>
  <c r="D121" i="4"/>
  <c r="E1006" i="4"/>
  <c r="D1704" i="4"/>
  <c r="C1086" i="4"/>
  <c r="F1878" i="4"/>
  <c r="I1869" i="4"/>
  <c r="M216" i="4"/>
  <c r="K1453" i="4"/>
  <c r="E1918" i="4"/>
  <c r="B1228" i="4"/>
  <c r="K1295" i="4"/>
  <c r="E1981" i="4"/>
  <c r="F1042" i="4"/>
  <c r="B771" i="4"/>
  <c r="G1099" i="4"/>
  <c r="M1190" i="4"/>
  <c r="G1789" i="4"/>
  <c r="I1130" i="4"/>
  <c r="D273" i="4"/>
  <c r="C1668" i="4"/>
  <c r="L1190" i="4"/>
  <c r="J632" i="4"/>
  <c r="J777" i="4"/>
  <c r="J1906" i="4"/>
  <c r="L1441" i="4"/>
  <c r="C1829" i="4"/>
  <c r="J606" i="4"/>
  <c r="K209" i="4"/>
  <c r="B1108" i="4"/>
  <c r="E328" i="4"/>
  <c r="L1214" i="4"/>
  <c r="L216" i="4"/>
  <c r="J1299" i="4"/>
  <c r="E198" i="4"/>
  <c r="M379" i="4"/>
  <c r="L81" i="4"/>
  <c r="M22" i="4"/>
  <c r="G525" i="4"/>
  <c r="B626" i="4"/>
  <c r="I979" i="4"/>
  <c r="I1505" i="4"/>
  <c r="D602" i="4"/>
  <c r="B974" i="4"/>
  <c r="G342" i="4"/>
  <c r="F116" i="4"/>
  <c r="K1563" i="4"/>
  <c r="M1979" i="4"/>
  <c r="C408" i="4"/>
  <c r="J787" i="4"/>
  <c r="J902" i="4"/>
  <c r="B1847" i="4"/>
  <c r="M1793" i="4"/>
  <c r="I492" i="4"/>
  <c r="M482" i="4"/>
  <c r="K1821" i="4"/>
  <c r="L1920" i="4"/>
  <c r="B180" i="4"/>
  <c r="M132" i="4"/>
  <c r="F1829" i="4"/>
  <c r="F476" i="4"/>
  <c r="J405" i="4"/>
  <c r="M138" i="4"/>
  <c r="B29" i="4"/>
  <c r="J1578" i="4"/>
  <c r="F1442" i="4"/>
  <c r="J1323" i="4"/>
  <c r="I926" i="4"/>
  <c r="G1824" i="4"/>
  <c r="K235" i="4"/>
  <c r="I1204" i="4"/>
  <c r="M1349" i="4"/>
  <c r="D82" i="4"/>
  <c r="K70" i="4"/>
  <c r="L1667" i="4"/>
  <c r="E223" i="4"/>
  <c r="C291" i="4"/>
  <c r="J1369" i="4"/>
  <c r="J358" i="4"/>
  <c r="K600" i="4"/>
  <c r="M124" i="4"/>
  <c r="I1360" i="4"/>
  <c r="J674" i="4"/>
  <c r="C854" i="4"/>
  <c r="I972" i="4"/>
  <c r="G319" i="4"/>
  <c r="D528" i="4"/>
  <c r="D561" i="4"/>
  <c r="L94" i="4"/>
  <c r="F688" i="4"/>
  <c r="G409" i="4"/>
  <c r="M1564" i="4"/>
  <c r="J661" i="4"/>
  <c r="K1005" i="4"/>
  <c r="I1176" i="4"/>
  <c r="L1363" i="4"/>
  <c r="I831" i="4"/>
  <c r="J811" i="4"/>
  <c r="C1163" i="4"/>
  <c r="G1806" i="4"/>
  <c r="D238" i="4"/>
  <c r="J597" i="4"/>
  <c r="M1652" i="4"/>
  <c r="G762" i="4"/>
  <c r="F392" i="4"/>
  <c r="I1900" i="4"/>
  <c r="I1921" i="4"/>
  <c r="E396" i="4"/>
  <c r="F288" i="4"/>
  <c r="L728" i="4"/>
  <c r="E1249" i="4"/>
  <c r="K980" i="4"/>
  <c r="D1509" i="4"/>
  <c r="B848" i="4"/>
  <c r="K1492" i="4"/>
  <c r="C1645" i="4"/>
  <c r="M1820" i="4"/>
  <c r="M1167" i="4"/>
  <c r="F861" i="4"/>
  <c r="F1219" i="4"/>
  <c r="J1785" i="4"/>
  <c r="M617" i="4"/>
  <c r="M1278" i="4"/>
  <c r="B1864" i="4"/>
  <c r="M1251" i="4"/>
  <c r="B4" i="4"/>
  <c r="K294" i="4"/>
  <c r="M1146" i="4"/>
  <c r="J109" i="4"/>
  <c r="F1297" i="4"/>
  <c r="K1855" i="4"/>
  <c r="B778" i="4"/>
  <c r="E1712" i="4"/>
  <c r="E1893" i="4"/>
  <c r="K666" i="4"/>
  <c r="M1244" i="4"/>
  <c r="K448" i="4"/>
  <c r="I1794" i="4"/>
  <c r="M912" i="4"/>
  <c r="D367" i="4"/>
  <c r="J1016" i="4"/>
  <c r="J861" i="4"/>
  <c r="L53" i="4"/>
  <c r="C688" i="4"/>
  <c r="K1685" i="4"/>
  <c r="K688" i="4"/>
  <c r="B1432" i="4"/>
  <c r="E289" i="4"/>
  <c r="J589" i="4"/>
  <c r="M331" i="4"/>
  <c r="C336" i="4"/>
  <c r="J1002" i="4"/>
  <c r="J1986" i="4"/>
  <c r="I1493" i="4"/>
  <c r="I237" i="4"/>
  <c r="L1420" i="4"/>
  <c r="G1010" i="4"/>
  <c r="J1020" i="4"/>
  <c r="L1962" i="4"/>
  <c r="J507" i="4"/>
  <c r="E1200" i="4"/>
  <c r="J523" i="4"/>
  <c r="K317" i="4"/>
  <c r="F234" i="4"/>
  <c r="B39" i="4"/>
  <c r="I1022" i="4"/>
  <c r="K10" i="4"/>
  <c r="F617" i="4"/>
  <c r="C756" i="4"/>
  <c r="D487" i="4"/>
  <c r="E119" i="4"/>
  <c r="J959" i="4"/>
  <c r="L740" i="4"/>
  <c r="E121" i="4"/>
  <c r="C1168" i="4"/>
  <c r="M1549" i="4"/>
  <c r="K1829" i="4"/>
  <c r="E354" i="4"/>
  <c r="L164" i="4"/>
  <c r="K415" i="4"/>
  <c r="C2009" i="4"/>
  <c r="M369" i="4"/>
  <c r="G1108" i="4"/>
  <c r="M441" i="4"/>
  <c r="C1889" i="4"/>
  <c r="B287" i="4"/>
  <c r="D1502" i="4"/>
  <c r="F1310" i="4"/>
  <c r="L524" i="4"/>
  <c r="K1656" i="4"/>
  <c r="G649" i="4"/>
  <c r="B508" i="4"/>
  <c r="C830" i="4"/>
  <c r="I662" i="4"/>
  <c r="I543" i="4"/>
  <c r="J560" i="4"/>
  <c r="I1898" i="4"/>
  <c r="B697" i="4"/>
  <c r="E1933" i="4"/>
  <c r="I1382" i="4"/>
  <c r="C1251" i="4"/>
  <c r="D1692" i="4"/>
  <c r="K1686" i="4"/>
  <c r="J593" i="4"/>
  <c r="F1979" i="4"/>
  <c r="M1232" i="4"/>
  <c r="J1651" i="4"/>
  <c r="F214" i="4"/>
  <c r="J1500" i="4"/>
  <c r="D143" i="4"/>
  <c r="I357" i="4"/>
  <c r="F240" i="4"/>
  <c r="D464" i="4"/>
  <c r="I1125" i="4"/>
  <c r="G566" i="4"/>
  <c r="C1253" i="4"/>
  <c r="G98" i="4"/>
  <c r="I1544" i="4"/>
  <c r="J172" i="4"/>
  <c r="J1662" i="4"/>
  <c r="J529" i="4"/>
  <c r="M1558" i="4"/>
  <c r="G1217" i="4"/>
  <c r="C1338" i="4"/>
  <c r="F448" i="4"/>
  <c r="B1362" i="4"/>
  <c r="G165" i="4"/>
  <c r="J610" i="4"/>
  <c r="B529" i="4"/>
  <c r="I641" i="4"/>
  <c r="C1839" i="4"/>
  <c r="E1916" i="4"/>
  <c r="C96" i="4"/>
  <c r="I1859" i="4"/>
  <c r="G1325" i="4"/>
  <c r="L198" i="4"/>
  <c r="C1339" i="4"/>
  <c r="F1243" i="4"/>
  <c r="D368" i="4"/>
  <c r="F57" i="4"/>
  <c r="E646" i="4"/>
  <c r="F942" i="4"/>
  <c r="L282" i="4"/>
  <c r="G1640" i="4"/>
  <c r="E1232" i="4"/>
  <c r="L618" i="4"/>
  <c r="D1757" i="4"/>
  <c r="B1440" i="4"/>
  <c r="B1737" i="4"/>
  <c r="C973" i="4"/>
  <c r="L1899" i="4"/>
  <c r="C952" i="4"/>
  <c r="M1749" i="4"/>
  <c r="K1700" i="4"/>
  <c r="M1172" i="4"/>
  <c r="K1022" i="4"/>
  <c r="K1495" i="4"/>
  <c r="M550" i="4"/>
  <c r="J43" i="4"/>
  <c r="J1553" i="4"/>
  <c r="M494" i="4"/>
  <c r="D105" i="4"/>
  <c r="C825" i="4"/>
  <c r="K358" i="4"/>
  <c r="E1797" i="4"/>
  <c r="E1552" i="4"/>
  <c r="L1379" i="4"/>
  <c r="D1054" i="4"/>
  <c r="L736" i="4"/>
  <c r="D597" i="4"/>
  <c r="J1528" i="4"/>
  <c r="C1329" i="4"/>
  <c r="D981" i="4"/>
  <c r="M724" i="4"/>
  <c r="D162" i="4"/>
  <c r="D1641" i="4"/>
  <c r="E1324" i="4"/>
  <c r="F902" i="4"/>
  <c r="D1435" i="4"/>
  <c r="C929" i="4"/>
  <c r="L1566" i="4"/>
  <c r="G1964" i="4"/>
  <c r="F637" i="4"/>
  <c r="K1112" i="4"/>
  <c r="M1942" i="4"/>
  <c r="F1657" i="4"/>
  <c r="L446" i="4"/>
  <c r="D1095" i="4"/>
  <c r="E1849" i="4"/>
  <c r="G233" i="4"/>
  <c r="L487" i="4"/>
  <c r="B1450" i="4"/>
  <c r="L358" i="4"/>
  <c r="M1153" i="4"/>
  <c r="F978" i="4"/>
  <c r="D1311" i="4"/>
  <c r="J557" i="4"/>
  <c r="C143" i="4"/>
  <c r="D1297" i="4"/>
  <c r="F1846" i="4"/>
  <c r="C1298" i="4"/>
  <c r="E238" i="4"/>
  <c r="J965" i="4"/>
  <c r="C1202" i="4"/>
  <c r="B185" i="4"/>
  <c r="K1407" i="4"/>
  <c r="E222" i="4"/>
  <c r="F1152" i="4"/>
  <c r="J583" i="4"/>
  <c r="L1491" i="4"/>
  <c r="C988" i="4"/>
  <c r="E689" i="4"/>
  <c r="C1700" i="4"/>
  <c r="E1020" i="4"/>
  <c r="C214" i="4"/>
  <c r="B916" i="4"/>
  <c r="J898" i="4"/>
  <c r="E329" i="4"/>
  <c r="K707" i="4"/>
  <c r="J984" i="4"/>
  <c r="K101" i="4"/>
  <c r="B1319" i="4"/>
  <c r="K764" i="4"/>
  <c r="E1278" i="4"/>
  <c r="B711" i="4"/>
  <c r="C636" i="4"/>
  <c r="C771" i="4"/>
  <c r="M1431" i="4"/>
  <c r="K1338" i="4"/>
  <c r="E430" i="4"/>
  <c r="L145" i="4"/>
  <c r="E1272" i="4"/>
  <c r="L1615" i="4"/>
  <c r="M1371" i="4"/>
  <c r="F1853" i="4"/>
  <c r="M1270" i="4"/>
  <c r="F453" i="4"/>
  <c r="D200" i="4"/>
  <c r="F1316" i="4"/>
  <c r="B437" i="4"/>
  <c r="F1175" i="4"/>
  <c r="C959" i="4"/>
  <c r="G198" i="4"/>
  <c r="B511" i="4"/>
  <c r="B1001" i="4"/>
  <c r="K238" i="4"/>
  <c r="K1907" i="4"/>
  <c r="D282" i="4"/>
  <c r="F1088" i="4"/>
  <c r="G1558" i="4"/>
  <c r="E401" i="4"/>
  <c r="D1498" i="4"/>
  <c r="E1762" i="4"/>
  <c r="B1043" i="4"/>
  <c r="E1625" i="4"/>
  <c r="F1330" i="4"/>
  <c r="M589" i="4"/>
  <c r="G1455" i="4"/>
  <c r="J517" i="4"/>
  <c r="E1570" i="4"/>
  <c r="L1404" i="4"/>
  <c r="L600" i="4"/>
  <c r="G988" i="4"/>
  <c r="D439" i="4"/>
  <c r="F1329" i="4"/>
  <c r="M1581" i="4"/>
  <c r="K1687" i="4"/>
  <c r="G373" i="4"/>
  <c r="F1647" i="4"/>
  <c r="D1594" i="4"/>
  <c r="I1112" i="4"/>
  <c r="I1867" i="4"/>
  <c r="K13" i="4"/>
  <c r="B1315" i="4"/>
  <c r="L87" i="4"/>
  <c r="L1145" i="4"/>
  <c r="D1540" i="4"/>
  <c r="C894" i="4"/>
  <c r="G530" i="4"/>
  <c r="G1805" i="4"/>
  <c r="K1749" i="4"/>
  <c r="M564" i="4"/>
  <c r="K623" i="4"/>
  <c r="D708" i="4"/>
  <c r="D1431" i="4"/>
  <c r="B254" i="4"/>
  <c r="E1108" i="4"/>
  <c r="K253" i="4"/>
  <c r="E1431" i="4"/>
  <c r="C660" i="4"/>
  <c r="K1463" i="4"/>
  <c r="E19" i="4"/>
  <c r="F1009" i="4"/>
  <c r="M105" i="4"/>
  <c r="J1320" i="4"/>
  <c r="M644" i="4"/>
  <c r="C217" i="4"/>
  <c r="M1057" i="4"/>
  <c r="E1666" i="4"/>
  <c r="J1878" i="4"/>
  <c r="G1162" i="4"/>
  <c r="J623" i="4"/>
  <c r="G96" i="4"/>
  <c r="G1435" i="4"/>
  <c r="M486" i="4"/>
  <c r="F742" i="4"/>
  <c r="B1120" i="4"/>
  <c r="K321" i="4"/>
  <c r="F1064" i="4"/>
  <c r="B744" i="4"/>
  <c r="J347" i="4"/>
  <c r="J997" i="4"/>
  <c r="G27" i="4"/>
  <c r="B78" i="4"/>
  <c r="B235" i="4"/>
  <c r="G219" i="4"/>
  <c r="B1855" i="4"/>
  <c r="D204" i="4"/>
  <c r="B1389" i="4"/>
  <c r="G1234" i="4"/>
  <c r="K1830" i="4"/>
  <c r="E209" i="4"/>
  <c r="I1174" i="4"/>
  <c r="D1085" i="4"/>
  <c r="I502" i="4"/>
  <c r="D1270" i="4"/>
  <c r="C738" i="4"/>
  <c r="B1060" i="4"/>
  <c r="G264" i="4"/>
  <c r="D537" i="4"/>
  <c r="G214" i="4"/>
  <c r="M223" i="4"/>
  <c r="C99" i="4"/>
  <c r="F856" i="4"/>
  <c r="G265" i="4"/>
  <c r="K1669" i="4"/>
  <c r="F1534" i="4"/>
  <c r="C510" i="4"/>
  <c r="J121" i="4"/>
  <c r="G1547" i="4"/>
  <c r="B208" i="4"/>
  <c r="C846" i="4"/>
  <c r="I1770" i="4"/>
  <c r="D610" i="4"/>
  <c r="G1061" i="4"/>
  <c r="J736" i="4"/>
  <c r="K556" i="4"/>
  <c r="B532" i="4"/>
  <c r="F1465" i="4"/>
  <c r="G1233" i="4"/>
  <c r="L151" i="4"/>
  <c r="F1676" i="4"/>
  <c r="D758" i="4"/>
  <c r="M1295" i="4"/>
  <c r="C1446" i="4"/>
  <c r="L1269" i="4"/>
  <c r="E1622" i="4"/>
  <c r="G127" i="4"/>
  <c r="L1018" i="4"/>
  <c r="M8" i="4"/>
  <c r="C1926" i="4"/>
  <c r="L895" i="4"/>
  <c r="G570" i="4"/>
  <c r="B1819" i="4"/>
  <c r="L686" i="4"/>
  <c r="G253" i="4"/>
  <c r="J467" i="4"/>
  <c r="C168" i="4"/>
  <c r="C706" i="4"/>
  <c r="G621" i="4"/>
  <c r="B678" i="4"/>
  <c r="E14" i="4"/>
  <c r="E357" i="4"/>
  <c r="M121" i="4"/>
  <c r="C505" i="4"/>
  <c r="J1084" i="4"/>
  <c r="C891" i="4"/>
  <c r="M585" i="4"/>
  <c r="C1188" i="4"/>
  <c r="B1596" i="4"/>
  <c r="C20" i="4"/>
  <c r="J1709" i="4"/>
  <c r="D1333" i="4"/>
  <c r="L68" i="4"/>
  <c r="D630" i="4"/>
  <c r="M682" i="4"/>
  <c r="B1704" i="4"/>
  <c r="M378" i="4"/>
  <c r="M1861" i="4"/>
  <c r="F529" i="4"/>
  <c r="B597" i="4"/>
  <c r="G57" i="4"/>
  <c r="G69" i="4"/>
  <c r="K1423" i="4"/>
  <c r="E658" i="4"/>
  <c r="G745" i="4"/>
  <c r="M1307" i="4"/>
  <c r="F579" i="4"/>
  <c r="D434" i="4"/>
  <c r="G353" i="4"/>
  <c r="F1556" i="4"/>
  <c r="M997" i="4"/>
  <c r="K1080" i="4"/>
  <c r="K1592" i="4"/>
  <c r="F364" i="4"/>
  <c r="D848" i="4"/>
  <c r="J1900" i="4"/>
  <c r="C659" i="4"/>
  <c r="D1056" i="4"/>
  <c r="D1903" i="4"/>
  <c r="I1775" i="4"/>
  <c r="L1025" i="4"/>
  <c r="M1867" i="4"/>
  <c r="F1291" i="4"/>
  <c r="D1562" i="4"/>
  <c r="C658" i="4"/>
  <c r="E744" i="4"/>
  <c r="B1119" i="4"/>
  <c r="J1697" i="4"/>
  <c r="C1132" i="4"/>
  <c r="G283" i="4"/>
  <c r="L1337" i="4"/>
  <c r="E1313" i="4"/>
  <c r="C106" i="4"/>
  <c r="B859" i="4"/>
  <c r="D1620" i="4"/>
  <c r="E560" i="4"/>
  <c r="J727" i="4"/>
  <c r="L896" i="4"/>
  <c r="E1926" i="4"/>
  <c r="F289" i="4"/>
  <c r="F1036" i="4"/>
  <c r="M83" i="4"/>
  <c r="K1604" i="4"/>
  <c r="M691" i="4"/>
  <c r="M481" i="4"/>
  <c r="C1335" i="4"/>
  <c r="C1476" i="4"/>
  <c r="F600" i="4"/>
  <c r="K417" i="4"/>
  <c r="K1252" i="4"/>
  <c r="E918" i="4"/>
  <c r="I943" i="4"/>
  <c r="E506" i="4"/>
  <c r="C1172" i="4"/>
  <c r="L109" i="4"/>
  <c r="B683" i="4"/>
  <c r="J1931" i="4"/>
  <c r="D1609" i="4"/>
  <c r="K1718" i="4"/>
  <c r="F1054" i="4"/>
  <c r="F640" i="4"/>
  <c r="F196" i="4"/>
  <c r="G1348" i="4"/>
  <c r="E1939" i="4"/>
  <c r="M1249" i="4"/>
  <c r="B990" i="4"/>
  <c r="F593" i="4"/>
  <c r="F568" i="4"/>
  <c r="I1271" i="4"/>
  <c r="M1293" i="4"/>
  <c r="M501" i="4"/>
  <c r="B174" i="4"/>
  <c r="E546" i="4"/>
  <c r="L1431" i="4"/>
  <c r="D112" i="4"/>
  <c r="I1152" i="4"/>
  <c r="M853" i="4"/>
  <c r="K982" i="4"/>
  <c r="C1614" i="4"/>
  <c r="J588" i="4"/>
  <c r="B1077" i="4"/>
  <c r="M993" i="4"/>
  <c r="I1161" i="4"/>
  <c r="K245" i="4"/>
  <c r="C1831" i="4"/>
  <c r="G1472" i="4"/>
  <c r="J1413" i="4"/>
  <c r="B1881" i="4"/>
  <c r="M957" i="4"/>
  <c r="D915" i="4"/>
  <c r="D780" i="4"/>
  <c r="M1864" i="4"/>
  <c r="C48" i="4"/>
  <c r="M1454" i="4"/>
  <c r="L1362" i="4"/>
  <c r="L1204" i="4"/>
  <c r="K468" i="4"/>
  <c r="K425" i="4"/>
  <c r="G1441" i="4"/>
  <c r="L2005" i="4"/>
  <c r="E1336" i="4"/>
  <c r="F687" i="4"/>
  <c r="G1827" i="4"/>
  <c r="I1404" i="4"/>
  <c r="B153" i="4"/>
  <c r="G847" i="4"/>
  <c r="D365" i="4"/>
  <c r="I688" i="4"/>
  <c r="K1096" i="4"/>
  <c r="E659" i="4"/>
  <c r="J1579" i="4"/>
  <c r="I851" i="4"/>
  <c r="J1244" i="4"/>
  <c r="F878" i="4"/>
  <c r="C582" i="4"/>
  <c r="F129" i="4"/>
  <c r="M1737" i="4"/>
  <c r="G1388" i="4"/>
  <c r="G765" i="4"/>
  <c r="M881" i="4"/>
  <c r="G1639" i="4"/>
  <c r="F433" i="4"/>
  <c r="F1239" i="4"/>
  <c r="M95" i="4"/>
  <c r="I1629" i="4"/>
  <c r="M1039" i="4"/>
  <c r="G531" i="4"/>
  <c r="G795" i="4"/>
  <c r="K1534" i="4"/>
  <c r="G1204" i="4"/>
  <c r="K1605" i="4"/>
  <c r="E919" i="4"/>
  <c r="D1246" i="4"/>
  <c r="J1801" i="4"/>
  <c r="K426" i="4"/>
  <c r="L613" i="4"/>
  <c r="E106" i="4"/>
  <c r="B1184" i="4"/>
  <c r="B1423" i="4"/>
  <c r="C1747" i="4"/>
  <c r="F1099" i="4"/>
  <c r="D1892" i="4"/>
  <c r="F846" i="4"/>
  <c r="B1817" i="4"/>
  <c r="C1479" i="4"/>
  <c r="F1100" i="4"/>
  <c r="F1519" i="4"/>
  <c r="B1938" i="4"/>
  <c r="I1354" i="4"/>
  <c r="G1771" i="4"/>
  <c r="M630" i="4"/>
  <c r="D839" i="4"/>
  <c r="F1718" i="4"/>
  <c r="E500" i="4"/>
  <c r="M1679" i="4"/>
  <c r="L1037" i="4"/>
  <c r="M340" i="4"/>
  <c r="J634" i="4"/>
  <c r="B1547" i="4"/>
  <c r="D1398" i="4"/>
  <c r="I595" i="4"/>
  <c r="M1840" i="4"/>
  <c r="M1420" i="4"/>
  <c r="M1385" i="4"/>
  <c r="E1481" i="4"/>
  <c r="C989" i="4"/>
  <c r="B1442" i="4"/>
  <c r="B75" i="4"/>
  <c r="K267" i="4"/>
  <c r="I1581" i="4"/>
  <c r="G1521" i="4"/>
  <c r="E855" i="4"/>
  <c r="M1512" i="4"/>
  <c r="F1367" i="4"/>
  <c r="D1870" i="4"/>
  <c r="D1687" i="4"/>
  <c r="B524" i="4"/>
  <c r="F1927" i="4"/>
  <c r="B1276" i="4"/>
  <c r="B1656" i="4"/>
  <c r="D1617" i="4"/>
  <c r="J36" i="4"/>
  <c r="M955" i="4"/>
  <c r="L569" i="4"/>
  <c r="D1696" i="4"/>
  <c r="L250" i="4"/>
  <c r="C1776" i="4"/>
  <c r="B1429" i="4"/>
  <c r="M838" i="4"/>
  <c r="E1919" i="4"/>
  <c r="G1197" i="4"/>
  <c r="D1656" i="4"/>
  <c r="K2004" i="4"/>
  <c r="B1818" i="4"/>
  <c r="D958" i="4"/>
  <c r="E1944" i="4"/>
  <c r="M282" i="4"/>
  <c r="K429" i="4"/>
  <c r="F1989" i="4"/>
  <c r="D1337" i="4"/>
  <c r="C1991" i="4"/>
  <c r="G1215" i="4"/>
  <c r="C595" i="4"/>
  <c r="M1839" i="4"/>
  <c r="K1707" i="4"/>
  <c r="M1920" i="4"/>
  <c r="K1180" i="4"/>
  <c r="C1228" i="4"/>
  <c r="B1079" i="4"/>
  <c r="J27" i="4"/>
  <c r="I1777" i="4"/>
  <c r="C1617" i="4"/>
  <c r="E1852" i="4"/>
  <c r="G1617" i="4"/>
  <c r="G1446" i="4"/>
  <c r="M1534" i="4"/>
  <c r="K1875" i="4"/>
  <c r="E1345" i="4"/>
  <c r="B879" i="4"/>
  <c r="J1847" i="4"/>
  <c r="F270" i="4"/>
  <c r="E1842" i="4"/>
  <c r="D1580" i="4"/>
  <c r="K475" i="4"/>
  <c r="D1766" i="4"/>
  <c r="K907" i="4"/>
  <c r="L278" i="4"/>
  <c r="E980" i="4"/>
  <c r="E1780" i="4"/>
  <c r="C1043" i="4"/>
  <c r="L1583" i="4"/>
  <c r="C1083" i="4"/>
  <c r="B1326" i="4"/>
  <c r="D417" i="4"/>
  <c r="C1998" i="4"/>
  <c r="C74" i="4"/>
  <c r="G475" i="4"/>
  <c r="M1978" i="4"/>
  <c r="B1105" i="4"/>
  <c r="F1958" i="4"/>
  <c r="M860" i="4"/>
  <c r="C1631" i="4"/>
  <c r="K1416" i="4"/>
  <c r="E1223" i="4"/>
  <c r="L997" i="4"/>
  <c r="B877" i="4"/>
  <c r="L1239" i="4"/>
  <c r="C1624" i="4"/>
  <c r="I1767" i="4"/>
  <c r="D1447" i="4"/>
  <c r="I221" i="4"/>
  <c r="C1423" i="4"/>
  <c r="J1301" i="4"/>
  <c r="C349" i="4"/>
  <c r="F412" i="4"/>
  <c r="E1156" i="4"/>
  <c r="J1113" i="4"/>
  <c r="K1965" i="4"/>
  <c r="E95" i="4"/>
  <c r="K1448" i="4"/>
  <c r="F388" i="4"/>
  <c r="C1903" i="4"/>
  <c r="J1732" i="4"/>
  <c r="L1808" i="4"/>
  <c r="E1283" i="4"/>
  <c r="D385" i="4"/>
  <c r="B751" i="4"/>
  <c r="L1293" i="4"/>
  <c r="E150" i="4"/>
  <c r="I1965" i="4"/>
  <c r="D1600" i="4"/>
  <c r="L1522" i="4"/>
  <c r="J1041" i="4"/>
  <c r="E1757" i="4"/>
  <c r="L116" i="4"/>
  <c r="I314" i="4"/>
  <c r="G180" i="4"/>
  <c r="E787" i="4"/>
  <c r="J1458" i="4"/>
  <c r="D206" i="4"/>
  <c r="L1856" i="4"/>
  <c r="I1952" i="4"/>
  <c r="M1578" i="4"/>
  <c r="I298" i="4"/>
  <c r="J1377" i="4"/>
  <c r="B1511" i="4"/>
  <c r="I656" i="4"/>
  <c r="M249" i="4"/>
  <c r="G851" i="4"/>
  <c r="F843" i="4"/>
  <c r="J1364" i="4"/>
  <c r="B1090" i="4"/>
  <c r="E490" i="4"/>
  <c r="G1544" i="4"/>
  <c r="L635" i="4"/>
  <c r="L1706" i="4"/>
  <c r="K1007" i="4"/>
  <c r="F612" i="4"/>
  <c r="F1843" i="4"/>
  <c r="K327" i="4"/>
  <c r="F573" i="4"/>
  <c r="G686" i="4"/>
  <c r="G924" i="4"/>
  <c r="K1757" i="4"/>
  <c r="B1977" i="4"/>
  <c r="B1801" i="4"/>
  <c r="C1244" i="4"/>
  <c r="F1141" i="4"/>
  <c r="C1011" i="4"/>
  <c r="D1396" i="4"/>
  <c r="J988" i="4"/>
  <c r="J103" i="4"/>
  <c r="L713" i="4"/>
  <c r="C868" i="4"/>
  <c r="L462" i="4"/>
  <c r="L1251" i="4"/>
  <c r="C1821" i="4"/>
  <c r="J915" i="4"/>
  <c r="M1837" i="4"/>
  <c r="K451" i="4"/>
  <c r="D683" i="4"/>
  <c r="G694" i="4"/>
  <c r="M1136" i="4"/>
  <c r="D1201" i="4"/>
  <c r="C1387" i="4"/>
  <c r="E2000" i="4"/>
  <c r="B602" i="4"/>
  <c r="K1019" i="4"/>
  <c r="L891" i="4"/>
  <c r="C120" i="4"/>
  <c r="K1993" i="4"/>
  <c r="M374" i="4"/>
  <c r="G504" i="4"/>
  <c r="L749" i="4"/>
  <c r="B1433" i="4"/>
  <c r="C487" i="4"/>
  <c r="L205" i="4"/>
  <c r="B1494" i="4"/>
  <c r="B1263" i="4"/>
  <c r="L1155" i="4"/>
  <c r="L957" i="4"/>
  <c r="B1393" i="4"/>
  <c r="G1595" i="4"/>
  <c r="C1416" i="4"/>
  <c r="E1014" i="4"/>
  <c r="D1263" i="4"/>
  <c r="M922" i="4"/>
  <c r="D916" i="4"/>
  <c r="L1896" i="4"/>
  <c r="D1485" i="4"/>
  <c r="B1158" i="4"/>
  <c r="E1855" i="4"/>
  <c r="E1613" i="4"/>
  <c r="K1062" i="4"/>
  <c r="D381" i="4"/>
  <c r="C132" i="4"/>
  <c r="D1896" i="4"/>
  <c r="F681" i="4"/>
  <c r="I809" i="4"/>
  <c r="D401" i="4"/>
  <c r="G634" i="4"/>
  <c r="F635" i="4"/>
  <c r="B995" i="4"/>
  <c r="D1057" i="4"/>
  <c r="D1216" i="4"/>
  <c r="L1878" i="4"/>
  <c r="E1315" i="4"/>
  <c r="M1748" i="4"/>
  <c r="F960" i="4"/>
  <c r="D1427" i="4"/>
  <c r="L1581" i="4"/>
  <c r="D1213" i="4"/>
  <c r="L1681" i="4"/>
  <c r="M646" i="4"/>
  <c r="K1247" i="4"/>
  <c r="E937" i="4"/>
  <c r="F96" i="4"/>
  <c r="D1276" i="4"/>
  <c r="G1320" i="4"/>
  <c r="G299" i="4"/>
  <c r="D1218" i="4"/>
  <c r="K1138" i="4"/>
  <c r="I584" i="4"/>
  <c r="E1016" i="4"/>
  <c r="D514" i="4"/>
  <c r="I1232" i="4"/>
  <c r="F1520" i="4"/>
  <c r="M1660" i="4"/>
  <c r="F975" i="4"/>
  <c r="I854" i="4"/>
  <c r="D743" i="4"/>
  <c r="K49" i="4"/>
  <c r="C1350" i="4"/>
  <c r="I1622" i="4"/>
  <c r="I1243" i="4"/>
  <c r="I901" i="4"/>
  <c r="K4" i="4"/>
  <c r="K1405" i="4"/>
  <c r="J704" i="4"/>
  <c r="I1070" i="4"/>
  <c r="J276" i="4"/>
  <c r="J1449" i="4"/>
  <c r="I1906" i="4"/>
  <c r="K940" i="4"/>
  <c r="G240" i="4"/>
  <c r="D470" i="4"/>
  <c r="I1329" i="4"/>
  <c r="I938" i="4"/>
  <c r="M807" i="4"/>
  <c r="B552" i="4"/>
  <c r="M199" i="4"/>
  <c r="I1719" i="4"/>
  <c r="J1765" i="4"/>
  <c r="E1176" i="4"/>
  <c r="J1110" i="4"/>
  <c r="G697" i="4"/>
  <c r="M799" i="4"/>
  <c r="I152" i="4"/>
  <c r="I1661" i="4"/>
  <c r="L842" i="4"/>
  <c r="M285" i="4"/>
  <c r="F1971" i="4"/>
  <c r="D348" i="4"/>
  <c r="G1554" i="4"/>
  <c r="C728" i="4"/>
  <c r="F366" i="4"/>
  <c r="B311" i="4"/>
  <c r="G541" i="4"/>
  <c r="E882" i="4"/>
  <c r="K1282" i="4"/>
  <c r="J844" i="4"/>
  <c r="M1956" i="4"/>
  <c r="K1243" i="4"/>
  <c r="B144" i="4"/>
  <c r="I1383" i="4"/>
  <c r="I1248" i="4"/>
  <c r="B652" i="4"/>
  <c r="K565" i="4"/>
  <c r="G1304" i="4"/>
  <c r="I1780" i="4"/>
  <c r="C1588" i="4"/>
  <c r="F108" i="4"/>
  <c r="K1577" i="4"/>
  <c r="C1227" i="4"/>
  <c r="M823" i="4"/>
  <c r="C1765" i="4"/>
  <c r="D592" i="4"/>
  <c r="L1061" i="4"/>
  <c r="L1358" i="4"/>
  <c r="G1354" i="4"/>
  <c r="I202" i="4"/>
  <c r="B252" i="4"/>
  <c r="E394" i="4"/>
  <c r="D769" i="4"/>
  <c r="E169" i="4"/>
  <c r="I1164" i="4"/>
  <c r="I1548" i="4"/>
  <c r="C46" i="4"/>
  <c r="J1368" i="4"/>
  <c r="B808" i="4"/>
  <c r="D183" i="4"/>
  <c r="F1195" i="4"/>
  <c r="I1193" i="4"/>
  <c r="I360" i="4"/>
  <c r="J1575" i="4"/>
  <c r="J363" i="4"/>
  <c r="I1295" i="4"/>
  <c r="C331" i="4"/>
  <c r="K1383" i="4"/>
  <c r="J126" i="4"/>
  <c r="J1427" i="4"/>
  <c r="L810" i="4"/>
  <c r="B538" i="4"/>
  <c r="E351" i="4"/>
  <c r="I1752" i="4"/>
  <c r="F91" i="4"/>
  <c r="G629" i="4"/>
  <c r="F545" i="4"/>
  <c r="J1148" i="4"/>
  <c r="D791" i="4"/>
  <c r="B320" i="4"/>
  <c r="B1670" i="4"/>
  <c r="F661" i="4"/>
  <c r="K3" i="4"/>
  <c r="F1599" i="4"/>
  <c r="I1290" i="4"/>
  <c r="F441" i="4"/>
  <c r="L1517" i="4"/>
  <c r="M1049" i="4"/>
  <c r="D1830" i="4"/>
  <c r="D1977" i="4"/>
  <c r="M1764" i="4"/>
  <c r="K275" i="4"/>
  <c r="C1988" i="4"/>
  <c r="L1560" i="4"/>
  <c r="L93" i="4"/>
  <c r="J1596" i="4"/>
  <c r="F1078" i="4"/>
  <c r="J1250" i="4"/>
  <c r="G357" i="4"/>
  <c r="G1259" i="4"/>
  <c r="L918" i="4"/>
  <c r="G48" i="4"/>
  <c r="D1553" i="4"/>
  <c r="I1016" i="4"/>
  <c r="L1257" i="4"/>
  <c r="L1243" i="4"/>
  <c r="L1759" i="4"/>
  <c r="F1705" i="4"/>
  <c r="D1698" i="4"/>
  <c r="L1206" i="4"/>
  <c r="G1527" i="4"/>
  <c r="B650" i="4"/>
  <c r="B1256" i="4"/>
  <c r="G1005" i="4"/>
  <c r="G370" i="4"/>
  <c r="C362" i="4"/>
  <c r="K713" i="4"/>
  <c r="K368" i="4"/>
  <c r="M1292" i="4"/>
  <c r="F169" i="4"/>
  <c r="J52" i="4"/>
  <c r="K91" i="4"/>
  <c r="D612" i="4"/>
  <c r="J1391" i="4"/>
  <c r="I771" i="4"/>
  <c r="K1198" i="4"/>
  <c r="G258" i="4"/>
  <c r="K1287" i="4"/>
  <c r="I1958" i="4"/>
  <c r="J1439" i="4"/>
  <c r="K1773" i="4"/>
  <c r="I1751" i="4"/>
  <c r="J1187" i="4"/>
  <c r="L75" i="4"/>
  <c r="C626" i="4"/>
  <c r="I575" i="4"/>
  <c r="J564" i="4"/>
  <c r="J1399" i="4"/>
  <c r="D382" i="4"/>
  <c r="L123" i="4"/>
  <c r="B919" i="4"/>
  <c r="J1909" i="4"/>
  <c r="D379" i="4"/>
  <c r="E1325" i="4"/>
  <c r="B1253" i="4"/>
  <c r="F1281" i="4"/>
  <c r="I619" i="4"/>
  <c r="D1748" i="4"/>
  <c r="B138" i="4"/>
  <c r="K282" i="4"/>
  <c r="G1416" i="4"/>
  <c r="J1646" i="4"/>
  <c r="B353" i="4"/>
  <c r="K413" i="4"/>
  <c r="I1078" i="4"/>
  <c r="B36" i="4"/>
  <c r="D125" i="4"/>
  <c r="M1483" i="4"/>
  <c r="M579" i="4"/>
  <c r="F307" i="4"/>
  <c r="D386" i="4"/>
  <c r="C1897" i="4"/>
  <c r="C1730" i="4"/>
  <c r="L1868" i="4"/>
  <c r="D1114" i="4"/>
  <c r="D527" i="4"/>
  <c r="I1580" i="4"/>
  <c r="C1112" i="4"/>
  <c r="F168" i="4"/>
  <c r="D73" i="4"/>
  <c r="C158" i="4"/>
  <c r="K1618" i="4"/>
  <c r="D235" i="4"/>
  <c r="B1735" i="4"/>
  <c r="B565" i="4"/>
  <c r="G1024" i="4"/>
  <c r="K1294" i="4"/>
  <c r="J1644" i="4"/>
  <c r="L1282" i="4"/>
  <c r="D177" i="4"/>
  <c r="L1003" i="4"/>
  <c r="B622" i="4"/>
  <c r="D1358" i="4"/>
  <c r="J1464" i="4"/>
  <c r="L1232" i="4"/>
  <c r="K1838" i="4"/>
  <c r="J1168" i="4"/>
  <c r="B288" i="4"/>
  <c r="B392" i="4"/>
  <c r="M1858" i="4"/>
  <c r="M1335" i="4"/>
  <c r="J785" i="4"/>
  <c r="G766" i="4"/>
  <c r="C1301" i="4"/>
  <c r="G869" i="4"/>
  <c r="G1591" i="4"/>
  <c r="B993" i="4"/>
  <c r="G1530" i="4"/>
  <c r="J81" i="4"/>
  <c r="I626" i="4"/>
  <c r="J1421" i="4"/>
  <c r="B541" i="4"/>
  <c r="B1721" i="4"/>
  <c r="D520" i="4"/>
  <c r="L1126" i="4"/>
  <c r="G540" i="4"/>
  <c r="L1228" i="4"/>
  <c r="I605" i="4"/>
  <c r="E613" i="4"/>
  <c r="F1777" i="4"/>
  <c r="K130" i="4"/>
  <c r="E274" i="4"/>
  <c r="C777" i="4"/>
  <c r="E1803" i="4"/>
  <c r="K499" i="4"/>
  <c r="B163" i="4"/>
  <c r="C1824" i="4"/>
  <c r="F1459" i="4"/>
  <c r="G1352" i="4"/>
  <c r="L637" i="4"/>
  <c r="K971" i="4"/>
  <c r="J958" i="4"/>
  <c r="D343" i="4"/>
  <c r="E406" i="4"/>
  <c r="D1767" i="4"/>
  <c r="D1573" i="4"/>
  <c r="G278" i="4"/>
  <c r="M708" i="4"/>
  <c r="I660" i="4"/>
  <c r="G1647" i="4"/>
  <c r="J1521" i="4"/>
  <c r="G984" i="4"/>
  <c r="K1382" i="4"/>
  <c r="I579" i="4"/>
  <c r="J1533" i="4"/>
  <c r="L1426" i="4"/>
  <c r="I1233" i="4"/>
  <c r="F1323" i="4"/>
  <c r="D1675" i="4"/>
  <c r="J1040" i="4"/>
  <c r="E492" i="4"/>
  <c r="E1714" i="4"/>
  <c r="E1005" i="4"/>
  <c r="E859" i="4"/>
  <c r="M1047" i="4"/>
  <c r="I1969" i="4"/>
  <c r="B764" i="4"/>
  <c r="M709" i="4"/>
  <c r="I846" i="4"/>
  <c r="E1262" i="4"/>
  <c r="E460" i="4"/>
  <c r="C1412" i="4"/>
  <c r="C843" i="4"/>
  <c r="F149" i="4"/>
  <c r="C75" i="4"/>
  <c r="F786" i="4"/>
  <c r="K1174" i="4"/>
  <c r="F1833" i="4"/>
  <c r="K909" i="4"/>
  <c r="M1572" i="4"/>
  <c r="M1479" i="4"/>
  <c r="J87" i="4"/>
  <c r="K1345" i="4"/>
  <c r="E1412" i="4"/>
  <c r="K212" i="4"/>
  <c r="L853" i="4"/>
  <c r="B1500" i="4"/>
  <c r="C1459" i="4"/>
  <c r="B1373" i="4"/>
  <c r="M730" i="4"/>
  <c r="M27" i="4"/>
  <c r="C902" i="4"/>
  <c r="B1719" i="4"/>
  <c r="I1057" i="4"/>
  <c r="M69" i="4"/>
  <c r="J174" i="4"/>
  <c r="J814" i="4"/>
  <c r="F864" i="4"/>
  <c r="L289" i="4"/>
  <c r="I1242" i="4"/>
  <c r="C763" i="4"/>
  <c r="M1012" i="4"/>
  <c r="G976" i="4"/>
  <c r="I828" i="4"/>
  <c r="K525" i="4"/>
  <c r="M174" i="4"/>
  <c r="D72" i="4"/>
  <c r="G320" i="4"/>
  <c r="J900" i="4"/>
  <c r="C303" i="4"/>
  <c r="E1030" i="4"/>
  <c r="B1489" i="4"/>
  <c r="E40" i="4"/>
  <c r="C906" i="4"/>
  <c r="E91" i="4"/>
  <c r="I1014" i="4"/>
  <c r="E1188" i="4"/>
  <c r="K280" i="4"/>
  <c r="B325" i="4"/>
  <c r="K1422" i="4"/>
  <c r="D1341" i="4"/>
  <c r="D1688" i="4"/>
  <c r="I118" i="4"/>
  <c r="E636" i="4"/>
  <c r="C1286" i="4"/>
  <c r="D159" i="4"/>
  <c r="M278" i="4"/>
  <c r="G1039" i="4"/>
  <c r="I1482" i="4"/>
  <c r="E1618" i="4"/>
  <c r="J1198" i="4"/>
  <c r="K780" i="4"/>
  <c r="L1864" i="4"/>
  <c r="I969" i="4"/>
  <c r="E982" i="4"/>
  <c r="F80" i="4"/>
  <c r="J695" i="4"/>
  <c r="M677" i="4"/>
  <c r="I1818" i="4"/>
  <c r="C1543" i="4"/>
  <c r="M996" i="4"/>
  <c r="D127" i="4"/>
  <c r="C254" i="4"/>
  <c r="B394" i="4"/>
  <c r="I569" i="4"/>
  <c r="F1502" i="4"/>
  <c r="D108" i="4"/>
  <c r="M770" i="4"/>
  <c r="B688" i="4"/>
  <c r="M1520" i="4"/>
  <c r="E43" i="4"/>
  <c r="D1535" i="4"/>
  <c r="J682" i="4"/>
  <c r="B1296" i="4"/>
  <c r="B660" i="4"/>
  <c r="K1827" i="4"/>
  <c r="J137" i="4"/>
  <c r="I271" i="4"/>
  <c r="M725" i="4"/>
  <c r="D588" i="4"/>
  <c r="L1892" i="4"/>
  <c r="G1103" i="4"/>
  <c r="K167" i="4"/>
  <c r="E248" i="4"/>
  <c r="E2009" i="4"/>
  <c r="M1432" i="4"/>
  <c r="K1175" i="4"/>
  <c r="M1213" i="4"/>
  <c r="K1360" i="4"/>
  <c r="F919" i="4"/>
  <c r="M304" i="4"/>
  <c r="J605" i="4"/>
  <c r="K340" i="4"/>
  <c r="B594" i="4"/>
  <c r="K1958" i="4"/>
  <c r="F492" i="4"/>
  <c r="K63" i="4"/>
  <c r="G129" i="4"/>
  <c r="C761" i="4"/>
  <c r="F1201" i="4"/>
  <c r="K1343" i="4"/>
  <c r="D255" i="4"/>
  <c r="K1945" i="4"/>
  <c r="C40" i="4"/>
  <c r="B593" i="4"/>
  <c r="J461" i="4"/>
  <c r="M1198" i="4"/>
  <c r="K1320" i="4"/>
  <c r="C764" i="4"/>
  <c r="G68" i="4"/>
  <c r="C427" i="4"/>
  <c r="F68" i="4"/>
  <c r="M79" i="4"/>
  <c r="B370" i="4"/>
  <c r="M999" i="4"/>
  <c r="I1821" i="4"/>
  <c r="J1874" i="4"/>
  <c r="C283" i="4"/>
  <c r="J1509" i="4"/>
  <c r="M465" i="4"/>
  <c r="F236" i="4"/>
  <c r="B674" i="4"/>
  <c r="C443" i="4"/>
  <c r="D406" i="4"/>
  <c r="F785" i="4"/>
  <c r="I1355" i="4"/>
  <c r="L1244" i="4"/>
  <c r="I1710" i="4"/>
  <c r="C1572" i="4"/>
  <c r="E1627" i="4"/>
  <c r="G1531" i="4"/>
  <c r="D1370" i="4"/>
  <c r="D1884" i="4"/>
  <c r="B860" i="4"/>
  <c r="C1360" i="4"/>
  <c r="F395" i="4"/>
  <c r="C265" i="4"/>
  <c r="L1185" i="4"/>
  <c r="M347" i="4"/>
  <c r="M1850" i="4"/>
  <c r="D1776" i="4"/>
  <c r="J836" i="4"/>
  <c r="D1860" i="4"/>
  <c r="B608" i="4"/>
  <c r="F1085" i="4"/>
  <c r="M1272" i="4"/>
  <c r="D1191" i="4"/>
  <c r="K921" i="4"/>
  <c r="G1731" i="4"/>
  <c r="M1375" i="4"/>
  <c r="F1275" i="4"/>
  <c r="F1937" i="4"/>
  <c r="F1472" i="4"/>
  <c r="D1795" i="4"/>
  <c r="D1919" i="4"/>
  <c r="G1842" i="4"/>
  <c r="B490" i="4"/>
  <c r="F70" i="4"/>
  <c r="B539" i="4"/>
  <c r="E820" i="4"/>
  <c r="K1818" i="4"/>
  <c r="L1047" i="4"/>
  <c r="L616" i="4"/>
  <c r="D493" i="4"/>
  <c r="E612" i="4"/>
  <c r="C1859" i="4"/>
  <c r="K1433" i="4"/>
  <c r="D211" i="4"/>
  <c r="G1414" i="4"/>
  <c r="M1903" i="4"/>
  <c r="J553" i="4"/>
  <c r="L660" i="4"/>
  <c r="G1582" i="4"/>
  <c r="F514" i="4"/>
  <c r="I554" i="4"/>
  <c r="L1292" i="4"/>
  <c r="E2003" i="4"/>
  <c r="L1122" i="4"/>
  <c r="K199" i="4"/>
  <c r="B300" i="4"/>
  <c r="J1924" i="4"/>
  <c r="K78" i="4"/>
  <c r="C898" i="4"/>
  <c r="J1828" i="4"/>
  <c r="G568" i="4"/>
  <c r="K1048" i="4"/>
  <c r="B999" i="4"/>
  <c r="G1632" i="4"/>
  <c r="G601" i="4"/>
  <c r="K952" i="4"/>
  <c r="I1802" i="4"/>
  <c r="L927" i="4"/>
  <c r="F716" i="4"/>
  <c r="M3" i="4"/>
  <c r="B1828" i="4"/>
  <c r="K942" i="4"/>
  <c r="L986" i="4"/>
  <c r="B567" i="4"/>
  <c r="I1351" i="4"/>
  <c r="C1461" i="4"/>
  <c r="J1073" i="4"/>
  <c r="B338" i="4"/>
  <c r="G1718" i="4"/>
  <c r="I1998" i="4"/>
  <c r="G1977" i="4"/>
  <c r="L384" i="4"/>
  <c r="B1915" i="4"/>
  <c r="G1093" i="4"/>
  <c r="E1692" i="4"/>
  <c r="L1600" i="4"/>
  <c r="D1113" i="4"/>
  <c r="G209" i="4"/>
  <c r="J1337" i="4"/>
  <c r="K828" i="4"/>
  <c r="K213" i="4"/>
  <c r="M1873" i="4"/>
  <c r="C1887" i="4"/>
  <c r="M443" i="4"/>
  <c r="I1993" i="4"/>
  <c r="G389" i="4"/>
  <c r="K1286" i="4"/>
  <c r="E537" i="4"/>
  <c r="K165" i="4"/>
  <c r="D1703" i="4"/>
  <c r="I1657" i="4"/>
  <c r="I1884" i="4"/>
  <c r="M1598" i="4"/>
  <c r="C1641" i="4"/>
  <c r="G87" i="4"/>
  <c r="E1787" i="4"/>
  <c r="G902" i="4"/>
  <c r="F720" i="4"/>
  <c r="E120" i="4"/>
  <c r="F262" i="4"/>
  <c r="K1762" i="4"/>
  <c r="C908" i="4"/>
  <c r="F202" i="4"/>
  <c r="K489" i="4"/>
  <c r="J1481" i="4"/>
  <c r="E1244" i="4"/>
  <c r="F464" i="4"/>
  <c r="I1289" i="4"/>
  <c r="M1881" i="4"/>
  <c r="E584" i="4"/>
  <c r="I954" i="4"/>
  <c r="B1396" i="4"/>
  <c r="D272" i="4"/>
  <c r="B1876" i="4"/>
  <c r="I1645" i="4"/>
  <c r="K428" i="4"/>
  <c r="F1813" i="4"/>
  <c r="F223" i="4"/>
  <c r="E1829" i="4"/>
  <c r="L1778" i="4"/>
  <c r="K837" i="4"/>
  <c r="F746" i="4"/>
  <c r="J866" i="4"/>
  <c r="K889" i="4"/>
  <c r="D812" i="4"/>
  <c r="B991" i="4"/>
  <c r="F229" i="4"/>
  <c r="M337" i="4"/>
  <c r="I1348" i="4"/>
  <c r="M146" i="4"/>
  <c r="M16" i="4"/>
  <c r="B868" i="4"/>
  <c r="F1408" i="4"/>
  <c r="D1781" i="4"/>
  <c r="K1477" i="4"/>
  <c r="B719" i="4"/>
  <c r="G1189" i="4"/>
  <c r="K1761" i="4"/>
  <c r="E1548" i="4"/>
  <c r="I1931" i="4"/>
  <c r="C1101" i="4"/>
  <c r="F85" i="4"/>
  <c r="B1924" i="4"/>
  <c r="B714" i="4"/>
  <c r="C1941" i="4"/>
  <c r="C1911" i="4"/>
  <c r="G960" i="4"/>
  <c r="G1427" i="4"/>
  <c r="C1702" i="4"/>
  <c r="B258" i="4"/>
  <c r="G1310" i="4"/>
  <c r="B430" i="4"/>
  <c r="E1393" i="4"/>
  <c r="K1401" i="4"/>
  <c r="E1836" i="4"/>
  <c r="K1194" i="4"/>
  <c r="D1719" i="4"/>
  <c r="F1692" i="4"/>
  <c r="L1516" i="4"/>
  <c r="I1650" i="4"/>
  <c r="K1904" i="4"/>
  <c r="B1626" i="4"/>
  <c r="K717" i="4"/>
  <c r="B1603" i="4"/>
  <c r="K357" i="4"/>
  <c r="B1714" i="4"/>
  <c r="C815" i="4"/>
  <c r="K849" i="4"/>
  <c r="I1790" i="4"/>
  <c r="D1301" i="4"/>
  <c r="B936" i="4"/>
  <c r="D376" i="4"/>
  <c r="L8" i="4"/>
  <c r="L907" i="4"/>
  <c r="M693" i="4"/>
  <c r="I188" i="4"/>
  <c r="K1959" i="4"/>
  <c r="C1066" i="4"/>
  <c r="B513" i="4"/>
  <c r="J1617" i="4"/>
  <c r="E122" i="4"/>
  <c r="G126" i="4"/>
  <c r="G1208" i="4"/>
  <c r="G118" i="4"/>
  <c r="E890" i="4"/>
  <c r="E1467" i="4"/>
  <c r="C302" i="4"/>
  <c r="B1757" i="4"/>
  <c r="C180" i="4"/>
  <c r="G1191" i="4"/>
  <c r="B887" i="4"/>
  <c r="M698" i="4"/>
  <c r="B1016" i="4"/>
  <c r="F72" i="4"/>
  <c r="M35" i="4"/>
  <c r="K1858" i="4"/>
  <c r="F595" i="4"/>
  <c r="F136" i="4"/>
  <c r="M1562" i="4"/>
  <c r="K1760" i="4"/>
  <c r="L1085" i="4"/>
  <c r="D1880" i="4"/>
  <c r="D1616" i="4"/>
  <c r="K1598" i="4"/>
  <c r="L1234" i="4"/>
  <c r="G930" i="4"/>
  <c r="I1440" i="4"/>
  <c r="F1637" i="4"/>
  <c r="K234" i="4"/>
  <c r="G2011" i="4"/>
  <c r="K931" i="4"/>
  <c r="G1906" i="4"/>
  <c r="J370" i="4"/>
  <c r="C154" i="4"/>
  <c r="F947" i="4"/>
  <c r="L1296" i="4"/>
  <c r="D1383" i="4"/>
  <c r="J969" i="4"/>
  <c r="B1140" i="4"/>
  <c r="M1506" i="4"/>
  <c r="M228" i="4"/>
  <c r="G204" i="4"/>
  <c r="M1480" i="4"/>
  <c r="D1007" i="4"/>
  <c r="K711" i="4"/>
  <c r="J425" i="4"/>
  <c r="M1643" i="4"/>
  <c r="L1451" i="4"/>
  <c r="E1728" i="4"/>
  <c r="L1993" i="4"/>
  <c r="C1514" i="4"/>
  <c r="L848" i="4"/>
  <c r="K679" i="4"/>
  <c r="K1142" i="4"/>
  <c r="I406" i="4"/>
  <c r="I1486" i="4"/>
  <c r="E1783" i="4"/>
  <c r="G604" i="4"/>
  <c r="G1999" i="4"/>
  <c r="F1511" i="4"/>
  <c r="G1137" i="4"/>
  <c r="D1610" i="4"/>
  <c r="M514" i="4"/>
  <c r="F390" i="4"/>
  <c r="G1760" i="4"/>
  <c r="G1849" i="4"/>
  <c r="C90" i="4"/>
  <c r="L1927" i="4"/>
  <c r="C1876" i="4"/>
  <c r="C971" i="4"/>
  <c r="F394" i="4"/>
  <c r="F962" i="4"/>
  <c r="D374" i="4"/>
  <c r="K557" i="4"/>
  <c r="J1902" i="4"/>
  <c r="G520" i="4"/>
  <c r="L1327" i="4"/>
  <c r="B1848" i="4"/>
  <c r="M2009" i="4"/>
  <c r="C1272" i="4"/>
  <c r="G1703" i="4"/>
  <c r="G1606" i="4"/>
  <c r="F349" i="4"/>
  <c r="L1454" i="4"/>
  <c r="K1505" i="4"/>
  <c r="K872" i="4"/>
  <c r="B1401" i="4"/>
  <c r="F1695" i="4"/>
  <c r="F1865" i="4"/>
  <c r="D453" i="4"/>
  <c r="M1522" i="4"/>
  <c r="J992" i="4"/>
  <c r="E339" i="4"/>
  <c r="K891" i="4"/>
  <c r="E957" i="4"/>
  <c r="G1342" i="4"/>
  <c r="D1983" i="4"/>
  <c r="L419" i="4"/>
  <c r="E967" i="4"/>
  <c r="C1359" i="4"/>
  <c r="L1926" i="4"/>
  <c r="C78" i="4"/>
  <c r="K88" i="4"/>
  <c r="C1057" i="4"/>
  <c r="D366" i="4"/>
  <c r="M743" i="4"/>
  <c r="E831" i="4"/>
  <c r="M1995" i="4"/>
  <c r="G465" i="4"/>
  <c r="F794" i="4"/>
  <c r="F367" i="4"/>
  <c r="B1685" i="4"/>
  <c r="E891" i="4"/>
  <c r="F1914" i="4"/>
  <c r="K19" i="4"/>
  <c r="C1773" i="4"/>
  <c r="E630" i="4"/>
  <c r="M855" i="4"/>
  <c r="K472" i="4"/>
  <c r="K310" i="4"/>
  <c r="G893" i="4"/>
  <c r="K846" i="4"/>
  <c r="E294" i="4"/>
  <c r="E158" i="4"/>
  <c r="C961" i="4"/>
  <c r="I519" i="4"/>
  <c r="F112" i="4"/>
  <c r="C248" i="4"/>
  <c r="C801" i="4"/>
  <c r="F1025" i="4"/>
  <c r="C889" i="4"/>
  <c r="B1219" i="4"/>
  <c r="D416" i="4"/>
  <c r="J1492" i="4"/>
  <c r="M1176" i="4"/>
  <c r="B1301" i="4"/>
  <c r="M983" i="4"/>
  <c r="F1757" i="4"/>
  <c r="L1576" i="4"/>
  <c r="M1857" i="4"/>
  <c r="M1378" i="4"/>
  <c r="I1980" i="4"/>
  <c r="G685" i="4"/>
  <c r="F543" i="4"/>
  <c r="C272" i="4"/>
  <c r="E1644" i="4"/>
  <c r="M411" i="4"/>
  <c r="M1721" i="4"/>
  <c r="B708" i="4"/>
  <c r="F1439" i="4"/>
  <c r="I784" i="4"/>
  <c r="C327" i="4"/>
  <c r="K536" i="4"/>
  <c r="L1317" i="4"/>
  <c r="K861" i="4"/>
  <c r="M53" i="4"/>
  <c r="M1741" i="4"/>
  <c r="E1179" i="4"/>
  <c r="L1526" i="4"/>
  <c r="M1871" i="4"/>
  <c r="K442" i="4"/>
  <c r="D144" i="4"/>
  <c r="D1480" i="4"/>
  <c r="C472" i="4"/>
  <c r="G244" i="4"/>
  <c r="K140" i="4"/>
  <c r="D949" i="4"/>
  <c r="J1809" i="4"/>
  <c r="D53" i="4"/>
  <c r="D881" i="4"/>
  <c r="M67" i="4"/>
  <c r="M637" i="4"/>
  <c r="E1414" i="4"/>
  <c r="G1194" i="4"/>
  <c r="M256" i="4"/>
  <c r="L1648" i="4"/>
  <c r="J1673" i="4"/>
  <c r="C181" i="4"/>
  <c r="C1525" i="4"/>
  <c r="K1739" i="4"/>
  <c r="C520" i="4"/>
  <c r="B1872" i="4"/>
  <c r="F1743" i="4"/>
  <c r="K636" i="4"/>
  <c r="D961" i="4"/>
  <c r="L353" i="4"/>
  <c r="M344" i="4"/>
  <c r="B1456" i="4"/>
  <c r="G1262" i="4"/>
  <c r="L1485" i="4"/>
  <c r="E185" i="4"/>
  <c r="D1507" i="4"/>
  <c r="G1349" i="4"/>
  <c r="D1306" i="4"/>
  <c r="C2010" i="4"/>
  <c r="G1676" i="4"/>
  <c r="B240" i="4"/>
  <c r="D1403" i="4"/>
  <c r="I2010" i="4"/>
  <c r="K158" i="4"/>
  <c r="B1519" i="4"/>
  <c r="L791" i="4"/>
  <c r="F1910" i="4"/>
  <c r="L1216" i="4"/>
  <c r="I821" i="4"/>
  <c r="G1605" i="4"/>
  <c r="I231" i="4"/>
  <c r="G32" i="4"/>
  <c r="G1981" i="4"/>
  <c r="E312" i="4"/>
  <c r="M1989" i="4"/>
  <c r="B145" i="4"/>
  <c r="L687" i="4"/>
  <c r="F939" i="4"/>
  <c r="M1406" i="4"/>
  <c r="B1262" i="4"/>
  <c r="D1742" i="4"/>
  <c r="B1265" i="4"/>
  <c r="J343" i="4"/>
  <c r="K1557" i="4"/>
  <c r="B61" i="4"/>
  <c r="D1891" i="4"/>
  <c r="G411" i="4"/>
  <c r="F1092" i="4"/>
  <c r="M793" i="4"/>
  <c r="K877" i="4"/>
  <c r="G799" i="4"/>
  <c r="G1615" i="4"/>
  <c r="B1949" i="4"/>
  <c r="C52" i="4"/>
  <c r="J1348" i="4"/>
  <c r="J291" i="4"/>
  <c r="B672" i="4"/>
  <c r="C1615" i="4"/>
  <c r="L1794" i="4"/>
  <c r="B169" i="4"/>
  <c r="K1579" i="4"/>
  <c r="K1021" i="4"/>
  <c r="L824" i="4"/>
  <c r="K418" i="4"/>
  <c r="L1742" i="4"/>
  <c r="E116" i="4"/>
  <c r="B178" i="4"/>
  <c r="I1280" i="4"/>
  <c r="C832" i="4"/>
  <c r="M242" i="4"/>
  <c r="G1919" i="4"/>
  <c r="D1501" i="4"/>
  <c r="D327" i="4"/>
  <c r="D1009" i="4"/>
  <c r="D1925" i="4"/>
  <c r="F1939" i="4"/>
  <c r="M56" i="4"/>
  <c r="D1570" i="4"/>
  <c r="B1928" i="4"/>
  <c r="K1624" i="4"/>
  <c r="B1988" i="4"/>
  <c r="J1666" i="4"/>
  <c r="E1569" i="4"/>
  <c r="L1060" i="4"/>
  <c r="E1994" i="4"/>
  <c r="K1742" i="4"/>
  <c r="M1649" i="4"/>
  <c r="B1099" i="4"/>
  <c r="F372" i="4"/>
  <c r="I173" i="4"/>
  <c r="G993" i="4"/>
  <c r="F1535" i="4"/>
  <c r="B1235" i="4"/>
  <c r="K1673" i="4"/>
  <c r="F999" i="4"/>
  <c r="J1237" i="4"/>
  <c r="I171" i="4"/>
  <c r="K67" i="4"/>
  <c r="M1265" i="4"/>
  <c r="D1108" i="4"/>
  <c r="C1978" i="4"/>
  <c r="C1539" i="4"/>
  <c r="E295" i="4"/>
  <c r="G1265" i="4"/>
  <c r="E2002" i="4"/>
  <c r="I1966" i="4"/>
  <c r="K1591" i="4"/>
  <c r="K1149" i="4"/>
  <c r="G1535" i="4"/>
  <c r="M5" i="4"/>
  <c r="I1509" i="4"/>
  <c r="I1358" i="4"/>
  <c r="D798" i="4"/>
  <c r="C1603" i="4"/>
  <c r="K1741" i="4"/>
  <c r="G141" i="4"/>
  <c r="E813" i="4"/>
  <c r="E748" i="4"/>
  <c r="G775" i="4"/>
  <c r="E804" i="4"/>
  <c r="B303" i="4"/>
  <c r="E1356" i="4"/>
  <c r="K1363" i="4"/>
  <c r="M362" i="4"/>
  <c r="K384" i="4"/>
  <c r="G1279" i="4"/>
  <c r="F1963" i="4"/>
  <c r="D1666" i="4"/>
  <c r="J1726" i="4"/>
  <c r="J789" i="4"/>
  <c r="E1907" i="4"/>
  <c r="D1495" i="4"/>
  <c r="F1493" i="4"/>
  <c r="C1761" i="4"/>
  <c r="B1031" i="4"/>
  <c r="M1768" i="4"/>
  <c r="D1418" i="4"/>
  <c r="F1959" i="4"/>
  <c r="E104" i="4"/>
  <c r="K1438" i="4"/>
  <c r="D609" i="4"/>
  <c r="D281" i="4"/>
  <c r="M871" i="4"/>
  <c r="E1092" i="4"/>
  <c r="D654" i="4"/>
  <c r="G1646" i="4"/>
  <c r="C1931" i="4"/>
  <c r="E1242" i="4"/>
  <c r="F1384" i="4"/>
  <c r="C1067" i="4"/>
  <c r="B1356" i="4"/>
  <c r="C483" i="4"/>
  <c r="E1964" i="4"/>
  <c r="L411" i="4"/>
  <c r="L840" i="4"/>
  <c r="G1505" i="4"/>
  <c r="F1343" i="4"/>
  <c r="F218" i="4"/>
  <c r="E1094" i="4"/>
  <c r="G1345" i="4"/>
  <c r="D1167" i="4"/>
  <c r="B1533" i="4"/>
  <c r="F1774" i="4"/>
  <c r="J1805" i="4"/>
  <c r="D539" i="4"/>
  <c r="C1413" i="4"/>
  <c r="M1760" i="4"/>
  <c r="C1481" i="4"/>
  <c r="D1833" i="4"/>
  <c r="F1600" i="4"/>
  <c r="G1971" i="4"/>
  <c r="D1856" i="4"/>
  <c r="E1526" i="4"/>
  <c r="M387" i="4"/>
  <c r="G1200" i="4"/>
  <c r="C540" i="4"/>
  <c r="B1610" i="4"/>
  <c r="K1915" i="4"/>
  <c r="M852" i="4"/>
  <c r="C1099" i="4"/>
  <c r="E1442" i="4"/>
  <c r="D115" i="4"/>
  <c r="D1470" i="4"/>
  <c r="J1047" i="4"/>
  <c r="C1740" i="4"/>
  <c r="J175" i="4"/>
  <c r="M561" i="4"/>
  <c r="K1654" i="4"/>
  <c r="B1438" i="4"/>
  <c r="G809" i="4"/>
  <c r="G394" i="4"/>
  <c r="G1451" i="4"/>
  <c r="L1275" i="4"/>
  <c r="K902" i="4"/>
  <c r="F44" i="4"/>
  <c r="F1620" i="4"/>
  <c r="K1989" i="4"/>
  <c r="G488" i="4"/>
  <c r="E588" i="4"/>
  <c r="G365" i="4"/>
  <c r="L1546" i="4"/>
  <c r="D638" i="4"/>
  <c r="E1093" i="4"/>
  <c r="L72" i="4"/>
  <c r="M421" i="4"/>
  <c r="I1678" i="4"/>
  <c r="E1730" i="4"/>
  <c r="G589" i="4"/>
  <c r="L1630" i="4"/>
  <c r="C339" i="4"/>
  <c r="D923" i="4"/>
  <c r="K272" i="4"/>
  <c r="B676" i="4"/>
  <c r="L1429" i="4"/>
  <c r="L1699" i="4"/>
  <c r="E903" i="4"/>
  <c r="E1235" i="4"/>
  <c r="M1728" i="4"/>
  <c r="L86" i="4"/>
  <c r="K548" i="4"/>
  <c r="C876" i="4"/>
  <c r="M1927" i="4"/>
  <c r="K1288" i="4"/>
  <c r="G1383" i="4"/>
  <c r="E792" i="4"/>
  <c r="F1209" i="4"/>
  <c r="J1027" i="4"/>
  <c r="B1689" i="4"/>
  <c r="D1785" i="4"/>
  <c r="G1064" i="4"/>
  <c r="I1496" i="4"/>
  <c r="J53" i="4"/>
  <c r="J482" i="4"/>
  <c r="B294" i="4"/>
  <c r="G1894" i="4"/>
  <c r="I1420" i="4"/>
  <c r="K1145" i="4"/>
  <c r="I1759" i="4"/>
  <c r="F256" i="4"/>
  <c r="D614" i="4"/>
  <c r="G1173" i="4"/>
  <c r="F284" i="4"/>
  <c r="E1305" i="4"/>
  <c r="M1907" i="4"/>
  <c r="D175" i="4"/>
  <c r="C1352" i="4"/>
  <c r="D94" i="4"/>
  <c r="F1951" i="4"/>
  <c r="M985" i="4"/>
  <c r="K924" i="4"/>
  <c r="B1009" i="4"/>
  <c r="E888" i="4"/>
  <c r="D1051" i="4"/>
  <c r="C1389" i="4"/>
  <c r="F1541" i="4"/>
  <c r="F724" i="4"/>
  <c r="G354" i="4"/>
  <c r="F1080" i="4"/>
  <c r="E1584" i="4"/>
  <c r="K1601" i="4"/>
  <c r="F1467" i="4"/>
  <c r="C1203" i="4"/>
  <c r="K786" i="4"/>
  <c r="F1573" i="4"/>
  <c r="E551" i="4"/>
  <c r="E1026" i="4"/>
  <c r="D575" i="4"/>
  <c r="E690" i="4"/>
  <c r="M1347" i="4"/>
  <c r="F1075" i="4"/>
  <c r="E369" i="4"/>
  <c r="D458" i="4"/>
  <c r="E1587" i="4"/>
  <c r="D653" i="4"/>
  <c r="J72" i="4"/>
  <c r="F1585" i="4"/>
  <c r="B1673" i="4"/>
  <c r="F815" i="4"/>
  <c r="E793" i="4"/>
  <c r="D271" i="4"/>
  <c r="D970" i="4"/>
  <c r="E1128" i="4"/>
  <c r="I316" i="4"/>
  <c r="B438" i="4"/>
  <c r="D1299" i="4"/>
  <c r="E1008" i="4"/>
  <c r="G1811" i="4"/>
  <c r="B1363" i="4"/>
  <c r="C847" i="4"/>
  <c r="G1397" i="4"/>
  <c r="D605" i="4"/>
  <c r="B1536" i="4"/>
  <c r="K1621" i="4"/>
  <c r="I1460" i="4"/>
  <c r="F1251" i="4"/>
  <c r="E979" i="4"/>
  <c r="F1638" i="4"/>
  <c r="K818" i="4"/>
  <c r="J1241" i="4"/>
  <c r="D1778" i="4"/>
  <c r="D2006" i="4"/>
  <c r="B985" i="4"/>
  <c r="G1401" i="4"/>
  <c r="L1717" i="4"/>
  <c r="E1025" i="4"/>
  <c r="J1976" i="4"/>
  <c r="J1547" i="4"/>
  <c r="K1572" i="4"/>
  <c r="B1524" i="4"/>
  <c r="M1007" i="4"/>
  <c r="F870" i="4"/>
  <c r="F937" i="4"/>
  <c r="B1474" i="4"/>
  <c r="M490" i="4"/>
  <c r="E1013" i="4"/>
  <c r="C787" i="4"/>
  <c r="I1375" i="4"/>
  <c r="I588" i="4"/>
  <c r="K538" i="4"/>
  <c r="L1528" i="4"/>
  <c r="K1178" i="4"/>
  <c r="K1879" i="4"/>
  <c r="C1384" i="4"/>
  <c r="C125" i="4"/>
  <c r="G1638" i="4"/>
  <c r="I1307" i="4"/>
  <c r="L720" i="4"/>
  <c r="I556" i="4"/>
  <c r="G420" i="4"/>
  <c r="K597" i="4"/>
  <c r="L1684" i="4"/>
  <c r="D936" i="4"/>
  <c r="F1376" i="4"/>
  <c r="F660" i="4"/>
  <c r="B1875" i="4"/>
  <c r="B1148" i="4"/>
  <c r="C1759" i="4"/>
  <c r="E1071" i="4"/>
  <c r="I1497" i="4"/>
  <c r="I1687" i="4"/>
  <c r="L981" i="4"/>
  <c r="K264" i="4"/>
  <c r="B1594" i="4"/>
  <c r="F228" i="4"/>
  <c r="E1631" i="4"/>
  <c r="D847" i="4"/>
  <c r="F1483" i="4"/>
  <c r="F1385" i="4"/>
  <c r="C1402" i="4"/>
  <c r="I1588" i="4"/>
  <c r="G1922" i="4"/>
  <c r="B1776" i="4"/>
  <c r="C1000" i="4"/>
  <c r="E917" i="4"/>
  <c r="F1318" i="4"/>
  <c r="L134" i="4"/>
  <c r="L1094" i="4"/>
  <c r="J1963" i="4"/>
  <c r="G528" i="4"/>
  <c r="L1504" i="4"/>
  <c r="C1430" i="4"/>
  <c r="B1942" i="4"/>
  <c r="K2006" i="4"/>
  <c r="F1639" i="4"/>
  <c r="M961" i="4"/>
  <c r="B979" i="4"/>
  <c r="L1241" i="4"/>
  <c r="G1357" i="4"/>
  <c r="L1554" i="4"/>
  <c r="F663" i="4"/>
  <c r="M1957" i="4"/>
  <c r="B1497" i="4"/>
  <c r="D1157" i="4"/>
  <c r="J345" i="4"/>
  <c r="F1844" i="4"/>
  <c r="L1144" i="4"/>
  <c r="B1402" i="4"/>
  <c r="J1923" i="4"/>
  <c r="M859" i="4"/>
  <c r="C1122" i="4"/>
  <c r="L1656" i="4"/>
  <c r="L461" i="4"/>
  <c r="M1706" i="4"/>
  <c r="M1465" i="4"/>
  <c r="I250" i="4"/>
  <c r="G792" i="4"/>
  <c r="C1705" i="4"/>
  <c r="G1359" i="4"/>
  <c r="E42" i="4"/>
  <c r="L1803" i="4"/>
  <c r="D1926" i="4"/>
  <c r="D168" i="4"/>
  <c r="K1235" i="4"/>
  <c r="G257" i="4"/>
  <c r="L1811" i="4"/>
  <c r="L108" i="4"/>
  <c r="L112" i="4"/>
  <c r="L1978" i="4"/>
  <c r="E1980" i="4"/>
  <c r="J834" i="4"/>
  <c r="F1849" i="4"/>
  <c r="F1087" i="4"/>
  <c r="C1579" i="4"/>
  <c r="D1765" i="4"/>
  <c r="K1466" i="4"/>
  <c r="I1347" i="4"/>
  <c r="J238" i="4"/>
  <c r="M666" i="4"/>
  <c r="B988" i="4"/>
  <c r="D1803" i="4"/>
  <c r="E1984" i="4"/>
  <c r="E1230" i="4"/>
  <c r="M904" i="4"/>
  <c r="I1892" i="4"/>
  <c r="E1657" i="4"/>
  <c r="C1792" i="4"/>
  <c r="M367" i="4"/>
  <c r="C581" i="4"/>
  <c r="C1417" i="4"/>
  <c r="G1926" i="4"/>
  <c r="I1989" i="4"/>
  <c r="C1775" i="4"/>
  <c r="F1644" i="4"/>
  <c r="E498" i="4"/>
  <c r="D637" i="4"/>
  <c r="K693" i="4"/>
  <c r="D565" i="4"/>
  <c r="L1552" i="4"/>
  <c r="B458" i="4"/>
  <c r="D731" i="4"/>
  <c r="E1999" i="4"/>
  <c r="F2009" i="4"/>
  <c r="B1224" i="4"/>
  <c r="G441" i="4"/>
  <c r="C1171" i="4"/>
  <c r="C1010" i="4"/>
  <c r="B618" i="4"/>
  <c r="L1352" i="4"/>
  <c r="D572" i="4"/>
  <c r="D70" i="4"/>
  <c r="B197" i="4"/>
  <c r="F1864" i="4"/>
  <c r="E1911" i="4"/>
  <c r="C662" i="4"/>
  <c r="D1920" i="4"/>
  <c r="L696" i="4"/>
  <c r="G380" i="4"/>
  <c r="G1201" i="4"/>
  <c r="C1279" i="4"/>
  <c r="D1163" i="4"/>
  <c r="B945" i="4"/>
  <c r="K1152" i="4"/>
  <c r="E1473" i="4"/>
  <c r="G1077" i="4"/>
  <c r="K38" i="4"/>
  <c r="K1558" i="4"/>
  <c r="G1293" i="4"/>
  <c r="C675" i="4"/>
  <c r="F551" i="4"/>
  <c r="F1993" i="4"/>
  <c r="E161" i="4"/>
  <c r="F1848" i="4"/>
  <c r="D1867" i="4"/>
  <c r="E1634" i="4"/>
  <c r="D2007" i="4"/>
  <c r="C1468" i="4"/>
  <c r="B1453" i="4"/>
  <c r="K1812" i="4"/>
  <c r="B2003" i="4"/>
  <c r="E234" i="4"/>
  <c r="F1892" i="4"/>
  <c r="M424" i="4"/>
  <c r="E1134" i="4"/>
  <c r="F933" i="4"/>
  <c r="L1365" i="4"/>
  <c r="B1012" i="4"/>
  <c r="L1961" i="4"/>
  <c r="D1848" i="4"/>
  <c r="D1275" i="4"/>
  <c r="M898" i="4"/>
  <c r="D1406" i="4"/>
  <c r="E822" i="4"/>
  <c r="L1620" i="4"/>
  <c r="E892" i="4"/>
  <c r="I1292" i="4"/>
  <c r="B1649" i="4"/>
  <c r="B351" i="4"/>
  <c r="K1441" i="4"/>
  <c r="G505" i="4"/>
  <c r="J1541" i="4"/>
  <c r="J1987" i="4"/>
  <c r="C351" i="4"/>
  <c r="L155" i="4"/>
  <c r="M380" i="4"/>
  <c r="L1529" i="4"/>
  <c r="C1969" i="4"/>
  <c r="L640" i="4"/>
  <c r="C244" i="4"/>
  <c r="C1607" i="4"/>
  <c r="F421" i="4"/>
  <c r="C233" i="4"/>
  <c r="F1320" i="4"/>
  <c r="L328" i="4"/>
  <c r="F853" i="4"/>
  <c r="C645" i="4"/>
  <c r="L1591" i="4"/>
  <c r="J409" i="4"/>
  <c r="L1951" i="4"/>
  <c r="L1450" i="4"/>
  <c r="B1796" i="4"/>
  <c r="I1783" i="4"/>
  <c r="B543" i="4"/>
  <c r="K1753" i="4"/>
  <c r="C907" i="4"/>
  <c r="B1859" i="4"/>
  <c r="M1674" i="4"/>
  <c r="E1040" i="4"/>
  <c r="D826" i="4"/>
  <c r="K1348" i="4"/>
  <c r="D1622" i="4"/>
  <c r="B42" i="4"/>
  <c r="M1369" i="4"/>
  <c r="B1213" i="4"/>
  <c r="K161" i="4"/>
  <c r="E1563" i="4"/>
  <c r="G405" i="4"/>
  <c r="L1708" i="4"/>
  <c r="G1151" i="4"/>
  <c r="G1938" i="4"/>
  <c r="B904" i="4"/>
  <c r="L325" i="4"/>
  <c r="L397" i="4"/>
  <c r="D1380" i="4"/>
  <c r="D1269" i="4"/>
  <c r="F1303" i="4"/>
  <c r="I1826" i="4"/>
  <c r="L544" i="4"/>
  <c r="C1076" i="4"/>
  <c r="K1514" i="4"/>
  <c r="L244" i="4"/>
  <c r="G1557" i="4"/>
  <c r="K871" i="4"/>
  <c r="E907" i="4"/>
  <c r="K376" i="4"/>
  <c r="G1117" i="4"/>
  <c r="G1327" i="4"/>
  <c r="G961" i="4"/>
  <c r="D1729" i="4"/>
  <c r="G1687" i="4"/>
  <c r="K1028" i="4"/>
  <c r="L948" i="4"/>
  <c r="K1981" i="4"/>
  <c r="G1284" i="4"/>
  <c r="B426" i="4"/>
  <c r="B456" i="4"/>
  <c r="K1729" i="4"/>
  <c r="E1740" i="4"/>
  <c r="G1651" i="4"/>
  <c r="E1215" i="4"/>
  <c r="J912" i="4"/>
  <c r="E424" i="4"/>
  <c r="B1297" i="4"/>
  <c r="E1096" i="4"/>
  <c r="D595" i="4"/>
  <c r="E1750" i="4"/>
  <c r="E1340" i="4"/>
  <c r="L1804" i="4"/>
  <c r="L1761" i="4"/>
  <c r="M1357" i="4"/>
  <c r="C651" i="4"/>
  <c r="J1045" i="4"/>
  <c r="B1802" i="4"/>
  <c r="B1139" i="4"/>
  <c r="C477" i="4"/>
  <c r="G1986" i="4"/>
  <c r="L20" i="4"/>
  <c r="K1263" i="4"/>
  <c r="C1661" i="4"/>
  <c r="K1551" i="4"/>
  <c r="F1357" i="4"/>
  <c r="M1412" i="4"/>
  <c r="M1732" i="4"/>
  <c r="M1896" i="4"/>
  <c r="L1769" i="4"/>
  <c r="K1852" i="4"/>
  <c r="J618" i="4"/>
  <c r="G1931" i="4"/>
  <c r="K684" i="4"/>
  <c r="F1356" i="4"/>
  <c r="E1887" i="4"/>
  <c r="E929" i="4"/>
  <c r="I629" i="4"/>
  <c r="C1840" i="4"/>
  <c r="E927" i="4"/>
  <c r="G919" i="4"/>
  <c r="L367" i="4"/>
  <c r="D86" i="4"/>
  <c r="D764" i="4"/>
  <c r="M1508" i="4"/>
  <c r="B813" i="4"/>
  <c r="B1088" i="4"/>
  <c r="L1511" i="4"/>
  <c r="K277" i="4"/>
  <c r="C1463" i="4"/>
  <c r="L347" i="4"/>
  <c r="M1866" i="4"/>
  <c r="K1938" i="4"/>
  <c r="E1826" i="4"/>
  <c r="F1581" i="4"/>
  <c r="F1135" i="4"/>
  <c r="B423" i="4"/>
  <c r="G1546" i="4"/>
  <c r="L633" i="4"/>
  <c r="E1011" i="4"/>
  <c r="M1207" i="4"/>
  <c r="C710" i="4"/>
  <c r="M1899" i="4"/>
  <c r="F311" i="4"/>
  <c r="F619" i="4"/>
  <c r="E75" i="4"/>
  <c r="G840" i="4"/>
  <c r="G331" i="4"/>
  <c r="C1900" i="4"/>
  <c r="E1603" i="4"/>
  <c r="G111" i="4"/>
  <c r="C1797" i="4"/>
  <c r="C1704" i="4"/>
  <c r="C215" i="4"/>
  <c r="F119" i="4"/>
  <c r="K859" i="4"/>
  <c r="F299" i="4"/>
  <c r="B1665" i="4"/>
  <c r="M1419" i="4"/>
  <c r="F1670" i="4"/>
  <c r="I1278" i="4"/>
  <c r="L682" i="4"/>
  <c r="B1144" i="4"/>
  <c r="M894" i="4"/>
  <c r="D1592" i="4"/>
  <c r="M663" i="4"/>
  <c r="M1435" i="4"/>
  <c r="D618" i="4"/>
  <c r="D1075" i="4"/>
  <c r="D775" i="4"/>
  <c r="K1050" i="4"/>
  <c r="L664" i="4"/>
  <c r="C1159" i="4"/>
  <c r="F744" i="4"/>
  <c r="L638" i="4"/>
  <c r="C553" i="4"/>
  <c r="F1348" i="4"/>
  <c r="M542" i="4"/>
  <c r="D1681" i="4"/>
  <c r="D1303" i="4"/>
  <c r="F1788" i="4"/>
  <c r="G1879" i="4"/>
  <c r="B952" i="4"/>
  <c r="G1682" i="4"/>
  <c r="C1452" i="4"/>
  <c r="I1660" i="4"/>
  <c r="B733" i="4"/>
  <c r="F1258" i="4"/>
  <c r="F132" i="4"/>
  <c r="B365" i="4"/>
  <c r="D37" i="4"/>
  <c r="B1646" i="4"/>
  <c r="D430" i="4"/>
  <c r="F664" i="4"/>
  <c r="L1679" i="4"/>
  <c r="L1937" i="4"/>
  <c r="B1990" i="4"/>
  <c r="C482" i="4"/>
  <c r="B1163" i="4"/>
  <c r="B451" i="4"/>
  <c r="D1065" i="4"/>
  <c r="B1880" i="4"/>
  <c r="M1894" i="4"/>
  <c r="F555" i="4"/>
  <c r="K1886" i="4"/>
  <c r="F499" i="4"/>
  <c r="M1473" i="4"/>
  <c r="B331" i="4"/>
  <c r="L379" i="4"/>
  <c r="D443" i="4"/>
  <c r="J179" i="4"/>
  <c r="B92" i="4"/>
  <c r="B1933" i="4"/>
  <c r="K599" i="4"/>
  <c r="I1698" i="4"/>
  <c r="L1995" i="4"/>
  <c r="G1013" i="4"/>
  <c r="F749" i="4"/>
  <c r="M1566" i="4"/>
  <c r="B1372" i="4"/>
  <c r="G1088" i="4"/>
  <c r="I1827" i="4"/>
  <c r="K1876" i="4"/>
  <c r="B327" i="4"/>
  <c r="K1921" i="4"/>
  <c r="L1911" i="4"/>
  <c r="C1315" i="4"/>
  <c r="B224" i="4"/>
  <c r="L1394" i="4"/>
  <c r="J1939" i="4"/>
  <c r="F465" i="4"/>
  <c r="M1744" i="4"/>
  <c r="I1750" i="4"/>
  <c r="M658" i="4"/>
  <c r="K1449" i="4"/>
  <c r="C493" i="4"/>
  <c r="K1580" i="4"/>
  <c r="K1394" i="4"/>
  <c r="G1032" i="4"/>
  <c r="B1289" i="4"/>
  <c r="M1687" i="4"/>
  <c r="I1129" i="4"/>
  <c r="J1880" i="4"/>
  <c r="J1312" i="4"/>
  <c r="F152" i="4"/>
  <c r="D1989" i="4"/>
  <c r="K1473" i="4"/>
  <c r="D1133" i="4"/>
  <c r="L51" i="4"/>
  <c r="L1114" i="4"/>
  <c r="C1120" i="4"/>
  <c r="E1100" i="4"/>
  <c r="D535" i="4"/>
  <c r="C1583" i="4"/>
  <c r="B32" i="4"/>
  <c r="E1942" i="4"/>
  <c r="C112" i="4"/>
  <c r="M363" i="4"/>
  <c r="J1556" i="4"/>
  <c r="G207" i="4"/>
  <c r="C1449" i="4"/>
  <c r="G1192" i="4"/>
  <c r="B1421" i="4"/>
  <c r="D1327" i="4"/>
  <c r="M1492" i="4"/>
  <c r="C1166" i="4"/>
  <c r="B736" i="4"/>
  <c r="C805" i="4"/>
  <c r="B1388" i="4"/>
  <c r="C234" i="4"/>
  <c r="L580" i="4"/>
  <c r="K1105" i="4"/>
  <c r="F1521" i="4"/>
  <c r="K1066" i="4"/>
  <c r="D1764" i="4"/>
  <c r="E1720" i="4"/>
  <c r="I1104" i="4"/>
  <c r="F291" i="4"/>
  <c r="E1635" i="4"/>
  <c r="C678" i="4"/>
  <c r="C1727" i="4"/>
  <c r="K1536" i="4"/>
  <c r="D908" i="4"/>
  <c r="D1229" i="4"/>
  <c r="K1979" i="4"/>
  <c r="B1758" i="4"/>
  <c r="B1845" i="4"/>
  <c r="L1907" i="4"/>
  <c r="C261" i="4"/>
  <c r="G341" i="4"/>
  <c r="F1473" i="4"/>
  <c r="D1522" i="4"/>
  <c r="M2000" i="4"/>
  <c r="M1256" i="4"/>
  <c r="E1042" i="4"/>
  <c r="F1916" i="4"/>
  <c r="B1834" i="4"/>
  <c r="I1726" i="4"/>
  <c r="M295" i="4"/>
  <c r="C1749" i="4"/>
  <c r="F1132" i="4"/>
  <c r="B1464" i="4"/>
  <c r="K1969" i="4"/>
  <c r="G513" i="4"/>
  <c r="F422" i="4"/>
  <c r="E1565" i="4"/>
  <c r="G41" i="4"/>
  <c r="K56" i="4"/>
  <c r="C1581" i="4"/>
  <c r="D1026" i="4"/>
  <c r="C1190" i="4"/>
  <c r="K703" i="4"/>
  <c r="F921" i="4"/>
  <c r="B1000" i="4"/>
  <c r="G682" i="4"/>
  <c r="K898" i="4"/>
  <c r="L1772" i="4"/>
  <c r="D1125" i="4"/>
  <c r="D260" i="4"/>
  <c r="E426" i="4"/>
  <c r="B317" i="4"/>
  <c r="G1613" i="4"/>
  <c r="L501" i="4"/>
  <c r="F1421" i="4"/>
  <c r="M1593" i="4"/>
  <c r="C435" i="4"/>
  <c r="L712" i="4"/>
  <c r="K1888" i="4"/>
  <c r="L1941" i="4"/>
  <c r="G1912" i="4"/>
  <c r="E1331" i="4"/>
  <c r="E278" i="4"/>
  <c r="F1858" i="4"/>
  <c r="B507" i="4"/>
  <c r="K689" i="4"/>
  <c r="I539" i="4"/>
  <c r="C1426" i="4"/>
  <c r="L1919" i="4"/>
  <c r="B617" i="4"/>
  <c r="B1972" i="4"/>
  <c r="L1813" i="4"/>
  <c r="F940" i="4"/>
  <c r="D1561" i="4"/>
  <c r="B1896" i="4"/>
  <c r="F194" i="4"/>
  <c r="C1218" i="4"/>
  <c r="G460" i="4"/>
  <c r="L1402" i="4"/>
  <c r="J1095" i="4"/>
  <c r="G521" i="4"/>
  <c r="G804" i="4"/>
  <c r="G403" i="4"/>
  <c r="K718" i="4"/>
  <c r="B1067" i="4"/>
  <c r="C104" i="4"/>
  <c r="F1213" i="4"/>
  <c r="I1866" i="4"/>
  <c r="I1677" i="4"/>
  <c r="M1880" i="4"/>
  <c r="L1537" i="4"/>
  <c r="L1653" i="4"/>
  <c r="E240" i="4"/>
  <c r="L502" i="4"/>
  <c r="L1233" i="4"/>
  <c r="E204" i="4"/>
  <c r="M1847" i="4"/>
  <c r="L1074" i="4"/>
  <c r="C309" i="4"/>
  <c r="D371" i="4"/>
  <c r="M1399" i="4"/>
  <c r="C250" i="4"/>
  <c r="C478" i="4"/>
  <c r="B127" i="4"/>
  <c r="E1076" i="4"/>
  <c r="E609" i="4"/>
  <c r="K974" i="4"/>
  <c r="K51" i="4"/>
  <c r="K1870" i="4"/>
  <c r="F146" i="4"/>
  <c r="K2005" i="4"/>
  <c r="B1747" i="4"/>
  <c r="L742" i="4"/>
  <c r="C1280" i="4"/>
  <c r="D126" i="4"/>
  <c r="C1807" i="4"/>
  <c r="K991" i="4"/>
  <c r="C1782" i="4"/>
  <c r="G1405" i="4"/>
  <c r="D1526" i="4"/>
  <c r="F855" i="4"/>
  <c r="L511" i="4"/>
  <c r="D836" i="4"/>
  <c r="G1652" i="4"/>
  <c r="J1085" i="4"/>
  <c r="I937" i="4"/>
  <c r="K1825" i="4"/>
  <c r="L1479" i="4"/>
  <c r="E1599" i="4"/>
  <c r="B1246" i="4"/>
  <c r="M1788" i="4"/>
  <c r="J1171" i="4"/>
  <c r="F425" i="4"/>
  <c r="L1163" i="4"/>
  <c r="E912" i="4"/>
  <c r="C1213" i="4"/>
  <c r="B726" i="4"/>
  <c r="F1935" i="4"/>
  <c r="L337" i="4"/>
  <c r="G1424" i="4"/>
  <c r="K1503" i="4"/>
  <c r="E1902" i="4"/>
  <c r="M1524" i="4"/>
  <c r="B1417" i="4"/>
  <c r="G277" i="4"/>
  <c r="L706" i="4"/>
  <c r="K1896" i="4"/>
  <c r="K873" i="4"/>
  <c r="B1089" i="4"/>
  <c r="F1402" i="4"/>
  <c r="C1125" i="4"/>
  <c r="J1038" i="4"/>
  <c r="G489" i="4"/>
  <c r="L821" i="4"/>
  <c r="B255" i="4"/>
  <c r="E1960" i="4"/>
  <c r="M1087" i="4"/>
  <c r="K771" i="4"/>
  <c r="K1317" i="4"/>
  <c r="G1474" i="4"/>
  <c r="G1693" i="4"/>
  <c r="C1199" i="4"/>
  <c r="G1756" i="4"/>
  <c r="E717" i="4"/>
  <c r="K1457" i="4"/>
  <c r="C1937" i="4"/>
  <c r="M552" i="4"/>
  <c r="J1078" i="4"/>
  <c r="K305" i="4"/>
  <c r="K1560" i="4"/>
  <c r="D1354" i="4"/>
  <c r="F1117" i="4"/>
  <c r="G1172" i="4"/>
  <c r="L992" i="4"/>
  <c r="D702" i="4"/>
  <c r="C1565" i="4"/>
  <c r="D1422" i="4"/>
  <c r="G1990" i="4"/>
  <c r="M882" i="4"/>
  <c r="J1731" i="4"/>
  <c r="J1795" i="4"/>
  <c r="D1462" i="4"/>
  <c r="L1222" i="4"/>
  <c r="D1477" i="4"/>
  <c r="L1622" i="4"/>
  <c r="C441" i="4"/>
  <c r="G1227" i="4"/>
  <c r="F971" i="4"/>
  <c r="F758" i="4"/>
  <c r="G760" i="4"/>
  <c r="C749" i="4"/>
  <c r="K1851" i="4"/>
  <c r="L792" i="4"/>
  <c r="F1500" i="4"/>
  <c r="L653" i="4"/>
  <c r="I734" i="4"/>
  <c r="B132" i="4"/>
  <c r="E275" i="4"/>
  <c r="D1282" i="4"/>
  <c r="K1087" i="4"/>
  <c r="L818" i="4"/>
  <c r="E1316" i="4"/>
  <c r="C438" i="4"/>
  <c r="L1819" i="4"/>
  <c r="E1632" i="4"/>
  <c r="F906" i="4"/>
  <c r="F479" i="4"/>
  <c r="L1523" i="4"/>
  <c r="B1461" i="4"/>
  <c r="L1999" i="4"/>
  <c r="L801" i="4"/>
  <c r="E1089" i="4"/>
  <c r="D1627" i="4"/>
  <c r="M1502" i="4"/>
  <c r="G1371" i="4"/>
  <c r="B1080" i="4"/>
  <c r="C387" i="4"/>
  <c r="K1459" i="4"/>
  <c r="B920" i="4"/>
  <c r="K985" i="4"/>
  <c r="F1288" i="4"/>
  <c r="F1784" i="4"/>
  <c r="L1846" i="4"/>
  <c r="D1889" i="4"/>
  <c r="J779" i="4"/>
  <c r="D1550" i="4"/>
  <c r="G2004" i="4"/>
  <c r="L1701" i="4"/>
  <c r="B1614" i="4"/>
  <c r="F393" i="4"/>
  <c r="K519" i="4"/>
  <c r="F1682" i="4"/>
  <c r="K1241" i="4"/>
  <c r="E1809" i="4"/>
  <c r="E1638" i="4"/>
  <c r="B111" i="4"/>
  <c r="M1321" i="4"/>
  <c r="E1828" i="4"/>
  <c r="G1002" i="4"/>
  <c r="G1661" i="4"/>
  <c r="L884" i="4"/>
  <c r="F1593" i="4"/>
  <c r="C1290" i="4"/>
  <c r="D1802" i="4"/>
  <c r="B770" i="4"/>
  <c r="C84" i="4"/>
  <c r="M1541" i="4"/>
  <c r="G843" i="4"/>
  <c r="D1827" i="4"/>
  <c r="L998" i="4"/>
  <c r="C826" i="4"/>
  <c r="L1107" i="4"/>
  <c r="F796" i="4"/>
  <c r="K1843" i="4"/>
  <c r="L1632" i="4"/>
  <c r="D651" i="4"/>
  <c r="B346" i="4"/>
  <c r="K890" i="4"/>
  <c r="B1200" i="4"/>
  <c r="F1355" i="4"/>
  <c r="M672" i="4"/>
  <c r="E851" i="4"/>
  <c r="G1353" i="4"/>
  <c r="L598" i="4"/>
  <c r="K1123" i="4"/>
  <c r="I1929" i="4"/>
  <c r="E1863" i="4"/>
  <c r="C1351" i="4"/>
  <c r="G1018" i="4"/>
  <c r="M1138" i="4"/>
  <c r="C1327" i="4"/>
  <c r="L1271" i="4"/>
  <c r="E1197" i="4"/>
  <c r="K350" i="4"/>
  <c r="I606" i="4"/>
  <c r="L1886" i="4"/>
  <c r="G1465" i="4"/>
  <c r="F914" i="4"/>
  <c r="G535" i="4"/>
  <c r="E997" i="4"/>
  <c r="C1639" i="4"/>
  <c r="C285" i="4"/>
  <c r="B1410" i="4"/>
  <c r="K203" i="4"/>
  <c r="M681" i="4"/>
  <c r="K574" i="4"/>
  <c r="M840" i="4"/>
  <c r="I483" i="4"/>
  <c r="E355" i="4"/>
  <c r="M1888" i="4"/>
  <c r="F598" i="4"/>
  <c r="G1479" i="4"/>
  <c r="E846" i="4"/>
  <c r="D1459" i="4"/>
  <c r="C1147" i="4"/>
  <c r="B1516" i="4"/>
  <c r="E905" i="4"/>
  <c r="D466" i="4"/>
  <c r="F905" i="4"/>
  <c r="M84" i="4"/>
  <c r="E1778" i="4"/>
  <c r="C1993" i="4"/>
  <c r="J1639" i="4"/>
  <c r="G1694" i="4"/>
  <c r="L213" i="4"/>
  <c r="M85" i="4"/>
  <c r="C209" i="4"/>
  <c r="I1008" i="4"/>
  <c r="G1187" i="4"/>
  <c r="C504" i="4"/>
  <c r="G1001" i="4"/>
  <c r="G1599" i="4"/>
  <c r="K605" i="4"/>
  <c r="D16" i="4"/>
  <c r="J1011" i="4"/>
  <c r="J1080" i="4"/>
  <c r="M1563" i="4"/>
  <c r="G2005" i="4"/>
  <c r="B21" i="4"/>
  <c r="M1774" i="4"/>
  <c r="E1518" i="4"/>
  <c r="L1732" i="4"/>
  <c r="L85" i="4"/>
  <c r="F292" i="4"/>
  <c r="D1239" i="4"/>
  <c r="G42" i="4"/>
  <c r="F308" i="4"/>
  <c r="D586" i="4"/>
  <c r="D3" i="4"/>
  <c r="C466" i="4"/>
  <c r="C1683" i="4"/>
  <c r="B1632" i="4"/>
  <c r="M981" i="4"/>
  <c r="L1430" i="4"/>
  <c r="G1370" i="4"/>
  <c r="K502" i="4"/>
  <c r="K1771" i="4"/>
  <c r="M1496" i="4"/>
  <c r="B1807" i="4"/>
  <c r="E1817" i="4"/>
  <c r="L485" i="4"/>
  <c r="E1545" i="4"/>
  <c r="M491" i="4"/>
  <c r="D483" i="4"/>
  <c r="K1209" i="4"/>
  <c r="L1384" i="4"/>
  <c r="K765" i="4"/>
  <c r="F1334" i="4"/>
  <c r="D1978" i="4"/>
  <c r="C719" i="4"/>
  <c r="G1478" i="4"/>
  <c r="I1796" i="4"/>
  <c r="B1452" i="4"/>
  <c r="B1171" i="4"/>
  <c r="C1695" i="4"/>
  <c r="B1021" i="4"/>
  <c r="I1728" i="4"/>
  <c r="M857" i="4"/>
  <c r="D1965" i="4"/>
  <c r="G1853" i="4"/>
  <c r="C1938" i="4"/>
  <c r="D1384" i="4"/>
  <c r="M191" i="4"/>
  <c r="C802" i="4"/>
  <c r="C1056" i="4"/>
  <c r="E1081" i="4"/>
  <c r="G1573" i="4"/>
  <c r="F1648" i="4"/>
  <c r="E671" i="4"/>
  <c r="E207" i="4"/>
  <c r="M962" i="4"/>
  <c r="L822" i="4"/>
  <c r="L1810" i="4"/>
  <c r="K1425" i="4"/>
  <c r="F1002" i="4"/>
  <c r="C447" i="4"/>
  <c r="L1082" i="4"/>
  <c r="K423" i="4"/>
  <c r="F1019" i="4"/>
  <c r="J781" i="4"/>
  <c r="K128" i="4"/>
  <c r="M1540" i="4"/>
  <c r="L1851" i="4"/>
  <c r="K1032" i="4"/>
  <c r="G62" i="4"/>
  <c r="E594" i="4"/>
  <c r="J522" i="4"/>
  <c r="C1584" i="4"/>
  <c r="F1852" i="4"/>
  <c r="K999" i="4"/>
  <c r="D150" i="4"/>
  <c r="B649" i="4"/>
  <c r="L1781" i="4"/>
  <c r="C1927" i="4"/>
  <c r="B1551" i="4"/>
  <c r="M1959" i="4"/>
  <c r="E1352" i="4"/>
  <c r="F1150" i="4"/>
  <c r="M101" i="4"/>
  <c r="C1021" i="4"/>
  <c r="C933" i="4"/>
  <c r="L1328" i="4"/>
  <c r="D1378" i="4"/>
  <c r="L429" i="4"/>
  <c r="E772" i="4"/>
  <c r="M1315" i="4"/>
  <c r="K135" i="4"/>
  <c r="L1240" i="4"/>
  <c r="L630" i="4"/>
  <c r="G788" i="4"/>
  <c r="K1375" i="4"/>
  <c r="L1817" i="4"/>
  <c r="M1531" i="4"/>
  <c r="B1805" i="4"/>
  <c r="M1266" i="4"/>
  <c r="F1118" i="4"/>
  <c r="B330" i="4"/>
  <c r="M567" i="4"/>
  <c r="G1488" i="4"/>
  <c r="C773" i="4"/>
  <c r="G1907" i="4"/>
  <c r="K1772" i="4"/>
  <c r="B1584" i="4"/>
  <c r="C1658" i="4"/>
  <c r="B1490" i="4"/>
  <c r="D1247" i="4"/>
  <c r="E1729" i="4"/>
  <c r="L1349" i="4"/>
  <c r="B918" i="4"/>
  <c r="B90" i="4"/>
  <c r="E1596" i="4"/>
  <c r="E827" i="4"/>
  <c r="F1497" i="4"/>
  <c r="D302" i="4"/>
  <c r="K386" i="4"/>
  <c r="F780" i="4"/>
  <c r="C1803" i="4"/>
  <c r="D1504" i="4"/>
  <c r="B1022" i="4"/>
  <c r="C1480" i="4"/>
  <c r="G1555" i="4"/>
  <c r="L1671" i="4"/>
  <c r="B1606" i="4"/>
  <c r="E727" i="4"/>
  <c r="E1660" i="4"/>
  <c r="G1051" i="4"/>
  <c r="M1341" i="4"/>
  <c r="M42" i="4"/>
  <c r="G687" i="4"/>
  <c r="B981" i="4"/>
  <c r="B83" i="4"/>
  <c r="G1134" i="4"/>
  <c r="M1769" i="4"/>
  <c r="B1963" i="4"/>
  <c r="I1500" i="4"/>
  <c r="C653" i="4"/>
  <c r="K228" i="4"/>
  <c r="B2000" i="4"/>
  <c r="D554" i="4"/>
  <c r="G61" i="4"/>
  <c r="G934" i="4"/>
  <c r="E1886" i="4"/>
  <c r="I1733" i="4"/>
  <c r="L1614" i="4"/>
  <c r="C1440" i="4"/>
  <c r="C1951" i="4"/>
  <c r="E801" i="4"/>
  <c r="M1618" i="4"/>
  <c r="G1900" i="4"/>
  <c r="J1873" i="4"/>
  <c r="L1091" i="4"/>
  <c r="J1154" i="4"/>
  <c r="K139" i="4"/>
  <c r="J1302" i="4"/>
  <c r="C934" i="4"/>
  <c r="M474" i="4"/>
  <c r="F399" i="4"/>
  <c r="C1590" i="4"/>
  <c r="D468" i="4"/>
  <c r="E1795" i="4"/>
  <c r="B1129" i="4"/>
  <c r="B1620" i="4"/>
  <c r="G1483" i="4"/>
  <c r="B862" i="4"/>
  <c r="K762" i="4"/>
  <c r="J825" i="4"/>
  <c r="K1190" i="4"/>
  <c r="G1698" i="4"/>
  <c r="M1683" i="4"/>
  <c r="I1940" i="4"/>
  <c r="G1945" i="4"/>
  <c r="M1670" i="4"/>
  <c r="F1930" i="4"/>
  <c r="M185" i="4"/>
  <c r="M831" i="4"/>
  <c r="K1419" i="4"/>
  <c r="K1533" i="4"/>
  <c r="J398" i="4"/>
  <c r="L1692" i="4"/>
  <c r="F1831" i="4"/>
  <c r="B1541" i="4"/>
  <c r="K1652" i="4"/>
  <c r="B408" i="4"/>
  <c r="K745" i="4"/>
  <c r="F40" i="4"/>
  <c r="B1209" i="4"/>
  <c r="G995" i="4"/>
  <c r="I1569" i="4"/>
  <c r="D1615" i="4"/>
  <c r="I1454" i="4"/>
  <c r="J971" i="4"/>
  <c r="G1494" i="4"/>
  <c r="I1069" i="4"/>
  <c r="D1556" i="4"/>
  <c r="D823" i="4"/>
  <c r="I1480" i="4"/>
  <c r="L1100" i="4"/>
  <c r="G1519" i="4"/>
  <c r="B585" i="4"/>
  <c r="C1061" i="4"/>
  <c r="G942" i="4"/>
  <c r="B1761" i="4"/>
  <c r="E1719" i="4"/>
  <c r="K1848" i="4"/>
  <c r="G1105" i="4"/>
  <c r="D1533" i="4"/>
  <c r="K829" i="4"/>
  <c r="M462" i="4"/>
  <c r="I18" i="4"/>
  <c r="B799" i="4"/>
  <c r="D394" i="4"/>
  <c r="D1002" i="4"/>
  <c r="K1776" i="4"/>
  <c r="G1892" i="4"/>
  <c r="F1023" i="4"/>
  <c r="F118" i="4"/>
  <c r="J1165" i="4"/>
  <c r="I1672" i="4"/>
  <c r="D350" i="4"/>
  <c r="I135" i="4"/>
  <c r="I1051" i="4"/>
  <c r="C1358" i="4"/>
  <c r="G486" i="4"/>
  <c r="K1681" i="4"/>
  <c r="E7" i="4"/>
  <c r="K393" i="4"/>
  <c r="I845" i="4"/>
  <c r="C151" i="4"/>
  <c r="M440" i="4"/>
  <c r="G1452" i="4"/>
  <c r="M705" i="4"/>
  <c r="M49" i="4"/>
  <c r="J698" i="4"/>
  <c r="K1650" i="4"/>
  <c r="J1810" i="4"/>
  <c r="L1488" i="4"/>
  <c r="D1814" i="4"/>
  <c r="M921" i="4"/>
  <c r="K526" i="4"/>
  <c r="L1109" i="4"/>
  <c r="I1270" i="4"/>
  <c r="G323" i="4"/>
  <c r="M341" i="4"/>
  <c r="F1016" i="4"/>
  <c r="K217" i="4"/>
  <c r="I452" i="4"/>
  <c r="C188" i="4"/>
  <c r="L387" i="4"/>
  <c r="L1062" i="4"/>
  <c r="J181" i="4"/>
  <c r="I159" i="4"/>
  <c r="J266" i="4"/>
  <c r="D266" i="4"/>
  <c r="F1470" i="4"/>
  <c r="G1007" i="4"/>
  <c r="D888" i="4"/>
  <c r="D582" i="4"/>
  <c r="J823" i="4"/>
  <c r="J1450" i="4"/>
  <c r="J57" i="4"/>
  <c r="I602" i="4"/>
  <c r="M359" i="4"/>
  <c r="K15" i="4"/>
  <c r="C1224" i="4"/>
  <c r="E679" i="4"/>
  <c r="E916" i="4"/>
  <c r="L646" i="4"/>
  <c r="I909" i="4"/>
  <c r="K1470" i="4"/>
  <c r="I1769" i="4"/>
  <c r="G78" i="4"/>
  <c r="G192" i="4"/>
  <c r="E663" i="4"/>
  <c r="C1138" i="4"/>
  <c r="B1061" i="4"/>
  <c r="E1394" i="4"/>
  <c r="J1668" i="4"/>
  <c r="M129" i="4"/>
  <c r="C613" i="4"/>
  <c r="B154" i="4"/>
  <c r="B1784" i="4"/>
  <c r="L1472" i="4"/>
  <c r="J1929" i="4"/>
  <c r="D943" i="4"/>
  <c r="C759" i="4"/>
  <c r="I443" i="4"/>
  <c r="I874" i="4"/>
  <c r="F440" i="4"/>
  <c r="J492" i="4"/>
  <c r="G1366" i="4"/>
  <c r="G975" i="4"/>
  <c r="L1299" i="4"/>
  <c r="F1615" i="4"/>
  <c r="C1483" i="4"/>
  <c r="F1738" i="4"/>
  <c r="M324" i="4"/>
  <c r="C842" i="4"/>
  <c r="E1970" i="4"/>
  <c r="L897" i="4"/>
  <c r="F178" i="4"/>
  <c r="K866" i="4"/>
  <c r="B53" i="4"/>
  <c r="J1006" i="4"/>
  <c r="E1474" i="4"/>
  <c r="L1495" i="4"/>
  <c r="C608" i="4"/>
  <c r="L881" i="4"/>
  <c r="E1194" i="4"/>
  <c r="K970" i="4"/>
  <c r="I361" i="4"/>
  <c r="F1153" i="4"/>
  <c r="D1045" i="4"/>
  <c r="K617" i="4"/>
  <c r="E983" i="4"/>
  <c r="M1879" i="4"/>
  <c r="G517" i="4"/>
  <c r="B536" i="4"/>
  <c r="D1844" i="4"/>
  <c r="G1163" i="4"/>
  <c r="J1695" i="4"/>
  <c r="L1334" i="4"/>
  <c r="K1724" i="4"/>
  <c r="L1587" i="4"/>
  <c r="I1155" i="4"/>
  <c r="L812" i="4"/>
  <c r="C1504" i="4"/>
  <c r="I1807" i="4"/>
  <c r="K329" i="4"/>
  <c r="C1888" i="4"/>
  <c r="E1282" i="4"/>
  <c r="L940" i="4"/>
  <c r="F622" i="4"/>
  <c r="F200" i="4"/>
  <c r="G543" i="4"/>
  <c r="B356" i="4"/>
  <c r="G369" i="4"/>
  <c r="C1433" i="4"/>
  <c r="B246" i="4"/>
  <c r="J1859" i="4"/>
  <c r="M1946" i="4"/>
  <c r="I1954" i="4"/>
  <c r="F1904" i="4"/>
  <c r="D392" i="4"/>
  <c r="E1658" i="4"/>
  <c r="G184" i="4"/>
  <c r="M1934" i="4"/>
  <c r="F625" i="4"/>
  <c r="G1422" i="4"/>
  <c r="L1580" i="4"/>
  <c r="M1139" i="4"/>
  <c r="F1114" i="4"/>
  <c r="B1036" i="4"/>
  <c r="G1943" i="4"/>
  <c r="M1973" i="4"/>
  <c r="M334" i="4"/>
  <c r="F1901" i="4"/>
  <c r="E643" i="4"/>
  <c r="C1261" i="4"/>
  <c r="J929" i="4"/>
  <c r="E534" i="4"/>
  <c r="L1574" i="4"/>
  <c r="K1606" i="4"/>
  <c r="F1225" i="4"/>
  <c r="E1323" i="4"/>
  <c r="F1179" i="4"/>
  <c r="D1738" i="4"/>
  <c r="J211" i="4"/>
  <c r="M763" i="4"/>
  <c r="K1795" i="4"/>
  <c r="E724" i="4"/>
  <c r="M1592" i="4"/>
  <c r="M1129" i="4"/>
  <c r="E1115" i="4"/>
  <c r="D1950" i="4"/>
  <c r="C1562" i="4"/>
  <c r="B1856" i="4"/>
  <c r="E1734" i="4"/>
  <c r="K1504" i="4"/>
  <c r="G940" i="4"/>
  <c r="D1631" i="4"/>
  <c r="F1104" i="4"/>
  <c r="E1869" i="4"/>
  <c r="D1053" i="4"/>
  <c r="E1503" i="4"/>
  <c r="J2005" i="4"/>
  <c r="G1889" i="4"/>
  <c r="K1668" i="4"/>
  <c r="L1141" i="4"/>
  <c r="K1237" i="4"/>
  <c r="B1895" i="4"/>
  <c r="F1980" i="4"/>
  <c r="G1224" i="4"/>
  <c r="K268" i="4"/>
  <c r="D939" i="4"/>
  <c r="D1877" i="4"/>
  <c r="M307" i="4"/>
  <c r="K1045" i="4"/>
  <c r="M1147" i="4"/>
  <c r="J114" i="4"/>
  <c r="C33" i="4"/>
  <c r="G1312" i="4"/>
  <c r="K87" i="4"/>
  <c r="B1955" i="4"/>
  <c r="C1857" i="4"/>
  <c r="B765" i="4"/>
  <c r="M702" i="4"/>
  <c r="C1051" i="4"/>
  <c r="J1982" i="4"/>
  <c r="D1190" i="4"/>
  <c r="D1723" i="4"/>
  <c r="D761" i="4"/>
  <c r="K1057" i="4"/>
  <c r="C716" i="4"/>
  <c r="B1637" i="4"/>
  <c r="G1625" i="4"/>
  <c r="C371" i="4"/>
  <c r="F643" i="4"/>
  <c r="L1446" i="4"/>
  <c r="M1965" i="4"/>
  <c r="B129" i="4"/>
  <c r="F438" i="4"/>
  <c r="G1659" i="4"/>
  <c r="B1406" i="4"/>
  <c r="G1068" i="4"/>
  <c r="C1943" i="4"/>
  <c r="B889" i="4"/>
  <c r="G1667" i="4"/>
  <c r="B1759" i="4"/>
  <c r="E875" i="4"/>
  <c r="I971" i="4"/>
  <c r="E1342" i="4"/>
  <c r="K1484" i="4"/>
  <c r="L991" i="4"/>
  <c r="D1837" i="4"/>
  <c r="B619" i="4"/>
  <c r="B712" i="4"/>
  <c r="I1917" i="4"/>
  <c r="B1360" i="4"/>
  <c r="L759" i="4"/>
  <c r="F1479" i="4"/>
  <c r="K1078" i="4"/>
  <c r="C1986" i="4"/>
  <c r="D1571" i="4"/>
  <c r="K285" i="4"/>
  <c r="D283" i="4"/>
  <c r="L1125" i="4"/>
  <c r="L621" i="4"/>
  <c r="D707" i="4"/>
  <c r="K1424" i="4"/>
  <c r="D1832" i="4"/>
  <c r="G1799" i="4"/>
  <c r="F1769" i="4"/>
  <c r="G1572" i="4"/>
  <c r="D1487" i="4"/>
  <c r="M1958" i="4"/>
  <c r="G663" i="4"/>
  <c r="B448" i="4"/>
  <c r="D1700" i="4"/>
  <c r="M1291" i="4"/>
  <c r="K1271" i="4"/>
  <c r="B1517" i="4"/>
  <c r="J422" i="4"/>
  <c r="L1695" i="4"/>
  <c r="K1513" i="4"/>
  <c r="D1730" i="4"/>
  <c r="M1476" i="4"/>
  <c r="L769" i="4"/>
  <c r="K752" i="4"/>
  <c r="L784" i="4"/>
  <c r="I1441" i="4"/>
  <c r="K611" i="4"/>
  <c r="C884" i="4"/>
  <c r="D994" i="4"/>
  <c r="B811" i="4"/>
  <c r="F1070" i="4"/>
  <c r="L1149" i="4"/>
  <c r="G786" i="4"/>
  <c r="F903" i="4"/>
  <c r="F1030" i="4"/>
  <c r="L1393" i="4"/>
  <c r="E1800" i="4"/>
  <c r="B1217" i="4"/>
  <c r="D1158" i="4"/>
  <c r="M106" i="4"/>
  <c r="C1192" i="4"/>
  <c r="M1314" i="4"/>
  <c r="K1554" i="4"/>
  <c r="M1230" i="4"/>
  <c r="K1257" i="4"/>
  <c r="K732" i="4"/>
  <c r="I1158" i="4"/>
  <c r="F935" i="4"/>
  <c r="D1395" i="4"/>
  <c r="J456" i="4"/>
  <c r="J472" i="4"/>
  <c r="B1074" i="4"/>
  <c r="F1888" i="4"/>
  <c r="C82" i="4"/>
  <c r="E883" i="4"/>
  <c r="K1304" i="4"/>
  <c r="D735" i="4"/>
  <c r="K1490" i="4"/>
  <c r="B1813" i="4"/>
  <c r="E1449" i="4"/>
  <c r="G196" i="4"/>
  <c r="B309" i="4"/>
  <c r="C1737" i="4"/>
  <c r="J856" i="4"/>
  <c r="L2004" i="4"/>
  <c r="L1027" i="4"/>
  <c r="E1043" i="4"/>
  <c r="L1729" i="4"/>
  <c r="M184" i="4"/>
  <c r="K470" i="4"/>
  <c r="L1616" i="4"/>
  <c r="C1841" i="4"/>
  <c r="M1890" i="4"/>
  <c r="K739" i="4"/>
  <c r="B470" i="4"/>
  <c r="E1646" i="4"/>
  <c r="K473" i="4"/>
  <c r="F1544" i="4"/>
  <c r="K1206" i="4"/>
  <c r="E811" i="4"/>
  <c r="C405" i="4"/>
  <c r="J1951" i="4"/>
  <c r="M756" i="4"/>
  <c r="B792" i="4"/>
  <c r="M103" i="4"/>
  <c r="G1396" i="4"/>
  <c r="F1771" i="4"/>
  <c r="E1466" i="4"/>
  <c r="M1154" i="4"/>
  <c r="C1990" i="4"/>
  <c r="F1268" i="4"/>
  <c r="G1843" i="4"/>
  <c r="K1301" i="4"/>
  <c r="G1509" i="4"/>
  <c r="D991" i="4"/>
  <c r="K107" i="4"/>
  <c r="D1143" i="4"/>
  <c r="C1706" i="4"/>
  <c r="J1379" i="4"/>
  <c r="D1916" i="4"/>
  <c r="M1070" i="4"/>
  <c r="D1931" i="4"/>
  <c r="L1069" i="4"/>
  <c r="B738" i="4"/>
  <c r="L1538" i="4"/>
  <c r="K1398" i="4"/>
  <c r="G657" i="4"/>
  <c r="I414" i="4"/>
  <c r="D1821" i="4"/>
  <c r="L150" i="4"/>
  <c r="F634" i="4"/>
  <c r="K1414" i="4"/>
  <c r="L1992" i="4"/>
  <c r="L1721" i="4"/>
  <c r="E1269" i="4"/>
  <c r="M726" i="4"/>
  <c r="L1461" i="4"/>
  <c r="I1433" i="4"/>
  <c r="D935" i="4"/>
  <c r="B312" i="4"/>
  <c r="J722" i="4"/>
  <c r="L950" i="4"/>
  <c r="M1919" i="4"/>
  <c r="E1966" i="4"/>
  <c r="M1123" i="4"/>
  <c r="D1387" i="4"/>
  <c r="M1928" i="4"/>
  <c r="L866" i="4"/>
  <c r="G1714" i="4"/>
  <c r="G502" i="4"/>
  <c r="K1696" i="4"/>
  <c r="G1660" i="4"/>
  <c r="E194" i="4"/>
  <c r="G1381" i="4"/>
  <c r="C501" i="4"/>
  <c r="L1578" i="4"/>
  <c r="M1011" i="4"/>
  <c r="M1775" i="4"/>
  <c r="B1878" i="4"/>
  <c r="D284" i="4"/>
  <c r="B768" i="4"/>
  <c r="G812" i="4"/>
  <c r="C1347" i="4"/>
  <c r="K147" i="4"/>
  <c r="B1730" i="4"/>
  <c r="B1900" i="4"/>
  <c r="E655" i="4"/>
  <c r="G679" i="4"/>
  <c r="I1386" i="4"/>
  <c r="B1559" i="4"/>
  <c r="F1547" i="4"/>
  <c r="D1694" i="4"/>
  <c r="G1985" i="4"/>
  <c r="C681" i="4"/>
  <c r="M247" i="4"/>
  <c r="C372" i="4"/>
  <c r="D1323" i="4"/>
  <c r="B514" i="4"/>
  <c r="B191" i="4"/>
  <c r="F1383" i="4"/>
  <c r="J701" i="4"/>
  <c r="B1468" i="4"/>
  <c r="B1962" i="4"/>
  <c r="B1066" i="4"/>
  <c r="M1729" i="4"/>
  <c r="K1346" i="4"/>
  <c r="J1868" i="4"/>
  <c r="K1877" i="4"/>
  <c r="L1521" i="4"/>
  <c r="C1921" i="4"/>
  <c r="K1493" i="4"/>
  <c r="F775" i="4"/>
  <c r="G1911" i="4"/>
  <c r="B1445" i="4"/>
  <c r="J1340" i="4"/>
  <c r="F297" i="4"/>
  <c r="E1650" i="4"/>
  <c r="K298" i="4"/>
  <c r="D1898" i="4"/>
  <c r="J1282" i="4"/>
  <c r="J1145" i="4"/>
  <c r="B176" i="4"/>
  <c r="I1930" i="4"/>
  <c r="E267" i="4"/>
  <c r="M895" i="4"/>
  <c r="I420" i="4"/>
  <c r="F1454" i="4"/>
  <c r="F15" i="4"/>
  <c r="I1029" i="4"/>
  <c r="I1933" i="4"/>
  <c r="I141" i="4"/>
  <c r="E620" i="4"/>
  <c r="D96" i="4"/>
  <c r="G146" i="4"/>
  <c r="J1251" i="4"/>
  <c r="F51" i="4"/>
  <c r="C98" i="4"/>
  <c r="E1698" i="4"/>
  <c r="J1192" i="4"/>
  <c r="C27" i="4"/>
  <c r="C306" i="4"/>
  <c r="K1445" i="4"/>
  <c r="E1173" i="4"/>
  <c r="B809" i="4"/>
  <c r="K281" i="4"/>
  <c r="E840" i="4"/>
  <c r="D1741" i="4"/>
  <c r="K521" i="4"/>
  <c r="G1449" i="4"/>
  <c r="C1429" i="4"/>
  <c r="G1773" i="4"/>
  <c r="C360" i="4"/>
  <c r="J762" i="4"/>
  <c r="J599" i="4"/>
  <c r="L709" i="4"/>
  <c r="J91" i="4"/>
  <c r="C191" i="4"/>
  <c r="I86" i="4"/>
  <c r="D563" i="4"/>
  <c r="I1832" i="4"/>
  <c r="G1867" i="4"/>
  <c r="B1020" i="4"/>
  <c r="J1452" i="4"/>
  <c r="D261" i="4"/>
  <c r="M1597" i="4"/>
  <c r="G949" i="4"/>
  <c r="K341" i="4"/>
  <c r="I1524" i="4"/>
  <c r="M608" i="4"/>
  <c r="F1211" i="4"/>
  <c r="I876" i="4"/>
  <c r="K1256" i="4"/>
  <c r="J662" i="4"/>
  <c r="B1236" i="4"/>
  <c r="F451" i="4"/>
  <c r="B225" i="4"/>
  <c r="J1010" i="4"/>
  <c r="M566" i="4"/>
  <c r="F1065" i="4"/>
  <c r="G308" i="4"/>
  <c r="E304" i="4"/>
  <c r="K255" i="4"/>
  <c r="M1931" i="4"/>
  <c r="I1230" i="4"/>
  <c r="G1715" i="4"/>
  <c r="D697" i="4"/>
  <c r="K1952" i="4"/>
  <c r="M751" i="4"/>
  <c r="E57" i="4"/>
  <c r="D824" i="4"/>
  <c r="G1167" i="4"/>
  <c r="L611" i="4"/>
  <c r="M1933" i="4"/>
  <c r="M1986" i="4"/>
  <c r="E1339" i="4"/>
  <c r="M927" i="4"/>
  <c r="D1285" i="4"/>
  <c r="C1944" i="4"/>
  <c r="E1979" i="4"/>
  <c r="D413" i="4"/>
  <c r="F651" i="4"/>
  <c r="D765" i="4"/>
  <c r="C1357" i="4"/>
  <c r="L1198" i="4"/>
  <c r="F1256" i="4"/>
  <c r="G1079" i="4"/>
  <c r="B1044" i="4"/>
  <c r="I1199" i="4"/>
  <c r="C692" i="4"/>
  <c r="C545" i="4"/>
  <c r="K1270" i="4"/>
  <c r="I305" i="4"/>
  <c r="I1861" i="4"/>
  <c r="C615" i="4"/>
  <c r="F1128" i="4"/>
  <c r="F439" i="4"/>
  <c r="L727" i="4"/>
  <c r="I720" i="4"/>
  <c r="D1667" i="4"/>
  <c r="E1589" i="4"/>
  <c r="E1950" i="4"/>
  <c r="C1403" i="4"/>
  <c r="E556" i="4"/>
  <c r="L1111" i="4"/>
  <c r="M484" i="4"/>
  <c r="M417" i="4"/>
  <c r="M1952" i="4"/>
  <c r="I919" i="4"/>
  <c r="G415" i="4"/>
  <c r="F1229" i="4"/>
  <c r="E1927" i="4"/>
  <c r="E148" i="4"/>
  <c r="D292" i="4"/>
  <c r="B1957" i="4"/>
  <c r="E849" i="4"/>
  <c r="F1215" i="4"/>
  <c r="C1871" i="4"/>
  <c r="C1726" i="4"/>
  <c r="K61" i="4"/>
  <c r="D1382" i="4"/>
  <c r="M531" i="4"/>
  <c r="D358" i="4"/>
  <c r="D633" i="4"/>
  <c r="D1770" i="4"/>
  <c r="C87" i="4"/>
  <c r="F343" i="4"/>
  <c r="F1466" i="4"/>
  <c r="K1571" i="4"/>
  <c r="J1182" i="4"/>
  <c r="C1141" i="4"/>
  <c r="M535" i="4"/>
  <c r="M287" i="4"/>
  <c r="M1013" i="4"/>
  <c r="C1121" i="4"/>
  <c r="B66" i="4"/>
  <c r="C741" i="4"/>
  <c r="M1895" i="4"/>
  <c r="M1626" i="4"/>
  <c r="B1150" i="4"/>
  <c r="G1186" i="4"/>
  <c r="F1176" i="4"/>
  <c r="G630" i="4"/>
  <c r="G1392" i="4"/>
  <c r="I1153" i="4"/>
  <c r="C592" i="4"/>
  <c r="K1862" i="4"/>
  <c r="F701" i="4"/>
  <c r="I1032" i="4"/>
  <c r="L819" i="4"/>
  <c r="D1265" i="4"/>
  <c r="F2002" i="4"/>
  <c r="E1063" i="4"/>
  <c r="J160" i="4"/>
  <c r="D135" i="4"/>
  <c r="E1493" i="4"/>
  <c r="M1109" i="4"/>
  <c r="E1379" i="4"/>
  <c r="G1515" i="4"/>
  <c r="K1114" i="4"/>
  <c r="L1400" i="4"/>
  <c r="D467" i="4"/>
  <c r="M928" i="4"/>
  <c r="B1127" i="4"/>
  <c r="F695" i="4"/>
  <c r="L1724" i="4"/>
  <c r="C1875" i="4"/>
  <c r="D1935" i="4"/>
  <c r="G1779" i="4"/>
  <c r="D1612" i="4"/>
  <c r="J1696" i="4"/>
  <c r="D721" i="4"/>
  <c r="G100" i="4"/>
  <c r="D419" i="4"/>
  <c r="C1205" i="4"/>
  <c r="F1665" i="4"/>
  <c r="C1678" i="4"/>
  <c r="D1512" i="4"/>
  <c r="C1524" i="4"/>
  <c r="K1200" i="4"/>
  <c r="F986" i="4"/>
  <c r="F532" i="4"/>
  <c r="D1817" i="4"/>
  <c r="I252" i="4"/>
  <c r="C1997" i="4"/>
  <c r="C1001" i="4"/>
  <c r="I647" i="4"/>
  <c r="D866" i="4"/>
  <c r="F1156" i="4"/>
  <c r="K867" i="4"/>
  <c r="J1663" i="4"/>
  <c r="F1787" i="4"/>
  <c r="E654" i="4"/>
  <c r="F953" i="4"/>
  <c r="K977" i="4"/>
  <c r="E703" i="4"/>
  <c r="D727" i="4"/>
  <c r="E1811" i="4"/>
  <c r="E1346" i="4"/>
  <c r="D660" i="4"/>
  <c r="I1902" i="4"/>
  <c r="K1436" i="4"/>
  <c r="G1991" i="4"/>
  <c r="E1004" i="4"/>
  <c r="L1279" i="4"/>
  <c r="B387" i="4"/>
  <c r="L952" i="4"/>
  <c r="G1851" i="4"/>
  <c r="C1494" i="4"/>
  <c r="M1160" i="4"/>
  <c r="B1509" i="4"/>
  <c r="K1765" i="4"/>
  <c r="D1454" i="4"/>
  <c r="K1475" i="4"/>
  <c r="G310" i="4"/>
  <c r="M543" i="4"/>
  <c r="F1279" i="4"/>
  <c r="L744" i="4"/>
  <c r="B563" i="4"/>
  <c r="C863" i="4"/>
  <c r="J256" i="4"/>
  <c r="M1703" i="4"/>
  <c r="M738" i="4"/>
  <c r="B762" i="4"/>
  <c r="L1814" i="4"/>
  <c r="G37" i="4"/>
  <c r="F1990" i="4"/>
  <c r="D377" i="4"/>
  <c r="F1468" i="4"/>
  <c r="B1384" i="4"/>
  <c r="F830" i="4"/>
  <c r="K1268" i="4"/>
  <c r="I1662" i="4"/>
  <c r="M1111" i="4"/>
  <c r="D1701" i="4"/>
  <c r="G1739" i="4"/>
  <c r="E1781" i="4"/>
  <c r="J339" i="4"/>
  <c r="G917" i="4"/>
  <c r="E542" i="4"/>
  <c r="C1375" i="4"/>
  <c r="D216" i="4"/>
  <c r="E459" i="4"/>
  <c r="M1650" i="4"/>
  <c r="M1757" i="4"/>
  <c r="F1504" i="4"/>
  <c r="C1331" i="4"/>
  <c r="L1157" i="4"/>
  <c r="K249" i="4"/>
  <c r="C1527" i="4"/>
  <c r="C1008" i="4"/>
  <c r="B675" i="4"/>
  <c r="L1782" i="4"/>
  <c r="G1133" i="4"/>
  <c r="C1437" i="4"/>
  <c r="G494" i="4"/>
  <c r="J1839" i="4"/>
  <c r="B1274" i="4"/>
  <c r="D1381" i="4"/>
  <c r="B1136" i="4"/>
  <c r="E725" i="4"/>
  <c r="B600" i="4"/>
  <c r="J561" i="4"/>
  <c r="C1243" i="4"/>
  <c r="M224" i="4"/>
  <c r="G898" i="4"/>
  <c r="D472" i="4"/>
  <c r="K887" i="4"/>
  <c r="E1433" i="4"/>
  <c r="E171" i="4"/>
  <c r="B1320" i="4"/>
  <c r="E1097" i="4"/>
  <c r="L1505" i="4"/>
  <c r="E266" i="4"/>
  <c r="C1110" i="4"/>
  <c r="K1864" i="4"/>
  <c r="K741" i="4"/>
  <c r="E1883" i="4"/>
  <c r="I1485" i="4"/>
  <c r="F490" i="4"/>
  <c r="B167" i="4"/>
  <c r="G1533" i="4"/>
  <c r="C18" i="4"/>
  <c r="F475" i="4"/>
  <c r="C984" i="4"/>
  <c r="C1072" i="4"/>
  <c r="G117" i="4"/>
  <c r="D1353" i="4"/>
  <c r="F1171" i="4"/>
  <c r="C713" i="4"/>
  <c r="I1190" i="4"/>
  <c r="D1731" i="4"/>
  <c r="M257" i="4"/>
  <c r="K1328" i="4"/>
  <c r="M963" i="4"/>
  <c r="E260" i="4"/>
  <c r="G1275" i="4"/>
  <c r="F1548" i="4"/>
  <c r="E483" i="4"/>
  <c r="C565" i="4"/>
  <c r="D1987" i="4"/>
  <c r="F1249" i="4"/>
  <c r="K1826" i="4"/>
  <c r="F1907" i="4"/>
  <c r="F488" i="4"/>
  <c r="F816" i="4"/>
  <c r="L1291" i="4"/>
  <c r="J1704" i="4"/>
  <c r="C446" i="4"/>
  <c r="J1447" i="4"/>
  <c r="E1536" i="4"/>
  <c r="L1167" i="4"/>
  <c r="L654" i="4"/>
  <c r="I1571" i="4"/>
  <c r="F1922" i="4"/>
  <c r="M1795" i="4"/>
  <c r="D1500" i="4"/>
  <c r="E1725" i="4"/>
  <c r="D1181" i="4"/>
  <c r="I1529" i="4"/>
  <c r="C1268" i="4"/>
  <c r="M1113" i="4"/>
  <c r="E596" i="4"/>
  <c r="G1768" i="4"/>
  <c r="K594" i="4"/>
  <c r="E1155" i="4"/>
  <c r="K695" i="4"/>
  <c r="C1643" i="4"/>
  <c r="E1190" i="4"/>
  <c r="B1004" i="4"/>
  <c r="I967" i="4"/>
  <c r="K406" i="4"/>
  <c r="M1305" i="4"/>
  <c r="B798" i="4"/>
  <c r="G863" i="4"/>
  <c r="E79" i="4"/>
  <c r="D1022" i="4"/>
  <c r="M82" i="4"/>
  <c r="C320" i="4"/>
  <c r="G884" i="4"/>
  <c r="L173" i="4"/>
  <c r="D744" i="4"/>
  <c r="F517" i="4"/>
  <c r="J947" i="4"/>
  <c r="G866" i="4"/>
  <c r="B1974" i="4"/>
  <c r="B1716" i="4"/>
  <c r="B1833" i="4"/>
  <c r="G957" i="4"/>
  <c r="M825" i="4"/>
  <c r="E674" i="4"/>
  <c r="J614" i="4"/>
  <c r="B1754" i="4"/>
  <c r="I1002" i="4"/>
  <c r="I817" i="4"/>
  <c r="M1365" i="4"/>
  <c r="B304" i="4"/>
  <c r="F1616" i="4"/>
  <c r="F410" i="4"/>
  <c r="M938" i="4"/>
  <c r="E1564" i="4"/>
  <c r="D803" i="4"/>
  <c r="F1527" i="4"/>
  <c r="G24" i="4"/>
  <c r="D1281" i="4"/>
  <c r="M541" i="4"/>
  <c r="B1619" i="4"/>
  <c r="L661" i="4"/>
  <c r="L1880" i="4"/>
  <c r="D1144" i="4"/>
  <c r="F1822" i="4"/>
  <c r="D1636" i="4"/>
  <c r="G1025" i="4"/>
  <c r="F1824" i="4"/>
  <c r="B1483" i="4"/>
  <c r="K603" i="4"/>
  <c r="B1604" i="4"/>
  <c r="G563" i="4"/>
  <c r="G1970" i="4"/>
  <c r="F607" i="4"/>
  <c r="G1795" i="4"/>
  <c r="C1394" i="4"/>
  <c r="K1746" i="4"/>
  <c r="K1444" i="4"/>
  <c r="F90" i="4"/>
  <c r="B1806" i="4"/>
  <c r="K1792" i="4"/>
  <c r="G1057" i="4"/>
  <c r="C835" i="4"/>
  <c r="M381" i="4"/>
  <c r="K1712" i="4"/>
  <c r="G1578" i="4"/>
  <c r="B1981" i="4"/>
  <c r="C353" i="4"/>
  <c r="L1297" i="4"/>
  <c r="F1391" i="4"/>
  <c r="L268" i="4"/>
  <c r="B583" i="4"/>
  <c r="L492" i="4"/>
  <c r="B230" i="4"/>
  <c r="K819" i="4"/>
  <c r="D1782" i="4"/>
  <c r="E1582" i="4"/>
  <c r="E1044" i="4"/>
  <c r="D1094" i="4"/>
  <c r="M338" i="4"/>
  <c r="G944" i="4"/>
  <c r="K1377" i="4"/>
  <c r="J1296" i="4"/>
  <c r="F1109" i="4"/>
  <c r="G1983" i="4"/>
  <c r="K98" i="4"/>
  <c r="D1171" i="4"/>
  <c r="B498" i="4"/>
  <c r="G529" i="4"/>
  <c r="E1383" i="4"/>
  <c r="I228" i="4"/>
  <c r="D62" i="4"/>
  <c r="E668" i="4"/>
  <c r="G337" i="4"/>
  <c r="F409" i="4"/>
  <c r="E1150" i="4"/>
  <c r="F1655" i="4"/>
  <c r="C549" i="4"/>
  <c r="F1164" i="4"/>
  <c r="G1585" i="4"/>
  <c r="B741" i="4"/>
  <c r="C1574" i="4"/>
  <c r="B1227" i="4"/>
  <c r="D344" i="4"/>
  <c r="E1726" i="4"/>
  <c r="L1544" i="4"/>
  <c r="B121" i="4"/>
  <c r="K1242" i="4"/>
  <c r="M1527" i="4"/>
  <c r="L785" i="4"/>
  <c r="M1453" i="4"/>
  <c r="C1605" i="4"/>
  <c r="F732" i="4"/>
  <c r="L553" i="4"/>
  <c r="L1183" i="4"/>
  <c r="E1001" i="4"/>
  <c r="C1855" i="4"/>
  <c r="L44" i="4"/>
  <c r="L886" i="4"/>
  <c r="G1445" i="4"/>
  <c r="B1518" i="4"/>
  <c r="L1478" i="4"/>
  <c r="B245" i="4"/>
  <c r="J1760" i="4"/>
  <c r="G1373" i="4"/>
  <c r="M619" i="4"/>
  <c r="L597" i="4"/>
  <c r="E1280" i="4"/>
  <c r="F1742" i="4"/>
  <c r="D931" i="4"/>
  <c r="J1698" i="4"/>
  <c r="G1821" i="4"/>
  <c r="B1374" i="4"/>
  <c r="K1946" i="4"/>
  <c r="D894" i="4"/>
  <c r="D1998" i="4"/>
  <c r="K1738" i="4"/>
  <c r="E1908" i="4"/>
  <c r="B1222" i="4"/>
  <c r="C1598" i="4"/>
  <c r="G1443" i="4"/>
  <c r="E1341" i="4"/>
  <c r="K1820" i="4"/>
  <c r="L1412" i="4"/>
  <c r="F1974" i="4"/>
  <c r="B1186" i="4"/>
  <c r="B54" i="4"/>
  <c r="F1816" i="4"/>
  <c r="F154" i="4"/>
  <c r="E1901" i="4"/>
  <c r="M1008" i="4"/>
  <c r="C2008" i="4"/>
  <c r="K476" i="4"/>
  <c r="E934" i="4"/>
  <c r="B1231" i="4"/>
  <c r="F1253" i="4"/>
  <c r="C1536" i="4"/>
  <c r="I240" i="4"/>
  <c r="G1113" i="4"/>
  <c r="K959" i="4"/>
  <c r="M1296" i="4"/>
  <c r="E1118" i="4"/>
  <c r="F2008" i="4"/>
  <c r="D914" i="4"/>
  <c r="D1268" i="4"/>
  <c r="C527" i="4"/>
  <c r="L1175" i="4"/>
  <c r="M848" i="4"/>
  <c r="E625" i="4"/>
  <c r="G802" i="4"/>
  <c r="I67" i="4"/>
  <c r="M809" i="4"/>
  <c r="C1081" i="4"/>
  <c r="E1373" i="4"/>
  <c r="F459" i="4"/>
  <c r="E701" i="4"/>
  <c r="E1816" i="4"/>
  <c r="G1590" i="4"/>
  <c r="D926" i="4"/>
  <c r="C895" i="4"/>
  <c r="D875" i="4"/>
  <c r="L1531" i="4"/>
  <c r="I683" i="4"/>
  <c r="C1826" i="4"/>
  <c r="K962" i="4"/>
  <c r="I1416" i="4"/>
  <c r="M1309" i="4"/>
  <c r="J1822" i="4"/>
  <c r="J1243" i="4"/>
  <c r="M1711" i="4"/>
  <c r="G581" i="4"/>
  <c r="L332" i="4"/>
  <c r="E571" i="4"/>
  <c r="L167" i="4"/>
  <c r="G1560" i="4"/>
  <c r="D1129" i="4"/>
  <c r="M1022" i="4"/>
  <c r="E1154" i="4"/>
  <c r="L1246" i="4"/>
  <c r="G271" i="4"/>
  <c r="L868" i="4"/>
  <c r="E183" i="4"/>
  <c r="K527" i="4"/>
  <c r="B1746" i="4"/>
  <c r="K380" i="4"/>
  <c r="C980" i="4"/>
  <c r="K1233" i="4"/>
  <c r="M1173" i="4"/>
  <c r="I1407" i="4"/>
  <c r="I900" i="4"/>
  <c r="F722" i="4"/>
  <c r="F54" i="4"/>
  <c r="I1694" i="4"/>
  <c r="E1454" i="4"/>
  <c r="D1318" i="4"/>
  <c r="K584" i="4"/>
  <c r="F1603" i="4"/>
  <c r="K1596" i="4"/>
  <c r="E2007" i="4"/>
  <c r="L103" i="4"/>
  <c r="C654" i="4"/>
  <c r="J1141" i="4"/>
  <c r="M1018" i="4"/>
  <c r="K722" i="4"/>
  <c r="I963" i="4"/>
  <c r="K381" i="4"/>
  <c r="E780" i="4"/>
  <c r="L910" i="4"/>
  <c r="J171" i="4"/>
  <c r="G382" i="4"/>
  <c r="G692" i="4"/>
  <c r="J1397" i="4"/>
  <c r="B459" i="4"/>
  <c r="E1894" i="4"/>
  <c r="D634" i="4"/>
  <c r="E1165" i="4"/>
  <c r="K447" i="4"/>
  <c r="K514" i="4"/>
  <c r="E308" i="4"/>
  <c r="M453" i="4"/>
  <c r="G1809" i="4"/>
  <c r="J1674" i="4"/>
  <c r="I1845" i="4"/>
  <c r="L1188" i="4"/>
  <c r="G1334" i="4"/>
  <c r="K1814" i="4"/>
  <c r="G110" i="4"/>
  <c r="C152" i="4"/>
  <c r="E583" i="4"/>
  <c r="E1289" i="4"/>
  <c r="C464" i="4"/>
  <c r="E730" i="4"/>
  <c r="K1682" i="4"/>
  <c r="G776" i="4"/>
  <c r="K1397" i="4"/>
  <c r="F1233" i="4"/>
  <c r="M1219" i="4"/>
  <c r="L750" i="4"/>
  <c r="B955" i="4"/>
  <c r="J1189" i="4"/>
  <c r="D1140" i="4"/>
  <c r="E781" i="4"/>
  <c r="B105" i="4"/>
  <c r="G1719" i="4"/>
  <c r="K553" i="4"/>
  <c r="K756" i="4"/>
  <c r="G150" i="4"/>
  <c r="J250" i="4"/>
  <c r="G1969" i="4"/>
  <c r="C62" i="4"/>
  <c r="K1100" i="4"/>
  <c r="L1765" i="4"/>
  <c r="K1144" i="4"/>
  <c r="L204" i="4"/>
  <c r="M80" i="4"/>
  <c r="M1538" i="4"/>
  <c r="B1789" i="4"/>
  <c r="G80" i="4"/>
  <c r="C1953" i="4"/>
  <c r="D1756" i="4"/>
  <c r="D330" i="4"/>
  <c r="B1831" i="4"/>
  <c r="J242" i="4"/>
  <c r="I532" i="4"/>
  <c r="F75" i="4"/>
  <c r="C1221" i="4"/>
  <c r="M1183" i="4"/>
  <c r="E21" i="4"/>
  <c r="F71" i="4"/>
  <c r="F804" i="4"/>
  <c r="B1927" i="4"/>
  <c r="I1721" i="4"/>
  <c r="L1802" i="4"/>
  <c r="D1379" i="4"/>
  <c r="C958" i="4"/>
  <c r="K609" i="4"/>
  <c r="M1561" i="4"/>
  <c r="B937" i="4"/>
  <c r="L1658" i="4"/>
  <c r="E412" i="4"/>
  <c r="D819" i="4"/>
  <c r="I1458" i="4"/>
  <c r="D1823" i="4"/>
  <c r="G47" i="4"/>
  <c r="M746" i="4"/>
  <c r="D960" i="4"/>
  <c r="M1445" i="4"/>
  <c r="M701" i="4"/>
  <c r="B787" i="4"/>
  <c r="K273" i="4"/>
  <c r="M1680" i="4"/>
  <c r="G892" i="4"/>
  <c r="E1065" i="4"/>
  <c r="I1841" i="4"/>
  <c r="B721" i="4"/>
  <c r="G1673" i="4"/>
  <c r="C796" i="4"/>
  <c r="F1580" i="4"/>
  <c r="K1101" i="4"/>
  <c r="E1265" i="4"/>
  <c r="M1273" i="4"/>
  <c r="L342" i="4"/>
  <c r="K1759" i="4"/>
  <c r="M714" i="4"/>
  <c r="L875" i="4"/>
  <c r="G30" i="4"/>
  <c r="D1942" i="4"/>
  <c r="F1999" i="4"/>
  <c r="F1484" i="4"/>
  <c r="D315" i="4"/>
  <c r="I600" i="4"/>
  <c r="B759" i="4"/>
  <c r="C1689" i="4"/>
  <c r="F1198" i="4"/>
  <c r="G967" i="4"/>
  <c r="D1111" i="4"/>
  <c r="D1412" i="4"/>
  <c r="M1416" i="4"/>
  <c r="D1243" i="4"/>
  <c r="K1151" i="4"/>
  <c r="J1398" i="4"/>
  <c r="F329" i="4"/>
  <c r="D2005" i="4"/>
  <c r="L1034" i="4"/>
  <c r="G1562" i="4"/>
  <c r="E1090" i="4"/>
  <c r="I1206" i="4"/>
  <c r="D706" i="4"/>
  <c r="G1097" i="4"/>
  <c r="E526" i="4"/>
  <c r="M1170" i="4"/>
  <c r="C1255" i="4"/>
  <c r="J1256" i="4"/>
  <c r="C508" i="4"/>
  <c r="D407" i="4"/>
  <c r="D854" i="4"/>
  <c r="F976" i="4"/>
  <c r="K1171" i="4"/>
  <c r="M1645" i="4"/>
  <c r="M917" i="4"/>
  <c r="F408" i="4"/>
  <c r="B1321" i="4"/>
  <c r="M1999" i="4"/>
  <c r="D1219" i="4"/>
  <c r="M1245" i="4"/>
  <c r="C1975" i="4"/>
  <c r="I822" i="4"/>
  <c r="B1028" i="4"/>
  <c r="G583" i="4"/>
  <c r="B1381" i="4"/>
  <c r="C841" i="4"/>
  <c r="K1916" i="4"/>
  <c r="L1897" i="4"/>
  <c r="E1437" i="4"/>
  <c r="E1293" i="4"/>
  <c r="B1070" i="4"/>
  <c r="M1657" i="4"/>
  <c r="G544" i="4"/>
  <c r="D562" i="4"/>
  <c r="L1492" i="4"/>
  <c r="J1989" i="4"/>
  <c r="J819" i="4"/>
  <c r="E375" i="4"/>
  <c r="G1141" i="4"/>
  <c r="I1870" i="4"/>
  <c r="L539" i="4"/>
  <c r="F1583" i="4"/>
  <c r="G676" i="4"/>
  <c r="C770" i="4"/>
  <c r="M749" i="4"/>
  <c r="E1652" i="4"/>
  <c r="F92" i="4"/>
  <c r="L1015" i="4"/>
  <c r="C1373" i="4"/>
  <c r="L476" i="4"/>
  <c r="F1594" i="4"/>
  <c r="J490" i="4"/>
  <c r="C312" i="4"/>
  <c r="G1195" i="4"/>
  <c r="K758" i="4"/>
  <c r="J746" i="4"/>
  <c r="L1389" i="4"/>
  <c r="K1529" i="4"/>
  <c r="G553" i="4"/>
  <c r="G603" i="4"/>
  <c r="K215" i="4"/>
  <c r="B1950" i="4"/>
  <c r="C1133" i="4"/>
  <c r="F1719" i="4"/>
  <c r="K1846" i="4"/>
  <c r="I1949" i="4"/>
  <c r="D1030" i="4"/>
  <c r="K1542" i="4"/>
  <c r="E1186" i="4"/>
  <c r="J617" i="4"/>
  <c r="L1288" i="4"/>
  <c r="L406" i="4"/>
  <c r="B1457" i="4"/>
  <c r="F503" i="4"/>
  <c r="D1099" i="4"/>
  <c r="C1770" i="4"/>
  <c r="C271" i="4"/>
  <c r="M1796" i="4"/>
  <c r="B323" i="4"/>
  <c r="D1244" i="4"/>
  <c r="I1038" i="4"/>
  <c r="B572" i="4"/>
  <c r="M197" i="4"/>
  <c r="M1461" i="4"/>
  <c r="F1925" i="4"/>
  <c r="M1285" i="4"/>
  <c r="M1916" i="4"/>
  <c r="C226" i="4"/>
  <c r="D181" i="4"/>
  <c r="I32" i="4"/>
  <c r="E1910" i="4"/>
  <c r="F755" i="4"/>
  <c r="B819" i="4"/>
  <c r="F69" i="4"/>
  <c r="K1254" i="4"/>
  <c r="G1423" i="4"/>
  <c r="C1116" i="4"/>
  <c r="M1276" i="4"/>
  <c r="C1846" i="4"/>
  <c r="I1422" i="4"/>
  <c r="K900" i="4"/>
  <c r="C641" i="4"/>
  <c r="G952" i="4"/>
  <c r="D828" i="4"/>
  <c r="K1418" i="4"/>
  <c r="E877" i="4"/>
  <c r="L1563" i="4"/>
  <c r="C237" i="4"/>
  <c r="J1430" i="4"/>
  <c r="L1779" i="4"/>
  <c r="C583" i="4"/>
  <c r="B1712" i="4"/>
  <c r="M1306" i="4"/>
  <c r="C1113" i="4"/>
  <c r="G1358" i="4"/>
  <c r="M120" i="4"/>
  <c r="G1749" i="4"/>
  <c r="L335" i="4"/>
  <c r="D1035" i="4"/>
  <c r="L1963" i="4"/>
  <c r="C1626" i="4"/>
  <c r="C702" i="4"/>
  <c r="G464" i="4"/>
  <c r="G1300" i="4"/>
  <c r="C768" i="4"/>
  <c r="F1884" i="4"/>
  <c r="F718" i="4"/>
  <c r="K1258" i="4"/>
  <c r="J525" i="4"/>
  <c r="G1741" i="4"/>
  <c r="M1912" i="4"/>
  <c r="F1679" i="4"/>
  <c r="M1622" i="4"/>
  <c r="L1357" i="4"/>
  <c r="C1610" i="4"/>
  <c r="J1130" i="4"/>
  <c r="I1676" i="4"/>
  <c r="C1478" i="4"/>
  <c r="B1211" i="4"/>
  <c r="M953" i="4"/>
  <c r="M510" i="4"/>
  <c r="M689" i="4"/>
  <c r="I1514" i="4"/>
  <c r="C1177" i="4"/>
  <c r="E836" i="4"/>
  <c r="D455" i="4"/>
  <c r="F1006" i="4"/>
  <c r="L163" i="4"/>
  <c r="C881" i="4"/>
  <c r="E863" i="4"/>
  <c r="M38" i="4"/>
  <c r="G580" i="4"/>
  <c r="G1510" i="4"/>
  <c r="D883" i="4"/>
  <c r="M1548" i="4"/>
  <c r="K1516" i="4"/>
  <c r="C698" i="4"/>
  <c r="B1771" i="4"/>
  <c r="D1173" i="4"/>
  <c r="I1735" i="4"/>
  <c r="L1340" i="4"/>
  <c r="M941" i="4"/>
  <c r="F1780" i="4"/>
  <c r="M350" i="4"/>
  <c r="E370" i="4"/>
  <c r="L757" i="4"/>
  <c r="G729" i="4"/>
  <c r="K1906" i="4"/>
  <c r="L1425" i="4"/>
  <c r="M114" i="4"/>
  <c r="F1488" i="4"/>
  <c r="C213" i="4"/>
  <c r="I1882" i="4"/>
  <c r="F374" i="4"/>
  <c r="M487" i="4"/>
  <c r="E597" i="4"/>
  <c r="M1188" i="4"/>
  <c r="M1940" i="4"/>
  <c r="M522" i="4"/>
  <c r="B1969" i="4"/>
  <c r="K1630" i="4"/>
  <c r="F183" i="4"/>
  <c r="E1890" i="4"/>
  <c r="M830" i="4"/>
  <c r="L1770" i="4"/>
  <c r="F1851" i="4"/>
  <c r="G115" i="4"/>
  <c r="B1568" i="4"/>
  <c r="L1408" i="4"/>
  <c r="M180" i="4"/>
  <c r="L242" i="4"/>
  <c r="L614" i="4"/>
  <c r="L1487" i="4"/>
  <c r="F985" i="4"/>
  <c r="F1061" i="4"/>
  <c r="G1101" i="4"/>
  <c r="B1503" i="4"/>
  <c r="D1968" i="4"/>
  <c r="D1478" i="4"/>
  <c r="B1102" i="4"/>
  <c r="M1648" i="4"/>
  <c r="M1914" i="4"/>
  <c r="C1813" i="4"/>
  <c r="D208" i="4"/>
  <c r="L1335" i="4"/>
  <c r="B1375" i="4"/>
  <c r="K1521" i="4"/>
  <c r="C1710" i="4"/>
  <c r="F1798" i="4"/>
  <c r="C1774" i="4"/>
  <c r="B1280" i="4"/>
  <c r="E569" i="4"/>
  <c r="C1186" i="4"/>
  <c r="D927" i="4"/>
  <c r="L1177" i="4"/>
  <c r="M213" i="4"/>
  <c r="L232" i="4"/>
  <c r="B1570" i="4"/>
  <c r="G1814" i="4"/>
  <c r="K792" i="4"/>
  <c r="L2003" i="4"/>
  <c r="B1903" i="4"/>
  <c r="D793" i="4"/>
  <c r="E1943" i="4"/>
  <c r="D749" i="4"/>
  <c r="L642" i="4"/>
  <c r="F34" i="4"/>
  <c r="G1856" i="4"/>
  <c r="F1772" i="4"/>
  <c r="L1669" i="4"/>
  <c r="L65" i="4"/>
  <c r="F1728" i="4"/>
  <c r="E320" i="4"/>
  <c r="M188" i="4"/>
  <c r="L1226" i="4"/>
  <c r="F1841" i="4"/>
  <c r="F1950" i="4"/>
  <c r="L1270" i="4"/>
  <c r="B1582" i="4"/>
  <c r="I747" i="4"/>
  <c r="L1077" i="4"/>
  <c r="L260" i="4"/>
  <c r="M812" i="4"/>
  <c r="M1161" i="4"/>
  <c r="E1677" i="4"/>
  <c r="E1492" i="4"/>
  <c r="F1039" i="4"/>
  <c r="M1990" i="4"/>
  <c r="C1980" i="4"/>
  <c r="K1472" i="4"/>
  <c r="B1868" i="4"/>
  <c r="K1719" i="4"/>
  <c r="F692" i="4"/>
  <c r="I1089" i="4"/>
  <c r="L1571" i="4"/>
  <c r="B1392" i="4"/>
  <c r="B1678" i="4"/>
  <c r="G1630" i="4"/>
  <c r="D1716" i="4"/>
  <c r="G1792" i="4"/>
  <c r="C1240" i="4"/>
  <c r="D1017" i="4"/>
  <c r="K1230" i="4"/>
  <c r="L1798" i="4"/>
  <c r="K1902" i="4"/>
  <c r="D357" i="4"/>
  <c r="F500" i="4"/>
  <c r="G1862" i="4"/>
  <c r="C1580" i="4"/>
  <c r="K1031" i="4"/>
  <c r="L1513" i="4"/>
  <c r="M850" i="4"/>
  <c r="K1497" i="4"/>
  <c r="G1094" i="4"/>
  <c r="K943" i="4"/>
  <c r="B326" i="4"/>
  <c r="I1415" i="4"/>
  <c r="L941" i="4"/>
  <c r="K1582" i="4"/>
  <c r="L1236" i="4"/>
  <c r="B1770" i="4"/>
  <c r="B1365" i="4"/>
  <c r="K1326" i="4"/>
  <c r="G316" i="4"/>
  <c r="C655" i="4"/>
  <c r="C1734" i="4"/>
  <c r="L1028" i="4"/>
  <c r="J1738" i="4"/>
  <c r="M783" i="4"/>
  <c r="M250" i="4"/>
  <c r="M314" i="4"/>
  <c r="I1071" i="4"/>
  <c r="L1174" i="4"/>
  <c r="F767" i="4"/>
  <c r="G1147" i="4"/>
  <c r="D106" i="4"/>
  <c r="L475" i="4"/>
  <c r="B324" i="4"/>
  <c r="E600" i="4"/>
  <c r="E624" i="4"/>
  <c r="B1441" i="4"/>
  <c r="G857" i="4"/>
  <c r="D59" i="4"/>
  <c r="C630" i="4"/>
  <c r="G1185" i="4"/>
  <c r="M1499" i="4"/>
  <c r="E1597" i="4"/>
  <c r="G71" i="4"/>
  <c r="K492" i="4"/>
  <c r="E622" i="4"/>
  <c r="G759" i="4"/>
  <c r="E1748" i="4"/>
  <c r="F932" i="4"/>
  <c r="K1421" i="4"/>
  <c r="C1952" i="4"/>
  <c r="M1326" i="4"/>
  <c r="J771" i="4"/>
  <c r="G297" i="4"/>
  <c r="F733" i="4"/>
  <c r="F645" i="4"/>
  <c r="J1706" i="4"/>
  <c r="F877" i="4"/>
  <c r="M1941" i="4"/>
  <c r="F1049" i="4"/>
  <c r="F1868" i="4"/>
  <c r="D323" i="4"/>
  <c r="F1532" i="4"/>
  <c r="M1140" i="4"/>
  <c r="J1660" i="4"/>
  <c r="D951" i="4"/>
  <c r="E349" i="4"/>
  <c r="F1862" i="4"/>
  <c r="D1232" i="4"/>
  <c r="D1469" i="4"/>
  <c r="G1908" i="4"/>
  <c r="D686" i="4"/>
  <c r="F1981" i="4"/>
  <c r="F1733" i="4"/>
  <c r="G876" i="4"/>
  <c r="E1642" i="4"/>
  <c r="G1398" i="4"/>
  <c r="F445" i="4"/>
  <c r="F1101" i="4"/>
  <c r="D10" i="4"/>
  <c r="F748" i="4"/>
  <c r="M1806" i="4"/>
  <c r="C1267" i="4"/>
  <c r="G1729" i="4"/>
  <c r="L933" i="4"/>
  <c r="M220" i="4"/>
  <c r="G865" i="4"/>
  <c r="D1969" i="4"/>
  <c r="F1347" i="4"/>
  <c r="C1879" i="4"/>
  <c r="C1264" i="4"/>
  <c r="F799" i="4"/>
  <c r="M1552" i="4"/>
  <c r="L1484" i="4"/>
  <c r="B643" i="4"/>
  <c r="F544" i="4"/>
  <c r="K1675" i="4"/>
  <c r="K503" i="4"/>
  <c r="L473" i="4"/>
  <c r="B800" i="4"/>
  <c r="D1203" i="4"/>
  <c r="L814" i="4"/>
  <c r="F1368" i="4"/>
  <c r="J1409" i="4"/>
  <c r="E802" i="4"/>
  <c r="B1708" i="4"/>
  <c r="B648" i="4"/>
  <c r="K904" i="4"/>
  <c r="K186" i="4"/>
  <c r="C1146" i="4"/>
  <c r="B492" i="4"/>
  <c r="D684" i="4"/>
  <c r="B773" i="4"/>
  <c r="B1498" i="4"/>
  <c r="E1457" i="4"/>
  <c r="M866" i="4"/>
  <c r="L363" i="4"/>
  <c r="K1510" i="4"/>
  <c r="G1846" i="4"/>
  <c r="D415" i="4"/>
  <c r="F381" i="4"/>
  <c r="F1512" i="4"/>
  <c r="J1763" i="4"/>
  <c r="K1576" i="4"/>
  <c r="C192" i="4"/>
  <c r="B843" i="4"/>
  <c r="D676" i="4"/>
  <c r="K1056" i="4"/>
  <c r="F176" i="4"/>
  <c r="C1511" i="4"/>
  <c r="E1693" i="4"/>
  <c r="E391" i="4"/>
  <c r="B1959" i="4"/>
  <c r="M1982" i="4"/>
  <c r="F486" i="4"/>
  <c r="F1425" i="4"/>
  <c r="F1808" i="4"/>
  <c r="G344" i="4"/>
  <c r="L1663" i="4"/>
  <c r="E950" i="4"/>
  <c r="B830" i="4"/>
  <c r="K1872" i="4"/>
  <c r="M1971" i="4"/>
  <c r="K1608" i="4"/>
  <c r="M1759" i="4"/>
  <c r="B550" i="4"/>
  <c r="B542" i="4"/>
  <c r="D547" i="4"/>
  <c r="E678" i="4"/>
  <c r="F369" i="4"/>
  <c r="G873" i="4"/>
  <c r="K1129" i="4"/>
  <c r="E1839" i="4"/>
  <c r="E908" i="4"/>
  <c r="G846" i="4"/>
  <c r="F1063" i="4"/>
  <c r="M1234" i="4"/>
  <c r="I93" i="4"/>
  <c r="D1613" i="4"/>
  <c r="F419" i="4"/>
  <c r="M279" i="4"/>
  <c r="D1252" i="4"/>
  <c r="L1773" i="4"/>
  <c r="C1546" i="4"/>
  <c r="G1553" i="4"/>
  <c r="J843" i="4"/>
  <c r="F836" i="4"/>
  <c r="F1197" i="4"/>
  <c r="K438" i="4"/>
  <c r="M900" i="4"/>
  <c r="B1810" i="4"/>
  <c r="L1405" i="4"/>
  <c r="L1645" i="4"/>
  <c r="E819" i="4"/>
  <c r="G1328" i="4"/>
  <c r="C515" i="4"/>
  <c r="L1283" i="4"/>
  <c r="D1028" i="4"/>
  <c r="G1121" i="4"/>
  <c r="B1595" i="4"/>
  <c r="K1371" i="4"/>
  <c r="L1979" i="4"/>
  <c r="K1266" i="4"/>
  <c r="C1266" i="4"/>
  <c r="J56" i="4"/>
  <c r="I45" i="4"/>
  <c r="K669" i="4"/>
  <c r="G1390" i="4"/>
  <c r="C257" i="4"/>
  <c r="E1675" i="4"/>
  <c r="D984" i="4"/>
  <c r="M1882" i="4"/>
  <c r="C1448" i="4"/>
  <c r="F1830" i="4"/>
  <c r="K1329" i="4"/>
  <c r="D1097" i="4"/>
  <c r="D550" i="4"/>
  <c r="B1965" i="4"/>
  <c r="L310" i="4"/>
  <c r="D1159" i="4"/>
  <c r="D1287" i="4"/>
  <c r="C1968" i="4"/>
  <c r="I484" i="4"/>
  <c r="D795" i="4"/>
  <c r="M409" i="4"/>
  <c r="D1434" i="4"/>
  <c r="E1388" i="4"/>
  <c r="L892" i="4"/>
  <c r="B556" i="4"/>
  <c r="F997" i="4"/>
  <c r="K541" i="4"/>
  <c r="I834" i="4"/>
  <c r="D1585" i="4"/>
  <c r="K1196" i="4"/>
  <c r="B537" i="4"/>
  <c r="J269" i="4"/>
  <c r="B390" i="4"/>
  <c r="G577" i="4"/>
  <c r="E190" i="4"/>
  <c r="D1588" i="4"/>
  <c r="C1801" i="4"/>
  <c r="D242" i="4"/>
  <c r="F1649" i="4"/>
  <c r="C912" i="4"/>
  <c r="G1266" i="4"/>
  <c r="K1672" i="4"/>
  <c r="C986" i="4"/>
  <c r="B384" i="4"/>
  <c r="K1245" i="4"/>
  <c r="B866" i="4"/>
  <c r="L1134" i="4"/>
  <c r="F423" i="4"/>
  <c r="C1270" i="4"/>
  <c r="C1491" i="4"/>
  <c r="F483" i="4"/>
  <c r="K776" i="4"/>
  <c r="M1633" i="4"/>
  <c r="C1246" i="4"/>
  <c r="F1887" i="4"/>
  <c r="L1397" i="4"/>
  <c r="F1386" i="4"/>
  <c r="L1267" i="4"/>
  <c r="B1437" i="4"/>
  <c r="C516" i="4"/>
  <c r="B1095" i="4"/>
  <c r="K783" i="4"/>
  <c r="D1038" i="4"/>
  <c r="M1955" i="4"/>
  <c r="F923" i="4"/>
  <c r="C1708" i="4"/>
  <c r="K230" i="4"/>
  <c r="D1786" i="4"/>
  <c r="M315" i="4"/>
  <c r="E777" i="4"/>
  <c r="B386" i="4"/>
  <c r="B807" i="4"/>
  <c r="E1204" i="4"/>
  <c r="B453" i="4"/>
  <c r="J1378" i="4"/>
  <c r="L320" i="4"/>
  <c r="E455" i="4"/>
  <c r="C964" i="4"/>
  <c r="L1625" i="4"/>
  <c r="L1664" i="4"/>
  <c r="D1288" i="4"/>
  <c r="B281" i="4"/>
  <c r="C1531" i="4"/>
  <c r="C1217" i="4"/>
  <c r="F1250" i="4"/>
  <c r="C182" i="4"/>
  <c r="M1132" i="4"/>
  <c r="L1009" i="4"/>
  <c r="K687" i="4"/>
  <c r="I473" i="4"/>
  <c r="D512" i="4"/>
  <c r="E1879" i="4"/>
  <c r="E380" i="4"/>
  <c r="E616" i="4"/>
  <c r="E1031" i="4"/>
  <c r="L64" i="4"/>
  <c r="B1159" i="4"/>
  <c r="I1321" i="4"/>
  <c r="C663" i="4"/>
  <c r="E420" i="4"/>
  <c r="C1393" i="4"/>
  <c r="K491" i="4"/>
  <c r="G1733" i="4"/>
  <c r="B1869" i="4"/>
  <c r="K477" i="4"/>
  <c r="G1973" i="4"/>
  <c r="E1255" i="4"/>
  <c r="E1710" i="4"/>
  <c r="L356" i="4"/>
  <c r="K119" i="4"/>
  <c r="C864" i="4"/>
  <c r="E81" i="4"/>
  <c r="F1295" i="4"/>
  <c r="F84" i="4"/>
  <c r="B143" i="4"/>
  <c r="G1920" i="4"/>
  <c r="F83" i="4"/>
  <c r="F204" i="4"/>
  <c r="K154" i="4"/>
  <c r="B527" i="4"/>
  <c r="B1644" i="4"/>
  <c r="K1643" i="4"/>
  <c r="C506" i="4"/>
  <c r="E1072" i="4"/>
  <c r="M715" i="4"/>
  <c r="E1689" i="4"/>
  <c r="E809" i="4"/>
  <c r="E1956" i="4"/>
  <c r="L607" i="4"/>
  <c r="M515" i="4"/>
  <c r="G279" i="4"/>
  <c r="E1580" i="4"/>
  <c r="B1058" i="4"/>
  <c r="L443" i="4"/>
  <c r="L405" i="4"/>
  <c r="G986" i="4"/>
  <c r="G778" i="4"/>
  <c r="C1811" i="4"/>
  <c r="J799" i="4"/>
  <c r="F1146" i="4"/>
  <c r="D600" i="4"/>
  <c r="E662" i="4"/>
  <c r="B1951" i="4"/>
  <c r="B777" i="4"/>
  <c r="J644" i="4"/>
  <c r="G468" i="4"/>
  <c r="E313" i="4"/>
  <c r="B863" i="4"/>
  <c r="L394" i="4"/>
  <c r="G1825" i="4"/>
  <c r="B128" i="4"/>
  <c r="J1534" i="4"/>
  <c r="F1693" i="4"/>
  <c r="G119" i="4"/>
  <c r="I1582" i="4"/>
  <c r="L1786" i="4"/>
  <c r="D829" i="4"/>
  <c r="C808" i="4"/>
  <c r="E1656" i="4"/>
  <c r="M2008" i="4"/>
  <c r="E1991" i="4"/>
  <c r="D830" i="4"/>
  <c r="M1981" i="4"/>
  <c r="B876" i="4"/>
  <c r="K1889" i="4"/>
  <c r="J1571" i="4"/>
  <c r="F339" i="4"/>
  <c r="M384" i="4"/>
  <c r="G842" i="4"/>
  <c r="I652" i="4"/>
  <c r="E1284" i="4"/>
  <c r="L888" i="4"/>
  <c r="K992" i="4"/>
  <c r="C1174" i="4"/>
  <c r="M592" i="4"/>
  <c r="K753" i="4"/>
  <c r="L351" i="4"/>
  <c r="M1817" i="4"/>
  <c r="K1207" i="4"/>
  <c r="E1160" i="4"/>
  <c r="C1333" i="4"/>
  <c r="K1332" i="4"/>
  <c r="K153" i="4"/>
  <c r="K714" i="4"/>
  <c r="D1652" i="4"/>
  <c r="D1511" i="4"/>
  <c r="M959" i="4"/>
  <c r="F379" i="4"/>
  <c r="G1271" i="4"/>
  <c r="E39" i="4"/>
  <c r="B775" i="4"/>
  <c r="E1254" i="4"/>
  <c r="E1510" i="4"/>
  <c r="J309" i="4"/>
  <c r="K825" i="4"/>
  <c r="M713" i="4"/>
  <c r="K1086" i="4"/>
  <c r="C1222" i="4"/>
  <c r="B209" i="4"/>
  <c r="B135" i="4"/>
  <c r="G161" i="4"/>
  <c r="E615" i="4"/>
  <c r="K312" i="4"/>
  <c r="G1062" i="4"/>
  <c r="E1185" i="4"/>
  <c r="K207" i="4"/>
  <c r="M1477" i="4"/>
  <c r="C1216" i="4"/>
  <c r="D599" i="4"/>
  <c r="C735" i="4"/>
  <c r="C538" i="4"/>
  <c r="M759" i="4"/>
  <c r="L1110" i="4"/>
  <c r="F537" i="4"/>
  <c r="C1332" i="4"/>
  <c r="G1294" i="4"/>
  <c r="F884" i="4"/>
  <c r="L1893" i="4"/>
  <c r="M1401" i="4"/>
  <c r="E1501" i="4"/>
  <c r="C1685" i="4"/>
  <c r="K1316" i="4"/>
  <c r="D1491" i="4"/>
  <c r="J1262" i="4"/>
  <c r="F1260" i="4"/>
  <c r="E977" i="4"/>
  <c r="K709" i="4"/>
  <c r="M1328" i="4"/>
  <c r="D1797" i="4"/>
  <c r="C1049" i="4"/>
  <c r="D1224" i="4"/>
  <c r="I1238" i="4"/>
  <c r="B958" i="4"/>
  <c r="M785" i="4"/>
  <c r="G700" i="4"/>
  <c r="B1946" i="4"/>
  <c r="K1784" i="4"/>
  <c r="B114" i="4"/>
  <c r="B1815" i="4"/>
  <c r="D414" i="4"/>
  <c r="G1899" i="4"/>
  <c r="F1946" i="4"/>
  <c r="F1265" i="4"/>
  <c r="L1457" i="4"/>
  <c r="E958" i="4"/>
  <c r="C229" i="4"/>
  <c r="K1231" i="4"/>
  <c r="M471" i="4"/>
  <c r="L1737" i="4"/>
  <c r="M1700" i="4"/>
  <c r="I1668" i="4"/>
  <c r="E1398" i="4"/>
  <c r="J212" i="4"/>
  <c r="F1716" i="4"/>
  <c r="L1510" i="4"/>
  <c r="F1463" i="4"/>
  <c r="D988" i="4"/>
  <c r="E311" i="4"/>
  <c r="L1524" i="4"/>
  <c r="D1722" i="4"/>
  <c r="D79" i="4"/>
  <c r="M182" i="4"/>
  <c r="I1556" i="4"/>
  <c r="L697" i="4"/>
  <c r="I1564" i="4"/>
  <c r="L1424" i="4"/>
  <c r="E1736" i="4"/>
  <c r="M1505" i="4"/>
  <c r="B1638" i="4"/>
  <c r="D1256" i="4"/>
  <c r="D1003" i="4"/>
  <c r="E151" i="4"/>
  <c r="G1263" i="4"/>
  <c r="M1518" i="4"/>
  <c r="B233" i="4"/>
  <c r="G999" i="4"/>
  <c r="G1598" i="4"/>
  <c r="B215" i="4"/>
  <c r="L1093" i="4"/>
  <c r="G1887" i="4"/>
  <c r="E1274" i="4"/>
  <c r="E898" i="4"/>
  <c r="B1913" i="4"/>
  <c r="G861" i="4"/>
  <c r="G1717" i="4"/>
  <c r="D714" i="4"/>
  <c r="L905" i="4"/>
  <c r="C533" i="4"/>
  <c r="M1442" i="4"/>
  <c r="K1386" i="4"/>
  <c r="E1299" i="4"/>
  <c r="F1444" i="4"/>
  <c r="C877" i="4"/>
  <c r="G803" i="4"/>
  <c r="B340" i="4"/>
  <c r="D1805" i="4"/>
  <c r="D1887" i="4"/>
  <c r="K1378" i="4"/>
  <c r="M1078" i="4"/>
  <c r="D1460" i="4"/>
  <c r="D1240" i="4"/>
  <c r="F1130" i="4"/>
  <c r="D488" i="4"/>
  <c r="B1722" i="4"/>
  <c r="C851" i="4"/>
  <c r="K1251" i="4"/>
  <c r="D1117" i="4"/>
  <c r="E163" i="4"/>
  <c r="M1105" i="4"/>
  <c r="M764" i="4"/>
  <c r="M32" i="4"/>
  <c r="C1756" i="4"/>
  <c r="J944" i="4"/>
  <c r="L1253" i="4"/>
  <c r="K455" i="4"/>
  <c r="G1645" i="4"/>
  <c r="C791" i="4"/>
  <c r="G1297" i="4"/>
  <c r="J810" i="4"/>
  <c r="B1577" i="4"/>
  <c r="E487" i="4"/>
  <c r="K1508" i="4"/>
  <c r="K1922" i="4"/>
  <c r="C897" i="4"/>
  <c r="G243" i="4"/>
  <c r="C1556" i="4"/>
  <c r="K250" i="4"/>
  <c r="E1091" i="4"/>
  <c r="I1843" i="4"/>
  <c r="B231" i="4"/>
  <c r="M492" i="4"/>
  <c r="L726" i="4"/>
  <c r="E1845" i="4"/>
  <c r="M1107" i="4"/>
  <c r="G928" i="4"/>
  <c r="E287" i="4"/>
  <c r="K308" i="4"/>
  <c r="F327" i="4"/>
  <c r="M1613" i="4"/>
  <c r="F575" i="4"/>
  <c r="L488" i="4"/>
  <c r="L902" i="4"/>
  <c r="D1970" i="4"/>
  <c r="G1988" i="4"/>
  <c r="I1798" i="4"/>
  <c r="D656" i="4"/>
  <c r="B1674" i="4"/>
  <c r="J1056" i="4"/>
  <c r="I1727" i="4"/>
  <c r="G1038" i="4"/>
  <c r="D549" i="4"/>
  <c r="C855" i="4"/>
  <c r="E1630" i="4"/>
  <c r="F1896" i="4"/>
  <c r="F336" i="4"/>
  <c r="C1204" i="4"/>
  <c r="D1735" i="4"/>
  <c r="B817" i="4"/>
  <c r="D131" i="4"/>
  <c r="M710" i="4"/>
  <c r="C1596" i="4"/>
  <c r="L1821" i="4"/>
  <c r="M1358" i="4"/>
  <c r="B1669" i="4"/>
  <c r="C1269" i="4"/>
  <c r="K120" i="4"/>
  <c r="G923" i="4"/>
  <c r="L1186" i="4"/>
  <c r="L652" i="4"/>
  <c r="E795" i="4"/>
  <c r="M1557" i="4"/>
  <c r="D20" i="4"/>
  <c r="K488" i="4"/>
  <c r="B1513" i="4"/>
  <c r="I1202" i="4"/>
  <c r="E2006" i="4"/>
  <c r="G1685" i="4"/>
  <c r="E471" i="4"/>
  <c r="F721" i="4"/>
  <c r="G1122" i="4"/>
  <c r="C212" i="4"/>
  <c r="E995" i="4"/>
  <c r="G1231" i="4"/>
  <c r="E1824" i="4"/>
  <c r="C620" i="4"/>
  <c r="G1150" i="4"/>
  <c r="K1860" i="4"/>
  <c r="F326" i="4"/>
  <c r="M920" i="4"/>
  <c r="C1923" i="4"/>
  <c r="C873" i="4"/>
  <c r="M687" i="4"/>
  <c r="L362" i="4"/>
  <c r="F1422" i="4"/>
  <c r="E6" i="4"/>
  <c r="C1601" i="4"/>
  <c r="E303" i="4"/>
  <c r="L1418" i="4"/>
  <c r="D1768" i="4"/>
  <c r="C1789" i="4"/>
  <c r="D314" i="4"/>
  <c r="M1555" i="4"/>
  <c r="C1237" i="4"/>
  <c r="M1844" i="4"/>
  <c r="C491" i="4"/>
  <c r="F1516" i="4"/>
  <c r="K1737" i="4"/>
  <c r="M1178" i="4"/>
  <c r="L562" i="4"/>
  <c r="G1500" i="4"/>
  <c r="F827" i="4"/>
  <c r="D1055" i="4"/>
  <c r="G665" i="4"/>
  <c r="L1879" i="4"/>
  <c r="M766" i="4"/>
  <c r="C219" i="4"/>
  <c r="L1072" i="4"/>
  <c r="E1056" i="4"/>
  <c r="B852" i="4"/>
  <c r="L1723" i="4"/>
  <c r="E1348" i="4"/>
  <c r="F684" i="4"/>
  <c r="G1668" i="4"/>
  <c r="L956" i="4"/>
  <c r="K1743" i="4"/>
  <c r="K1526" i="4"/>
  <c r="F323" i="4"/>
  <c r="D985" i="4"/>
  <c r="F1149" i="4"/>
  <c r="G1203" i="4"/>
  <c r="B1701" i="4"/>
  <c r="B1349" i="4"/>
  <c r="B1987" i="4"/>
  <c r="M1373" i="4"/>
  <c r="K144" i="4"/>
  <c r="E626" i="4"/>
  <c r="C1604" i="4"/>
  <c r="J1875" i="4"/>
  <c r="G1702" i="4"/>
  <c r="L66" i="4"/>
  <c r="D1110" i="4"/>
  <c r="C38" i="4"/>
  <c r="G1453" i="4"/>
  <c r="E1538" i="4"/>
  <c r="L122" i="4"/>
  <c r="M1719" i="4"/>
  <c r="F1328" i="4"/>
  <c r="M464" i="4"/>
  <c r="B1709" i="4"/>
  <c r="L1906" i="4"/>
  <c r="E699" i="4"/>
  <c r="K265" i="4"/>
  <c r="M615" i="4"/>
  <c r="D1854" i="4"/>
  <c r="D1520" i="4"/>
  <c r="G135" i="4"/>
  <c r="F1234" i="4"/>
  <c r="C539" i="4"/>
  <c r="E326" i="4"/>
  <c r="I1499" i="4"/>
  <c r="G229" i="4"/>
  <c r="F1057" i="4"/>
  <c r="M1302" i="4"/>
  <c r="D1439" i="4"/>
  <c r="F356" i="4"/>
  <c r="G1786" i="4"/>
  <c r="B1400" i="4"/>
  <c r="C1666" i="4"/>
  <c r="E1444" i="4"/>
  <c r="F376" i="4"/>
  <c r="K1193" i="4"/>
  <c r="M1471" i="4"/>
  <c r="C494" i="4"/>
  <c r="K1695" i="4"/>
  <c r="C1314" i="4"/>
  <c r="F130" i="4"/>
  <c r="G1884" i="4"/>
  <c r="L1396" i="4"/>
  <c r="B1345" i="4"/>
  <c r="G200" i="4"/>
  <c r="E1827" i="4"/>
  <c r="L1890" i="4"/>
  <c r="D1257" i="4"/>
  <c r="B1729" i="4"/>
  <c r="D1713" i="4"/>
  <c r="L334" i="4"/>
  <c r="G1272" i="4"/>
  <c r="L336" i="4"/>
  <c r="C684" i="4"/>
  <c r="M1766" i="4"/>
  <c r="B1425" i="4"/>
  <c r="L1506" i="4"/>
  <c r="B1458" i="4"/>
  <c r="G221" i="4"/>
  <c r="E1421" i="4"/>
  <c r="E1120" i="4"/>
  <c r="B1728" i="4"/>
  <c r="I806" i="4"/>
  <c r="L1096" i="4"/>
  <c r="F1736" i="4"/>
  <c r="F797" i="4"/>
  <c r="G216" i="4"/>
  <c r="M1838" i="4"/>
  <c r="G1844" i="4"/>
  <c r="C619" i="4"/>
  <c r="F1358" i="4"/>
  <c r="M1707" i="4"/>
  <c r="E242" i="4"/>
  <c r="L1623" i="4"/>
  <c r="B525" i="4"/>
  <c r="G590" i="4"/>
  <c r="E218" i="4"/>
  <c r="D1234" i="4"/>
  <c r="K1892" i="4"/>
  <c r="B998" i="4"/>
  <c r="B1252" i="4"/>
  <c r="D1702" i="4"/>
  <c r="M130" i="4"/>
  <c r="L1644" i="4"/>
  <c r="C245" i="4"/>
  <c r="L1783" i="4"/>
  <c r="F1033" i="4"/>
  <c r="B1703" i="4"/>
  <c r="I1685" i="4"/>
  <c r="K1832" i="4"/>
  <c r="D1525" i="4"/>
  <c r="L1910" i="4"/>
  <c r="K1008" i="4"/>
  <c r="E961" i="4"/>
  <c r="C281" i="4"/>
  <c r="L1290" i="4"/>
  <c r="C1852" i="4"/>
  <c r="L1686" i="4"/>
  <c r="E845" i="4"/>
  <c r="D856" i="4"/>
  <c r="B1273" i="4"/>
  <c r="M761" i="4"/>
  <c r="L149" i="4"/>
  <c r="C1003" i="4"/>
  <c r="M1226" i="4"/>
  <c r="B1548" i="4"/>
  <c r="C1424" i="4"/>
  <c r="M782" i="4"/>
  <c r="K531" i="4"/>
  <c r="C1569" i="4"/>
  <c r="D304" i="4"/>
  <c r="D594" i="4"/>
  <c r="B1600" i="4"/>
  <c r="L574" i="4"/>
  <c r="B400" i="4"/>
  <c r="L944" i="4"/>
  <c r="F1058" i="4"/>
  <c r="I1218" i="4"/>
  <c r="F1807" i="4"/>
  <c r="E193" i="4"/>
  <c r="I1904" i="4"/>
  <c r="K612" i="4"/>
  <c r="F463" i="4"/>
  <c r="L1159" i="4"/>
  <c r="D969" i="4"/>
  <c r="K702" i="4"/>
  <c r="D538" i="4"/>
  <c r="C871" i="4"/>
  <c r="D1824" i="4"/>
  <c r="C1472" i="4"/>
  <c r="E700" i="4"/>
  <c r="F1331" i="4"/>
  <c r="E1788" i="4"/>
  <c r="F1814" i="4"/>
  <c r="M207" i="4"/>
  <c r="C1906" i="4"/>
  <c r="L162" i="4"/>
  <c r="M601" i="4"/>
  <c r="F528" i="4"/>
  <c r="E84" i="4"/>
  <c r="E1881" i="4"/>
  <c r="F1098" i="4"/>
  <c r="C11" i="4"/>
  <c r="K697" i="4"/>
  <c r="C1528" i="4"/>
  <c r="E544" i="4"/>
  <c r="D1651" i="4"/>
  <c r="G834" i="4"/>
  <c r="D1255" i="4"/>
  <c r="L629" i="4"/>
  <c r="G1322" i="4"/>
  <c r="C1300" i="4"/>
  <c r="G652" i="4"/>
  <c r="G1450" i="4"/>
  <c r="G1071" i="4"/>
  <c r="G1684" i="4"/>
  <c r="E315" i="4"/>
  <c r="F556" i="4"/>
  <c r="G1612" i="4"/>
  <c r="B1822" i="4"/>
  <c r="M306" i="4"/>
  <c r="L2011" i="4"/>
  <c r="D1529" i="4"/>
  <c r="G1179" i="4"/>
  <c r="E1586" i="4"/>
  <c r="I896" i="4"/>
  <c r="L1453" i="4"/>
  <c r="M587" i="4"/>
  <c r="L636" i="4"/>
  <c r="E1609" i="4"/>
  <c r="K832" i="4"/>
  <c r="L1195" i="4"/>
  <c r="I1177" i="4"/>
  <c r="K810" i="4"/>
  <c r="C393" i="4"/>
  <c r="I940" i="4"/>
  <c r="M839" i="4"/>
  <c r="L1112" i="4"/>
  <c r="K1220" i="4"/>
  <c r="M1863" i="4"/>
  <c r="C170" i="4"/>
  <c r="B634" i="4"/>
  <c r="M862" i="4"/>
  <c r="C415" i="4"/>
  <c r="I1025" i="4"/>
  <c r="D1368" i="4"/>
  <c r="E257" i="4"/>
  <c r="L1164" i="4"/>
  <c r="D620" i="4"/>
  <c r="K1782" i="4"/>
  <c r="B1862" i="4"/>
  <c r="L391" i="4"/>
  <c r="E608" i="4"/>
  <c r="F958" i="4"/>
  <c r="I1879" i="4"/>
  <c r="G859" i="4"/>
  <c r="F1632" i="4"/>
  <c r="D1043" i="4"/>
  <c r="G1759" i="4"/>
  <c r="C1239" i="4"/>
  <c r="M1126" i="4"/>
  <c r="M342" i="4"/>
  <c r="C1817" i="4"/>
  <c r="G2003" i="4"/>
  <c r="L1103" i="4"/>
  <c r="C1947" i="4"/>
  <c r="G272" i="4"/>
  <c r="I1689" i="4"/>
  <c r="G1662" i="4"/>
  <c r="K853" i="4"/>
  <c r="C1324" i="4"/>
  <c r="L58" i="4"/>
  <c r="F335" i="4"/>
  <c r="D1034" i="4"/>
  <c r="E1662" i="4"/>
  <c r="D58" i="4"/>
  <c r="E432" i="4"/>
  <c r="L1310" i="4"/>
  <c r="K179" i="4"/>
  <c r="M72" i="4"/>
  <c r="G2002" i="4"/>
  <c r="B895" i="4"/>
  <c r="G483" i="4"/>
  <c r="K988" i="4"/>
  <c r="B1576" i="4"/>
  <c r="D192" i="4"/>
  <c r="L551" i="4"/>
  <c r="M1081" i="4"/>
  <c r="F275" i="4"/>
  <c r="G1705" i="4"/>
  <c r="L416" i="4"/>
  <c r="E2005" i="4"/>
  <c r="G1464" i="4"/>
  <c r="D1362" i="4"/>
  <c r="G440" i="4"/>
  <c r="E350" i="4"/>
  <c r="L942" i="4"/>
  <c r="D1689" i="4"/>
  <c r="B162" i="4"/>
  <c r="E1782" i="4"/>
  <c r="G452" i="4"/>
  <c r="L695" i="4"/>
  <c r="I1700" i="4"/>
  <c r="M1383" i="4"/>
  <c r="L746" i="4"/>
  <c r="I1808" i="4"/>
  <c r="M642" i="4"/>
  <c r="B383" i="4"/>
  <c r="E1483" i="4"/>
  <c r="J1950" i="4"/>
  <c r="M1041" i="4"/>
  <c r="C1869" i="4"/>
  <c r="F1089" i="4"/>
  <c r="K1359" i="4"/>
  <c r="L1640" i="4"/>
  <c r="G1110" i="4"/>
  <c r="B631" i="4"/>
  <c r="L312" i="4"/>
  <c r="F1673" i="4"/>
  <c r="C21" i="4"/>
  <c r="F220" i="4"/>
  <c r="F1866" i="4"/>
  <c r="C723" i="4"/>
  <c r="M1408" i="4"/>
  <c r="B1985" i="4"/>
  <c r="G187" i="4"/>
  <c r="E1402" i="4"/>
  <c r="B1446" i="4"/>
  <c r="C785" i="4"/>
  <c r="K227" i="4"/>
  <c r="M1708" i="4"/>
  <c r="D1566" i="4"/>
  <c r="F1206" i="4"/>
  <c r="K105" i="4"/>
  <c r="D1261" i="4"/>
  <c r="E1751" i="4"/>
  <c r="K571" i="4"/>
  <c r="C1865" i="4"/>
  <c r="B1922" i="4"/>
  <c r="E1252" i="4"/>
  <c r="L168" i="4"/>
  <c r="L1727" i="4"/>
  <c r="E1220" i="4"/>
  <c r="G1296" i="4"/>
  <c r="C1520" i="4"/>
  <c r="C1848" i="4"/>
  <c r="E1694" i="4"/>
  <c r="K920" i="4"/>
  <c r="E1718" i="4"/>
  <c r="D1426" i="4"/>
  <c r="B1794" i="4"/>
  <c r="F265" i="4"/>
  <c r="K1923" i="4"/>
  <c r="F1533" i="4"/>
  <c r="L1014" i="4"/>
  <c r="G1428" i="4"/>
  <c r="K1264" i="4"/>
  <c r="B5" i="4"/>
  <c r="E1308" i="4"/>
  <c r="E1904" i="4"/>
  <c r="C417" i="4"/>
  <c r="C1650" i="4"/>
  <c r="M1493" i="4"/>
  <c r="L1106" i="4"/>
  <c r="B1342" i="4"/>
  <c r="C5" i="4"/>
  <c r="F1631" i="4"/>
  <c r="K1029" i="4"/>
  <c r="E30" i="4"/>
  <c r="J1479" i="4"/>
  <c r="L1071" i="4"/>
  <c r="L1124" i="4"/>
  <c r="C1589" i="4"/>
  <c r="M435" i="4"/>
  <c r="B1101" i="4"/>
  <c r="C985" i="4"/>
  <c r="L699" i="4"/>
  <c r="C1671" i="4"/>
  <c r="E971" i="4"/>
  <c r="B1640" i="4"/>
  <c r="M1843" i="4"/>
  <c r="F1129" i="4"/>
  <c r="B892" i="4"/>
  <c r="F990" i="4"/>
  <c r="G747" i="4"/>
  <c r="L1638" i="4"/>
  <c r="K26" i="4"/>
  <c r="G1678" i="4"/>
  <c r="C1619" i="4"/>
  <c r="D1871" i="4"/>
  <c r="M1922" i="4"/>
  <c r="L1776" i="4"/>
  <c r="G387" i="4"/>
  <c r="L979" i="4"/>
  <c r="M1108" i="4"/>
  <c r="E1534" i="4"/>
  <c r="K1034" i="4"/>
  <c r="G1819" i="4"/>
  <c r="K1548" i="4"/>
  <c r="C1541" i="4"/>
  <c r="F1876" i="4"/>
  <c r="B500" i="4"/>
  <c r="M499" i="4"/>
  <c r="L1731" i="4"/>
  <c r="L1248" i="4"/>
  <c r="E1436" i="4"/>
  <c r="I1683" i="4"/>
  <c r="F552" i="4"/>
  <c r="M1773" i="4"/>
  <c r="G74" i="4"/>
  <c r="G186" i="4"/>
  <c r="D557" i="4"/>
  <c r="E524" i="4"/>
  <c r="G1822" i="4"/>
  <c r="B931" i="4"/>
  <c r="D1373" i="4"/>
  <c r="L1215" i="4"/>
  <c r="M333" i="4"/>
  <c r="F879" i="4"/>
  <c r="C1895" i="4"/>
  <c r="J503" i="4"/>
  <c r="J310" i="4"/>
  <c r="M507" i="4"/>
  <c r="F1701" i="4"/>
  <c r="B531" i="4"/>
  <c r="L10" i="4"/>
  <c r="D1902" i="4"/>
  <c r="M21" i="4"/>
  <c r="E1544" i="4"/>
  <c r="G972" i="4"/>
  <c r="F400" i="4"/>
  <c r="L512" i="4"/>
  <c r="L798" i="4"/>
  <c r="F1703" i="4"/>
  <c r="G138" i="4"/>
  <c r="C911" i="4"/>
  <c r="L1643" i="4"/>
  <c r="L951" i="4"/>
  <c r="E1554" i="4"/>
  <c r="G1033" i="4"/>
  <c r="G1324" i="4"/>
  <c r="B667" i="4"/>
  <c r="F1749" i="4"/>
  <c r="F1840" i="4"/>
  <c r="F1046" i="4"/>
  <c r="G671" i="4"/>
  <c r="K48" i="4"/>
  <c r="F424" i="4"/>
  <c r="D248" i="4"/>
  <c r="C1077" i="4"/>
  <c r="K563" i="4"/>
  <c r="D1843" i="4"/>
  <c r="D792" i="4"/>
  <c r="I464" i="4"/>
  <c r="F511" i="4"/>
  <c r="E1986" i="4"/>
  <c r="C1415" i="4"/>
  <c r="E241" i="4"/>
  <c r="K1731" i="4"/>
  <c r="M1414" i="4"/>
  <c r="B732" i="4"/>
  <c r="D508" i="4"/>
  <c r="J131" i="4"/>
  <c r="M1379" i="4"/>
  <c r="C1079" i="4"/>
  <c r="D1966" i="4"/>
  <c r="B126" i="4"/>
  <c r="M586" i="4"/>
  <c r="E1260" i="4"/>
  <c r="K173" i="4"/>
  <c r="D748" i="4"/>
  <c r="E648" i="4"/>
  <c r="C129" i="4"/>
  <c r="I1753" i="4"/>
  <c r="B1250" i="4"/>
  <c r="M1754" i="4"/>
  <c r="L1370" i="4"/>
  <c r="C1684" i="4"/>
  <c r="F585" i="4"/>
  <c r="M405" i="4"/>
  <c r="M1359" i="4"/>
  <c r="M647" i="4"/>
  <c r="K1478" i="4"/>
  <c r="C1843" i="4"/>
  <c r="G282" i="4"/>
  <c r="E1674" i="4"/>
  <c r="J208" i="4"/>
  <c r="J627" i="4"/>
  <c r="J59" i="4"/>
  <c r="K313" i="4"/>
  <c r="F1337" i="4"/>
  <c r="I687" i="4"/>
  <c r="L1474" i="4"/>
  <c r="I272" i="4"/>
  <c r="K121" i="4"/>
  <c r="F139" i="4"/>
  <c r="D671" i="4"/>
  <c r="E936" i="4"/>
  <c r="L835" i="4"/>
  <c r="F614" i="4"/>
  <c r="C1535" i="4"/>
  <c r="E408" i="4"/>
  <c r="J184" i="4"/>
  <c r="K1828" i="4"/>
  <c r="D1762" i="4"/>
  <c r="M55" i="4"/>
  <c r="L450" i="4"/>
  <c r="G328" i="4"/>
  <c r="I891" i="4"/>
  <c r="C1460" i="4"/>
  <c r="C97" i="4"/>
  <c r="I749" i="4"/>
  <c r="C37" i="4"/>
  <c r="M712" i="4"/>
  <c r="D510" i="4"/>
  <c r="L1486" i="4"/>
  <c r="C1080" i="4"/>
  <c r="E1250" i="4"/>
  <c r="K1464" i="4"/>
  <c r="M1494" i="4"/>
  <c r="E951" i="4"/>
  <c r="C434" i="4"/>
  <c r="F658" i="4"/>
  <c r="J1979" i="4"/>
  <c r="D189" i="4"/>
  <c r="D1493" i="4"/>
  <c r="M493" i="4"/>
  <c r="C1075" i="4"/>
  <c r="C1054" i="4"/>
  <c r="B1014" i="4"/>
  <c r="G1671" i="4"/>
  <c r="L537" i="4"/>
  <c r="D1339" i="4"/>
  <c r="I751" i="4"/>
  <c r="I399" i="4"/>
  <c r="F1300" i="4"/>
  <c r="C821" i="4"/>
  <c r="D4" i="4"/>
  <c r="F111" i="4"/>
  <c r="L1266" i="4"/>
  <c r="C1153" i="4"/>
  <c r="L174" i="4"/>
  <c r="J320" i="4"/>
  <c r="C1232" i="4"/>
  <c r="F1779" i="4"/>
  <c r="D796" i="4"/>
  <c r="E945" i="4"/>
  <c r="D1241" i="4"/>
  <c r="E64" i="4"/>
  <c r="L809" i="4"/>
  <c r="F1041" i="4"/>
  <c r="D1417" i="4"/>
  <c r="C915" i="4"/>
  <c r="B282" i="4"/>
  <c r="J150" i="4"/>
  <c r="G894" i="4"/>
  <c r="G1623" i="4"/>
  <c r="C1595" i="4"/>
  <c r="L931" i="4"/>
  <c r="J1576" i="4"/>
  <c r="L1320" i="4"/>
  <c r="D1490" i="4"/>
  <c r="B1816" i="4"/>
  <c r="L1898" i="4"/>
  <c r="E1085" i="4"/>
  <c r="B1696" i="4"/>
  <c r="L1982" i="4"/>
  <c r="J948" i="4"/>
  <c r="D40" i="4"/>
  <c r="D454" i="4"/>
  <c r="J1935" i="4"/>
  <c r="D1386" i="4"/>
  <c r="K229" i="4"/>
  <c r="M123" i="4"/>
  <c r="G591" i="4"/>
  <c r="D1930" i="4"/>
  <c r="L565" i="4"/>
  <c r="I1699" i="4"/>
  <c r="C1471" i="4"/>
  <c r="G1248" i="4"/>
  <c r="B1340" i="4"/>
  <c r="D27" i="4"/>
  <c r="E191" i="4"/>
  <c r="M750" i="4"/>
  <c r="M1368" i="4"/>
  <c r="C1118" i="4"/>
  <c r="F211" i="4"/>
  <c r="M814" i="4"/>
  <c r="D1912" i="4"/>
  <c r="K1662" i="4"/>
  <c r="J1861" i="4"/>
  <c r="F171" i="4"/>
  <c r="E1976" i="4"/>
  <c r="G602" i="4"/>
  <c r="C500" i="4"/>
  <c r="E578" i="4"/>
  <c r="K1927" i="4"/>
  <c r="K997" i="4"/>
  <c r="D325" i="4"/>
  <c r="E732" i="4"/>
  <c r="M1417" i="4"/>
  <c r="G900" i="4"/>
  <c r="K1388" i="4"/>
  <c r="M81" i="4"/>
  <c r="F2005" i="4"/>
  <c r="J1657" i="4"/>
  <c r="E1307" i="4"/>
  <c r="M480" i="4"/>
  <c r="F913" i="4"/>
  <c r="C918" i="4"/>
  <c r="D1875" i="4"/>
  <c r="K656" i="4"/>
  <c r="F1187" i="4"/>
  <c r="E443" i="4"/>
  <c r="D746" i="4"/>
  <c r="B1084" i="4"/>
  <c r="K1517" i="4"/>
  <c r="M1133" i="4"/>
  <c r="E1099" i="4"/>
  <c r="G147" i="4"/>
  <c r="F715" i="4"/>
  <c r="D1810" i="4"/>
  <c r="C1987" i="4"/>
  <c r="C916" i="4"/>
  <c r="M1638" i="4"/>
  <c r="B192" i="4"/>
  <c r="K1822" i="4"/>
  <c r="J1248" i="4"/>
  <c r="B2002" i="4"/>
  <c r="I1148" i="4"/>
  <c r="E1903" i="4"/>
  <c r="L1984" i="4"/>
  <c r="B1781" i="4"/>
  <c r="L1573" i="4"/>
  <c r="F1382" i="4"/>
  <c r="F1596" i="4"/>
  <c r="I1149" i="4"/>
  <c r="M1588" i="4"/>
  <c r="B1630" i="4"/>
  <c r="B1068" i="4"/>
  <c r="L1837" i="4"/>
  <c r="D57" i="4"/>
  <c r="B1049" i="4"/>
  <c r="K1970" i="4"/>
  <c r="F1737" i="4"/>
  <c r="F759" i="4"/>
  <c r="D1697" i="4"/>
  <c r="K960" i="4"/>
  <c r="D1227" i="4"/>
  <c r="L860" i="4"/>
  <c r="K566" i="4"/>
  <c r="G1881" i="4"/>
  <c r="M925" i="4"/>
  <c r="I616" i="4"/>
  <c r="G212" i="4"/>
  <c r="B1033" i="4"/>
  <c r="E543" i="4"/>
  <c r="F676" i="4"/>
  <c r="I1041" i="4"/>
  <c r="I396" i="4"/>
  <c r="C160" i="4"/>
  <c r="F371" i="4"/>
  <c r="M466" i="4"/>
  <c r="J1392" i="4"/>
  <c r="C1191" i="4"/>
  <c r="E1507" i="4"/>
  <c r="F973" i="4"/>
  <c r="K411" i="4"/>
  <c r="M739" i="4"/>
  <c r="L1202" i="4"/>
  <c r="D1541" i="4"/>
  <c r="B1779" i="4"/>
  <c r="K177" i="4"/>
  <c r="L935" i="4"/>
  <c r="M1128" i="4"/>
  <c r="M63" i="4"/>
  <c r="E1098" i="4"/>
  <c r="K532" i="4"/>
  <c r="M602" i="4"/>
  <c r="L276" i="4"/>
  <c r="B476" i="4"/>
  <c r="B1839" i="4"/>
  <c r="D39" i="4"/>
  <c r="G1260" i="4"/>
  <c r="F1378" i="4"/>
  <c r="M1311" i="4"/>
  <c r="F1481" i="4"/>
  <c r="J1013" i="4"/>
  <c r="M560" i="4"/>
  <c r="K1125" i="4"/>
  <c r="L1264" i="4"/>
  <c r="C1884" i="4"/>
  <c r="B1111" i="4"/>
  <c r="J1175" i="4"/>
  <c r="K803" i="4"/>
  <c r="E1608" i="4"/>
  <c r="C169" i="4"/>
  <c r="G326" i="4"/>
  <c r="F1431" i="4"/>
  <c r="C1892" i="4"/>
  <c r="L300" i="4"/>
  <c r="F201" i="4"/>
  <c r="M99" i="4"/>
  <c r="G437" i="4"/>
  <c r="E870" i="4"/>
  <c r="E254" i="4"/>
  <c r="E1946" i="4"/>
  <c r="L1572" i="4"/>
  <c r="E823" i="4"/>
  <c r="F1976" i="4"/>
  <c r="D1092" i="4"/>
  <c r="M418" i="4"/>
  <c r="F1626" i="4"/>
  <c r="B1015" i="4"/>
  <c r="J220" i="4"/>
  <c r="K1610" i="4"/>
  <c r="K1476" i="4"/>
  <c r="E1329" i="4"/>
  <c r="M33" i="4"/>
  <c r="E114" i="4"/>
  <c r="G1650" i="4"/>
  <c r="G1089" i="4"/>
  <c r="G1567" i="4"/>
  <c r="B474" i="4"/>
  <c r="M1384" i="4"/>
  <c r="B1103" i="4"/>
  <c r="K1983" i="4"/>
  <c r="B1481" i="4"/>
  <c r="E1528" i="4"/>
  <c r="L752" i="4"/>
  <c r="F1601" i="4"/>
  <c r="I1605" i="4"/>
  <c r="K637" i="4"/>
  <c r="G466" i="4"/>
  <c r="K1461" i="4"/>
  <c r="E1559" i="4"/>
  <c r="L1634" i="4"/>
  <c r="F286" i="4"/>
  <c r="M1575" i="4"/>
  <c r="G871" i="4"/>
  <c r="B495" i="4"/>
  <c r="E429" i="4"/>
  <c r="F1048" i="4"/>
  <c r="B1121" i="4"/>
  <c r="L400" i="4"/>
  <c r="C1799" i="4"/>
  <c r="C1105" i="4"/>
  <c r="L1601" i="4"/>
  <c r="B1336" i="4"/>
  <c r="F501" i="4"/>
  <c r="L421" i="4"/>
  <c r="C656" i="4"/>
  <c r="D912" i="4"/>
  <c r="B1470" i="4"/>
  <c r="C1711" i="4"/>
  <c r="J1152" i="4"/>
  <c r="M813" i="4"/>
  <c r="F560" i="4"/>
  <c r="G1022" i="4"/>
  <c r="E749" i="4"/>
  <c r="K1040" i="4"/>
  <c r="C729" i="4"/>
  <c r="G1409" i="4"/>
  <c r="B1687" i="4"/>
  <c r="G1159" i="4"/>
  <c r="G398" i="4"/>
  <c r="B1659" i="4"/>
  <c r="C1044" i="4"/>
  <c r="C673" i="4"/>
  <c r="M1996" i="4"/>
  <c r="G1040" i="4"/>
  <c r="C105" i="4"/>
  <c r="L583" i="4"/>
  <c r="F97" i="4"/>
  <c r="I1508" i="4"/>
  <c r="G14" i="4"/>
  <c r="F872" i="4"/>
  <c r="C714" i="4"/>
  <c r="G808" i="4"/>
  <c r="G1498" i="4"/>
  <c r="D21" i="4"/>
  <c r="B1131" i="4"/>
  <c r="G291" i="4"/>
  <c r="J418" i="4"/>
  <c r="F1970" i="4"/>
  <c r="J1477" i="4"/>
  <c r="M1308" i="4"/>
  <c r="M157" i="4"/>
  <c r="B1191" i="4"/>
  <c r="M319" i="4"/>
  <c r="D940" i="4"/>
  <c r="K1803" i="4"/>
  <c r="I798" i="4"/>
  <c r="F871" i="4"/>
  <c r="F1697" i="4"/>
  <c r="C1570" i="4"/>
  <c r="D101" i="4"/>
  <c r="G1075" i="4"/>
  <c r="F420" i="4"/>
  <c r="L1403" i="4"/>
  <c r="M293" i="4"/>
  <c r="I1331" i="4"/>
  <c r="C134" i="4"/>
  <c r="M512" i="4"/>
  <c r="D342" i="4"/>
  <c r="D507" i="4"/>
  <c r="M674" i="4"/>
  <c r="L1905" i="4"/>
  <c r="E72" i="4"/>
  <c r="M887" i="4"/>
  <c r="E858" i="4"/>
  <c r="D1690" i="4"/>
  <c r="K1597" i="4"/>
  <c r="D1132" i="4"/>
  <c r="D490" i="4"/>
  <c r="E702" i="4"/>
  <c r="K427" i="4"/>
  <c r="D1959" i="4"/>
  <c r="B1237" i="4"/>
  <c r="D1672" i="4"/>
  <c r="L525" i="4"/>
  <c r="L1467" i="4"/>
  <c r="M846" i="4"/>
  <c r="J527" i="4"/>
  <c r="C1646" i="4"/>
  <c r="E1555" i="4"/>
  <c r="L754" i="4"/>
  <c r="G948" i="4"/>
  <c r="L1490" i="4"/>
  <c r="E1543" i="4"/>
  <c r="K1854" i="4"/>
  <c r="D2003" i="4"/>
  <c r="I223" i="4"/>
  <c r="M688" i="4"/>
  <c r="B628" i="4"/>
  <c r="L1955" i="4"/>
  <c r="F984" i="4"/>
  <c r="C1454" i="4"/>
  <c r="B1405" i="4"/>
  <c r="D1343" i="4"/>
  <c r="C1297" i="4"/>
  <c r="D1644" i="4"/>
  <c r="K463" i="4"/>
  <c r="B1964" i="4"/>
  <c r="I659" i="4"/>
  <c r="F839" i="4"/>
  <c r="C437" i="4"/>
  <c r="C498" i="4"/>
  <c r="E722" i="4"/>
  <c r="C497" i="4"/>
  <c r="I155" i="4"/>
  <c r="G2000" i="4"/>
  <c r="M1310" i="4"/>
  <c r="F378" i="4"/>
  <c r="L900" i="4"/>
  <c r="G269" i="4"/>
  <c r="B1413" i="4"/>
  <c r="D571" i="4"/>
  <c r="D997" i="4"/>
  <c r="E1866" i="4"/>
  <c r="F502" i="4"/>
  <c r="M1121" i="4"/>
  <c r="D388" i="4"/>
  <c r="C431" i="4"/>
  <c r="M797" i="4"/>
  <c r="E1741" i="4"/>
  <c r="L625" i="4"/>
  <c r="L247" i="4"/>
  <c r="C1160" i="4"/>
  <c r="F1377" i="4"/>
  <c r="E1270" i="4"/>
  <c r="B954" i="4"/>
  <c r="B1556" i="4"/>
  <c r="D1296" i="4"/>
  <c r="F426" i="4"/>
  <c r="B1976" i="4"/>
  <c r="B1439" i="4"/>
  <c r="F1238" i="4"/>
  <c r="K1985" i="4"/>
  <c r="J1366" i="4"/>
  <c r="C57" i="4"/>
  <c r="F192" i="4"/>
  <c r="C1142" i="4"/>
  <c r="K1807" i="4"/>
  <c r="J1899" i="4"/>
  <c r="D1728" i="4"/>
  <c r="L314" i="4"/>
  <c r="M1909" i="4"/>
  <c r="K1628" i="4"/>
  <c r="G1037" i="4"/>
  <c r="J1157" i="4"/>
  <c r="M603" i="4"/>
  <c r="M1253" i="4"/>
  <c r="G1748" i="4"/>
  <c r="F467" i="4"/>
  <c r="D1036" i="4"/>
  <c r="K441" i="4"/>
  <c r="L186" i="4"/>
  <c r="C1250" i="4"/>
  <c r="J802" i="4"/>
  <c r="G1029" i="4"/>
  <c r="E1743" i="4"/>
  <c r="B1364" i="4"/>
  <c r="B1995" i="4"/>
  <c r="L1138" i="4"/>
  <c r="L1165" i="4"/>
  <c r="D1510" i="4"/>
  <c r="D591" i="4"/>
  <c r="F94" i="4"/>
  <c r="M1474" i="4"/>
  <c r="F1948" i="4"/>
  <c r="L795" i="4"/>
  <c r="C1451" i="4"/>
  <c r="C190" i="4"/>
  <c r="G1952" i="4"/>
  <c r="E343" i="4"/>
  <c r="F1678" i="4"/>
  <c r="C335" i="4"/>
  <c r="J462" i="4"/>
  <c r="L176" i="4"/>
  <c r="E1686" i="4"/>
  <c r="F1210" i="4"/>
  <c r="F1424" i="4"/>
  <c r="E145" i="4"/>
  <c r="K649" i="4"/>
  <c r="M1734" i="4"/>
  <c r="M1032" i="4"/>
  <c r="L1518" i="4"/>
  <c r="C1070" i="4"/>
  <c r="C567" i="4"/>
  <c r="B1572" i="4"/>
  <c r="E201" i="4"/>
  <c r="M1449" i="4"/>
  <c r="K1060" i="4"/>
  <c r="K1334" i="4"/>
  <c r="B97" i="4"/>
  <c r="D418" i="4"/>
  <c r="I21" i="4"/>
  <c r="C1273" i="4"/>
  <c r="D1300" i="4"/>
  <c r="K1412" i="4"/>
  <c r="M754" i="4"/>
  <c r="M1277" i="4"/>
  <c r="L1057" i="4"/>
  <c r="M1515" i="4"/>
  <c r="B1435" i="4"/>
  <c r="D886" i="4"/>
  <c r="D1141" i="4"/>
  <c r="G1205" i="4"/>
  <c r="D1779" i="4"/>
  <c r="C951" i="4"/>
  <c r="F527" i="4"/>
  <c r="E403" i="4"/>
  <c r="L528" i="4"/>
  <c r="E1914" i="4"/>
  <c r="G724" i="4"/>
  <c r="K1208" i="4"/>
  <c r="K897" i="4"/>
  <c r="B1679" i="4"/>
  <c r="E1550" i="4"/>
  <c r="B150" i="4"/>
  <c r="E49" i="4"/>
  <c r="M1701" i="4"/>
  <c r="J1772" i="4"/>
  <c r="B1958" i="4"/>
  <c r="K1701" i="4"/>
  <c r="G1458" i="4"/>
  <c r="C970" i="4"/>
  <c r="M679" i="4"/>
  <c r="E1633" i="4"/>
  <c r="G1003" i="4"/>
  <c r="M832" i="4"/>
  <c r="J1849" i="4"/>
  <c r="E1413" i="4"/>
  <c r="F1352" i="4"/>
  <c r="L447" i="4"/>
  <c r="L867" i="4"/>
  <c r="G445" i="4"/>
  <c r="F1405" i="4"/>
  <c r="M1816" i="4"/>
  <c r="G574" i="4"/>
  <c r="B1293" i="4"/>
  <c r="L460" i="4"/>
  <c r="E1671" i="4"/>
  <c r="D457" i="4"/>
  <c r="F1667" i="4"/>
  <c r="J252" i="4"/>
  <c r="M723" i="4"/>
  <c r="C1746" i="4"/>
  <c r="L286" i="4"/>
  <c r="G490" i="4"/>
  <c r="L797" i="4"/>
  <c r="C1145" i="4"/>
  <c r="E603" i="4"/>
  <c r="D1004" i="4"/>
  <c r="C1919" i="4"/>
  <c r="L437" i="4"/>
  <c r="B1593" i="4"/>
  <c r="C469" i="4"/>
  <c r="E832" i="4"/>
  <c r="B802" i="4"/>
  <c r="E1982" i="4"/>
  <c r="B746" i="4"/>
  <c r="K1625" i="4"/>
  <c r="E399" i="4"/>
  <c r="M598" i="4"/>
  <c r="D640" i="4"/>
  <c r="C1283" i="4"/>
  <c r="B1205" i="4"/>
  <c r="I1603" i="4"/>
  <c r="G653" i="4"/>
  <c r="F1796" i="4"/>
  <c r="F1863" i="4"/>
  <c r="L1707" i="4"/>
  <c r="M1300" i="4"/>
  <c r="E407" i="4"/>
  <c r="K916" i="4"/>
  <c r="E893" i="4"/>
  <c r="B1651" i="4"/>
  <c r="C321" i="4"/>
  <c r="M683" i="4"/>
  <c r="J899" i="4"/>
  <c r="L1499" i="4"/>
  <c r="B796" i="4"/>
  <c r="I737" i="4"/>
  <c r="E1963" i="4"/>
  <c r="M611" i="4"/>
  <c r="C1377" i="4"/>
  <c r="M93" i="4"/>
  <c r="G1415" i="4"/>
  <c r="D1751" i="4"/>
  <c r="D1452" i="4"/>
  <c r="M1600" i="4"/>
  <c r="G163" i="4"/>
  <c r="L194" i="4"/>
  <c r="F1050" i="4"/>
  <c r="F1416" i="4"/>
  <c r="C1161" i="4"/>
  <c r="B1580" i="4"/>
  <c r="M703" i="4"/>
  <c r="J1753" i="4"/>
  <c r="L1948" i="4"/>
  <c r="D1019" i="4"/>
  <c r="E1727" i="4"/>
  <c r="B621" i="4"/>
  <c r="F1659" i="4"/>
  <c r="M986" i="4"/>
  <c r="G506" i="4"/>
  <c r="M1807" i="4"/>
  <c r="M1092" i="4"/>
  <c r="E1410" i="4"/>
  <c r="B944" i="4"/>
  <c r="K1081" i="4"/>
  <c r="M883" i="4"/>
  <c r="E128" i="4"/>
  <c r="L1934" i="4"/>
  <c r="I839" i="4"/>
  <c r="G690" i="4"/>
  <c r="L1874" i="4"/>
  <c r="K113" i="4"/>
  <c r="C1823" i="4"/>
  <c r="L1939" i="4"/>
  <c r="E794" i="4"/>
  <c r="L1011" i="4"/>
  <c r="K112" i="4"/>
  <c r="G375" i="4"/>
  <c r="G6" i="4"/>
  <c r="M183" i="4"/>
  <c r="L961" i="4"/>
  <c r="C136" i="4"/>
  <c r="G625" i="4"/>
  <c r="C1847" i="4"/>
  <c r="C1376" i="4"/>
  <c r="I1028" i="4"/>
  <c r="F1123" i="4"/>
  <c r="G1644" i="4"/>
  <c r="D626" i="4"/>
  <c r="M1407" i="4"/>
  <c r="G890" i="4"/>
  <c r="C203" i="4"/>
  <c r="E69" i="4"/>
  <c r="M149" i="4"/>
  <c r="F237" i="4"/>
  <c r="L515" i="4"/>
  <c r="B555" i="4"/>
  <c r="B434" i="4"/>
  <c r="C1966" i="4"/>
  <c r="M1433" i="4"/>
  <c r="C859" i="4"/>
  <c r="B1926" i="4"/>
  <c r="C1032" i="4"/>
  <c r="B704" i="4"/>
  <c r="M1194" i="4"/>
  <c r="B1984" i="4"/>
  <c r="J340" i="4"/>
  <c r="F1811" i="4"/>
  <c r="C1745" i="4"/>
  <c r="K1690" i="4"/>
  <c r="F1218" i="4"/>
  <c r="K644" i="4"/>
  <c r="B806" i="4"/>
  <c r="F1801" i="4"/>
  <c r="B293" i="4"/>
  <c r="M1135" i="4"/>
  <c r="C872" i="4"/>
  <c r="C671" i="4"/>
  <c r="M816" i="4"/>
  <c r="J162" i="4"/>
  <c r="D1890" i="4"/>
  <c r="F1741" i="4"/>
  <c r="E575" i="4"/>
  <c r="C1030" i="4"/>
  <c r="E1227" i="4"/>
  <c r="E1124" i="4"/>
  <c r="B164" i="4"/>
  <c r="D1307" i="4"/>
  <c r="B1853" i="4"/>
  <c r="D900" i="4"/>
  <c r="D346" i="4"/>
  <c r="M1667" i="4"/>
  <c r="B86" i="4"/>
  <c r="D540" i="4"/>
  <c r="D1575" i="4"/>
  <c r="J190" i="4"/>
  <c r="E1019" i="4"/>
  <c r="C22" i="4"/>
  <c r="C955" i="4"/>
  <c r="B1663" i="4"/>
  <c r="C1248" i="4"/>
  <c r="B560" i="4"/>
  <c r="F1894" i="4"/>
  <c r="F1423" i="4"/>
  <c r="G1857" i="4"/>
  <c r="M439" i="4"/>
  <c r="F1751" i="4"/>
  <c r="M1994" i="4"/>
  <c r="J1717" i="4"/>
  <c r="M1627" i="4"/>
  <c r="D1199" i="4"/>
  <c r="D771" i="4"/>
  <c r="C1299" i="4"/>
  <c r="C388" i="4"/>
  <c r="G904" i="4"/>
  <c r="C909" i="4"/>
  <c r="G548" i="4"/>
  <c r="F185" i="4"/>
  <c r="E518" i="4"/>
  <c r="E54" i="4"/>
  <c r="F1056" i="4"/>
  <c r="C823" i="4"/>
  <c r="B700" i="4"/>
  <c r="F909" i="4"/>
  <c r="F567" i="4"/>
  <c r="J867" i="4"/>
  <c r="K1013" i="4"/>
  <c r="C1023" i="4"/>
  <c r="M397" i="4"/>
  <c r="M1409" i="4"/>
  <c r="C110" i="4"/>
  <c r="J717" i="4"/>
  <c r="L858" i="4"/>
  <c r="J392" i="4"/>
  <c r="F1539" i="4"/>
  <c r="E1706" i="4"/>
  <c r="M919" i="4"/>
  <c r="I1614" i="4"/>
  <c r="C534" i="4"/>
  <c r="D728" i="4"/>
  <c r="E824" i="4"/>
  <c r="I2008" i="4"/>
  <c r="G1492" i="4"/>
  <c r="M777" i="4"/>
  <c r="M884" i="4"/>
  <c r="B183" i="4"/>
  <c r="D558" i="4"/>
  <c r="K879" i="4"/>
  <c r="M937" i="4"/>
  <c r="E1840" i="4"/>
  <c r="C123" i="4"/>
  <c r="D1103" i="4"/>
  <c r="M1083" i="4"/>
  <c r="G698" i="4"/>
  <c r="L1371" i="4"/>
  <c r="I352" i="4"/>
  <c r="K1900" i="4"/>
  <c r="M1798" i="4"/>
  <c r="E1057" i="4"/>
  <c r="M414" i="4"/>
  <c r="K1302" i="4"/>
  <c r="B1767" i="4"/>
  <c r="K1011" i="4"/>
  <c r="L1095" i="4"/>
  <c r="D541" i="4"/>
  <c r="E1237" i="4"/>
  <c r="B1800" i="4"/>
  <c r="J872" i="4"/>
  <c r="D78" i="4"/>
  <c r="G835" i="4"/>
  <c r="I1234" i="4"/>
  <c r="D1266" i="4"/>
  <c r="L365" i="4"/>
  <c r="E310" i="4"/>
  <c r="D1992" i="4"/>
  <c r="G1713" i="4"/>
  <c r="K1481" i="4"/>
  <c r="K1300" i="4"/>
  <c r="F1285" i="4"/>
  <c r="M989" i="4"/>
  <c r="B930" i="4"/>
  <c r="E1184" i="4"/>
  <c r="K382" i="4"/>
  <c r="C621" i="4"/>
  <c r="E1192" i="4"/>
  <c r="L973" i="4"/>
  <c r="K1479" i="4"/>
  <c r="J1593" i="4"/>
  <c r="G801" i="4"/>
  <c r="G1974" i="4"/>
  <c r="K1012" i="4"/>
  <c r="C1466" i="4"/>
  <c r="B1081" i="4"/>
  <c r="M245" i="4"/>
  <c r="F1857" i="4"/>
  <c r="G1688" i="4"/>
  <c r="I280" i="4"/>
  <c r="G1226" i="4"/>
  <c r="E335" i="4"/>
  <c r="E1993" i="4"/>
  <c r="D1497" i="4"/>
  <c r="F377" i="4"/>
  <c r="G1800" i="4"/>
  <c r="C1818" i="4"/>
  <c r="D1179" i="4"/>
  <c r="G1386" i="4"/>
  <c r="M1114" i="4"/>
  <c r="K1550" i="4"/>
  <c r="C862" i="4"/>
  <c r="E610" i="4"/>
  <c r="K957" i="4"/>
  <c r="C389" i="4"/>
  <c r="M1487" i="4"/>
  <c r="B786" i="4"/>
  <c r="C1503" i="4"/>
  <c r="C247" i="4"/>
  <c r="L1017" i="4"/>
  <c r="C628" i="4"/>
  <c r="F1524" i="4"/>
  <c r="G1270" i="4"/>
  <c r="D1780" i="4"/>
  <c r="K1882" i="4"/>
  <c r="F309" i="4"/>
  <c r="G557" i="4"/>
  <c r="C102" i="4"/>
  <c r="M1481" i="4"/>
  <c r="B418" i="4"/>
  <c r="D1791" i="4"/>
  <c r="M1620" i="4"/>
  <c r="C467" i="4"/>
  <c r="E1742" i="4"/>
  <c r="E1297" i="4"/>
  <c r="J1735" i="4"/>
  <c r="I1056" i="4"/>
  <c r="F795" i="4"/>
  <c r="B1026" i="4"/>
  <c r="C1600" i="4"/>
  <c r="D1534" i="4"/>
  <c r="L837" i="4"/>
  <c r="B149" i="4"/>
  <c r="G1700" i="4"/>
  <c r="L1245" i="4"/>
  <c r="I1100" i="4"/>
  <c r="D1927" i="4"/>
  <c r="B1161" i="4"/>
  <c r="D1025" i="4"/>
  <c r="I1825" i="4"/>
  <c r="M1659" i="4"/>
  <c r="D1929" i="4"/>
  <c r="C1983" i="4"/>
  <c r="L1981" i="4"/>
  <c r="M1509" i="4"/>
  <c r="B1808" i="4"/>
  <c r="L602" i="4"/>
  <c r="G1264" i="4"/>
  <c r="F989" i="4"/>
  <c r="D1940" i="4"/>
  <c r="D1825" i="4"/>
  <c r="G349" i="4"/>
  <c r="G1888" i="4"/>
  <c r="F1366" i="4"/>
  <c r="M313" i="4"/>
  <c r="G1139" i="4"/>
  <c r="E1572" i="4"/>
  <c r="D1059" i="4"/>
  <c r="F850" i="4"/>
  <c r="B1505" i="4"/>
  <c r="D1024" i="4"/>
  <c r="M449" i="4"/>
  <c r="I1615" i="4"/>
  <c r="E1058" i="4"/>
  <c r="D1957" i="4"/>
  <c r="C1143" i="4"/>
  <c r="C668" i="4"/>
  <c r="L1263" i="4"/>
  <c r="B1275" i="4"/>
  <c r="J1903" i="4"/>
  <c r="L648" i="4"/>
  <c r="C1721" i="4"/>
  <c r="G1136" i="4"/>
  <c r="I46" i="4"/>
  <c r="I1598" i="4"/>
  <c r="D813" i="4"/>
  <c r="K733" i="4"/>
  <c r="B1668" i="4"/>
  <c r="B903" i="4"/>
  <c r="L452" i="4"/>
  <c r="K1330" i="4"/>
  <c r="D1135" i="4"/>
  <c r="B1804" i="4"/>
  <c r="B523" i="4"/>
  <c r="E469" i="4"/>
  <c r="M1675" i="4"/>
  <c r="D1593" i="4"/>
  <c r="M836" i="4"/>
  <c r="G1246" i="4"/>
  <c r="G717" i="4"/>
  <c r="L1456" i="4"/>
  <c r="B123" i="4"/>
  <c r="M419" i="4"/>
  <c r="G374" i="4"/>
  <c r="G1584" i="4"/>
  <c r="L541" i="4"/>
  <c r="G939" i="4"/>
  <c r="K1110" i="4"/>
  <c r="D815" i="4"/>
  <c r="E806" i="4"/>
  <c r="L1720" i="4"/>
  <c r="E1482" i="4"/>
  <c r="B1496" i="4"/>
  <c r="B194" i="4"/>
  <c r="B1368" i="4"/>
  <c r="F1934" i="4"/>
  <c r="F1332" i="4"/>
  <c r="I88" i="4"/>
  <c r="L1697" i="4"/>
  <c r="G1624" i="4"/>
  <c r="G1477" i="4"/>
  <c r="B1179" i="4"/>
  <c r="E413" i="4"/>
  <c r="M1202" i="4"/>
  <c r="K1553" i="4"/>
  <c r="F848" i="4"/>
  <c r="M885" i="4"/>
  <c r="L2008" i="4"/>
  <c r="E1472" i="4"/>
  <c r="C1170" i="4"/>
  <c r="E821" i="4"/>
  <c r="G1413" i="4"/>
  <c r="E1542" i="4"/>
  <c r="M1921" i="4"/>
  <c r="F462" i="4"/>
  <c r="C1097" i="4"/>
  <c r="B978" i="4"/>
  <c r="K297" i="4"/>
  <c r="G1268" i="4"/>
  <c r="L928" i="4"/>
  <c r="C1349" i="4"/>
  <c r="K1568" i="4"/>
  <c r="D1062" i="4"/>
  <c r="K1168" i="4"/>
  <c r="I1907" i="4"/>
  <c r="G1249" i="4"/>
  <c r="E1201" i="4"/>
  <c r="B891" i="4"/>
  <c r="C580" i="4"/>
  <c r="M911" i="4"/>
  <c r="G485" i="4"/>
  <c r="G1376" i="4"/>
  <c r="K1893" i="4"/>
  <c r="K675" i="4"/>
  <c r="E2008" i="4"/>
  <c r="G572" i="4"/>
  <c r="K1756" i="4"/>
  <c r="J1261" i="4"/>
  <c r="E3" i="4"/>
  <c r="D1876" i="4"/>
  <c r="E5" i="4"/>
  <c r="E1648" i="4"/>
  <c r="D627" i="4"/>
  <c r="I1172" i="4"/>
  <c r="M735" i="4"/>
  <c r="L644" i="4"/>
  <c r="L1957" i="4"/>
  <c r="D463" i="4"/>
  <c r="D1576" i="4"/>
  <c r="M1425" i="4"/>
  <c r="B306" i="4"/>
  <c r="D1555" i="4"/>
  <c r="J1075" i="4"/>
  <c r="E1328" i="4"/>
  <c r="F123" i="4"/>
  <c r="M1614" i="4"/>
  <c r="E1378" i="4"/>
  <c r="I1642" i="4"/>
  <c r="G1367" i="4"/>
  <c r="D768" i="4"/>
  <c r="D659" i="4"/>
  <c r="F1274" i="4"/>
  <c r="M361" i="4"/>
  <c r="G1497" i="4"/>
  <c r="D695" i="4"/>
  <c r="C820" i="4"/>
  <c r="B760" i="4"/>
  <c r="D1812" i="4"/>
  <c r="I663" i="4"/>
  <c r="K1988" i="4"/>
  <c r="I766" i="4"/>
  <c r="F1542" i="4"/>
  <c r="D553" i="4"/>
  <c r="B1029" i="4"/>
  <c r="B1487" i="4"/>
  <c r="M553" i="4"/>
  <c r="J1949" i="4"/>
  <c r="E1590" i="4"/>
  <c r="B1742" i="4"/>
  <c r="E1021" i="4"/>
  <c r="D1052" i="4"/>
  <c r="L1855" i="4"/>
  <c r="K1446" i="4"/>
  <c r="K770" i="4"/>
  <c r="K2010" i="4"/>
  <c r="E1515" i="4"/>
  <c r="L1113" i="4"/>
  <c r="E1768" i="4"/>
  <c r="M186" i="4"/>
  <c r="K1413" i="4"/>
  <c r="E985" i="4"/>
  <c r="F1610" i="4"/>
  <c r="D179" i="4"/>
  <c r="E463" i="4"/>
  <c r="J1585" i="4"/>
  <c r="G751" i="4"/>
  <c r="I335" i="4"/>
  <c r="K1451" i="4"/>
  <c r="G1755" i="4"/>
  <c r="C480" i="4"/>
  <c r="M1264" i="4"/>
  <c r="B1499" i="4"/>
  <c r="M1697" i="4"/>
  <c r="M1853" i="4"/>
  <c r="G172" i="4"/>
  <c r="L626" i="4"/>
  <c r="F1827" i="4"/>
  <c r="L82" i="4"/>
  <c r="F25" i="4"/>
  <c r="L104" i="4"/>
  <c r="F1388" i="4"/>
  <c r="M1338" i="4"/>
  <c r="G1410" i="4"/>
  <c r="C1769" i="4"/>
  <c r="D1468" i="4"/>
  <c r="K777" i="4"/>
  <c r="B1277" i="4"/>
  <c r="F1686" i="4"/>
  <c r="C1982" i="4"/>
  <c r="C664" i="4"/>
  <c r="M1930" i="4"/>
  <c r="M268" i="4"/>
  <c r="B831" i="4"/>
  <c r="G763" i="4"/>
  <c r="G718" i="4"/>
  <c r="E1990" i="4"/>
  <c r="F383" i="4"/>
  <c r="M1705" i="4"/>
  <c r="C935" i="4"/>
  <c r="L1859" i="4"/>
  <c r="L1133" i="4"/>
  <c r="G1648" i="4"/>
  <c r="G1859" i="4"/>
  <c r="L1698" i="4"/>
  <c r="E1754" i="4"/>
  <c r="F21" i="4"/>
  <c r="L1557" i="4"/>
  <c r="J1702" i="4"/>
  <c r="C1555" i="4"/>
  <c r="D779" i="4"/>
  <c r="K1684" i="4"/>
  <c r="E1594" i="4"/>
  <c r="D948" i="4"/>
  <c r="F1392" i="4"/>
  <c r="C1522" i="4"/>
  <c r="F936" i="4"/>
  <c r="C786" i="4"/>
  <c r="F730" i="4"/>
  <c r="G1893" i="4"/>
  <c r="C119" i="4"/>
  <c r="I1207" i="4"/>
  <c r="D716" i="4"/>
  <c r="J1952" i="4"/>
  <c r="J1294" i="4"/>
  <c r="L258" i="4"/>
  <c r="D533" i="4"/>
  <c r="B1690" i="4"/>
  <c r="J1306" i="4"/>
  <c r="D1123" i="4"/>
  <c r="F1883" i="4"/>
  <c r="E1144" i="4"/>
  <c r="J451" i="4"/>
  <c r="I512" i="4"/>
  <c r="D459" i="4"/>
  <c r="G969" i="4"/>
  <c r="I982" i="4"/>
  <c r="C489" i="4"/>
  <c r="B1459" i="4"/>
  <c r="K1744" i="4"/>
  <c r="F929" i="4"/>
  <c r="K288" i="4"/>
  <c r="M1953" i="4"/>
  <c r="C1432" i="4"/>
  <c r="K1694" i="4"/>
  <c r="C453" i="4"/>
  <c r="E1460" i="4"/>
  <c r="F1068" i="4"/>
  <c r="K1354" i="4"/>
  <c r="F334" i="4"/>
  <c r="G1855" i="4"/>
  <c r="K400" i="4"/>
  <c r="L1515" i="4"/>
  <c r="M1376" i="4"/>
  <c r="G260" i="4"/>
  <c r="K965" i="4"/>
  <c r="M1808" i="4"/>
  <c r="F1619" i="4"/>
  <c r="C1571" i="4"/>
  <c r="B1983" i="4"/>
  <c r="C436" i="4"/>
  <c r="B1720" i="4"/>
  <c r="M1171" i="4"/>
  <c r="L1203" i="4"/>
  <c r="D1086" i="4"/>
  <c r="L1004" i="4"/>
  <c r="I1394" i="4"/>
  <c r="E1374" i="4"/>
  <c r="K469" i="4"/>
  <c r="K434" i="4"/>
  <c r="F982" i="4"/>
  <c r="B328" i="4"/>
  <c r="F657" i="4"/>
  <c r="F469" i="4"/>
  <c r="D305" i="4"/>
  <c r="G1793" i="4"/>
  <c r="B607" i="4"/>
  <c r="K874" i="4"/>
  <c r="K1310" i="4"/>
  <c r="M1488" i="4"/>
  <c r="F317" i="4"/>
  <c r="M1669" i="4"/>
  <c r="E1619" i="4"/>
  <c r="E1773" i="4"/>
  <c r="M576" i="4"/>
  <c r="L1922" i="4"/>
  <c r="E1351" i="4"/>
  <c r="M352" i="4"/>
  <c r="C1622" i="4"/>
  <c r="K2003" i="4"/>
  <c r="K700" i="4"/>
  <c r="K1055" i="4"/>
  <c r="D1410" i="4"/>
  <c r="C677" i="4"/>
  <c r="D1584" i="4"/>
  <c r="B1294" i="4"/>
  <c r="K1474" i="4"/>
  <c r="F768" i="4"/>
  <c r="F1024" i="4"/>
  <c r="L794" i="4"/>
  <c r="E1895" i="4"/>
  <c r="C79" i="4"/>
  <c r="F996" i="4"/>
  <c r="L765" i="4"/>
  <c r="B87" i="4"/>
  <c r="F1709" i="4"/>
  <c r="D1849" i="4"/>
  <c r="F828" i="4"/>
  <c r="F812" i="4"/>
  <c r="M1259" i="4"/>
  <c r="B1523" i="4"/>
  <c r="E868" i="4"/>
  <c r="L1687" i="4"/>
  <c r="M456" i="4"/>
  <c r="K795" i="4"/>
  <c r="E1643" i="4"/>
  <c r="L1459" i="4"/>
  <c r="M789" i="4"/>
  <c r="K1671" i="4"/>
  <c r="K1659" i="4"/>
  <c r="C765" i="4"/>
  <c r="B1507" i="4"/>
  <c r="M511" i="4"/>
  <c r="G1831" i="4"/>
  <c r="E1917" i="4"/>
  <c r="M1062" i="4"/>
  <c r="G487" i="4"/>
  <c r="D1567" i="4"/>
  <c r="B716" i="4"/>
  <c r="C644" i="4"/>
  <c r="K575" i="4"/>
  <c r="C1854" i="4"/>
  <c r="F1207" i="4"/>
  <c r="D1289" i="4"/>
  <c r="M1676" i="4"/>
  <c r="C1552" i="4"/>
  <c r="D918" i="4"/>
  <c r="F694" i="4"/>
  <c r="E1888" i="4"/>
  <c r="K561" i="4"/>
  <c r="G616" i="4"/>
  <c r="C2007" i="4"/>
  <c r="I227" i="4"/>
  <c r="M607" i="4"/>
  <c r="E130" i="4"/>
  <c r="G864" i="4"/>
  <c r="L568" i="4"/>
  <c r="D860" i="4"/>
  <c r="D1638" i="4"/>
  <c r="F974" i="4"/>
  <c r="E1391" i="4"/>
  <c r="C167" i="4"/>
  <c r="I1034" i="4"/>
  <c r="M251" i="4"/>
  <c r="B1751" i="4"/>
  <c r="D1859" i="4"/>
  <c r="J1808" i="4"/>
  <c r="K534" i="4"/>
  <c r="G1726" i="4"/>
  <c r="B1557" i="4"/>
  <c r="D755" i="4"/>
  <c r="F389" i="4"/>
  <c r="K1944" i="4"/>
  <c r="E1721" i="4"/>
  <c r="D1262" i="4"/>
  <c r="F1559" i="4"/>
  <c r="B934" i="4"/>
  <c r="J1580" i="4"/>
  <c r="G1787" i="4"/>
  <c r="I1886" i="4"/>
  <c r="D1879" i="4"/>
  <c r="M697" i="4"/>
  <c r="E427" i="4"/>
  <c r="B1894" i="4"/>
  <c r="K402" i="4"/>
  <c r="B1786" i="4"/>
  <c r="L486" i="4"/>
  <c r="K1790" i="4"/>
  <c r="M232" i="4"/>
  <c r="F896" i="4"/>
  <c r="D1648" i="4"/>
  <c r="K1767" i="4"/>
  <c r="F48" i="4"/>
  <c r="D1145" i="4"/>
  <c r="G1286" i="4"/>
  <c r="E1143" i="4"/>
  <c r="G1709" i="4"/>
  <c r="G1761" i="4"/>
  <c r="E1873" i="4"/>
  <c r="C111" i="4"/>
  <c r="F1022" i="4"/>
  <c r="I1862" i="4"/>
  <c r="M1115" i="4"/>
  <c r="E1997" i="4"/>
  <c r="M1810" i="4"/>
  <c r="G1309" i="4"/>
  <c r="G921" i="4"/>
  <c r="K580" i="4"/>
  <c r="L1954" i="4"/>
  <c r="E797" i="4"/>
  <c r="L1073" i="4"/>
  <c r="G1092" i="4"/>
  <c r="G641" i="4"/>
  <c r="D1662" i="4"/>
  <c r="C255" i="4"/>
  <c r="G1314" i="4"/>
  <c r="K1667" i="4"/>
  <c r="B1465" i="4"/>
  <c r="C1383" i="4"/>
  <c r="E439" i="4"/>
  <c r="M536" i="4"/>
  <c r="B1960" i="4"/>
  <c r="B1170" i="4"/>
  <c r="E323" i="4"/>
  <c r="B1434" i="4"/>
  <c r="K495" i="4"/>
  <c r="D1119" i="4"/>
  <c r="E112" i="4"/>
  <c r="E1017" i="4"/>
  <c r="G593" i="4"/>
  <c r="G224" i="4"/>
  <c r="M868" i="4"/>
  <c r="M1016" i="4"/>
  <c r="K554" i="4"/>
  <c r="F1278" i="4"/>
  <c r="C1946" i="4"/>
  <c r="D1011" i="4"/>
  <c r="L1471" i="4"/>
  <c r="K886" i="4"/>
  <c r="D752" i="4"/>
  <c r="M299" i="4"/>
  <c r="M1236" i="4"/>
  <c r="C739" i="4"/>
  <c r="C1363" i="4"/>
  <c r="M1127" i="4"/>
  <c r="E661" i="4"/>
  <c r="G1764" i="4"/>
  <c r="I89" i="4"/>
  <c r="B653" i="4"/>
  <c r="M1938" i="4"/>
  <c r="F1246" i="4"/>
  <c r="B1589" i="4"/>
  <c r="E2" i="4"/>
  <c r="I97" i="4"/>
  <c r="C1606" i="4"/>
  <c r="D1872" i="4"/>
  <c r="F931" i="4"/>
  <c r="E1915" i="4"/>
  <c r="B1777" i="4"/>
  <c r="K295" i="4"/>
  <c r="M717" i="4"/>
  <c r="B1692" i="4"/>
  <c r="M1035" i="4"/>
  <c r="L1265" i="4"/>
  <c r="E1420" i="4"/>
  <c r="F1713" i="4"/>
  <c r="F81" i="4"/>
  <c r="L622" i="4"/>
  <c r="D884" i="4"/>
  <c r="B499" i="4"/>
  <c r="M1155" i="4"/>
  <c r="E692" i="4"/>
  <c r="I294" i="4"/>
  <c r="F60" i="4"/>
  <c r="F696" i="4"/>
  <c r="D1685" i="4"/>
  <c r="G492" i="4"/>
  <c r="C1585" i="4"/>
  <c r="L1498" i="4"/>
  <c r="C63" i="4"/>
  <c r="J1592" i="4"/>
  <c r="G1439" i="4"/>
  <c r="G1308" i="4"/>
  <c r="D729" i="4"/>
  <c r="D123" i="4"/>
  <c r="M1891" i="4"/>
  <c r="F1223" i="4"/>
  <c r="K791" i="4"/>
  <c r="B1278" i="4"/>
  <c r="E842" i="4"/>
  <c r="F1270" i="4"/>
  <c r="L1509" i="4"/>
  <c r="E1495" i="4"/>
  <c r="E1198" i="4"/>
  <c r="F1441" i="4"/>
  <c r="L639" i="4"/>
  <c r="K616" i="4"/>
  <c r="K1442" i="4"/>
  <c r="E1337" i="4"/>
  <c r="L1800" i="4"/>
  <c r="F1506" i="4"/>
  <c r="E282" i="4"/>
  <c r="F361" i="4"/>
  <c r="M1298" i="4"/>
  <c r="G1292" i="4"/>
  <c r="M163" i="4"/>
  <c r="E405" i="4"/>
  <c r="L1977" i="4"/>
  <c r="B1466" i="4"/>
  <c r="C1860" i="4"/>
  <c r="K794" i="4"/>
  <c r="G1164" i="4"/>
  <c r="E886" i="4"/>
  <c r="C1475" i="4"/>
  <c r="J1470" i="4"/>
  <c r="B1285" i="4"/>
  <c r="M500" i="4"/>
  <c r="C1640" i="4"/>
  <c r="B1553" i="4"/>
  <c r="L1377" i="4"/>
  <c r="C987" i="4"/>
  <c r="K860" i="4"/>
  <c r="D1826" i="4"/>
  <c r="G1525" i="4"/>
  <c r="B793" i="4"/>
  <c r="M729" i="4"/>
  <c r="G65" i="4"/>
  <c r="C781" i="4"/>
  <c r="B1341" i="4"/>
  <c r="F570" i="4"/>
  <c r="B1542" i="4"/>
  <c r="K568" i="4"/>
  <c r="D805" i="4"/>
  <c r="K1420" i="4"/>
  <c r="M1411" i="4"/>
  <c r="K914" i="4"/>
  <c r="D1023" i="4"/>
  <c r="L1482" i="4"/>
  <c r="D904" i="4"/>
  <c r="C753" i="4"/>
  <c r="L293" i="4"/>
  <c r="G640" i="4"/>
  <c r="D1236" i="4"/>
  <c r="E1000" i="4"/>
  <c r="G1403" i="4"/>
  <c r="C774" i="4"/>
  <c r="L1610" i="4"/>
  <c r="C652" i="4"/>
  <c r="K788" i="4"/>
  <c r="K17" i="4"/>
  <c r="L560" i="4"/>
  <c r="M360" i="4"/>
  <c r="L1300" i="4"/>
  <c r="D1886" i="4"/>
  <c r="J1887" i="4"/>
  <c r="E913" i="4"/>
  <c r="M1992" i="4"/>
  <c r="F1557" i="4"/>
  <c r="F1789" i="4"/>
  <c r="K772" i="4"/>
  <c r="D598" i="4"/>
  <c r="F541" i="4"/>
  <c r="M784" i="4"/>
  <c r="F1138" i="4"/>
  <c r="D1933" i="4"/>
  <c r="B1635" i="4"/>
  <c r="D1221" i="4"/>
  <c r="C1033" i="4"/>
  <c r="C957" i="4"/>
  <c r="E1850" i="4"/>
  <c r="C156" i="4"/>
  <c r="E1924" i="4"/>
  <c r="K1528" i="4"/>
  <c r="E1972" i="4"/>
  <c r="M565" i="4"/>
  <c r="E1756" i="4"/>
  <c r="B1261" i="4"/>
  <c r="F1203" i="4"/>
  <c r="M1117" i="4"/>
  <c r="B730" i="4"/>
  <c r="D341" i="4"/>
  <c r="E230" i="4"/>
  <c r="C1135" i="4"/>
  <c r="D1605" i="4"/>
  <c r="C316" i="4"/>
  <c r="D1873" i="4"/>
  <c r="M1872" i="4"/>
  <c r="D1657" i="4"/>
  <c r="L287" i="4"/>
  <c r="L1360" i="4"/>
  <c r="E652" i="4"/>
  <c r="M1751" i="4"/>
  <c r="B1560" i="4"/>
  <c r="G1166" i="4"/>
  <c r="L1361" i="4"/>
  <c r="C1728" i="4"/>
  <c r="M1815" i="4"/>
  <c r="G1165" i="4"/>
  <c r="E1925" i="4"/>
  <c r="F238" i="4"/>
  <c r="J1837" i="4"/>
  <c r="M1356" i="4"/>
  <c r="D759" i="4"/>
  <c r="J1289" i="4"/>
  <c r="M1547" i="4"/>
  <c r="M425" i="4"/>
  <c r="D655" i="4"/>
  <c r="L999" i="4"/>
  <c r="F2007" i="4"/>
  <c r="E1655" i="4"/>
  <c r="C1703" i="4"/>
  <c r="J1967" i="4"/>
  <c r="D1602" i="4"/>
  <c r="D1102" i="4"/>
  <c r="F1461" i="4"/>
  <c r="D895" i="4"/>
  <c r="J368" i="4"/>
  <c r="E799" i="4"/>
  <c r="C1591" i="4"/>
  <c r="D1524" i="4"/>
  <c r="L1117" i="4"/>
  <c r="M1023" i="4"/>
  <c r="E769" i="4"/>
  <c r="F1404" i="4"/>
  <c r="M73" i="4"/>
  <c r="M780" i="4"/>
  <c r="D485" i="4"/>
  <c r="M302" i="4"/>
  <c r="M2010" i="4"/>
  <c r="C1088" i="4"/>
  <c r="I423" i="4"/>
  <c r="K1982" i="4"/>
  <c r="C686" i="4"/>
  <c r="K1912" i="4"/>
  <c r="L1285" i="4"/>
  <c r="C943" i="4"/>
  <c r="C923" i="4"/>
  <c r="B482" i="4"/>
  <c r="C1549" i="4"/>
  <c r="M1856" i="4"/>
  <c r="D1347" i="4"/>
  <c r="B1967" i="4"/>
  <c r="G479" i="4"/>
  <c r="E468" i="4"/>
  <c r="J275" i="4"/>
  <c r="D236" i="4"/>
  <c r="G1763" i="4"/>
  <c r="G1008" i="4"/>
  <c r="E1715" i="4"/>
  <c r="M1334" i="4"/>
  <c r="J499" i="4"/>
  <c r="M1158" i="4"/>
  <c r="E147" i="4"/>
  <c r="D850" i="4"/>
  <c r="M173" i="4"/>
  <c r="I1520" i="4"/>
  <c r="G636" i="4"/>
  <c r="M1491" i="4"/>
  <c r="D1784" i="4"/>
  <c r="B707" i="4"/>
  <c r="D241" i="4"/>
  <c r="D645" i="4"/>
  <c r="J35" i="4"/>
  <c r="L1923" i="4"/>
  <c r="K184" i="4"/>
  <c r="K1640" i="4"/>
  <c r="G103" i="4"/>
  <c r="E1182" i="4"/>
  <c r="D1302" i="4"/>
  <c r="E438" i="4"/>
  <c r="G1619" i="4"/>
  <c r="B701" i="4"/>
  <c r="D1517" i="4"/>
  <c r="G1823" i="4"/>
  <c r="F781" i="4"/>
  <c r="C370" i="4"/>
  <c r="L1996" i="4"/>
  <c r="D317" i="4"/>
  <c r="J1205" i="4"/>
  <c r="M805" i="4"/>
  <c r="C948" i="4"/>
  <c r="L925" i="4"/>
  <c r="D950" i="4"/>
  <c r="E798" i="4"/>
  <c r="C1532" i="4"/>
  <c r="L1738" i="4"/>
  <c r="K1552" i="4"/>
  <c r="M430" i="4"/>
  <c r="E127" i="4"/>
  <c r="G1940" i="4"/>
  <c r="L296" i="4"/>
  <c r="E199" i="4"/>
  <c r="F1119" i="4"/>
  <c r="B673" i="4"/>
  <c r="C932" i="4"/>
  <c r="L373" i="4"/>
  <c r="L277" i="4"/>
  <c r="B1901" i="4"/>
  <c r="B141" i="4"/>
  <c r="M1395" i="4"/>
  <c r="K367" i="4"/>
  <c r="M978" i="4"/>
  <c r="E1281" i="4"/>
  <c r="F536" i="4"/>
  <c r="J1917" i="4"/>
  <c r="E1035" i="4"/>
  <c r="M1220" i="4"/>
  <c r="E1101" i="4"/>
  <c r="M1501" i="4"/>
  <c r="M135" i="4"/>
  <c r="B724" i="4"/>
  <c r="F1449" i="4"/>
  <c r="J1115" i="4"/>
  <c r="L371" i="4"/>
  <c r="D675" i="4"/>
  <c r="B655" i="4"/>
  <c r="M1630" i="4"/>
  <c r="G383" i="4"/>
  <c r="B81" i="4"/>
  <c r="L448" i="4"/>
  <c r="M1099" i="4"/>
  <c r="L1040" i="4"/>
  <c r="D971" i="4"/>
  <c r="F1168" i="4"/>
  <c r="E1530" i="4"/>
  <c r="J689" i="4"/>
  <c r="K1274" i="4"/>
  <c r="F1956" i="4"/>
  <c r="L922" i="4"/>
  <c r="C1453" i="4"/>
  <c r="G753" i="4"/>
  <c r="L1914" i="4"/>
  <c r="K512" i="4"/>
  <c r="L83" i="4"/>
  <c r="B218" i="4"/>
  <c r="D1628" i="4"/>
  <c r="G929" i="4"/>
  <c r="L1199" i="4"/>
  <c r="E617" i="4"/>
  <c r="M1910" i="4"/>
  <c r="B157" i="4"/>
  <c r="L1733" i="4"/>
  <c r="G938" i="4"/>
  <c r="D956" i="4"/>
  <c r="L1884" i="4"/>
  <c r="B1379" i="4"/>
  <c r="J896" i="4"/>
  <c r="G358" i="4"/>
  <c r="L41" i="4"/>
  <c r="I742" i="4"/>
  <c r="M192" i="4"/>
  <c r="B1387" i="4"/>
  <c r="F516" i="4"/>
  <c r="K1751" i="4"/>
  <c r="E1462" i="4"/>
  <c r="C56" i="4"/>
  <c r="B181" i="4"/>
  <c r="C456" i="4"/>
  <c r="L1347" i="4"/>
  <c r="D1166" i="4"/>
  <c r="E1430" i="4"/>
  <c r="D331" i="4"/>
  <c r="K1204" i="4"/>
  <c r="L1631" i="4"/>
  <c r="B1318" i="4"/>
  <c r="G495" i="4"/>
  <c r="B1607" i="4"/>
  <c r="E1355" i="4"/>
  <c r="D1312" i="4"/>
  <c r="M1612" i="4"/>
  <c r="D1402" i="4"/>
  <c r="G1675" i="4"/>
  <c r="K1703" i="4"/>
  <c r="G1350" i="4"/>
  <c r="F1607" i="4"/>
  <c r="D1064" i="4"/>
  <c r="F1756" i="4"/>
  <c r="K852" i="4"/>
  <c r="E1216" i="4"/>
  <c r="J931" i="4"/>
  <c r="K698" i="4"/>
  <c r="L767" i="4"/>
  <c r="B1599" i="4"/>
  <c r="F589" i="4"/>
  <c r="F669" i="4"/>
  <c r="I1334" i="4"/>
  <c r="D688" i="4"/>
  <c r="D1646" i="4"/>
  <c r="L651" i="4"/>
  <c r="K1292" i="4"/>
  <c r="G1377" i="4"/>
  <c r="M1209" i="4"/>
  <c r="K405" i="4"/>
  <c r="F524" i="4"/>
  <c r="G681" i="4"/>
  <c r="M1722" i="4"/>
  <c r="F1490" i="4"/>
  <c r="C266" i="4"/>
  <c r="G239" i="4"/>
  <c r="L1838" i="4"/>
  <c r="M434" i="4"/>
  <c r="B519" i="4"/>
  <c r="M1268" i="4"/>
  <c r="K478" i="4"/>
  <c r="G1848" i="4"/>
  <c r="D137" i="4"/>
  <c r="E550" i="4"/>
  <c r="M821" i="4"/>
  <c r="B637" i="4"/>
  <c r="G1364" i="4"/>
  <c r="D1206" i="4"/>
  <c r="G1291" i="4"/>
  <c r="G1228" i="4"/>
  <c r="J468" i="4"/>
  <c r="B1239" i="4"/>
  <c r="D1329" i="4"/>
  <c r="E1521" i="4"/>
  <c r="L763" i="4"/>
  <c r="K1468" i="4"/>
  <c r="L707" i="4"/>
  <c r="C572" i="4"/>
  <c r="K1714" i="4"/>
  <c r="J1117" i="4"/>
  <c r="B767" i="4"/>
  <c r="J1807" i="4"/>
  <c r="C1791" i="4"/>
  <c r="M1902" i="4"/>
  <c r="M864" i="4"/>
  <c r="L1274" i="4"/>
  <c r="C998" i="4"/>
  <c r="I1573" i="4"/>
  <c r="M933" i="4"/>
  <c r="M1842" i="4"/>
  <c r="K759" i="4"/>
  <c r="M627" i="4"/>
  <c r="D435" i="4"/>
  <c r="G1757" i="4"/>
  <c r="K831" i="4"/>
  <c r="F1267" i="4"/>
  <c r="G1965" i="4"/>
  <c r="M1911" i="4"/>
  <c r="B62" i="4"/>
  <c r="D1277" i="4"/>
  <c r="D36" i="4"/>
  <c r="K1393" i="4"/>
  <c r="E946" i="4"/>
  <c r="G1589" i="4"/>
  <c r="I887" i="4"/>
  <c r="C1657" i="4"/>
  <c r="F808" i="4"/>
  <c r="G1251" i="4"/>
  <c r="B1993" i="4"/>
  <c r="L1020" i="4"/>
  <c r="B1512" i="4"/>
  <c r="L1924" i="4"/>
  <c r="C570" i="4"/>
  <c r="K1176" i="4"/>
  <c r="E984" i="4"/>
  <c r="E1988" i="4"/>
  <c r="E1248" i="4"/>
  <c r="B1698" i="4"/>
  <c r="E1880" i="4"/>
  <c r="B450" i="4"/>
  <c r="E1034" i="4"/>
  <c r="F1911" i="4"/>
  <c r="B137" i="4"/>
  <c r="B496" i="4"/>
  <c r="C1635" i="4"/>
  <c r="D973" i="4"/>
  <c r="B1358" i="4"/>
  <c r="M1033" i="4"/>
  <c r="G609" i="4"/>
  <c r="B1840" i="4"/>
  <c r="J521" i="4"/>
  <c r="M1201" i="4"/>
  <c r="D1993" i="4"/>
  <c r="K2011" i="4"/>
  <c r="K1072" i="4"/>
  <c r="B870" i="4"/>
  <c r="F791" i="4"/>
  <c r="F922" i="4"/>
  <c r="M1713" i="4"/>
  <c r="L751" i="4"/>
  <c r="K1519" i="4"/>
  <c r="K1077" i="4"/>
  <c r="D1360" i="4"/>
  <c r="C115" i="4"/>
  <c r="D1878" i="4"/>
  <c r="B1154" i="4"/>
  <c r="J1723" i="4"/>
  <c r="E545" i="4"/>
  <c r="D624" i="4"/>
  <c r="B1251" i="4"/>
  <c r="K316" i="4"/>
  <c r="C406" i="4"/>
  <c r="E367" i="4"/>
  <c r="D212" i="4"/>
  <c r="E398" i="4"/>
  <c r="F1037" i="4"/>
  <c r="M792" i="4"/>
  <c r="F1943" i="4"/>
  <c r="L1249" i="4"/>
  <c r="C238" i="4"/>
  <c r="L1053" i="4"/>
  <c r="F1984" i="4"/>
  <c r="D285" i="4"/>
  <c r="E44" i="4"/>
  <c r="E1122" i="4"/>
  <c r="C740" i="4"/>
  <c r="K1745" i="4"/>
  <c r="M1589" i="4"/>
  <c r="J1739" i="4"/>
  <c r="K1236" i="4"/>
  <c r="C379" i="4"/>
  <c r="E1641" i="4"/>
  <c r="K1404" i="4"/>
  <c r="C1764" i="4"/>
  <c r="G414" i="4"/>
  <c r="L959" i="4"/>
  <c r="I1618" i="4"/>
  <c r="F1237" i="4"/>
  <c r="B1199" i="4"/>
  <c r="L1381" i="4"/>
  <c r="K1934" i="4"/>
  <c r="D1976" i="4"/>
  <c r="C817" i="4"/>
  <c r="F1715" i="4"/>
  <c r="G1411" i="4"/>
  <c r="B478" i="4"/>
  <c r="C543" i="4"/>
  <c r="C30" i="4"/>
  <c r="K1869" i="4"/>
  <c r="K812" i="4"/>
  <c r="L341" i="4"/>
  <c r="D1736" i="4"/>
  <c r="L1036" i="4"/>
  <c r="B1449" i="4"/>
  <c r="F702" i="4"/>
  <c r="B1039" i="4"/>
  <c r="C178" i="4"/>
  <c r="B812" i="4"/>
  <c r="G978" i="4"/>
  <c r="B414" i="4"/>
  <c r="F1597" i="4"/>
  <c r="B1647" i="4"/>
  <c r="F1077" i="4"/>
  <c r="G1979" i="4"/>
  <c r="F1013" i="4"/>
  <c r="D1096" i="4"/>
  <c r="D1328" i="4"/>
  <c r="C1629" i="4"/>
  <c r="F1553" i="4"/>
  <c r="B1667" i="4"/>
  <c r="I143" i="4"/>
  <c r="D1668" i="4"/>
  <c r="C1275" i="4"/>
  <c r="G436" i="4"/>
  <c r="L1562" i="4"/>
  <c r="G683" i="4"/>
  <c r="D1104" i="4"/>
  <c r="G1437" i="4"/>
  <c r="D864" i="4"/>
  <c r="C1922" i="4"/>
  <c r="K363" i="4"/>
  <c r="B725" i="4"/>
  <c r="F565" i="4"/>
  <c r="M496" i="4"/>
  <c r="K778" i="4"/>
  <c r="C926" i="4"/>
  <c r="C991" i="4"/>
  <c r="F1464" i="4"/>
  <c r="E1291" i="4"/>
  <c r="C485" i="4"/>
  <c r="E1170" i="4"/>
  <c r="E1205" i="4"/>
  <c r="M667" i="4"/>
  <c r="D1194" i="4"/>
  <c r="K956" i="4"/>
  <c r="E2001" i="4"/>
  <c r="B1110" i="4"/>
  <c r="M1963" i="4"/>
  <c r="C1009" i="4"/>
  <c r="D1309" i="4"/>
  <c r="D280" i="4"/>
  <c r="E1459" i="4"/>
  <c r="D955" i="4"/>
  <c r="F435" i="4"/>
  <c r="K1953" i="4"/>
  <c r="C661" i="4"/>
  <c r="C1115" i="4"/>
  <c r="D906" i="4"/>
  <c r="G1331" i="4"/>
  <c r="C603" i="4"/>
  <c r="L971" i="4"/>
  <c r="E1358" i="4"/>
  <c r="I1856" i="4"/>
  <c r="D24" i="4"/>
  <c r="B271" i="4"/>
  <c r="D556" i="4"/>
  <c r="M1529" i="4"/>
  <c r="E582" i="4"/>
  <c r="M776" i="4"/>
  <c r="B341" i="4"/>
  <c r="K484" i="4"/>
  <c r="C638" i="4"/>
  <c r="G918" i="4"/>
  <c r="E1456" i="4"/>
  <c r="E1073" i="4"/>
  <c r="D802" i="4"/>
  <c r="F788" i="4"/>
  <c r="B1866" i="4"/>
  <c r="C1052" i="4"/>
  <c r="C1842" i="4"/>
  <c r="G160" i="4"/>
  <c r="L1728" i="4"/>
  <c r="F78" i="4"/>
  <c r="G90" i="4"/>
  <c r="G1212" i="4"/>
  <c r="L1555" i="4"/>
  <c r="L847" i="4"/>
  <c r="F1608" i="4"/>
  <c r="K1471" i="4"/>
  <c r="I657" i="4"/>
  <c r="M54" i="4"/>
  <c r="L915" i="4"/>
  <c r="C809" i="4"/>
  <c r="M1780" i="4"/>
  <c r="D820" i="4"/>
  <c r="I1192" i="4"/>
  <c r="L996" i="4"/>
  <c r="L316" i="4"/>
  <c r="G1211" i="4"/>
  <c r="I99" i="4"/>
  <c r="G1142" i="4"/>
  <c r="D799" i="4"/>
  <c r="F572" i="4"/>
  <c r="E1147" i="4"/>
  <c r="D635" i="4"/>
  <c r="K1210" i="4"/>
  <c r="K813" i="4"/>
  <c r="L906" i="4"/>
  <c r="M1248" i="4"/>
  <c r="C625" i="4"/>
  <c r="E1539" i="4"/>
  <c r="L24" i="4"/>
  <c r="D1355" i="4"/>
  <c r="L1608" i="4"/>
  <c r="K1016" i="4"/>
  <c r="D1650" i="4"/>
  <c r="K653" i="4"/>
  <c r="F1629" i="4"/>
  <c r="K2000" i="4"/>
  <c r="B6" i="4"/>
  <c r="M497" i="4"/>
  <c r="L478" i="4"/>
  <c r="B1475" i="4"/>
  <c r="J1231" i="4"/>
  <c r="J351" i="4"/>
  <c r="C246" i="4"/>
  <c r="K1512" i="4"/>
  <c r="L1933" i="4"/>
  <c r="L1936" i="4"/>
  <c r="J1536" i="4"/>
  <c r="D579" i="4"/>
  <c r="D1325" i="4"/>
  <c r="E1771" i="4"/>
  <c r="B1970" i="4"/>
  <c r="G70" i="4"/>
  <c r="K446" i="4"/>
  <c r="K262" i="4"/>
  <c r="M410" i="4"/>
  <c r="C1499" i="4"/>
  <c r="G916" i="4"/>
  <c r="G550" i="4"/>
  <c r="E1257" i="4"/>
  <c r="G715" i="4"/>
  <c r="D1090" i="4"/>
  <c r="F1436" i="4"/>
  <c r="L409" i="4"/>
  <c r="M1053" i="4"/>
  <c r="G962" i="4"/>
  <c r="M1299" i="4"/>
  <c r="L1005" i="4"/>
  <c r="C19" i="4"/>
  <c r="F655" i="4"/>
  <c r="L1332" i="4"/>
  <c r="B1047" i="4"/>
  <c r="B475" i="4"/>
  <c r="G157" i="4"/>
  <c r="J726" i="4"/>
  <c r="G1631" i="4"/>
  <c r="E839" i="4"/>
  <c r="G1610" i="4"/>
  <c r="C865" i="4"/>
  <c r="D176" i="4"/>
  <c r="D1693" i="4"/>
  <c r="F470" i="4"/>
  <c r="F1304" i="4"/>
  <c r="C1236" i="4"/>
  <c r="M277" i="4"/>
  <c r="M562" i="4"/>
  <c r="C844" i="4"/>
  <c r="M549" i="4"/>
  <c r="I1748" i="4"/>
  <c r="C1868" i="4"/>
  <c r="D1130" i="4"/>
  <c r="B853" i="4"/>
  <c r="K658" i="4"/>
  <c r="B1087" i="4"/>
  <c r="B1042" i="4"/>
  <c r="F2011" i="4"/>
  <c r="G1947" i="4"/>
  <c r="F1642" i="4"/>
  <c r="J684" i="4"/>
  <c r="G5" i="4"/>
  <c r="M1528" i="4"/>
  <c r="D996" i="4"/>
  <c r="C754" i="4"/>
  <c r="M181" i="4"/>
  <c r="J1850" i="4"/>
  <c r="E1971" i="4"/>
  <c r="I992" i="4"/>
  <c r="L143" i="4"/>
  <c r="L813" i="4"/>
  <c r="C1932" i="4"/>
  <c r="B847" i="4"/>
  <c r="B698" i="4"/>
  <c r="I884" i="4"/>
  <c r="B927" i="4"/>
  <c r="E1856" i="4"/>
  <c r="F1871" i="4"/>
  <c r="E746" i="4"/>
  <c r="M469" i="4"/>
  <c r="D1733" i="4"/>
  <c r="L1943" i="4"/>
  <c r="K657" i="4"/>
  <c r="G667" i="4"/>
  <c r="D431" i="4"/>
  <c r="E1359" i="4"/>
  <c r="M892" i="4"/>
  <c r="G1083" i="4"/>
  <c r="B1971" i="4"/>
  <c r="F1569" i="4"/>
  <c r="D842" i="4"/>
  <c r="B1996" i="4"/>
  <c r="J716" i="4"/>
  <c r="G1467" i="4"/>
  <c r="F727" i="4"/>
  <c r="K905" i="4"/>
  <c r="L1942" i="4"/>
  <c r="C1304" i="4"/>
  <c r="D1305" i="4"/>
  <c r="G1219" i="4"/>
  <c r="K290" i="4"/>
  <c r="C476" i="4"/>
  <c r="D1850" i="4"/>
  <c r="L816" i="4"/>
  <c r="C967" i="4"/>
  <c r="I1607" i="4"/>
  <c r="G979" i="4"/>
  <c r="M1553" i="4"/>
  <c r="B1243" i="4"/>
  <c r="C1672" i="4"/>
  <c r="E1488" i="4"/>
  <c r="B1832" i="4"/>
  <c r="E1169" i="4"/>
  <c r="B611" i="4"/>
  <c r="D427" i="4"/>
  <c r="E422" i="4"/>
  <c r="L1960" i="4"/>
  <c r="E344" i="4"/>
  <c r="M1673" i="4"/>
  <c r="G92" i="4"/>
  <c r="C1836" i="4"/>
  <c r="G883" i="4"/>
  <c r="G1628" i="4"/>
  <c r="M1263" i="4"/>
  <c r="D184" i="4"/>
  <c r="I1530" i="4"/>
  <c r="F1165" i="4"/>
  <c r="L849" i="4"/>
  <c r="D781" i="4"/>
  <c r="D1068" i="4"/>
  <c r="C162" i="4"/>
  <c r="J311" i="4"/>
  <c r="L98" i="4"/>
  <c r="K1702" i="4"/>
  <c r="C733" i="4"/>
  <c r="K1439" i="4"/>
  <c r="F1346" i="4"/>
  <c r="E910" i="4"/>
  <c r="B1588" i="4"/>
  <c r="F124" i="4"/>
  <c r="D1228" i="4"/>
  <c r="K1788" i="4"/>
  <c r="E647" i="4"/>
  <c r="L171" i="4"/>
  <c r="B23" i="4"/>
  <c r="L1197" i="4"/>
  <c r="I699" i="4"/>
  <c r="M557" i="4"/>
  <c r="C657" i="4"/>
  <c r="K1146" i="4"/>
  <c r="F1966" i="4"/>
  <c r="C1625" i="4"/>
  <c r="M1396" i="4"/>
  <c r="K747" i="4"/>
  <c r="E187" i="4"/>
  <c r="E1384" i="4"/>
  <c r="B901" i="4"/>
  <c r="L472" i="4"/>
  <c r="C409" i="4"/>
  <c r="E786" i="4"/>
  <c r="L825" i="4"/>
  <c r="F1525" i="4"/>
  <c r="D1840" i="4"/>
  <c r="M795" i="4"/>
  <c r="G1989" i="4"/>
  <c r="L1559" i="4"/>
  <c r="C1627" i="4"/>
  <c r="K52" i="4"/>
  <c r="I945" i="4"/>
  <c r="B1787" i="4"/>
  <c r="L777" i="4"/>
  <c r="L1065" i="4"/>
  <c r="C1564" i="4"/>
  <c r="D1924" i="4"/>
  <c r="M1878" i="4"/>
  <c r="K1697" i="4"/>
  <c r="G1968" i="4"/>
  <c r="C1152" i="4"/>
  <c r="C468" i="4"/>
  <c r="B910" i="4"/>
  <c r="C1364" i="4"/>
  <c r="I1557" i="4"/>
  <c r="E634" i="4"/>
  <c r="F126" i="4"/>
  <c r="L937" i="4"/>
  <c r="B1003" i="4"/>
  <c r="D1391" i="4"/>
  <c r="L1651" i="4"/>
  <c r="D1082" i="4"/>
  <c r="E1180" i="4"/>
  <c r="B1812" i="4"/>
  <c r="K1217" i="4"/>
  <c r="D530" i="4"/>
  <c r="G58" i="4"/>
  <c r="C1697" i="4"/>
  <c r="D1727" i="4"/>
  <c r="C1181" i="4"/>
  <c r="F404" i="4"/>
  <c r="J1031" i="4"/>
  <c r="J1984" i="4"/>
  <c r="C1644" i="4"/>
  <c r="F210" i="4"/>
  <c r="M901" i="4"/>
  <c r="J1335" i="4"/>
  <c r="I6" i="4"/>
  <c r="F886" i="4"/>
  <c r="L423" i="4"/>
  <c r="K457" i="4"/>
  <c r="L1540" i="4"/>
  <c r="M577" i="4"/>
  <c r="F1191" i="4"/>
  <c r="K1976" i="4"/>
  <c r="G1516" i="4"/>
  <c r="K1431" i="4"/>
  <c r="L929" i="4"/>
  <c r="I585" i="4"/>
  <c r="J808" i="4"/>
  <c r="J1818" i="4"/>
  <c r="C410" i="4"/>
  <c r="E1273" i="4"/>
  <c r="B489" i="4"/>
  <c r="G116" i="4"/>
  <c r="B629" i="4"/>
  <c r="J213" i="4"/>
  <c r="E1172" i="4"/>
  <c r="M1174" i="4"/>
  <c r="K1899" i="4"/>
  <c r="G1326" i="4"/>
  <c r="E60" i="4"/>
  <c r="G982" i="4"/>
  <c r="J775" i="4"/>
  <c r="F1349" i="4"/>
  <c r="G309" i="4"/>
  <c r="F1393" i="4"/>
  <c r="G453" i="4"/>
  <c r="D1040" i="4"/>
  <c r="G831" i="4"/>
  <c r="M605" i="4"/>
  <c r="I820" i="4"/>
  <c r="D574" i="4"/>
  <c r="J939" i="4"/>
  <c r="J1121" i="4"/>
  <c r="J14" i="4"/>
  <c r="C734" i="4"/>
  <c r="I1489" i="4"/>
  <c r="M1068" i="4"/>
  <c r="I772" i="4"/>
  <c r="F271" i="4"/>
  <c r="D1438" i="4"/>
  <c r="L628" i="4"/>
  <c r="E736" i="4"/>
  <c r="B1333" i="4"/>
  <c r="G1317" i="4"/>
  <c r="B731" i="4"/>
  <c r="M36" i="4"/>
  <c r="B2010" i="4"/>
  <c r="B748" i="4"/>
  <c r="E291" i="4"/>
  <c r="E457" i="4"/>
  <c r="E271" i="4"/>
  <c r="M498" i="4"/>
  <c r="G1770" i="4"/>
  <c r="K1769" i="4"/>
  <c r="J1471" i="4"/>
  <c r="I81" i="4"/>
  <c r="J1960" i="4"/>
  <c r="E1499" i="4"/>
  <c r="L689" i="4"/>
  <c r="D1654" i="4"/>
  <c r="B871" i="4"/>
  <c r="I304" i="4"/>
  <c r="D1893" i="4"/>
  <c r="D477" i="4"/>
  <c r="L1380" i="4"/>
  <c r="D95" i="4"/>
  <c r="L1423" i="4"/>
  <c r="M1666" i="4"/>
  <c r="L1373" i="4"/>
  <c r="G1168" i="4"/>
  <c r="K1980" i="4"/>
  <c r="F596" i="4"/>
  <c r="L1827" i="4"/>
  <c r="C1041" i="4"/>
  <c r="M1020" i="4"/>
  <c r="D6" i="4"/>
  <c r="I1600" i="4"/>
  <c r="B1390" i="4"/>
  <c r="C141" i="4"/>
  <c r="F1781" i="4"/>
  <c r="E288" i="4"/>
  <c r="K673" i="4"/>
  <c r="K1991" i="4"/>
  <c r="E1428" i="4"/>
  <c r="D1273" i="4"/>
  <c r="G980" i="4"/>
  <c r="K94" i="4"/>
  <c r="L428" i="4"/>
  <c r="M1386" i="4"/>
  <c r="D1815" i="4"/>
  <c r="G1288" i="4"/>
  <c r="G53" i="4"/>
  <c r="D977" i="4"/>
  <c r="D741" i="4"/>
  <c r="F1485" i="4"/>
  <c r="K798" i="4"/>
  <c r="M96" i="4"/>
  <c r="E778" i="4"/>
  <c r="D1635" i="4"/>
  <c r="E1397" i="4"/>
  <c r="K1657" i="4"/>
  <c r="M1503" i="4"/>
  <c r="F1460" i="4"/>
  <c r="D937" i="4"/>
  <c r="D1076" i="4"/>
  <c r="L585" i="4"/>
  <c r="M1096" i="4"/>
  <c r="B968" i="4"/>
  <c r="K1509" i="4"/>
  <c r="M762" i="4"/>
  <c r="L975" i="4"/>
  <c r="F197" i="4"/>
  <c r="F717" i="4"/>
  <c r="K1314" i="4"/>
  <c r="D1098" i="4"/>
  <c r="F1341" i="4"/>
  <c r="K820" i="4"/>
  <c r="M1005" i="4"/>
  <c r="L755" i="4"/>
  <c r="G1183" i="4"/>
  <c r="D1298" i="4"/>
  <c r="G1380" i="4"/>
  <c r="I1310" i="4"/>
  <c r="J1245" i="4"/>
  <c r="E900" i="4"/>
  <c r="G1627" i="4"/>
  <c r="E1298" i="4"/>
  <c r="E719" i="4"/>
  <c r="F948" i="4"/>
  <c r="K1003" i="4"/>
  <c r="D5" i="4"/>
  <c r="L995" i="4"/>
  <c r="F1826" i="4"/>
  <c r="F584" i="4"/>
  <c r="B1883" i="4"/>
  <c r="C1874" i="4"/>
  <c r="E1861" i="4"/>
  <c r="D845" i="4"/>
  <c r="J1699" i="4"/>
  <c r="F1672" i="4"/>
  <c r="K189" i="4"/>
  <c r="B1925" i="4"/>
  <c r="G1100" i="4"/>
  <c r="G989" i="4"/>
  <c r="M1102" i="4"/>
  <c r="I1553" i="4"/>
  <c r="I1313" i="4"/>
  <c r="C947" i="4"/>
  <c r="B961" i="4"/>
  <c r="G67" i="4"/>
  <c r="L1672" i="4"/>
  <c r="M1658" i="4"/>
  <c r="G223" i="4"/>
  <c r="F1418" i="4"/>
  <c r="B1902" i="4"/>
  <c r="F1661" i="4"/>
  <c r="D1800" i="4"/>
  <c r="E740" i="4"/>
  <c r="F1333" i="4"/>
  <c r="F582" i="4"/>
  <c r="M1031" i="4"/>
  <c r="D1372" i="4"/>
  <c r="M1290" i="4"/>
  <c r="I282" i="4"/>
  <c r="F510" i="4"/>
  <c r="L690" i="4"/>
  <c r="K337" i="4"/>
  <c r="M164" i="4"/>
  <c r="K248" i="4"/>
  <c r="K1811" i="4"/>
  <c r="M1211" i="4"/>
  <c r="L1599" i="4"/>
  <c r="F683" i="4"/>
  <c r="C332" i="4"/>
  <c r="F1162" i="4"/>
  <c r="G325" i="4"/>
  <c r="L1278" i="4"/>
  <c r="G784" i="4"/>
  <c r="F868" i="4"/>
  <c r="F1764" i="4"/>
  <c r="E1731" i="4"/>
  <c r="C517" i="4"/>
  <c r="D1456" i="4"/>
  <c r="D876" i="4"/>
  <c r="I711" i="4"/>
  <c r="M1204" i="4"/>
  <c r="B88" i="4"/>
  <c r="E319" i="4"/>
  <c r="G1306" i="4"/>
  <c r="E1187" i="4"/>
  <c r="G1315" i="4"/>
  <c r="C1518" i="4"/>
  <c r="K827" i="4"/>
  <c r="M984" i="4"/>
  <c r="D954" i="4"/>
  <c r="D1684" i="4"/>
  <c r="F1232" i="4"/>
  <c r="C1739" i="4"/>
  <c r="G1444" i="4"/>
  <c r="D870" i="4"/>
  <c r="K1232" i="4"/>
  <c r="L1090" i="4"/>
  <c r="L1908" i="4"/>
  <c r="K247" i="4"/>
  <c r="F2003" i="4"/>
  <c r="E445" i="4"/>
  <c r="B1851" i="4"/>
  <c r="G709" i="4"/>
  <c r="D1963" i="4"/>
  <c r="G1180" i="4"/>
  <c r="I838" i="4"/>
  <c r="B1106" i="4"/>
  <c r="G1653" i="4"/>
  <c r="M861" i="4"/>
  <c r="B810" i="4"/>
  <c r="B1051" i="4"/>
  <c r="D617" i="4"/>
  <c r="J1420" i="4"/>
  <c r="C919" i="4"/>
  <c r="G242" i="4"/>
  <c r="F1850" i="4"/>
  <c r="E292" i="4"/>
  <c r="C611" i="4"/>
  <c r="M954" i="4"/>
  <c r="D559" i="4"/>
  <c r="F415" i="4"/>
  <c r="E933" i="4"/>
  <c r="K1117" i="4"/>
  <c r="M455" i="4"/>
  <c r="E538" i="4"/>
  <c r="L237" i="4"/>
  <c r="D1948" i="4"/>
  <c r="M1137" i="4"/>
  <c r="B814" i="4"/>
  <c r="M1975" i="4"/>
  <c r="C1296" i="4"/>
  <c r="B779" i="4"/>
  <c r="E1288" i="4"/>
  <c r="G1104" i="4"/>
  <c r="D484" i="4"/>
  <c r="C1047" i="4"/>
  <c r="F685" i="4"/>
  <c r="M1467" i="4"/>
  <c r="D947" i="4"/>
  <c r="B753" i="4"/>
  <c r="E1012" i="4"/>
  <c r="B857" i="4"/>
  <c r="M908" i="4"/>
  <c r="D1436" i="4"/>
  <c r="D646" i="4"/>
  <c r="M203" i="4"/>
  <c r="M1030" i="4"/>
  <c r="F538" i="4"/>
  <c r="D1488" i="4"/>
  <c r="C1431" i="4"/>
  <c r="B1331" i="4"/>
  <c r="K1636" i="4"/>
  <c r="F150" i="4"/>
  <c r="D322" i="4"/>
  <c r="M650" i="4"/>
  <c r="L1118" i="4"/>
  <c r="C1917" i="4"/>
  <c r="C1723" i="4"/>
  <c r="D1518" i="4"/>
  <c r="B1310" i="4"/>
  <c r="B1078" i="4"/>
  <c r="F428" i="4"/>
  <c r="M1730" i="4"/>
  <c r="L1031" i="4"/>
  <c r="G1238" i="4"/>
  <c r="G943" i="4"/>
  <c r="E784" i="4"/>
  <c r="E296" i="4"/>
  <c r="K1931" i="4"/>
  <c r="L926" i="4"/>
  <c r="B322" i="4"/>
  <c r="L1208" i="4"/>
  <c r="F1365" i="4"/>
  <c r="L1151" i="4"/>
  <c r="E1566" i="4"/>
  <c r="J420" i="4"/>
  <c r="B117" i="4"/>
  <c r="B1283" i="4"/>
  <c r="B195" i="4"/>
  <c r="B921" i="4"/>
  <c r="K1333" i="4"/>
  <c r="L1858" i="4"/>
  <c r="F1912" i="4"/>
  <c r="K743" i="4"/>
  <c r="K1844" i="4"/>
  <c r="J950" i="4"/>
  <c r="K652" i="4"/>
  <c r="D692" i="4"/>
  <c r="D1448" i="4"/>
  <c r="F100" i="4"/>
  <c r="E931" i="4"/>
  <c r="F1978" i="4"/>
  <c r="I1754" i="4"/>
  <c r="E1593" i="4"/>
  <c r="M1686" i="4"/>
  <c r="B1282" i="4"/>
  <c r="D1274" i="4"/>
  <c r="E751" i="4"/>
  <c r="B574" i="4"/>
  <c r="G789" i="4"/>
  <c r="M1576" i="4"/>
  <c r="J1325" i="4"/>
  <c r="C242" i="4"/>
  <c r="F653" i="4"/>
  <c r="K309" i="4"/>
  <c r="D699" i="4"/>
  <c r="G1895" i="4"/>
  <c r="J954" i="4"/>
  <c r="K141" i="4"/>
  <c r="G133" i="4"/>
  <c r="G352" i="4"/>
  <c r="C1069" i="4"/>
  <c r="B1654" i="4"/>
  <c r="G390" i="4"/>
  <c r="M1110" i="4"/>
  <c r="M1189" i="4"/>
  <c r="E1703" i="4"/>
  <c r="F639" i="4"/>
  <c r="F73" i="4"/>
  <c r="B742" i="4"/>
  <c r="F331" i="4"/>
  <c r="L908" i="4"/>
  <c r="C1950" i="4"/>
  <c r="G1220" i="4"/>
  <c r="C16" i="4"/>
  <c r="G610" i="4"/>
  <c r="B750" i="4"/>
  <c r="G188" i="4"/>
  <c r="K1600" i="4"/>
  <c r="F1060" i="4"/>
  <c r="G1915" i="4"/>
  <c r="E137" i="4"/>
  <c r="M119" i="4"/>
  <c r="K1574" i="4"/>
  <c r="G1218" i="4"/>
  <c r="I1429" i="4"/>
  <c r="G1009" i="4"/>
  <c r="E754" i="4"/>
  <c r="E327" i="4"/>
  <c r="L1007" i="4"/>
  <c r="E675" i="4"/>
  <c r="G1932" i="4"/>
  <c r="F1836" i="4"/>
  <c r="B948" i="4"/>
  <c r="F1067" i="4"/>
  <c r="L1606" i="4"/>
  <c r="K1569" i="4"/>
  <c r="B754" i="4"/>
  <c r="C1013" i="4"/>
  <c r="C1031" i="4"/>
  <c r="D1608" i="4"/>
  <c r="C1838" i="4"/>
  <c r="I1087" i="4"/>
  <c r="L877" i="4"/>
  <c r="B1299" i="4"/>
  <c r="C1654" i="4"/>
  <c r="B1597" i="4"/>
  <c r="L538" i="4"/>
  <c r="C757" i="4"/>
  <c r="F1605" i="4"/>
  <c r="K1924" i="4"/>
  <c r="M1193" i="4"/>
  <c r="C449" i="4"/>
  <c r="B638" i="4"/>
  <c r="F1669" i="4"/>
  <c r="J1497" i="4"/>
  <c r="C1252" i="4"/>
  <c r="M1947" i="4"/>
  <c r="K797" i="4"/>
  <c r="D420" i="4"/>
  <c r="L650" i="4"/>
  <c r="G1421" i="4"/>
  <c r="B471" i="4"/>
  <c r="G798" i="4"/>
  <c r="M1755" i="4"/>
  <c r="E928" i="4"/>
  <c r="C946" i="4"/>
  <c r="G1954" i="4"/>
  <c r="E1221" i="4"/>
  <c r="D142" i="4"/>
  <c r="E1611" i="4"/>
  <c r="B188" i="4"/>
  <c r="F1880" i="4"/>
  <c r="B1226" i="4"/>
  <c r="K1609" i="4"/>
  <c r="B156" i="4"/>
  <c r="M781" i="4"/>
  <c r="L1427" i="4"/>
  <c r="K1085" i="4"/>
  <c r="C840" i="4"/>
  <c r="D202" i="4"/>
  <c r="M704" i="4"/>
  <c r="C1766" i="4"/>
  <c r="E1776" i="4"/>
  <c r="E1965" i="4"/>
  <c r="L563" i="4"/>
  <c r="F233" i="4"/>
  <c r="E1588" i="4"/>
  <c r="L1670" i="4"/>
  <c r="F1745" i="4"/>
  <c r="M1565" i="4"/>
  <c r="C605" i="4"/>
  <c r="L1452" i="4"/>
  <c r="F1018" i="4"/>
  <c r="F731" i="4"/>
  <c r="M886" i="4"/>
  <c r="J1133" i="4"/>
  <c r="K1063" i="4"/>
  <c r="I885" i="4"/>
  <c r="F411" i="4"/>
  <c r="D1204" i="4"/>
  <c r="G805" i="4"/>
  <c r="C88" i="4"/>
  <c r="G997" i="4"/>
  <c r="L254" i="4"/>
  <c r="F170" i="4"/>
  <c r="E45" i="4"/>
  <c r="D833" i="4"/>
  <c r="D1928" i="4"/>
  <c r="C399" i="4"/>
  <c r="C960" i="4"/>
  <c r="F964" i="4"/>
  <c r="B268" i="4"/>
  <c r="B1897" i="4"/>
  <c r="J1845" i="4"/>
  <c r="M1800" i="4"/>
  <c r="E65" i="4"/>
  <c r="E1343" i="4"/>
  <c r="B505" i="4"/>
  <c r="E785" i="4"/>
  <c r="E1792" i="4"/>
  <c r="B829" i="4"/>
  <c r="L833" i="4"/>
  <c r="C1151" i="4"/>
  <c r="B1230" i="4"/>
  <c r="L1445" i="4"/>
  <c r="L117" i="4"/>
  <c r="F1290" i="4"/>
  <c r="D1623" i="4"/>
  <c r="L1272" i="4"/>
  <c r="G1998" i="4"/>
  <c r="F1053" i="4"/>
  <c r="F1266" i="4"/>
  <c r="E1132" i="4"/>
  <c r="M1874" i="4"/>
  <c r="D1461" i="4"/>
  <c r="E1054" i="4"/>
  <c r="E696" i="4"/>
  <c r="C1501" i="4"/>
  <c r="E970" i="4"/>
  <c r="E1443" i="4"/>
  <c r="L1691" i="4"/>
  <c r="F852" i="4"/>
  <c r="F776" i="4"/>
  <c r="M721" i="4"/>
  <c r="M373" i="4"/>
  <c r="F774" i="4"/>
  <c r="D1799" i="4"/>
  <c r="I1819" i="4"/>
  <c r="M581" i="4"/>
  <c r="E1290" i="4"/>
  <c r="B1585" i="4"/>
  <c r="F771" i="4"/>
  <c r="M1997" i="4"/>
  <c r="F1917" i="4"/>
  <c r="D1676" i="4"/>
  <c r="B803" i="4"/>
  <c r="D1888" i="4"/>
  <c r="J435" i="4"/>
  <c r="D772" i="4"/>
  <c r="G366" i="4"/>
  <c r="L787" i="4"/>
  <c r="K1948" i="4"/>
  <c r="E1228" i="4"/>
  <c r="I1828" i="4"/>
  <c r="J1667" i="4"/>
  <c r="J1954" i="4"/>
  <c r="K1800" i="4"/>
  <c r="D892" i="4"/>
  <c r="M1143" i="4"/>
  <c r="E1822" i="4"/>
  <c r="B1130" i="4"/>
  <c r="B1629" i="4"/>
  <c r="K1537" i="4"/>
  <c r="K1255" i="4"/>
  <c r="G1707" i="4"/>
  <c r="M948" i="4"/>
  <c r="M2002" i="4"/>
  <c r="K1248" i="4"/>
  <c r="B1973" i="4"/>
  <c r="L262" i="4"/>
  <c r="D517" i="4"/>
  <c r="F803" i="4"/>
  <c r="K691" i="4"/>
  <c r="L21" i="4"/>
  <c r="L1012" i="4"/>
  <c r="K915" i="4"/>
  <c r="E867" i="4"/>
  <c r="K77" i="4"/>
  <c r="E1429" i="4"/>
  <c r="L545" i="4"/>
  <c r="L1507" i="4"/>
  <c r="D84" i="4"/>
  <c r="B815" i="4"/>
  <c r="M1568" i="4"/>
  <c r="D1286" i="4"/>
  <c r="L1247" i="4"/>
  <c r="B413" i="4"/>
  <c r="L203" i="4"/>
  <c r="D867" i="4"/>
  <c r="C624" i="4"/>
  <c r="K1575" i="4"/>
  <c r="D851" i="4"/>
  <c r="K1785" i="4"/>
  <c r="G1966" i="4"/>
  <c r="K1322" i="4"/>
  <c r="K1524" i="4"/>
  <c r="F1262" i="4"/>
  <c r="L319" i="4"/>
  <c r="M1271" i="4"/>
  <c r="L645" i="4"/>
  <c r="L566" i="4"/>
  <c r="F638" i="4"/>
  <c r="G1127" i="4"/>
  <c r="L799" i="4"/>
  <c r="F45" i="4"/>
  <c r="K1380" i="4"/>
  <c r="K1159" i="4"/>
  <c r="M408" i="4"/>
  <c r="C1450" i="4"/>
  <c r="E1814" i="4"/>
  <c r="I1824" i="4"/>
  <c r="D763" i="4"/>
  <c r="G1548" i="4"/>
  <c r="D1197" i="4"/>
  <c r="I748" i="4"/>
  <c r="M78" i="4"/>
  <c r="B1843" i="4"/>
  <c r="E1615" i="4"/>
  <c r="C670" i="4"/>
  <c r="F1121" i="4"/>
  <c r="D67" i="4"/>
  <c r="D1154" i="4"/>
  <c r="C503" i="4"/>
  <c r="J145" i="4"/>
  <c r="G227" i="4"/>
  <c r="D724" i="4"/>
  <c r="D1284" i="4"/>
  <c r="C849" i="4"/>
  <c r="D1695" i="4"/>
  <c r="D460" i="4"/>
  <c r="F893" i="4"/>
  <c r="B1427" i="4"/>
  <c r="E590" i="4"/>
  <c r="G731" i="4"/>
  <c r="I1768" i="4"/>
  <c r="G1725" i="4"/>
  <c r="L1142" i="4"/>
  <c r="L106" i="4"/>
  <c r="E1647" i="4"/>
  <c r="L782" i="4"/>
  <c r="L381" i="4"/>
  <c r="C142" i="4"/>
  <c r="B1241" i="4"/>
  <c r="K661" i="4"/>
  <c r="D1357" i="4"/>
  <c r="E932" i="4"/>
  <c r="B46" i="4"/>
  <c r="M526" i="4"/>
  <c r="G741" i="4"/>
  <c r="M1340" i="4"/>
  <c r="E1161" i="4"/>
  <c r="L904" i="4"/>
  <c r="E1022" i="4"/>
  <c r="C1028" i="4"/>
  <c r="F102" i="4"/>
  <c r="M950" i="4"/>
  <c r="M1554" i="4"/>
  <c r="I1379" i="4"/>
  <c r="J1489" i="4"/>
  <c r="F1860" i="4"/>
  <c r="L1209" i="4"/>
  <c r="C256" i="4"/>
  <c r="G1564" i="4"/>
  <c r="M1164" i="4"/>
  <c r="D967" i="4"/>
  <c r="L684" i="4"/>
  <c r="B1416" i="4"/>
  <c r="B2007" i="4"/>
  <c r="B1904" i="4"/>
  <c r="G947" i="4"/>
  <c r="I621" i="4"/>
  <c r="C1312" i="4"/>
  <c r="M631" i="4"/>
  <c r="K614" i="4"/>
  <c r="F949" i="4"/>
  <c r="F241" i="4"/>
  <c r="B834" i="4"/>
  <c r="L1714" i="4"/>
  <c r="B193" i="4"/>
  <c r="J1088" i="4"/>
  <c r="F1389" i="4"/>
  <c r="K945" i="4"/>
  <c r="C1230" i="4"/>
  <c r="B780" i="4"/>
  <c r="B518" i="4"/>
  <c r="J1537" i="4"/>
  <c r="F484" i="4"/>
  <c r="C632" i="4"/>
  <c r="E1683" i="4"/>
  <c r="K379" i="4"/>
  <c r="M1628" i="4"/>
  <c r="L535" i="4"/>
  <c r="M1394" i="4"/>
  <c r="C1597" i="4"/>
  <c r="K1943" i="4"/>
  <c r="B1837" i="4"/>
  <c r="G298" i="4"/>
  <c r="G446" i="4"/>
  <c r="M1318" i="4"/>
  <c r="F86" i="4"/>
  <c r="E125" i="4"/>
  <c r="C1027" i="4"/>
  <c r="G276" i="4"/>
  <c r="G1184" i="4"/>
  <c r="B1562" i="4"/>
  <c r="D757" i="4"/>
  <c r="J1279" i="4"/>
  <c r="E1672" i="4"/>
  <c r="D1079" i="4"/>
  <c r="I1990" i="4"/>
  <c r="M11" i="4"/>
  <c r="B528" i="4"/>
  <c r="L572" i="4"/>
  <c r="I1409" i="4"/>
  <c r="I37" i="4"/>
  <c r="E1520" i="4"/>
  <c r="E1859" i="4"/>
  <c r="C1317" i="4"/>
  <c r="D383" i="4"/>
  <c r="F539" i="4"/>
  <c r="K436" i="4"/>
  <c r="B902" i="4"/>
  <c r="L521" i="4"/>
  <c r="L1968" i="4"/>
  <c r="C1942" i="4"/>
  <c r="G594" i="4"/>
  <c r="K1059" i="4"/>
  <c r="D1587" i="4"/>
  <c r="G1697" i="4"/>
  <c r="K1372" i="4"/>
  <c r="E1865" i="4"/>
  <c r="G1178" i="4"/>
  <c r="C807" i="4"/>
  <c r="M1977" i="4"/>
  <c r="C451" i="4"/>
  <c r="E564" i="4"/>
  <c r="G536" i="4"/>
  <c r="L1127" i="4"/>
  <c r="G1829" i="4"/>
  <c r="K685" i="4"/>
  <c r="D1433" i="4"/>
  <c r="M1926" i="4"/>
  <c r="G852" i="4"/>
  <c r="G689" i="4"/>
  <c r="B1727" i="4"/>
  <c r="E623" i="4"/>
  <c r="L1410" i="4"/>
  <c r="L1277" i="4"/>
  <c r="K1689" i="4"/>
  <c r="L1153" i="4"/>
  <c r="E501" i="4"/>
  <c r="B745" i="4"/>
  <c r="I456" i="4"/>
  <c r="E1427" i="4"/>
  <c r="G1734" i="4"/>
  <c r="G615" i="4"/>
  <c r="K1544" i="4"/>
  <c r="G1496" i="4"/>
  <c r="B1451" i="4"/>
  <c r="G1054" i="4"/>
  <c r="G614" i="4"/>
  <c r="B445" i="4"/>
  <c r="C1034" i="4"/>
  <c r="B1546" i="4"/>
  <c r="C800" i="4"/>
  <c r="B1838" i="4"/>
  <c r="B136" i="4"/>
  <c r="B1195" i="4"/>
  <c r="E1705" i="4"/>
  <c r="C1517" i="4"/>
  <c r="K665" i="4"/>
  <c r="E1365" i="4"/>
  <c r="C1958" i="4"/>
  <c r="F1905" i="4"/>
  <c r="G218" i="4"/>
  <c r="E1571" i="4"/>
  <c r="C1930" i="4"/>
  <c r="L1662" i="4"/>
  <c r="E521" i="4"/>
  <c r="J1457" i="4"/>
  <c r="C1071" i="4"/>
  <c r="B1625" i="4"/>
  <c r="G1750" i="4"/>
  <c r="M263" i="4"/>
  <c r="M31" i="4"/>
  <c r="G1962" i="4"/>
  <c r="F1561" i="4"/>
  <c r="M1462" i="4"/>
  <c r="J1311" i="4"/>
  <c r="C860" i="4"/>
  <c r="J155" i="4"/>
  <c r="K1810" i="4"/>
  <c r="L1304" i="4"/>
  <c r="E400" i="4"/>
  <c r="I1261" i="4"/>
  <c r="M949" i="4"/>
  <c r="M1439" i="4"/>
  <c r="J1149" i="4"/>
  <c r="L1434" i="4"/>
  <c r="M1951" i="4"/>
  <c r="D398" i="4"/>
  <c r="F1973" i="4"/>
  <c r="G1686" i="4"/>
  <c r="C3" i="4"/>
  <c r="G954" i="4"/>
  <c r="M976" i="4"/>
  <c r="E159" i="4"/>
  <c r="C421" i="4"/>
  <c r="D203" i="4"/>
  <c r="M1862" i="4"/>
  <c r="M1802" i="4"/>
  <c r="L1917" i="4"/>
  <c r="C1242" i="4"/>
  <c r="M1466" i="4"/>
  <c r="G1512" i="4"/>
  <c r="M1767" i="4"/>
  <c r="L366" i="4"/>
  <c r="K790" i="4"/>
  <c r="L127" i="4"/>
  <c r="G480" i="4"/>
  <c r="E1032" i="4"/>
  <c r="M1693" i="4"/>
  <c r="K987" i="4"/>
  <c r="K1522" i="4"/>
  <c r="L529" i="4"/>
  <c r="J676" i="4"/>
  <c r="F1782" i="4"/>
  <c r="L1652" i="4"/>
  <c r="B1849" i="4"/>
  <c r="K727" i="4"/>
  <c r="J356" i="4"/>
  <c r="I830" i="4"/>
  <c r="D1222" i="4"/>
  <c r="E1045" i="4"/>
  <c r="M1604" i="4"/>
  <c r="G54" i="4"/>
  <c r="G587" i="4"/>
  <c r="K1819" i="4"/>
  <c r="L1336" i="4"/>
  <c r="G1783" i="4"/>
  <c r="K586" i="4"/>
  <c r="C225" i="4"/>
  <c r="D326" i="4"/>
  <c r="B548" i="4"/>
  <c r="F1127" i="4"/>
  <c r="E952" i="4"/>
  <c r="G1936" i="4"/>
  <c r="C1089" i="4"/>
  <c r="M765" i="4"/>
  <c r="K1926" i="4"/>
  <c r="D1458" i="4"/>
  <c r="G1241" i="4"/>
  <c r="E1996" i="4"/>
  <c r="C10" i="4"/>
  <c r="D872" i="4"/>
  <c r="G1190" i="4"/>
  <c r="F782" i="4"/>
  <c r="D677" i="4"/>
  <c r="F972" i="4"/>
  <c r="G44" i="4"/>
  <c r="K1051" i="4"/>
  <c r="C463" i="4"/>
  <c r="F1609" i="4"/>
  <c r="I1467" i="4"/>
  <c r="M1663" i="4"/>
  <c r="M1252" i="4"/>
  <c r="M1014" i="4"/>
  <c r="M1826" i="4"/>
  <c r="C928" i="4"/>
  <c r="E1847" i="4"/>
  <c r="K1361" i="4"/>
  <c r="G173" i="4"/>
  <c r="G850" i="4"/>
  <c r="L1041" i="4"/>
  <c r="E1475" i="4"/>
  <c r="E1912" i="4"/>
  <c r="M529" i="4"/>
  <c r="B1798" i="4"/>
  <c r="E653" i="4"/>
  <c r="C1694" i="4"/>
  <c r="M1710" i="4"/>
  <c r="E1368" i="4"/>
  <c r="G516" i="4"/>
  <c r="L1480" i="4"/>
  <c r="D45" i="4"/>
  <c r="F1227" i="4"/>
  <c r="K950" i="4"/>
  <c r="K535" i="4"/>
  <c r="B838" i="4"/>
  <c r="E738" i="4"/>
  <c r="L509" i="4"/>
  <c r="D1015" i="4"/>
  <c r="I1633" i="4"/>
  <c r="D711" i="4"/>
  <c r="L919" i="4"/>
  <c r="K854" i="4"/>
  <c r="B878" i="4"/>
  <c r="L1820" i="4"/>
  <c r="K1341" i="4"/>
  <c r="C146" i="4"/>
  <c r="E87" i="4"/>
  <c r="K1653" i="4"/>
  <c r="F1575" i="4"/>
  <c r="I244" i="4"/>
  <c r="D1991" i="4"/>
  <c r="B1874" i="4"/>
  <c r="B540" i="4"/>
  <c r="M1282" i="4"/>
  <c r="K180" i="4"/>
  <c r="F1582" i="4"/>
  <c r="D1546" i="4"/>
  <c r="L1344" i="4"/>
  <c r="L1189" i="4"/>
  <c r="D1010" i="4"/>
  <c r="L1959" i="4"/>
  <c r="B1655" i="4"/>
  <c r="G600" i="4"/>
  <c r="M2007" i="4"/>
  <c r="M731" i="4"/>
  <c r="B1682" i="4"/>
  <c r="C936" i="4"/>
  <c r="G377" i="4"/>
  <c r="M134" i="4"/>
  <c r="G1126" i="4"/>
  <c r="D1005" i="4"/>
  <c r="E1039" i="4"/>
  <c r="B1879" i="4"/>
  <c r="B1809" i="4"/>
  <c r="E243" i="4"/>
  <c r="K81" i="4"/>
  <c r="E1478" i="4"/>
  <c r="I1566" i="4"/>
  <c r="G1207" i="4"/>
  <c r="C1634" i="4"/>
  <c r="G749" i="4"/>
  <c r="E1233" i="4"/>
  <c r="L748" i="4"/>
  <c r="K647" i="4"/>
  <c r="D1745" i="4"/>
  <c r="D1809" i="4"/>
  <c r="L1413" i="4"/>
  <c r="K1324" i="4"/>
  <c r="K1043" i="4"/>
  <c r="K1107" i="4"/>
  <c r="D568" i="4"/>
  <c r="D1639" i="4"/>
  <c r="B1760" i="4"/>
  <c r="F1562" i="4"/>
  <c r="D890" i="4"/>
  <c r="F1293" i="4"/>
  <c r="B801" i="4"/>
  <c r="I816" i="4"/>
  <c r="G367" i="4"/>
  <c r="G280" i="4"/>
  <c r="C564" i="4"/>
  <c r="C1796" i="4"/>
  <c r="I776" i="4"/>
  <c r="L77" i="4"/>
  <c r="K596" i="4"/>
  <c r="L1704" i="4"/>
  <c r="K576" i="4"/>
  <c r="C1197" i="4"/>
  <c r="M595" i="4"/>
  <c r="M284" i="4"/>
  <c r="M1702" i="4"/>
  <c r="C1128" i="4"/>
  <c r="K863" i="4"/>
  <c r="K225" i="4"/>
  <c r="G874" i="4"/>
  <c r="C790" i="4"/>
  <c r="C260" i="4"/>
  <c r="F747" i="4"/>
  <c r="C1795" i="4"/>
  <c r="M1061" i="4"/>
  <c r="B223" i="4"/>
  <c r="C1214" i="4"/>
  <c r="G1608" i="4"/>
  <c r="M815" i="4"/>
  <c r="J141" i="4"/>
  <c r="F1010" i="4"/>
  <c r="K1995" i="4"/>
  <c r="M1887" i="4"/>
  <c r="K716" i="4"/>
  <c r="L673" i="4"/>
  <c r="M1043" i="4"/>
  <c r="K963" i="4"/>
  <c r="M1457" i="4"/>
  <c r="L1867" i="4"/>
  <c r="G86" i="4"/>
  <c r="F571" i="4"/>
  <c r="C1780" i="4"/>
  <c r="K1184" i="4"/>
  <c r="L431" i="4"/>
  <c r="L1673" i="4"/>
  <c r="G1939" i="4"/>
  <c r="G36" i="4"/>
  <c r="M1851" i="4"/>
  <c r="K737" i="4"/>
  <c r="J371" i="4"/>
  <c r="L1976" i="4"/>
  <c r="E860" i="4"/>
  <c r="B457" i="4"/>
  <c r="K1315" i="4"/>
  <c r="I1443" i="4"/>
  <c r="B220" i="4"/>
  <c r="E963" i="4"/>
  <c r="L1473" i="4"/>
  <c r="D1960" i="4"/>
  <c r="D1251" i="4"/>
  <c r="G1870" i="4"/>
  <c r="C1276" i="4"/>
  <c r="F735" i="4"/>
  <c r="C1962" i="4"/>
  <c r="M394" i="4"/>
  <c r="E17" i="4"/>
  <c r="E352" i="4"/>
  <c r="G1852" i="4"/>
  <c r="E1511" i="4"/>
  <c r="E78" i="4"/>
  <c r="L215" i="4"/>
  <c r="K1885" i="4"/>
  <c r="D581" i="4"/>
  <c r="M1752" i="4"/>
  <c r="E1229" i="4"/>
  <c r="K1770" i="4"/>
  <c r="F891" i="4"/>
  <c r="M1235" i="4"/>
  <c r="I1224" i="4"/>
  <c r="C1165" i="4"/>
  <c r="E1556" i="4"/>
  <c r="C357" i="4"/>
  <c r="C1593" i="4"/>
  <c r="G1885" i="4"/>
  <c r="F1574" i="4"/>
  <c r="L427" i="4"/>
  <c r="G1480" i="4"/>
  <c r="G107" i="4"/>
  <c r="F1775" i="4"/>
  <c r="C1825" i="4"/>
  <c r="M1582" i="4"/>
  <c r="K223" i="4"/>
  <c r="C1210" i="4"/>
  <c r="F765" i="4"/>
  <c r="L610" i="4"/>
  <c r="M818" i="4"/>
  <c r="D1226" i="4"/>
  <c r="D1210" i="4"/>
  <c r="E954" i="4"/>
  <c r="F1147" i="4"/>
  <c r="K1082" i="4"/>
  <c r="F1882" i="4"/>
  <c r="C1281" i="4"/>
  <c r="G1923" i="4"/>
  <c r="K793" i="4"/>
  <c r="E1723" i="4"/>
  <c r="M48" i="4"/>
  <c r="E1896" i="4"/>
  <c r="L1435" i="4"/>
  <c r="L974" i="4"/>
  <c r="B1565" i="4"/>
  <c r="F734" i="4"/>
  <c r="L1818" i="4"/>
  <c r="M75" i="4"/>
  <c r="L1391" i="4"/>
  <c r="E1183" i="4"/>
  <c r="L1881" i="4"/>
  <c r="G1250" i="4"/>
  <c r="M768" i="4"/>
  <c r="E1209" i="4"/>
  <c r="F630" i="4"/>
  <c r="J1034" i="4"/>
  <c r="C1407" i="4"/>
  <c r="C682" i="4"/>
  <c r="I1392" i="4"/>
  <c r="K1727" i="4"/>
  <c r="G793" i="4"/>
  <c r="L662" i="4"/>
  <c r="F1216" i="4"/>
  <c r="E1977" i="4"/>
  <c r="F1972" i="4"/>
  <c r="L711" i="4"/>
  <c r="L1675" i="4"/>
  <c r="L1395" i="4"/>
  <c r="C687" i="4"/>
  <c r="G730" i="4"/>
  <c r="L1449" i="4"/>
  <c r="B805" i="4"/>
  <c r="E414" i="4"/>
  <c r="F1412" i="4"/>
  <c r="E1354" i="4"/>
  <c r="B925" i="4"/>
  <c r="B299" i="4"/>
  <c r="M1026" i="4"/>
  <c r="G746" i="4"/>
  <c r="G1000" i="4"/>
  <c r="D1725" i="4"/>
  <c r="E771" i="4"/>
  <c r="E536" i="4"/>
  <c r="G1129" i="4"/>
  <c r="G1198" i="4"/>
  <c r="I708" i="4"/>
  <c r="F1618" i="4"/>
  <c r="E1573" i="4"/>
  <c r="E1604" i="4"/>
  <c r="M810" i="4"/>
  <c r="C1985" i="4"/>
  <c r="K251" i="4"/>
  <c r="G1587" i="4"/>
  <c r="L1726" i="4"/>
  <c r="K116" i="4"/>
  <c r="K523" i="4"/>
  <c r="D1217" i="4"/>
  <c r="L1181" i="4"/>
  <c r="L56" i="4"/>
  <c r="K1134" i="4"/>
  <c r="E1234" i="4"/>
  <c r="B15" i="4"/>
  <c r="M273" i="4"/>
  <c r="C418" i="4"/>
  <c r="L1596" i="4"/>
  <c r="F737" i="4"/>
  <c r="B1836" i="4"/>
  <c r="D93" i="4"/>
  <c r="L380" i="4"/>
  <c r="K293" i="4"/>
  <c r="C1366" i="4"/>
  <c r="D1073" i="4"/>
  <c r="E1681" i="4"/>
  <c r="I1984" i="4"/>
  <c r="C1540" i="4"/>
  <c r="E570" i="4"/>
  <c r="M1093" i="4"/>
  <c r="C736" i="4"/>
  <c r="K216" i="4"/>
  <c r="G1240" i="4"/>
  <c r="K1127" i="4"/>
  <c r="C1547" i="4"/>
  <c r="K560" i="4"/>
  <c r="B1115" i="4"/>
  <c r="F121" i="4"/>
  <c r="E1606" i="4"/>
  <c r="C1119" i="4"/>
  <c r="C1287" i="4"/>
  <c r="M1783" i="4"/>
  <c r="F1261" i="4"/>
  <c r="J1042" i="4"/>
  <c r="D607" i="4"/>
  <c r="K1244" i="4"/>
  <c r="L854" i="4"/>
  <c r="G1903" i="4"/>
  <c r="D1182" i="4"/>
  <c r="L395" i="4"/>
  <c r="E279" i="4"/>
  <c r="F1159" i="4"/>
  <c r="C1386" i="4"/>
  <c r="F1714" i="4"/>
  <c r="D422" i="4"/>
  <c r="E1752" i="4"/>
  <c r="C1150" i="4"/>
  <c r="C1714" i="4"/>
  <c r="L1116" i="4"/>
  <c r="F316" i="4"/>
  <c r="B368" i="4"/>
  <c r="C812" i="4"/>
  <c r="M1731" i="4"/>
  <c r="M1905" i="4"/>
  <c r="D362" i="4"/>
  <c r="K1589" i="4"/>
  <c r="B1469" i="4"/>
  <c r="E364" i="4"/>
  <c r="F1677" i="4"/>
  <c r="L1983" i="4"/>
  <c r="F1900" i="4"/>
  <c r="D68" i="4"/>
  <c r="E1639" i="4"/>
  <c r="B345" i="4"/>
  <c r="B1382" i="4"/>
  <c r="C1084" i="4"/>
  <c r="B923" i="4"/>
  <c r="D963" i="4"/>
  <c r="C782" i="4"/>
  <c r="B682" i="4"/>
  <c r="K1833" i="4"/>
  <c r="D897" i="4"/>
  <c r="C837" i="4"/>
  <c r="C64" i="4"/>
  <c r="L410" i="4"/>
  <c r="C574" i="4"/>
  <c r="J245" i="4"/>
  <c r="G442" i="4"/>
  <c r="G1274" i="4"/>
  <c r="K1370" i="4"/>
  <c r="G1210" i="4"/>
  <c r="C1804" i="4"/>
  <c r="K1890" i="4"/>
  <c r="B1260" i="4"/>
  <c r="I1594" i="4"/>
  <c r="E897" i="4"/>
  <c r="F824" i="4"/>
  <c r="M1786" i="4"/>
  <c r="D1359" i="4"/>
  <c r="G1209" i="4"/>
  <c r="L1022" i="4"/>
  <c r="G1532" i="4"/>
  <c r="D1789" i="4"/>
  <c r="E1661" i="4"/>
  <c r="F1690" i="4"/>
  <c r="B1284" i="4"/>
  <c r="E1166" i="4"/>
  <c r="G1447" i="4"/>
  <c r="I1717" i="4"/>
  <c r="E529" i="4"/>
  <c r="G417" i="4"/>
  <c r="E488" i="4"/>
  <c r="K662" i="4"/>
  <c r="B344" i="4"/>
  <c r="C1414" i="4"/>
  <c r="F386" i="4"/>
  <c r="L665" i="4"/>
  <c r="E1708" i="4"/>
  <c r="D164" i="4"/>
  <c r="F628" i="4"/>
  <c r="C1180" i="4"/>
  <c r="F838" i="4"/>
  <c r="C1977" i="4"/>
  <c r="K840" i="4"/>
  <c r="B1370" i="4"/>
  <c r="D1388" i="4"/>
  <c r="G1880" i="4"/>
  <c r="J1823" i="4"/>
  <c r="B1244" i="4"/>
  <c r="B1684" i="4"/>
  <c r="F1194" i="4"/>
  <c r="K1395" i="4"/>
  <c r="J1877" i="4"/>
  <c r="G461" i="4"/>
  <c r="D1918" i="4"/>
  <c r="C297" i="4"/>
  <c r="F616" i="4"/>
  <c r="B1182" i="4"/>
  <c r="K1511" i="4"/>
  <c r="L1218" i="4"/>
  <c r="K1182" i="4"/>
  <c r="B1700" i="4"/>
  <c r="K1197" i="4"/>
  <c r="M685" i="4"/>
  <c r="K1336" i="4"/>
  <c r="J1169" i="4"/>
  <c r="L1101" i="4"/>
  <c r="M1605" i="4"/>
  <c r="D1071" i="4"/>
  <c r="F1403" i="4"/>
  <c r="M240" i="4"/>
  <c r="E140" i="4"/>
  <c r="C1560" i="4"/>
  <c r="B1034" i="4"/>
  <c r="K1613" i="4"/>
  <c r="D1029" i="4"/>
  <c r="E803" i="4"/>
  <c r="L694" i="4"/>
  <c r="B635" i="4"/>
  <c r="K1340" i="4"/>
  <c r="D877" i="4"/>
  <c r="K1937" i="4"/>
  <c r="B1309" i="4"/>
  <c r="G738" i="4"/>
  <c r="G1545" i="4"/>
  <c r="E249" i="4"/>
  <c r="D1564" i="4"/>
  <c r="E553" i="4"/>
  <c r="J545" i="4"/>
  <c r="D329" i="4"/>
  <c r="D254" i="4"/>
  <c r="L434" i="4"/>
  <c r="G1355" i="4"/>
  <c r="M2003" i="4"/>
  <c r="C1637" i="4"/>
  <c r="L1120" i="4"/>
  <c r="L1489" i="4"/>
  <c r="F1486" i="4"/>
  <c r="L899" i="4"/>
  <c r="G1273" i="4"/>
  <c r="F1957" i="4"/>
  <c r="D573" i="4"/>
  <c r="C999" i="4"/>
  <c r="C1866" i="4"/>
  <c r="K387" i="4"/>
  <c r="D625" i="4"/>
  <c r="F1936" i="4"/>
  <c r="L248" i="4"/>
  <c r="G507" i="4"/>
  <c r="L124" i="4"/>
  <c r="B1631" i="4"/>
  <c r="K1631" i="4"/>
  <c r="J1094" i="4"/>
  <c r="C1533" i="4"/>
  <c r="C1715" i="4"/>
  <c r="L914" i="4"/>
  <c r="C398" i="4"/>
  <c r="M1685" i="4"/>
  <c r="L2010" i="4"/>
  <c r="G206" i="4"/>
  <c r="D306" i="4"/>
  <c r="L231" i="4"/>
  <c r="C525" i="4"/>
  <c r="C1241" i="4"/>
  <c r="C813" i="4"/>
  <c r="D1655" i="4"/>
  <c r="F1307" i="4"/>
  <c r="L26" i="4"/>
  <c r="G1845" i="4"/>
  <c r="M1192" i="4"/>
  <c r="B1650" i="4"/>
  <c r="K1564" i="4"/>
  <c r="K1658" i="4"/>
  <c r="I690" i="4"/>
  <c r="C1733" i="4"/>
  <c r="C1234" i="4"/>
  <c r="G1657" i="4"/>
  <c r="F1685" i="4"/>
  <c r="C1206" i="4"/>
  <c r="G1579" i="4"/>
  <c r="K1774" i="4"/>
  <c r="G1957" i="4"/>
  <c r="M1852" i="4"/>
  <c r="J55" i="4"/>
  <c r="L1649" i="4"/>
  <c r="F1552" i="4"/>
  <c r="B1765" i="4"/>
  <c r="B679" i="4"/>
  <c r="G1834" i="4"/>
  <c r="D1039" i="4"/>
  <c r="B691" i="4"/>
  <c r="D952" i="4"/>
  <c r="M1813" i="4"/>
  <c r="F106" i="4"/>
  <c r="B1484" i="4"/>
  <c r="G263" i="4"/>
  <c r="E1578" i="4"/>
  <c r="E1251" i="4"/>
  <c r="M65" i="4"/>
  <c r="D1953" i="4"/>
  <c r="D1527" i="4"/>
  <c r="E773" i="4"/>
  <c r="B580" i="4"/>
  <c r="G1332" i="4"/>
  <c r="B256" i="4"/>
  <c r="C455" i="4"/>
  <c r="F885" i="4"/>
  <c r="B1877" i="4"/>
  <c r="K286" i="4"/>
  <c r="L1561" i="4"/>
  <c r="G734" i="4"/>
  <c r="G895" i="4"/>
  <c r="C347" i="4"/>
  <c r="M946" i="4"/>
  <c r="J1829" i="4"/>
  <c r="M1447" i="4"/>
  <c r="D738" i="4"/>
  <c r="C1883" i="4"/>
  <c r="K1873" i="4"/>
  <c r="I1737" i="4"/>
  <c r="G922" i="4"/>
  <c r="M1088" i="4"/>
  <c r="J1446" i="4"/>
  <c r="K782" i="4"/>
  <c r="B463" i="4"/>
  <c r="L764" i="4"/>
  <c r="L609" i="4"/>
  <c r="G1622" i="4"/>
  <c r="K278" i="4"/>
  <c r="M1615" i="4"/>
  <c r="M1084" i="4"/>
  <c r="M569" i="4"/>
  <c r="K676" i="4"/>
  <c r="G1098" i="4"/>
  <c r="G1942" i="4"/>
  <c r="K323" i="4"/>
  <c r="I1136" i="4"/>
  <c r="I1550" i="4"/>
  <c r="E1380" i="4"/>
  <c r="E1157" i="4"/>
  <c r="C2000" i="4"/>
  <c r="D1569" i="4"/>
  <c r="E1909" i="4"/>
  <c r="K1813" i="4"/>
  <c r="D1811" i="4"/>
  <c r="M699" i="4"/>
  <c r="E1629" i="4"/>
  <c r="B1447" i="4"/>
  <c r="D1974" i="4"/>
  <c r="G773" i="4"/>
  <c r="E1028" i="4"/>
  <c r="F992" i="4"/>
  <c r="B364" i="4"/>
  <c r="E1450" i="4"/>
  <c r="F1815" i="4"/>
  <c r="G1618" i="4"/>
  <c r="L464" i="4"/>
  <c r="D1750" i="4"/>
  <c r="L1168" i="4"/>
  <c r="K431" i="4"/>
  <c r="D29" i="4"/>
  <c r="G1378" i="4"/>
  <c r="E649" i="4"/>
  <c r="G183" i="4"/>
  <c r="F1269" i="4"/>
  <c r="M1949" i="4"/>
  <c r="C1085" i="4"/>
  <c r="M1034" i="4"/>
  <c r="E1696" i="4"/>
  <c r="F644" i="4"/>
  <c r="K1710" i="4"/>
  <c r="F20" i="4"/>
  <c r="L885" i="4"/>
  <c r="E1945" i="4"/>
  <c r="C177" i="4"/>
  <c r="B1431" i="4"/>
  <c r="C1274" i="4"/>
  <c r="K1984" i="4"/>
  <c r="D1162" i="4"/>
  <c r="L1483" i="4"/>
  <c r="K1518" i="4"/>
  <c r="B1473" i="4"/>
  <c r="G1042" i="4"/>
  <c r="B484" i="4"/>
  <c r="F1727" i="4"/>
  <c r="D801" i="4"/>
  <c r="D1089" i="4"/>
  <c r="M991" i="4"/>
  <c r="C58" i="4"/>
  <c r="B447" i="4"/>
  <c r="D665" i="4"/>
  <c r="C789" i="4"/>
  <c r="L1579" i="4"/>
  <c r="F1361" i="4"/>
  <c r="G1570" i="4"/>
  <c r="F141" i="4"/>
  <c r="M1319" i="4"/>
  <c r="G911" i="4"/>
  <c r="M956" i="4"/>
  <c r="M939" i="4"/>
  <c r="M375" i="4"/>
  <c r="F957" i="4"/>
  <c r="C227" i="4"/>
  <c r="F1457" i="4"/>
  <c r="M261" i="4"/>
  <c r="B839" i="4"/>
  <c r="K1835" i="4"/>
  <c r="L1081" i="4"/>
  <c r="F1007" i="4"/>
  <c r="F1091" i="4"/>
  <c r="L1595" i="4"/>
  <c r="E645" i="4"/>
  <c r="M1214" i="4"/>
  <c r="C1209" i="4"/>
  <c r="D934" i="4"/>
  <c r="K754" i="4"/>
  <c r="D921" i="4"/>
  <c r="M1644" i="4"/>
  <c r="I1765" i="4"/>
  <c r="M558" i="4"/>
  <c r="D1503" i="4"/>
  <c r="D226" i="4"/>
  <c r="F895" i="4"/>
  <c r="B821" i="4"/>
  <c r="I996" i="4"/>
  <c r="K1465" i="4"/>
  <c r="M748" i="4"/>
  <c r="E1047" i="4"/>
  <c r="J1606" i="4"/>
  <c r="C560" i="4"/>
  <c r="D536" i="4"/>
  <c r="L389" i="4"/>
  <c r="F680" i="4"/>
  <c r="C1060" i="4"/>
  <c r="G191" i="4"/>
  <c r="B840" i="4"/>
  <c r="L1971" i="4"/>
  <c r="D270" i="4"/>
  <c r="K542" i="4"/>
  <c r="B350" i="4"/>
  <c r="L1042" i="4"/>
  <c r="K555" i="4"/>
  <c r="M1427" i="4"/>
  <c r="G329" i="4"/>
  <c r="L1736" i="4"/>
  <c r="D1278" i="4"/>
  <c r="D1120" i="4"/>
  <c r="F787" i="4"/>
  <c r="E390" i="4"/>
  <c r="K1488" i="4"/>
  <c r="G498" i="4"/>
  <c r="K1052" i="4"/>
  <c r="F901" i="4"/>
  <c r="B975" i="4"/>
  <c r="F1413" i="4"/>
  <c r="M719" i="4"/>
  <c r="B1792" i="4"/>
  <c r="L1137" i="4"/>
  <c r="I478" i="4"/>
  <c r="I1015" i="4"/>
  <c r="C1960" i="4"/>
  <c r="C1245" i="4"/>
  <c r="F928" i="4"/>
  <c r="E1733" i="4"/>
  <c r="F1419" i="4"/>
  <c r="D85" i="4"/>
  <c r="C978" i="4"/>
  <c r="D505" i="4"/>
  <c r="B1254" i="4"/>
  <c r="M1374" i="4"/>
  <c r="B1146" i="4"/>
  <c r="I162" i="4"/>
  <c r="K894" i="4"/>
  <c r="K237" i="4"/>
  <c r="E1033" i="4"/>
  <c r="B1788" i="4"/>
  <c r="L1678" i="4"/>
  <c r="B1281" i="4"/>
  <c r="D1790" i="4"/>
  <c r="K1284" i="4"/>
  <c r="E1287" i="4"/>
  <c r="D1674" i="4"/>
  <c r="G1538" i="4"/>
  <c r="D1253" i="4"/>
  <c r="K1483" i="4"/>
  <c r="E131" i="4"/>
  <c r="E873" i="4"/>
  <c r="M1438" i="4"/>
  <c r="D1184" i="4"/>
  <c r="L1481" i="4"/>
  <c r="K1023" i="4"/>
  <c r="C722" i="4"/>
  <c r="K724" i="4"/>
  <c r="I1547" i="4"/>
  <c r="E683" i="4"/>
  <c r="C631" i="4"/>
  <c r="M1402" i="4"/>
  <c r="E46" i="4"/>
  <c r="C249" i="4"/>
  <c r="B1056" i="4"/>
  <c r="K1717" i="4"/>
  <c r="K1730" i="4"/>
  <c r="F723" i="4"/>
  <c r="F1872" i="4"/>
  <c r="M800" i="4"/>
  <c r="F1247" i="4"/>
  <c r="E1812" i="4"/>
  <c r="J1442" i="4"/>
  <c r="C838" i="4"/>
  <c r="J706" i="4"/>
  <c r="D1822" i="4"/>
  <c r="L968" i="4"/>
  <c r="E741" i="4"/>
  <c r="C294" i="4"/>
  <c r="G1949" i="4"/>
  <c r="L526" i="4"/>
  <c r="K1221" i="4"/>
  <c r="K1278" i="4"/>
  <c r="D639" i="4"/>
  <c r="E994" i="4"/>
  <c r="E607" i="4"/>
  <c r="C95" i="4"/>
  <c r="K1118" i="4"/>
  <c r="L949" i="4"/>
  <c r="L1849" i="4"/>
  <c r="B1502" i="4"/>
  <c r="K439" i="4"/>
  <c r="E635" i="4"/>
  <c r="E1362" i="4"/>
  <c r="E387" i="4"/>
  <c r="L1843" i="4"/>
  <c r="G1379" i="4"/>
  <c r="G1106" i="4"/>
  <c r="L154" i="4"/>
  <c r="F834" i="4"/>
  <c r="L663" i="4"/>
  <c r="L872" i="4"/>
  <c r="E1375" i="4"/>
  <c r="M1619" i="4"/>
  <c r="G1877" i="4"/>
  <c r="F738" i="4"/>
  <c r="F337" i="4"/>
  <c r="B1290" i="4"/>
  <c r="E1973" i="4"/>
  <c r="L1115" i="4"/>
  <c r="M678" i="4"/>
  <c r="K966" i="4"/>
  <c r="K1293" i="4"/>
  <c r="L1192" i="4"/>
  <c r="G1721" i="4"/>
  <c r="E205" i="4"/>
  <c r="F1272" i="4"/>
  <c r="C113" i="4"/>
  <c r="E1263" i="4"/>
  <c r="K487" i="4"/>
  <c r="D1027" i="4"/>
  <c r="E166" i="4"/>
  <c r="M1948" i="4"/>
  <c r="G635" i="4"/>
  <c r="D509" i="4"/>
  <c r="F436" i="4"/>
  <c r="K634" i="4"/>
  <c r="L415" i="4"/>
  <c r="B295" i="4"/>
  <c r="D1139" i="4"/>
  <c r="M940" i="4"/>
  <c r="G1818" i="4"/>
  <c r="F1494" i="4"/>
  <c r="K767" i="4"/>
  <c r="D566" i="4"/>
  <c r="M445" i="4"/>
  <c r="L1171" i="4"/>
  <c r="D2004" i="4"/>
  <c r="I1401" i="4"/>
  <c r="F588" i="4"/>
  <c r="E986" i="4"/>
  <c r="C1495" i="4"/>
  <c r="G1664" i="4"/>
  <c r="M843" i="4"/>
  <c r="D1547" i="4"/>
  <c r="B909" i="4"/>
  <c r="F212" i="4"/>
  <c r="B175" i="4"/>
  <c r="G130" i="4"/>
  <c r="L442" i="4"/>
  <c r="L2002" i="4"/>
  <c r="K973" i="4"/>
  <c r="L1857" i="4"/>
  <c r="E1059" i="4"/>
  <c r="E640" i="4"/>
  <c r="E48" i="4"/>
  <c r="C445" i="4"/>
  <c r="M636" i="4"/>
  <c r="G112" i="4"/>
  <c r="E1258" i="4"/>
  <c r="G1781" i="4"/>
  <c r="F1675" i="4"/>
  <c r="K1523" i="4"/>
  <c r="L1763" i="4"/>
  <c r="F1199" i="4"/>
  <c r="C521" i="4"/>
  <c r="F1027" i="4"/>
  <c r="C196" i="4"/>
  <c r="I427" i="4"/>
  <c r="G84" i="4"/>
  <c r="F926" i="4"/>
  <c r="G612" i="4"/>
  <c r="F1369" i="4"/>
  <c r="K593" i="4"/>
  <c r="K1041" i="4"/>
  <c r="L838" i="4"/>
  <c r="M945" i="4"/>
  <c r="M1574" i="4"/>
  <c r="B694" i="4"/>
  <c r="F994" i="4"/>
  <c r="L793" i="4"/>
  <c r="K671" i="4"/>
  <c r="K462" i="4"/>
  <c r="E669" i="4"/>
  <c r="C32" i="4"/>
  <c r="C816" i="4"/>
  <c r="E1137" i="4"/>
  <c r="G368" i="4"/>
  <c r="K1331" i="4"/>
  <c r="G598" i="4"/>
  <c r="E508" i="4"/>
  <c r="D754" i="4"/>
  <c r="B1780" i="4"/>
  <c r="B1142" i="4"/>
  <c r="M1617" i="4"/>
  <c r="D1828" i="4"/>
  <c r="M1596" i="4"/>
  <c r="F46" i="4"/>
  <c r="K1033" i="4"/>
  <c r="B1561" i="4"/>
  <c r="K1223" i="4"/>
  <c r="I1679" i="4"/>
  <c r="B615" i="4"/>
  <c r="C1310" i="4"/>
  <c r="F353" i="4"/>
  <c r="M624" i="4"/>
  <c r="G1910" i="4"/>
  <c r="F1471" i="4"/>
  <c r="I1766" i="4"/>
  <c r="K1842" i="4"/>
  <c r="M1855" i="4"/>
  <c r="D1414" i="4"/>
  <c r="E356" i="4"/>
  <c r="M626" i="4"/>
  <c r="I1478" i="4"/>
  <c r="J652" i="4"/>
  <c r="B1008" i="4"/>
  <c r="D1572" i="4"/>
  <c r="E1953" i="4"/>
  <c r="M686" i="4"/>
  <c r="B559" i="4"/>
  <c r="E673" i="4"/>
  <c r="C1519" i="4"/>
  <c r="B1177" i="4"/>
  <c r="D1743" i="4"/>
  <c r="M639" i="4"/>
  <c r="D522" i="4"/>
  <c r="F1729" i="4"/>
  <c r="G1463" i="4"/>
  <c r="C536" i="4"/>
  <c r="E1500" i="4"/>
  <c r="M118" i="4"/>
  <c r="L499" i="4"/>
  <c r="E925" i="4"/>
  <c r="B1493" i="4"/>
  <c r="K1049" i="4"/>
  <c r="K1088" i="4"/>
  <c r="C1348" i="4"/>
  <c r="K601" i="4"/>
  <c r="M1929" i="4"/>
  <c r="B575" i="4"/>
  <c r="J1188" i="4"/>
  <c r="F1567" i="4"/>
  <c r="B1870" i="4"/>
  <c r="M395" i="4"/>
  <c r="F1409" i="4"/>
  <c r="C1385" i="4"/>
  <c r="E764" i="4"/>
  <c r="B696" i="4"/>
  <c r="E1813" i="4"/>
  <c r="F821" i="4"/>
  <c r="L1949" i="4"/>
  <c r="L1497" i="4"/>
  <c r="B587" i="4"/>
  <c r="L984" i="4"/>
  <c r="C1989" i="4"/>
  <c r="K1203" i="4"/>
  <c r="C1568" i="4"/>
  <c r="J927" i="4"/>
  <c r="F1869" i="4"/>
  <c r="B1240" i="4"/>
  <c r="K1384" i="4"/>
  <c r="F927" i="4"/>
  <c r="M574" i="4"/>
  <c r="D492" i="4"/>
  <c r="I1664" i="4"/>
  <c r="K345" i="4"/>
  <c r="I1196" i="4"/>
  <c r="K955" i="4"/>
  <c r="D1774" i="4"/>
  <c r="M1430" i="4"/>
  <c r="F1255" i="4"/>
  <c r="K1546" i="4"/>
  <c r="M1038" i="4"/>
  <c r="G726" i="4"/>
  <c r="C1592" i="4"/>
  <c r="B452" i="4"/>
  <c r="E1617" i="4"/>
  <c r="L1987" i="4"/>
  <c r="D1430" i="4"/>
  <c r="B219" i="4"/>
  <c r="C1638" i="4"/>
  <c r="K1920" i="4"/>
  <c r="E1386" i="4"/>
  <c r="E1820" i="4"/>
  <c r="L943" i="4"/>
  <c r="M259" i="4"/>
  <c r="L338" i="4"/>
  <c r="M1791" i="4"/>
  <c r="L1375" i="4"/>
  <c r="K1116" i="4"/>
  <c r="F505" i="4"/>
  <c r="K1185" i="4"/>
  <c r="C829" i="4"/>
  <c r="K1950" i="4"/>
  <c r="C442" i="4"/>
  <c r="D1523" i="4"/>
  <c r="D1455" i="4"/>
  <c r="C1380" i="4"/>
  <c r="M568" i="4"/>
  <c r="L1460" i="4"/>
  <c r="F1589" i="4"/>
  <c r="B1178" i="4"/>
  <c r="D1397" i="4"/>
  <c r="G1728" i="4"/>
  <c r="F728" i="4"/>
  <c r="B553" i="4"/>
  <c r="L869" i="4"/>
  <c r="M145" i="4"/>
  <c r="F633" i="4"/>
  <c r="F1107" i="4"/>
  <c r="B1257" i="4"/>
  <c r="D370" i="4"/>
  <c r="L1221" i="4"/>
  <c r="G408" i="4"/>
  <c r="B1705" i="4"/>
  <c r="C1438" i="4"/>
  <c r="B464" i="4"/>
  <c r="D264" i="4"/>
  <c r="E50" i="4"/>
  <c r="C568" i="4"/>
  <c r="I1941" i="4"/>
  <c r="M1809" i="4"/>
  <c r="G1468" i="4"/>
  <c r="E1955" i="4"/>
  <c r="D1465" i="4"/>
  <c r="D608" i="4"/>
  <c r="G756" i="4"/>
  <c r="L1577" i="4"/>
  <c r="B1850" i="4"/>
  <c r="C208" i="4"/>
  <c r="G431" i="4"/>
  <c r="E1871" i="4"/>
  <c r="K1026" i="4"/>
  <c r="D1816" i="4"/>
  <c r="F1017" i="4"/>
  <c r="B795" i="4"/>
  <c r="C404" i="4"/>
  <c r="L920" i="4"/>
  <c r="F1296" i="4"/>
  <c r="F1975" i="4"/>
  <c r="K44" i="4"/>
  <c r="D691" i="4"/>
  <c r="M351" i="4"/>
  <c r="C1858" i="4"/>
  <c r="L1444" i="4"/>
  <c r="E1440" i="4"/>
  <c r="D1761" i="4"/>
  <c r="B659" i="4"/>
  <c r="D1851" i="4"/>
  <c r="C7" i="4"/>
  <c r="E1452" i="4"/>
  <c r="F65" i="4"/>
  <c r="L887" i="4"/>
  <c r="G1329" i="4"/>
  <c r="B791" i="4"/>
  <c r="L1440" i="4"/>
  <c r="K80" i="4"/>
  <c r="D1759" i="4"/>
  <c r="C1326" i="4"/>
  <c r="L1306" i="4"/>
  <c r="G1487" i="4"/>
  <c r="G1503" i="4"/>
  <c r="K2007" i="4"/>
  <c r="C474" i="4"/>
  <c r="B1287" i="4"/>
  <c r="D713" i="4"/>
  <c r="B1395" i="4"/>
  <c r="E1958" i="4"/>
  <c r="E1038" i="4"/>
  <c r="L1213" i="4"/>
  <c r="B1093" i="4"/>
  <c r="G1289" i="4"/>
  <c r="B896" i="4"/>
  <c r="E1832" i="4"/>
  <c r="M1218" i="4"/>
  <c r="C1307" i="4"/>
  <c r="B1063" i="4"/>
  <c r="F833" i="4"/>
  <c r="M311" i="4"/>
  <c r="I904" i="4"/>
  <c r="E1461" i="4"/>
  <c r="E1931" i="4"/>
  <c r="K1265" i="4"/>
  <c r="D585" i="4"/>
  <c r="I398" i="4"/>
  <c r="K1489" i="4"/>
  <c r="M454" i="4"/>
  <c r="M923" i="4"/>
  <c r="B1173" i="4"/>
  <c r="E865" i="4"/>
  <c r="F1886" i="4"/>
  <c r="M1103" i="4"/>
  <c r="K1321" i="4"/>
  <c r="E1877" i="4"/>
  <c r="F1942" i="4"/>
  <c r="E1286" i="4"/>
  <c r="G175" i="4"/>
  <c r="F504" i="4"/>
  <c r="D841" i="4"/>
  <c r="E1236" i="4"/>
  <c r="M734" i="4"/>
  <c r="L1129" i="4"/>
  <c r="D1632" i="4"/>
  <c r="B190" i="4"/>
  <c r="D1979" i="4"/>
  <c r="I875" i="4"/>
  <c r="E894" i="4"/>
  <c r="L494" i="4"/>
  <c r="C1814" i="4"/>
  <c r="E1961" i="4"/>
  <c r="K198" i="4"/>
  <c r="B943" i="4"/>
  <c r="L1988" i="4"/>
  <c r="D1595" i="4"/>
  <c r="D865" i="4"/>
  <c r="F1996" i="4"/>
  <c r="C730" i="4"/>
  <c r="L735" i="4"/>
  <c r="L980" i="4"/>
  <c r="D474" i="4"/>
  <c r="L1148" i="4"/>
  <c r="K354" i="4"/>
  <c r="F772" i="4"/>
  <c r="M1898" i="4"/>
  <c r="G1542" i="4"/>
  <c r="K1793" i="4"/>
  <c r="F1684" i="4"/>
  <c r="D1014" i="4"/>
  <c r="E493" i="4"/>
  <c r="G646" i="4"/>
  <c r="E1425" i="4"/>
  <c r="C1655" i="4"/>
  <c r="E1711" i="4"/>
  <c r="L1150" i="4"/>
  <c r="E458" i="4"/>
  <c r="B1071" i="4"/>
  <c r="K432" i="4"/>
  <c r="L1146" i="4"/>
  <c r="E1884" i="4"/>
  <c r="E1468" i="4"/>
  <c r="G1808" i="4"/>
  <c r="G822" i="4"/>
  <c r="G1776" i="4"/>
  <c r="L1045" i="4"/>
  <c r="F636" i="4"/>
  <c r="E742" i="4"/>
  <c r="E670" i="4"/>
  <c r="E1512" i="4"/>
  <c r="F1893" i="4"/>
  <c r="G140" i="4"/>
  <c r="K1928" i="4"/>
  <c r="D228" i="4"/>
  <c r="C1676" i="4"/>
  <c r="M1877" i="4"/>
  <c r="F1271" i="4"/>
  <c r="K1076" i="4"/>
  <c r="G1580" i="4"/>
  <c r="L388" i="4"/>
  <c r="J204" i="4"/>
  <c r="G1958" i="4"/>
  <c r="D770" i="4"/>
  <c r="L555" i="4"/>
  <c r="J743" i="4"/>
  <c r="F1566" i="4"/>
  <c r="C697" i="4"/>
  <c r="C1193" i="4"/>
  <c r="K1726" i="4"/>
  <c r="K1225" i="4"/>
  <c r="E1046" i="4"/>
  <c r="D587" i="4"/>
  <c r="C1878" i="4"/>
  <c r="B756" i="4"/>
  <c r="K1676" i="4"/>
  <c r="K1379" i="4"/>
  <c r="K1226" i="4"/>
  <c r="E66" i="4"/>
  <c r="L484" i="4"/>
  <c r="I92" i="4"/>
  <c r="C1516" i="4"/>
  <c r="K1665" i="4"/>
  <c r="J1512" i="4"/>
  <c r="M1470" i="4"/>
  <c r="D636" i="4"/>
  <c r="M1567" i="4"/>
  <c r="J559" i="4"/>
  <c r="G273" i="4"/>
  <c r="F382" i="4"/>
  <c r="F1918" i="4"/>
  <c r="D499" i="4"/>
  <c r="F472" i="4"/>
  <c r="D673" i="4"/>
  <c r="F342" i="4"/>
  <c r="G1743" i="4"/>
  <c r="K1633" i="4"/>
  <c r="C954" i="4"/>
  <c r="F1308" i="4"/>
  <c r="G1916" i="4"/>
  <c r="J696" i="4"/>
  <c r="D1451" i="4"/>
  <c r="M826" i="4"/>
  <c r="K932" i="4"/>
  <c r="J710" i="4"/>
  <c r="M625" i="4"/>
  <c r="J1743" i="4"/>
  <c r="E1275" i="4"/>
  <c r="D1866" i="4"/>
  <c r="K855" i="4"/>
  <c r="D291" i="4"/>
  <c r="C937" i="4"/>
  <c r="B624" i="4"/>
  <c r="M1150" i="4"/>
  <c r="B1573" i="4"/>
  <c r="D1807" i="4"/>
  <c r="L599" i="4"/>
  <c r="G931" i="4"/>
  <c r="G379" i="4"/>
  <c r="B1314" i="4"/>
  <c r="G1365" i="4"/>
  <c r="B893" i="4"/>
  <c r="B1378" i="4"/>
  <c r="L532" i="4"/>
  <c r="B845" i="4"/>
  <c r="K195" i="4"/>
  <c r="J401" i="4"/>
  <c r="F1338" i="4"/>
  <c r="E755" i="4"/>
  <c r="J1683" i="4"/>
  <c r="D715" i="4"/>
  <c r="C1006" i="4"/>
  <c r="K1632" i="4"/>
  <c r="G355" i="4"/>
  <c r="C683" i="4"/>
  <c r="I1423" i="4"/>
  <c r="L1231" i="4"/>
  <c r="M1238" i="4"/>
  <c r="K222" i="4"/>
  <c r="F1200" i="4"/>
  <c r="K570" i="4"/>
  <c r="L1812" i="4"/>
  <c r="B1185" i="4"/>
  <c r="F1765" i="4"/>
  <c r="G1491" i="4"/>
  <c r="F1681" i="4"/>
  <c r="M613" i="4"/>
  <c r="C164" i="4"/>
  <c r="C363" i="4"/>
  <c r="E1441" i="4"/>
  <c r="I1072" i="4"/>
  <c r="M348" i="4"/>
  <c r="K1215" i="4"/>
  <c r="L1952" i="4"/>
  <c r="M1587" i="4"/>
  <c r="E1162" i="4"/>
  <c r="F583" i="4"/>
  <c r="D237" i="4"/>
  <c r="J516" i="4"/>
  <c r="E949" i="4"/>
  <c r="B822" i="4"/>
  <c r="L1545" i="4"/>
  <c r="D1665" i="4"/>
  <c r="E519" i="4"/>
  <c r="I245" i="4"/>
  <c r="I1561" i="4"/>
  <c r="C767" i="4"/>
  <c r="F1094" i="4"/>
  <c r="D1539" i="4"/>
  <c r="K961" i="4"/>
  <c r="C524" i="4"/>
  <c r="M1119" i="4"/>
  <c r="C861" i="4"/>
  <c r="G1609" i="4"/>
  <c r="L1991" i="4"/>
  <c r="B692" i="4"/>
  <c r="C633" i="4"/>
  <c r="L91" i="4"/>
  <c r="G1059" i="4"/>
  <c r="F295" i="4"/>
  <c r="C1162" i="4"/>
  <c r="F1577" i="4"/>
  <c r="F1867" i="4"/>
  <c r="C380" i="4"/>
  <c r="F967" i="4"/>
  <c r="C275" i="4"/>
  <c r="E1105" i="4"/>
  <c r="F1069" i="4"/>
  <c r="D438" i="4"/>
  <c r="K371" i="4"/>
  <c r="G1196" i="4"/>
  <c r="F1173" i="4"/>
  <c r="E1770" i="4"/>
  <c r="F1324" i="4"/>
  <c r="E111" i="4"/>
  <c r="K998" i="4"/>
  <c r="L704" i="4"/>
  <c r="L1442" i="4"/>
  <c r="K736" i="4"/>
  <c r="B1083" i="4"/>
  <c r="C798" i="4"/>
  <c r="L1280" i="4"/>
  <c r="I1720" i="4"/>
  <c r="E1761" i="4"/>
  <c r="B1011" i="4"/>
  <c r="M740" i="4"/>
  <c r="L1463" i="4"/>
  <c r="B939" i="4"/>
  <c r="C856" i="4"/>
  <c r="I1812" i="4"/>
  <c r="M1327" i="4"/>
  <c r="L994" i="4"/>
  <c r="I1086" i="4"/>
  <c r="M2004" i="4"/>
  <c r="L1102" i="4"/>
  <c r="F1487" i="4"/>
  <c r="M593" i="4"/>
  <c r="L805" i="4"/>
  <c r="B987" i="4"/>
  <c r="F1145" i="4"/>
  <c r="B411" i="4"/>
  <c r="I1322" i="4"/>
  <c r="M934" i="4"/>
  <c r="B1334" i="4"/>
  <c r="K270" i="4"/>
  <c r="D1881" i="4"/>
  <c r="K919" i="4"/>
  <c r="G1775" i="4"/>
  <c r="L352" i="4"/>
  <c r="L1619" i="4"/>
  <c r="K1356" i="4"/>
  <c r="M1254" i="4"/>
  <c r="F740" i="4"/>
  <c r="K903" i="4"/>
  <c r="G1063" i="4"/>
  <c r="L721" i="4"/>
  <c r="B1485" i="4"/>
  <c r="M842" i="4"/>
  <c r="L1056" i="4"/>
  <c r="J1830" i="4"/>
  <c r="D622" i="4"/>
  <c r="F1812" i="4"/>
  <c r="E1967" i="4"/>
  <c r="F1317" i="4"/>
  <c r="D442" i="4"/>
  <c r="G1967" i="4"/>
  <c r="M148" i="4"/>
  <c r="L1019" i="4"/>
  <c r="G1171" i="4"/>
  <c r="D1753" i="4"/>
  <c r="K1581" i="4"/>
  <c r="B645" i="4"/>
  <c r="J1956" i="4"/>
  <c r="C1719" i="4"/>
  <c r="G1035" i="4"/>
  <c r="G12" i="4"/>
  <c r="K760" i="4"/>
  <c r="G1462" i="4"/>
  <c r="J1214" i="4"/>
  <c r="B1899" i="4"/>
  <c r="D239" i="4"/>
  <c r="G1067" i="4"/>
  <c r="K1964" i="4"/>
  <c r="D1806" i="4"/>
  <c r="M633" i="4"/>
  <c r="L257" i="4"/>
  <c r="C1788" i="4"/>
  <c r="K1977" i="4"/>
  <c r="G818" i="4"/>
  <c r="M1560" i="4"/>
  <c r="B833" i="4"/>
  <c r="M1691" i="4"/>
  <c r="M1823" i="4"/>
  <c r="F370" i="4"/>
  <c r="L714" i="4"/>
  <c r="B1628" i="4"/>
  <c r="M1443" i="4"/>
  <c r="B1514" i="4"/>
  <c r="D436" i="4"/>
  <c r="E889" i="4"/>
  <c r="G1710" i="4"/>
  <c r="L1792" i="4"/>
  <c r="L1994" i="4"/>
  <c r="C205" i="4"/>
  <c r="F444" i="4"/>
  <c r="E1296" i="4"/>
  <c r="D623" i="4"/>
  <c r="D1855" i="4"/>
  <c r="D244" i="4"/>
  <c r="G1475" i="4"/>
  <c r="B1117" i="4"/>
  <c r="G1391" i="4"/>
  <c r="F1760" i="4"/>
  <c r="M1455" i="4"/>
  <c r="M1066" i="4"/>
  <c r="F1555" i="4"/>
  <c r="F798" i="4"/>
  <c r="G1080" i="4"/>
  <c r="E969" i="4"/>
  <c r="J1776" i="4"/>
  <c r="K1721" i="4"/>
  <c r="J1428" i="4"/>
  <c r="D1895" i="4"/>
  <c r="F642" i="4"/>
  <c r="L1035" i="4"/>
  <c r="C1063" i="4"/>
  <c r="B1506" i="4"/>
  <c r="G1720" i="4"/>
  <c r="C573" i="4"/>
  <c r="M1543" i="4"/>
  <c r="F1722" i="4"/>
  <c r="C1129" i="4"/>
  <c r="L412" i="4"/>
  <c r="F1182" i="4"/>
  <c r="K1573" i="4"/>
  <c r="C939" i="4"/>
  <c r="E1737" i="4"/>
  <c r="G1267" i="4"/>
  <c r="I601" i="4"/>
  <c r="L844" i="4"/>
  <c r="L1044" i="4"/>
  <c r="B487" i="4"/>
  <c r="C1493" i="4"/>
  <c r="J554" i="4"/>
  <c r="B642" i="4"/>
  <c r="G1144" i="4"/>
  <c r="D1494" i="4"/>
  <c r="L1143" i="4"/>
  <c r="M1054" i="4"/>
  <c r="G1065" i="4"/>
  <c r="C1893" i="4"/>
  <c r="L1784" i="4"/>
  <c r="C1725" i="4"/>
  <c r="M2" i="4"/>
  <c r="M1740" i="4"/>
  <c r="K1570" i="4"/>
  <c r="B399" i="4"/>
  <c r="C1748" i="4"/>
  <c r="F31" i="4"/>
  <c r="I1185" i="4"/>
  <c r="L30" i="4"/>
  <c r="K701" i="4"/>
  <c r="M244" i="4"/>
  <c r="M433" i="4"/>
  <c r="B1045" i="4"/>
  <c r="B1325" i="4"/>
  <c r="F1131" i="4"/>
  <c r="G421" i="4"/>
  <c r="D361" i="4"/>
  <c r="G1669" i="4"/>
  <c r="G288" i="4"/>
  <c r="G970" i="4"/>
  <c r="E1504" i="4"/>
  <c r="B222" i="4"/>
  <c r="C890" i="4"/>
  <c r="E129" i="4"/>
  <c r="G1236" i="4"/>
  <c r="C1059" i="4"/>
  <c r="E168" i="4"/>
  <c r="K870" i="4"/>
  <c r="L533" i="4"/>
  <c r="M1832" i="4"/>
  <c r="F969" i="4"/>
  <c r="E885" i="4"/>
  <c r="L1252" i="4"/>
  <c r="G1153" i="4"/>
  <c r="L1046" i="4"/>
  <c r="G1930" i="4"/>
  <c r="G699" i="4"/>
  <c r="I661" i="4"/>
  <c r="C1863" i="4"/>
  <c r="K1335" i="4"/>
  <c r="M1763" i="4"/>
  <c r="C607" i="4"/>
  <c r="E1957" i="4"/>
  <c r="M727" i="4"/>
  <c r="G1508" i="4"/>
  <c r="F1350" i="4"/>
  <c r="G245" i="4"/>
  <c r="G284" i="4"/>
  <c r="E1018" i="4"/>
  <c r="K148" i="4"/>
  <c r="I1776" i="4"/>
  <c r="K29" i="4"/>
  <c r="J550" i="4"/>
  <c r="J796" i="4"/>
  <c r="G419" i="4"/>
  <c r="J313" i="4"/>
  <c r="L297" i="4"/>
  <c r="K1693" i="4"/>
  <c r="F1885" i="4"/>
  <c r="F1280" i="4"/>
  <c r="E1164" i="4"/>
  <c r="E1079" i="4"/>
  <c r="C1667" i="4"/>
  <c r="C243" i="4"/>
  <c r="F496" i="4"/>
  <c r="E515" i="4"/>
  <c r="K283" i="4"/>
  <c r="L284" i="4"/>
  <c r="C1538" i="4"/>
  <c r="M1345" i="4"/>
  <c r="B1871" i="4"/>
  <c r="E1891" i="4"/>
  <c r="E1320" i="4"/>
  <c r="B1734" i="4"/>
  <c r="E61" i="4"/>
  <c r="C618" i="4"/>
  <c r="F1906" i="4"/>
  <c r="B603" i="4"/>
  <c r="M1400" i="4"/>
  <c r="E895" i="4"/>
  <c r="E250" i="4"/>
  <c r="D153" i="4"/>
  <c r="C1093" i="4"/>
  <c r="G637" i="4"/>
  <c r="B1135" i="4"/>
  <c r="C602" i="4"/>
  <c r="C627" i="4"/>
  <c r="F1744" i="4"/>
  <c r="F1947" i="4"/>
  <c r="F1606" i="4"/>
  <c r="C1554" i="4"/>
  <c r="D1589" i="4"/>
  <c r="G1691" i="4"/>
  <c r="E1934" i="4"/>
  <c r="I704" i="4"/>
  <c r="C693" i="4"/>
  <c r="G1014" i="4"/>
  <c r="F1028" i="4"/>
  <c r="C1669" i="4"/>
  <c r="D1231" i="4"/>
  <c r="B1462" i="4"/>
  <c r="C1660" i="4"/>
  <c r="B1391" i="4"/>
  <c r="L990" i="4"/>
  <c r="J1787" i="4"/>
  <c r="K257" i="4"/>
  <c r="B1196" i="4"/>
  <c r="G725" i="4"/>
  <c r="F1861" i="4"/>
  <c r="M413" i="4"/>
  <c r="K720" i="4"/>
  <c r="B253" i="4"/>
  <c r="M1742" i="4"/>
  <c r="K1429" i="4"/>
  <c r="F1370" i="4"/>
  <c r="F1961" i="4"/>
  <c r="C1692" i="4"/>
  <c r="G1841" i="4"/>
  <c r="G1858" i="4"/>
  <c r="F1763" i="4"/>
  <c r="F1699" i="4"/>
  <c r="L963" i="4"/>
  <c r="F1040" i="4"/>
  <c r="G281" i="4"/>
  <c r="B352" i="4"/>
  <c r="E321" i="4"/>
  <c r="E334" i="4"/>
  <c r="K1816" i="4"/>
  <c r="K1319" i="4"/>
  <c r="D166" i="4"/>
  <c r="I42" i="4"/>
  <c r="B962" i="4"/>
  <c r="B1002" i="4"/>
  <c r="G1395" i="4"/>
  <c r="D546" i="4"/>
  <c r="E1846" i="4"/>
  <c r="L590" i="4"/>
  <c r="B151" i="4"/>
  <c r="K443" i="4"/>
  <c r="M559" i="4"/>
  <c r="J1955" i="4"/>
  <c r="B1327" i="4"/>
  <c r="K1027" i="4"/>
  <c r="E1935" i="4"/>
  <c r="C1496" i="4"/>
  <c r="D1365" i="4"/>
  <c r="M1724" i="4"/>
  <c r="C1573" i="4"/>
  <c r="B1357" i="4"/>
  <c r="K33" i="4"/>
  <c r="C1515" i="4"/>
  <c r="E775" i="4"/>
  <c r="I1910" i="4"/>
  <c r="G935" i="4"/>
  <c r="F391" i="4"/>
  <c r="M329" i="4"/>
  <c r="C1961" i="4"/>
  <c r="G181" i="4"/>
  <c r="B960" i="4"/>
  <c r="C1523" i="4"/>
  <c r="F1790" i="4"/>
  <c r="E448" i="4"/>
  <c r="M1294" i="4"/>
  <c r="D698" i="4"/>
  <c r="I1042" i="4"/>
  <c r="L778" i="4"/>
  <c r="E1664" i="4"/>
  <c r="I205" i="4"/>
  <c r="F1312" i="4"/>
  <c r="F1579" i="4"/>
  <c r="K1130" i="4"/>
  <c r="F1020" i="4"/>
  <c r="D396" i="4"/>
  <c r="F621" i="4"/>
  <c r="M1782" i="4"/>
  <c r="F708" i="4"/>
  <c r="C596" i="4"/>
  <c r="M972" i="4"/>
  <c r="L385" i="4"/>
  <c r="B1424" i="4"/>
  <c r="C886" i="4"/>
  <c r="M551" i="4"/>
  <c r="B1264" i="4"/>
  <c r="B1718" i="4"/>
  <c r="B454" i="4"/>
  <c r="C401" i="4"/>
  <c r="C1891" i="4"/>
  <c r="M450" i="4"/>
  <c r="E964" i="4"/>
  <c r="K681" i="4"/>
  <c r="J1180" i="4"/>
  <c r="L114" i="4"/>
  <c r="E1080" i="4"/>
  <c r="M865" i="4"/>
  <c r="D732" i="4"/>
  <c r="E763" i="4"/>
  <c r="B922" i="4"/>
  <c r="L153" i="4"/>
  <c r="J1072" i="4"/>
  <c r="G2" i="4"/>
  <c r="K1804" i="4"/>
  <c r="D1986" i="4"/>
  <c r="D1586" i="4"/>
  <c r="C591" i="4"/>
  <c r="L97" i="4"/>
  <c r="L1624" i="4"/>
  <c r="M654" i="4"/>
  <c r="J1098" i="4"/>
  <c r="G1541" i="4"/>
  <c r="C411" i="4"/>
  <c r="B238" i="4"/>
  <c r="I341" i="4"/>
  <c r="G1876" i="4"/>
  <c r="L1650" i="4"/>
  <c r="E133" i="4"/>
  <c r="E1486" i="4"/>
  <c r="D1788" i="4"/>
  <c r="D402" i="4"/>
  <c r="E1791" i="4"/>
  <c r="I1858" i="4"/>
  <c r="K1362" i="4"/>
  <c r="K28" i="4"/>
  <c r="L424" i="4"/>
  <c r="D1643" i="4"/>
  <c r="G1699" i="4"/>
  <c r="E1095" i="4"/>
  <c r="F414" i="4"/>
  <c r="B313" i="4"/>
  <c r="M1015" i="4"/>
  <c r="K817" i="4"/>
  <c r="M172" i="4"/>
  <c r="G1873" i="4"/>
  <c r="M111" i="4"/>
  <c r="F578" i="4"/>
</calcChain>
</file>

<file path=xl/sharedStrings.xml><?xml version="1.0" encoding="utf-8"?>
<sst xmlns="http://schemas.openxmlformats.org/spreadsheetml/2006/main" count="20232" uniqueCount="4533">
  <si>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</si>
  <si>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</si>
  <si>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</si>
  <si>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</si>
  <si>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</si>
  <si>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</si>
  <si>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</si>
  <si>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</si>
  <si>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</si>
  <si>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</si>
  <si>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</si>
  <si>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</si>
  <si>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</si>
  <si>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</si>
  <si>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</si>
  <si>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</si>
  <si>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</si>
  <si>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</si>
  <si>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</si>
  <si>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</si>
  <si>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</si>
  <si>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</si>
  <si>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</si>
  <si>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</si>
  <si>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</si>
  <si>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</si>
  <si>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</si>
  <si>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</si>
  <si>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</si>
  <si>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</si>
  <si>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</si>
  <si>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</si>
  <si>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</si>
  <si>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</si>
  <si>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</si>
  <si>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</si>
  <si>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</si>
  <si>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</si>
  <si>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</si>
  <si>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</si>
  <si>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</si>
  <si>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</si>
  <si>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</si>
  <si>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</si>
  <si>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</si>
  <si>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</si>
  <si>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</si>
  <si>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</si>
  <si>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</si>
  <si>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</si>
  <si>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</si>
  <si>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</si>
  <si>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</si>
  <si>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</si>
  <si>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</si>
  <si>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</si>
  <si>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</si>
  <si>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</si>
  <si>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</si>
  <si>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</si>
  <si>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</si>
  <si>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</si>
  <si>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</si>
  <si>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</si>
  <si>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</si>
  <si>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</si>
  <si>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</si>
  <si>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</si>
  <si>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</si>
  <si>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</si>
  <si>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</si>
  <si>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</si>
  <si>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</si>
  <si>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</si>
  <si>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</si>
  <si>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</si>
  <si>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</si>
  <si>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</si>
  <si>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</si>
  <si>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</si>
  <si>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</si>
  <si>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</si>
  <si>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</si>
  <si>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</si>
  <si>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</si>
  <si>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</si>
  <si>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</si>
  <si>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</si>
  <si>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</si>
  <si>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</si>
  <si>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</si>
  <si>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</si>
  <si>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</si>
  <si>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</si>
  <si>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</si>
  <si>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</si>
  <si>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</si>
  <si>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</si>
  <si>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</si>
  <si>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</si>
  <si>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</si>
  <si>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</si>
  <si>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</si>
  <si>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</si>
  <si>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</si>
  <si>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</si>
  <si>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</si>
  <si>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</si>
  <si>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</si>
  <si>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</si>
  <si>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</si>
  <si>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</si>
  <si>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</si>
  <si>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</si>
  <si>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</si>
  <si>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</si>
  <si>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</si>
  <si>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</si>
  <si>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</si>
  <si>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</si>
  <si>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</si>
  <si>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</si>
  <si>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</si>
  <si>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</si>
  <si>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</si>
  <si>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</si>
  <si>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</si>
  <si>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</si>
  <si>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</si>
  <si>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</si>
  <si>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</si>
  <si>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</si>
  <si>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</si>
  <si>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</si>
  <si>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</si>
  <si>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</si>
  <si>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</si>
  <si>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</si>
  <si>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</si>
  <si>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</si>
  <si>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</si>
  <si>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</si>
  <si>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</si>
  <si>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</si>
  <si>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</si>
  <si>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</si>
  <si>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</si>
  <si>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</si>
  <si>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</si>
  <si>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</si>
  <si>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</si>
  <si>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</si>
  <si>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</si>
  <si>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</si>
  <si>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</si>
  <si>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</si>
  <si>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</si>
  <si>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</si>
  <si>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</si>
  <si>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</si>
  <si>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</si>
  <si>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</si>
  <si>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</si>
  <si>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</si>
  <si>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</si>
  <si>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</si>
  <si>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</si>
  <si>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</si>
  <si>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</si>
  <si>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</si>
  <si>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</si>
  <si>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</si>
  <si>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</si>
  <si>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</si>
  <si>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</si>
  <si>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</si>
  <si>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</si>
  <si>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</si>
  <si>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</si>
  <si>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</si>
  <si>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</si>
  <si>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</si>
  <si>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</si>
  <si>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</si>
  <si>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</si>
  <si>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</si>
  <si>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</si>
  <si>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</si>
  <si>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</si>
  <si>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</si>
  <si>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</si>
  <si>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</si>
  <si>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</si>
  <si>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</si>
  <si>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</si>
  <si>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</si>
  <si>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</si>
  <si>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</si>
  <si>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</si>
  <si>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</si>
  <si>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</si>
  <si>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</si>
  <si>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</si>
  <si>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</si>
  <si>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</si>
  <si>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</si>
  <si>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</si>
  <si>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</si>
  <si>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</si>
  <si>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</si>
  <si>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</si>
  <si>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</si>
  <si>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</si>
  <si>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</si>
  <si>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</si>
  <si>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</si>
  <si>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</si>
  <si>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</si>
  <si>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</si>
  <si>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</si>
  <si>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</si>
  <si>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</si>
  <si>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</si>
  <si>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</si>
  <si>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</si>
  <si>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</si>
  <si>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</si>
  <si>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</si>
  <si>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</si>
  <si>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</si>
  <si>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</si>
  <si>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</si>
  <si>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</si>
  <si>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</si>
  <si>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</si>
  <si>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</si>
  <si>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</si>
  <si>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</si>
  <si>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</si>
  <si>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</si>
  <si>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</si>
  <si>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</si>
  <si>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</si>
  <si>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</si>
  <si>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</si>
  <si>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</si>
  <si>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</si>
  <si>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</si>
  <si>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</si>
  <si>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</si>
  <si>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</si>
  <si>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</si>
  <si>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</si>
  <si>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</si>
  <si>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</si>
  <si>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</si>
  <si>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</si>
  <si>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</si>
  <si>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</si>
  <si>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</si>
  <si>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</si>
  <si>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</si>
  <si>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</si>
  <si>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</si>
  <si>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</si>
  <si>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</si>
  <si>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</si>
  <si>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</si>
  <si>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</si>
  <si>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</si>
  <si>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</si>
  <si>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</si>
  <si>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</si>
  <si>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</si>
  <si>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</si>
  <si>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</si>
  <si>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</si>
  <si>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</si>
  <si>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</si>
  <si>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</si>
  <si>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</si>
  <si>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</si>
  <si>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</si>
  <si>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</si>
  <si>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</si>
  <si>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</si>
  <si>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</si>
  <si>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</si>
  <si>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</si>
  <si>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</si>
  <si>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</si>
  <si>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</si>
  <si>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</si>
  <si>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</si>
  <si>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</si>
  <si>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</si>
  <si>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</si>
  <si>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</si>
  <si>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</si>
  <si>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</si>
  <si>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</si>
  <si>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</si>
  <si>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</si>
  <si>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</si>
  <si>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</si>
  <si>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</si>
  <si>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</si>
  <si>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</si>
  <si>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</si>
  <si>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</si>
  <si>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</si>
  <si>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</si>
  <si>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</si>
  <si>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</si>
  <si>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</si>
  <si>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</si>
  <si>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</si>
  <si>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</si>
  <si>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</si>
  <si>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</si>
  <si>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</si>
  <si>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</si>
  <si>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</si>
  <si>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</si>
  <si>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</si>
  <si>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</si>
  <si>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</si>
  <si>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</si>
  <si>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</si>
  <si>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</si>
  <si>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</si>
  <si>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</si>
  <si>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</si>
  <si>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</si>
  <si>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</si>
  <si>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</si>
  <si>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</si>
  <si>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</si>
  <si>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</si>
  <si>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</si>
  <si>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</si>
  <si>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</si>
  <si>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</si>
  <si>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</si>
  <si>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</si>
  <si>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</si>
  <si>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</si>
  <si>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</si>
  <si>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</si>
  <si>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</si>
  <si>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</si>
  <si>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</si>
  <si>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</si>
  <si>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</si>
  <si>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</si>
  <si>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</si>
  <si>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</si>
  <si>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</si>
  <si>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</si>
  <si>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</si>
  <si>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</si>
  <si>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</si>
  <si>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</si>
  <si>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</si>
  <si>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</si>
  <si>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</si>
  <si>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</si>
  <si>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</si>
  <si>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</si>
  <si>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</si>
  <si>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</si>
  <si>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</si>
  <si>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</si>
  <si>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</si>
  <si>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</si>
  <si>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</si>
  <si>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</si>
  <si>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</si>
  <si>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</si>
  <si>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</si>
  <si>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</si>
  <si>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</si>
  <si>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</si>
  <si>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</si>
  <si>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</si>
  <si>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</si>
  <si>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</si>
  <si>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</si>
  <si>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</si>
  <si>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</si>
  <si>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</si>
  <si>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</si>
  <si>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</si>
  <si>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</si>
  <si>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</si>
  <si>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</si>
  <si>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</si>
  <si>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</si>
  <si>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</si>
  <si>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</si>
  <si>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</si>
  <si>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</si>
  <si>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</si>
  <si>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</si>
  <si>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</si>
  <si>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</si>
  <si>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</si>
  <si>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</si>
  <si>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</si>
  <si>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</si>
  <si>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</si>
  <si>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</si>
  <si>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</si>
  <si>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</si>
  <si>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</si>
  <si>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</si>
  <si>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</si>
  <si>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</si>
  <si>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</si>
  <si>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</si>
  <si>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</si>
  <si>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</si>
  <si>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</si>
  <si>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</si>
  <si>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</si>
  <si>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</si>
  <si>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</si>
  <si>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</si>
  <si>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</si>
  <si>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</si>
  <si>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</si>
  <si>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</si>
  <si>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</si>
  <si>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</si>
  <si>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</si>
  <si>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</si>
  <si>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</si>
  <si>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</si>
  <si>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</si>
  <si>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</si>
  <si>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</si>
  <si>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</si>
  <si>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</si>
  <si>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</si>
  <si>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</si>
  <si>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</si>
  <si>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</si>
  <si>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</si>
  <si>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</si>
  <si>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</si>
  <si>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</si>
  <si>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</si>
  <si>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</si>
  <si>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</si>
  <si>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</si>
  <si>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</si>
  <si>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</si>
  <si>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</si>
  <si>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</si>
  <si>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</si>
  <si>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</si>
  <si>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</si>
  <si>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</si>
  <si>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</si>
  <si>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</si>
  <si>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</si>
  <si>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</si>
  <si>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</si>
  <si>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</si>
  <si>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</si>
  <si>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</si>
  <si>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</si>
  <si>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</si>
  <si>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</si>
  <si>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</si>
  <si>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</si>
  <si>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</si>
  <si>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</si>
  <si>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</si>
  <si>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</si>
  <si>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</si>
  <si>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</si>
  <si>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</si>
  <si>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</si>
  <si>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</si>
  <si>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</si>
  <si>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</si>
  <si>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</si>
  <si>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</si>
  <si>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</si>
  <si>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</si>
  <si>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</si>
  <si>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</si>
  <si>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</si>
  <si>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</si>
  <si>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</si>
  <si>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</si>
  <si>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</si>
  <si>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</si>
  <si>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</si>
  <si>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</si>
  <si>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</si>
  <si>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</si>
  <si>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</si>
  <si>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</si>
  <si>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</si>
  <si>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</si>
  <si>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</si>
  <si>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</si>
  <si>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</si>
  <si>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</si>
  <si>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</si>
  <si>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</si>
  <si>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</si>
  <si>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</si>
  <si>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</si>
  <si>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</si>
  <si>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</si>
  <si>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</si>
  <si>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</si>
  <si>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</si>
  <si>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</si>
  <si>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</si>
  <si>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</si>
  <si>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</si>
  <si>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</si>
  <si>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</si>
  <si>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</si>
  <si>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</si>
  <si>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</si>
  <si>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</si>
  <si>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</si>
  <si>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</si>
  <si>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</si>
  <si>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</si>
  <si>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</si>
  <si>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</si>
  <si>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</si>
  <si>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</si>
  <si>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</si>
  <si>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</si>
  <si>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</si>
  <si>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</si>
  <si>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</si>
  <si>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</si>
  <si>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</si>
  <si>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</si>
  <si>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</si>
  <si>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</si>
  <si>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</si>
  <si>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</si>
  <si>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</si>
  <si>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</si>
  <si>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</si>
  <si>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</si>
  <si>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</si>
  <si>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</si>
  <si>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</si>
  <si>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</si>
  <si>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</si>
  <si>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</si>
  <si>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</si>
  <si>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</si>
  <si>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</si>
  <si>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</si>
  <si>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</si>
  <si>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</si>
  <si>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</si>
  <si>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</si>
  <si>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</si>
  <si>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</si>
  <si>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</si>
  <si>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</si>
  <si>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</si>
  <si>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</si>
  <si>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</si>
  <si>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</si>
  <si>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</si>
  <si>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</si>
  <si>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</si>
  <si>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</si>
  <si>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</si>
  <si>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</si>
  <si>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</si>
  <si>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</si>
  <si>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</si>
  <si>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</si>
  <si>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</si>
  <si>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</si>
  <si>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</si>
  <si>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</si>
  <si>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</si>
  <si>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</si>
  <si>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</si>
  <si>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</si>
  <si>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</si>
  <si>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</si>
  <si>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</si>
  <si>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</si>
  <si>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</si>
  <si>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</si>
  <si>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</si>
  <si>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</si>
  <si>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</si>
  <si>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</si>
  <si>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</si>
  <si>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</si>
  <si>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</si>
  <si>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</si>
  <si>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</si>
  <si>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</si>
  <si>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</si>
  <si>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</si>
  <si>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</si>
  <si>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</si>
  <si>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</si>
  <si>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</si>
  <si>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</si>
  <si>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</si>
  <si>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</si>
  <si>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</si>
  <si>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</si>
  <si>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</si>
  <si>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</si>
  <si>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</si>
  <si>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</si>
  <si>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</si>
  <si>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</si>
  <si>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</si>
  <si>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</si>
  <si>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</si>
  <si>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</si>
  <si>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</si>
  <si>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</si>
  <si>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</si>
  <si>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</si>
  <si>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</si>
  <si>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</si>
  <si>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</si>
  <si>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</si>
  <si>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</si>
  <si>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</si>
  <si>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</si>
  <si>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</si>
  <si>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</si>
  <si>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</si>
  <si>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</si>
  <si>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</si>
  <si>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</si>
  <si>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</si>
  <si>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</si>
  <si>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</si>
  <si>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</si>
  <si>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</si>
  <si>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</si>
  <si>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</si>
  <si>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</si>
  <si>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</si>
  <si>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</si>
  <si>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</si>
  <si>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</si>
  <si>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</si>
  <si>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</si>
  <si>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</si>
  <si>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</si>
  <si>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</si>
  <si>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</si>
  <si>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</si>
  <si>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</si>
  <si>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</si>
  <si>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</si>
  <si>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</si>
  <si>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</si>
  <si>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</si>
  <si>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</si>
  <si>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</si>
  <si>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</si>
  <si>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</si>
  <si>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</si>
  <si>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</si>
  <si>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</si>
  <si>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</si>
  <si>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</si>
  <si>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</si>
  <si>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</si>
  <si>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</si>
  <si>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</si>
  <si>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</si>
  <si>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</si>
  <si>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</si>
  <si>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</si>
  <si>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</si>
  <si>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</si>
  <si>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</si>
  <si>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</si>
  <si>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</si>
  <si>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</si>
  <si>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</si>
  <si>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</si>
  <si>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</si>
  <si>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</si>
  <si>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</si>
  <si>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</si>
  <si>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</si>
  <si>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</si>
  <si>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</si>
  <si>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</si>
  <si>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</si>
  <si>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</si>
  <si>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</si>
  <si>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</si>
  <si>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</si>
  <si>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</si>
  <si>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</si>
  <si>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</si>
  <si>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</si>
  <si>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</si>
  <si>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</si>
  <si>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</si>
  <si>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</si>
  <si>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</si>
  <si>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</si>
  <si>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</si>
  <si>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</si>
  <si>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</si>
  <si>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</si>
  <si>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</si>
  <si>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</si>
  <si>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</si>
  <si>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</si>
  <si>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</si>
  <si>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</si>
  <si>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</si>
  <si>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</si>
  <si>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</si>
  <si>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</si>
  <si>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</si>
  <si>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</si>
  <si>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</si>
  <si>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</si>
  <si>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</si>
  <si>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</si>
  <si>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</si>
  <si>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</si>
  <si>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</si>
  <si>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</si>
  <si>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</si>
  <si>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</si>
  <si>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</si>
  <si>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</si>
  <si>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</si>
  <si>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</si>
  <si>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</si>
  <si>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</si>
  <si>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</si>
  <si>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</si>
  <si>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</si>
  <si>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</si>
  <si>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</si>
  <si>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</si>
  <si>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</si>
  <si>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</si>
  <si>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</si>
  <si>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</si>
  <si>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</si>
  <si>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</si>
  <si>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</si>
  <si>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</si>
  <si>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</si>
  <si>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</si>
  <si>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</si>
  <si>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</si>
  <si>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</si>
  <si>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</si>
  <si>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</si>
  <si>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</si>
  <si>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</si>
  <si>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</si>
  <si>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</si>
  <si>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</si>
  <si>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</si>
  <si>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</si>
  <si>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</si>
  <si>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</si>
  <si>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</si>
  <si>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</si>
  <si>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</si>
  <si>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</si>
  <si>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</si>
  <si>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</si>
  <si>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</si>
  <si>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</si>
  <si>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</si>
  <si>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</si>
  <si>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</si>
  <si>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</si>
  <si>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</si>
  <si>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</si>
  <si>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</si>
  <si>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</si>
  <si>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</si>
  <si>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</si>
  <si>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</si>
  <si>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</si>
  <si>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</si>
  <si>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</si>
  <si>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</si>
  <si>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</si>
  <si>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</si>
  <si>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</si>
  <si>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</si>
  <si>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</si>
  <si>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</si>
  <si>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</si>
  <si>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</si>
  <si>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</si>
  <si>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</si>
  <si>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</si>
  <si>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</si>
  <si>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</si>
  <si>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</si>
  <si>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</si>
  <si>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</si>
  <si>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</si>
  <si>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</si>
  <si>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</si>
  <si>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</si>
  <si>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</si>
  <si>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</si>
  <si>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</si>
  <si>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</si>
  <si>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</si>
  <si>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</si>
  <si>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</si>
  <si>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</si>
  <si>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</si>
  <si>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</si>
  <si>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</si>
  <si>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</si>
  <si>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</si>
  <si>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</si>
  <si>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</si>
  <si>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</si>
  <si>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</si>
  <si>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</si>
  <si>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</si>
  <si>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</si>
  <si>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</si>
  <si>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</si>
  <si>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</si>
  <si>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</si>
  <si>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</si>
  <si>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</si>
  <si>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</si>
  <si>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</si>
  <si>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</si>
  <si>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</si>
  <si>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</si>
  <si>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</si>
  <si>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</si>
  <si>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</si>
  <si>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</si>
  <si>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</si>
  <si>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</si>
  <si>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</si>
  <si>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</si>
  <si>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</si>
  <si>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</si>
  <si>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</si>
  <si>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</si>
  <si>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</si>
  <si>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</si>
  <si>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</si>
  <si>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</si>
  <si>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</si>
  <si>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</si>
  <si>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</si>
  <si>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</si>
  <si>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</si>
  <si>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</si>
  <si>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</si>
  <si>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</si>
  <si>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</si>
  <si>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</si>
  <si>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</si>
  <si>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</si>
  <si>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</si>
  <si>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</si>
  <si>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</si>
  <si>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</si>
  <si>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</si>
  <si>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</si>
  <si>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</si>
  <si>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</si>
  <si>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</si>
  <si>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</si>
  <si>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</si>
  <si>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</si>
  <si>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APS-C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</si>
  <si>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</si>
  <si>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</si>
  <si>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</si>
  <si>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</si>
  <si>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</si>
  <si>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</si>
  <si>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</si>
  <si>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</si>
  <si>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</si>
  <si>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</si>
  <si>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</si>
  <si>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</si>
  <si>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</si>
  <si>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</si>
  <si>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</si>
  <si>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</si>
  <si>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</si>
  <si>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</si>
  <si>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</si>
  <si>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</si>
  <si>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</si>
  <si>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</si>
  <si>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</si>
  <si>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</si>
  <si>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</si>
  <si>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</si>
  <si>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</si>
  <si>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</si>
  <si>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</si>
  <si>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</si>
  <si>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</si>
  <si>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</si>
  <si>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</si>
  <si>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</si>
  <si>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</si>
  <si>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</si>
  <si>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</si>
  <si>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</si>
  <si>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</si>
  <si>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</si>
  <si>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</si>
  <si>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</si>
  <si>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</si>
  <si>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</si>
  <si>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</si>
  <si>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</si>
  <si>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</si>
  <si>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</si>
  <si>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</si>
  <si>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</si>
  <si>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</si>
  <si>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</si>
  <si>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</si>
  <si>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</si>
  <si>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</si>
  <si>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</si>
  <si>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</si>
  <si>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</si>
  <si>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</si>
  <si>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</si>
  <si>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</si>
  <si>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</si>
  <si>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</si>
  <si>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</si>
  <si>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</si>
  <si>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</si>
  <si>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</si>
  <si>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</si>
  <si>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</si>
  <si>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</si>
  <si>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</si>
  <si>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</si>
  <si>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</si>
  <si>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</si>
  <si>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</si>
  <si>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</si>
  <si>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</si>
  <si>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</si>
  <si>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</si>
  <si>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</si>
  <si>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</si>
  <si>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</si>
  <si>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</si>
  <si>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</si>
  <si>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</si>
  <si>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</si>
  <si>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</si>
  <si>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</si>
  <si>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</si>
  <si>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</si>
  <si>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</si>
  <si>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</si>
  <si>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</si>
  <si>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</si>
  <si>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</si>
  <si>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</si>
  <si>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</si>
  <si>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</si>
  <si>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</si>
  <si>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</si>
  <si>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</si>
  <si>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</si>
  <si>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</si>
  <si>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</si>
  <si>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</si>
  <si>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</si>
  <si>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</si>
  <si>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</si>
  <si>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</si>
  <si>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</si>
  <si>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</si>
  <si>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</si>
  <si>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</si>
  <si>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</si>
  <si>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</si>
  <si>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</si>
  <si>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</si>
  <si>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</si>
  <si>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</si>
  <si>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</si>
  <si>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</si>
  <si>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</si>
  <si>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</si>
  <si>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</si>
  <si>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</si>
  <si>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</si>
  <si>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</si>
  <si>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</si>
  <si>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</si>
  <si>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</si>
  <si>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</si>
  <si>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</si>
  <si>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</si>
  <si>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</si>
  <si>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</si>
  <si>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</si>
  <si>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</si>
  <si>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</si>
  <si>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</si>
  <si>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</si>
  <si>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</si>
  <si>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</si>
  <si>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</si>
  <si>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</si>
  <si>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</si>
  <si>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</si>
  <si>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</si>
  <si>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</si>
  <si>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</si>
  <si>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</si>
  <si>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</si>
  <si>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</si>
  <si>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</si>
  <si>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</si>
  <si>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</si>
  <si>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</si>
  <si>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</si>
  <si>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</si>
  <si>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</si>
  <si>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</si>
  <si>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</si>
  <si>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</si>
  <si>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</si>
  <si>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</si>
  <si>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</si>
  <si>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</si>
  <si>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</si>
  <si>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</si>
  <si>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</si>
  <si>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</si>
  <si>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</si>
  <si>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</si>
  <si>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</si>
  <si>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</si>
  <si>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</si>
  <si>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</si>
  <si>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</si>
  <si>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</si>
  <si>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</si>
  <si>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</si>
  <si>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</si>
  <si>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</si>
  <si>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</si>
  <si>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</si>
  <si>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</si>
  <si>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</si>
  <si>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</si>
  <si>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</si>
  <si>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</si>
  <si>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</si>
  <si>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</si>
  <si>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</si>
  <si>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</si>
  <si>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</si>
  <si>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</si>
  <si>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</si>
  <si>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</si>
  <si>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</si>
  <si>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</si>
  <si>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</si>
  <si>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</si>
  <si>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</si>
  <si>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</si>
  <si>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</si>
  <si>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</si>
  <si>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</si>
  <si>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</si>
  <si>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</si>
  <si>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</si>
  <si>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</si>
  <si>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</si>
  <si>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</si>
  <si>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</si>
  <si>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</si>
  <si>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</si>
  <si>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</si>
  <si>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</si>
  <si>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</si>
  <si>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</si>
  <si>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</si>
  <si>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</si>
  <si>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</si>
  <si>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</si>
  <si>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</si>
  <si>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</si>
  <si>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</si>
  <si>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</si>
  <si>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</si>
  <si>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</si>
  <si>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</si>
  <si>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</si>
  <si>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</si>
  <si>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</si>
  <si>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</si>
  <si>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</si>
  <si>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</si>
  <si>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</si>
  <si>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</si>
  <si>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</si>
  <si>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</si>
  <si>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</si>
  <si>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</si>
  <si>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</si>
  <si>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</si>
  <si>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</si>
  <si>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</si>
  <si>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</si>
  <si>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</si>
  <si>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</si>
  <si>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</si>
  <si>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</si>
  <si>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</si>
  <si>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</si>
  <si>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</si>
  <si>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</si>
  <si>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</si>
  <si>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</si>
  <si>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</si>
  <si>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</si>
  <si>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</si>
  <si>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</si>
  <si>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</si>
  <si>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</si>
  <si>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</si>
  <si>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</si>
  <si>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</si>
  <si>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</si>
  <si>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</si>
  <si>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</si>
  <si>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</si>
  <si>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</si>
  <si>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</si>
  <si>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</si>
  <si>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</si>
  <si>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</si>
  <si>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</si>
  <si>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</si>
  <si>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</si>
  <si>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</si>
  <si>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</si>
  <si>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</si>
  <si>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</si>
  <si>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</si>
  <si>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</si>
  <si>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</si>
  <si>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</si>
  <si>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</si>
  <si>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</si>
  <si>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</si>
  <si>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</si>
  <si>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</si>
  <si>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</si>
  <si>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</si>
  <si>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</si>
  <si>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</si>
  <si>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</si>
  <si>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</si>
  <si>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</si>
  <si>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</si>
  <si>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</si>
  <si>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</si>
  <si>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</si>
  <si>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</si>
  <si>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</si>
  <si>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</si>
  <si>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</si>
  <si>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</si>
  <si>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</si>
  <si>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</si>
  <si>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</si>
  <si>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</si>
  <si>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</si>
  <si>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</si>
  <si>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</si>
  <si>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</si>
  <si>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</si>
  <si>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</si>
  <si>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</si>
  <si>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</si>
  <si>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</si>
  <si>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</si>
  <si>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</si>
  <si>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</si>
  <si>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</si>
  <si>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</si>
  <si>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</si>
  <si>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</si>
  <si>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</si>
  <si>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</si>
  <si>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</si>
  <si>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</si>
  <si>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</si>
  <si>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</si>
  <si>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</si>
  <si>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</si>
  <si>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</si>
  <si>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</si>
  <si>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</si>
  <si>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</si>
  <si>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</si>
  <si>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</si>
  <si>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</si>
  <si>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</si>
  <si>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</si>
  <si>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</si>
  <si>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</si>
  <si>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</si>
  <si>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</si>
  <si>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</si>
  <si>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</si>
  <si>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</si>
  <si>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</si>
  <si>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</si>
  <si>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</si>
  <si>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</si>
  <si>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</si>
  <si>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</si>
  <si>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</si>
  <si>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</si>
  <si>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</si>
  <si>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</si>
  <si>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</si>
  <si>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</si>
  <si>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</si>
  <si>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</si>
  <si>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</si>
  <si>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</si>
  <si>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</si>
  <si>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</si>
  <si>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</si>
  <si>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</si>
  <si>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</si>
  <si>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</si>
  <si>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</si>
  <si>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</si>
  <si>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</si>
  <si>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</si>
  <si>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</si>
  <si>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</si>
  <si>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</si>
  <si>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</si>
  <si>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</si>
  <si>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</si>
  <si>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</si>
  <si>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</si>
  <si>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</si>
  <si>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</si>
  <si>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</si>
  <si>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</si>
  <si>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</si>
  <si>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</si>
  <si>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</si>
  <si>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</si>
  <si>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</si>
  <si>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</si>
  <si>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</si>
  <si>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</si>
  <si>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</si>
  <si>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</si>
  <si>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</si>
  <si>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</si>
  <si>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</si>
  <si>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</si>
  <si>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</si>
  <si>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</si>
  <si>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</si>
  <si>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</si>
  <si>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</si>
  <si>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</si>
  <si>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</si>
  <si>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</si>
  <si>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</si>
  <si>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</si>
  <si>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</si>
  <si>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</si>
  <si>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</si>
  <si>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</si>
  <si>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</si>
  <si>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</si>
  <si>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</si>
  <si>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</si>
  <si>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</si>
  <si>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</si>
  <si>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</si>
  <si>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</si>
  <si>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</si>
  <si>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</si>
  <si>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</si>
  <si>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</si>
  <si>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</si>
  <si>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</si>
  <si>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</si>
  <si>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</si>
  <si>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</si>
  <si>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</si>
  <si>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</si>
  <si>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</si>
  <si>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</si>
  <si>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</si>
  <si>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</si>
  <si>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</si>
  <si>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</si>
  <si>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</si>
  <si>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</si>
  <si>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</si>
  <si>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</si>
  <si>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</si>
  <si>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</si>
  <si>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</si>
  <si>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</si>
  <si>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</si>
  <si>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</si>
  <si>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</si>
  <si>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</si>
  <si>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</si>
  <si>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</si>
  <si>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</si>
  <si>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</si>
  <si>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</si>
  <si>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</si>
  <si>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</si>
  <si>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</si>
  <si>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</si>
  <si>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</si>
  <si>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</si>
  <si>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</si>
  <si>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</si>
  <si>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</si>
  <si>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</si>
  <si>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</si>
  <si>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</si>
  <si>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</si>
  <si>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</si>
  <si>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</si>
  <si>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</si>
  <si>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</si>
  <si>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</si>
  <si>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</si>
  <si>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</si>
  <si>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</si>
  <si>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</si>
  <si>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</si>
  <si>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</si>
  <si>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</si>
  <si>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</si>
  <si>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</si>
  <si>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</si>
  <si>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</si>
  <si>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</si>
  <si>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</si>
  <si>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</si>
  <si>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</si>
  <si>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</si>
  <si>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</si>
  <si>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</si>
  <si>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</si>
  <si>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</si>
  <si>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</si>
  <si>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</si>
  <si>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</si>
  <si>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</si>
  <si>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</si>
  <si>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</si>
  <si>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</si>
  <si>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</si>
  <si>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</si>
  <si>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</si>
  <si>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</si>
  <si>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</si>
  <si>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</si>
  <si>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</si>
  <si>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</si>
  <si>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</si>
  <si>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</si>
  <si>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</si>
  <si>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</si>
  <si>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</si>
  <si>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</si>
  <si>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</si>
  <si>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</si>
  <si>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</si>
  <si>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</si>
  <si>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</si>
  <si>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</si>
  <si>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</si>
  <si>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</si>
  <si>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</si>
  <si>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</si>
  <si>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</si>
  <si>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</si>
  <si>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</si>
  <si>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</si>
  <si>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</si>
  <si>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</si>
  <si>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</si>
  <si>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</si>
  <si>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</si>
  <si>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</si>
  <si>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</si>
  <si>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</si>
  <si>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</si>
  <si>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</si>
  <si>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</si>
  <si>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</si>
  <si>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</si>
  <si>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</si>
  <si>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</si>
  <si>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</si>
  <si>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</si>
  <si>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</si>
  <si>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</si>
  <si>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</si>
  <si>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</si>
  <si>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</si>
  <si>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</si>
  <si>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</si>
  <si>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</si>
  <si>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</si>
  <si>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</si>
  <si>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</si>
  <si>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</si>
  <si>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</si>
  <si>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</si>
  <si>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</si>
  <si>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</si>
  <si>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</si>
  <si>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</si>
  <si>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</si>
  <si>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</si>
  <si>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</si>
  <si>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</si>
  <si>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</si>
  <si>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</si>
  <si>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</si>
  <si>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</si>
  <si>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</si>
  <si>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</si>
  <si>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</si>
  <si>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</si>
  <si>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</si>
  <si>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</si>
  <si>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</si>
  <si>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</si>
  <si>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</si>
  <si>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</si>
  <si>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</si>
  <si>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</si>
  <si>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</si>
  <si>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</si>
  <si>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</si>
  <si>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</si>
  <si>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</si>
  <si>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</si>
  <si>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</si>
  <si>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</si>
  <si>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</si>
  <si>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</si>
  <si>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</si>
  <si>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</si>
  <si>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</si>
  <si>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</si>
  <si>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</si>
  <si>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</si>
  <si>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</si>
  <si>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</si>
  <si>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</si>
  <si>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</si>
  <si>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</si>
  <si>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</si>
  <si>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</si>
  <si>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</si>
  <si>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</si>
  <si>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</si>
  <si>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</si>
  <si>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</si>
  <si>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</si>
  <si>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</si>
  <si>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</si>
  <si>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</si>
  <si>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</si>
  <si>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</si>
  <si>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</si>
  <si>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</si>
  <si>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</si>
  <si>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</si>
  <si>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</si>
  <si>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</si>
  <si>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</si>
  <si>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</si>
  <si>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</si>
  <si>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</si>
  <si>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</si>
  <si>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</si>
  <si>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</si>
  <si>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</si>
  <si>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</si>
  <si>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</si>
  <si>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</si>
  <si>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</si>
  <si>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</si>
  <si>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</si>
  <si>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</si>
  <si>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</si>
  <si>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</si>
  <si>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</si>
  <si>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</si>
  <si>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</si>
  <si>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</si>
  <si>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</si>
  <si>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</si>
  <si>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</si>
  <si>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</si>
  <si>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</si>
  <si>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</si>
  <si>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</si>
  <si>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</si>
  <si>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</si>
  <si>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</si>
  <si>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</si>
  <si>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</si>
  <si>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</si>
  <si>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</si>
  <si>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</si>
  <si>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</si>
  <si>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</si>
  <si>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</si>
  <si>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</si>
  <si>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</si>
  <si>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</si>
  <si>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</si>
  <si>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</si>
  <si>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</si>
  <si>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</si>
  <si>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</si>
  <si>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</si>
  <si>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</si>
  <si>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</si>
  <si>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</si>
  <si>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</si>
  <si>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</si>
  <si>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</si>
  <si>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</si>
  <si>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</si>
  <si>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</si>
  <si>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</si>
  <si>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</si>
  <si>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</si>
  <si>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</si>
  <si>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</si>
  <si>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</si>
  <si>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</si>
  <si>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</si>
  <si>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</si>
  <si>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</si>
  <si>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</si>
  <si>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</si>
  <si>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</si>
  <si>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</si>
  <si>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</si>
  <si>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</si>
  <si>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</si>
  <si>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</si>
  <si>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</si>
  <si>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</si>
  <si>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</si>
  <si>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</si>
  <si>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</si>
  <si>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</si>
  <si>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</si>
  <si>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</si>
  <si>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</si>
  <si>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</si>
  <si>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</si>
  <si>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</si>
  <si>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</si>
  <si>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</si>
  <si>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</si>
  <si>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</si>
  <si>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</si>
  <si>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</si>
  <si>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</si>
  <si>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</si>
  <si>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</si>
  <si>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</si>
  <si>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</si>
  <si>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</si>
  <si>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</si>
  <si>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</si>
  <si>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</si>
  <si>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</si>
  <si>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</si>
  <si>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</si>
  <si>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</si>
  <si>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</si>
  <si>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</si>
  <si>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</si>
  <si>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</si>
  <si>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</si>
  <si>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</si>
  <si>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</si>
  <si>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</si>
  <si>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</si>
  <si>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</si>
  <si>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</si>
  <si>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</si>
  <si>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</si>
  <si>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</si>
  <si>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</si>
  <si>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</si>
  <si>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</si>
  <si>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</si>
  <si>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</si>
  <si>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</si>
  <si>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</si>
  <si>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</si>
  <si>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</si>
  <si>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</si>
  <si>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</si>
  <si>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</si>
  <si>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</si>
  <si>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</si>
  <si>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</si>
  <si>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</si>
  <si>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</si>
  <si>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</si>
  <si>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</si>
  <si>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</si>
  <si>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</si>
  <si>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</si>
  <si>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</si>
  <si>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</si>
  <si>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</si>
  <si>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</si>
  <si>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</si>
  <si>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</si>
  <si>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</si>
  <si>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</si>
  <si>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</si>
  <si>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</si>
  <si>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</si>
  <si>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</si>
  <si>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</si>
  <si>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</si>
  <si>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</si>
  <si>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</si>
  <si>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</si>
  <si>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</si>
  <si>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</si>
  <si>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</si>
  <si>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</si>
  <si>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</si>
  <si>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</si>
  <si>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</si>
  <si>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</si>
  <si>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</si>
  <si>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</si>
  <si>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</si>
  <si>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</si>
  <si>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</si>
  <si>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</si>
  <si>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</si>
  <si>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</si>
  <si>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</si>
  <si>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</si>
  <si>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</si>
  <si>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</si>
  <si>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</si>
  <si>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</si>
  <si>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</si>
  <si>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</si>
  <si>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</si>
  <si>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</si>
  <si>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</si>
  <si>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</si>
  <si>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</si>
  <si>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</si>
  <si>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</si>
  <si>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</si>
  <si>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</si>
  <si>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</si>
  <si>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</si>
  <si>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</si>
  <si>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</si>
  <si>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</si>
  <si>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</si>
  <si>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</si>
  <si>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</si>
  <si>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</si>
  <si>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</si>
  <si>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</si>
  <si>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</si>
  <si>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</si>
  <si>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</si>
  <si>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</si>
  <si>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</si>
  <si>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</si>
  <si>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</si>
  <si>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</si>
  <si>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</si>
  <si>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</si>
  <si>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</si>
  <si>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</si>
  <si>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</si>
  <si>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</si>
  <si>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</si>
  <si>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</si>
  <si>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</si>
  <si>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</si>
  <si>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</si>
  <si>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</si>
  <si>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</si>
  <si>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</si>
  <si>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</si>
  <si>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</si>
  <si>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</si>
  <si>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</si>
  <si>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</si>
  <si>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</si>
  <si>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</si>
  <si>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</si>
  <si>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</si>
  <si>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</si>
  <si>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</si>
  <si>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</si>
  <si>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</si>
  <si>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</si>
  <si>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</si>
  <si>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</si>
  <si>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</si>
  <si>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</si>
  <si>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</si>
  <si>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</si>
  <si>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</si>
  <si>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</si>
  <si>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</si>
  <si>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</si>
  <si>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</si>
  <si>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</si>
  <si>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</si>
  <si>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</si>
  <si>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</si>
  <si>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</si>
  <si>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</si>
  <si>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</si>
  <si>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</si>
  <si>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</si>
  <si>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</si>
  <si>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</si>
  <si>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</si>
  <si>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</si>
  <si>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</si>
  <si>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</si>
  <si>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</si>
  <si>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</si>
  <si>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</si>
  <si>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</si>
  <si>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</si>
  <si>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</si>
  <si>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</si>
  <si>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</si>
  <si>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</si>
  <si>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</si>
  <si>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</si>
  <si>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</si>
  <si>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</si>
  <si>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</si>
  <si>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</si>
  <si>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</si>
  <si>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</si>
  <si>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</si>
  <si>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</si>
  <si>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</si>
  <si>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</si>
  <si>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</si>
  <si>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</si>
  <si>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</si>
  <si>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</si>
  <si>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</si>
  <si>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</si>
  <si>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</si>
  <si>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</si>
  <si>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</si>
  <si>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</si>
  <si>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</si>
  <si>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</si>
  <si>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</si>
  <si>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</si>
  <si>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</si>
  <si>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</si>
  <si>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</si>
  <si>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</si>
  <si>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</si>
  <si>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</si>
  <si>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</si>
  <si>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</si>
  <si>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</si>
  <si>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</si>
  <si>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</si>
  <si>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</si>
  <si>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</si>
  <si>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</si>
  <si>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</si>
  <si>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</si>
  <si>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</si>
  <si>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</si>
  <si>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</si>
  <si>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</si>
  <si>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</si>
  <si>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</si>
  <si>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</si>
  <si>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</si>
  <si>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</si>
  <si>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</si>
  <si>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</si>
  <si>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</si>
  <si>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</si>
  <si>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</si>
  <si>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</si>
  <si>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</si>
  <si>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</si>
  <si>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</si>
  <si>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</si>
  <si>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</si>
  <si>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</si>
  <si>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</si>
  <si>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</si>
  <si>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</si>
  <si>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</si>
  <si>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</si>
  <si>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</si>
  <si>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</si>
  <si>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</si>
  <si>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</si>
  <si>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</si>
  <si>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</si>
  <si>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</si>
  <si>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</si>
  <si>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</si>
  <si>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</si>
  <si>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</si>
  <si>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</si>
  <si>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</si>
  <si>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</si>
  <si>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</si>
  <si>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</si>
  <si>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</si>
  <si>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</si>
  <si>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</si>
  <si>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</si>
  <si>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</si>
  <si>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</si>
  <si>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</si>
  <si>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</si>
  <si>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</si>
  <si>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</si>
  <si>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</si>
  <si>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</si>
  <si>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</si>
  <si>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</si>
  <si>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</si>
  <si>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</si>
  <si>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</si>
  <si>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</si>
  <si>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</si>
  <si>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</si>
  <si>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</si>
  <si>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</si>
  <si>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</si>
  <si>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</si>
  <si>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</si>
  <si>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</si>
  <si>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</si>
  <si>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</si>
  <si>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</si>
  <si>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</si>
  <si>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</si>
  <si>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</si>
  <si>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</si>
  <si>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</si>
  <si>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</si>
  <si>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</si>
  <si>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</si>
  <si>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</si>
  <si>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</si>
  <si>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</si>
  <si>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</si>
  <si>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</si>
  <si>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</si>
  <si>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</si>
  <si>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</si>
  <si>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</si>
  <si>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</si>
  <si>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</si>
  <si>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</si>
  <si>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</si>
  <si>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</si>
  <si>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</si>
  <si>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</si>
  <si>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</si>
  <si>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</si>
  <si>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</si>
  <si>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</si>
  <si>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</si>
  <si>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</si>
  <si>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</si>
  <si>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</si>
  <si>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</si>
  <si>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</si>
  <si>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</si>
  <si>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</si>
  <si>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</si>
  <si>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</si>
  <si>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</si>
  <si>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</si>
  <si>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</si>
  <si>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</si>
  <si>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</si>
  <si>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</si>
  <si>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</si>
  <si>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</si>
  <si>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</si>
  <si>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</si>
  <si>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</si>
  <si>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</si>
  <si>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</si>
  <si>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</si>
  <si>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</si>
  <si>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</si>
  <si>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</si>
  <si>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</si>
  <si>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</si>
  <si>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</si>
  <si>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</si>
  <si>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</si>
  <si>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</si>
  <si>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</si>
  <si>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</si>
  <si>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</si>
  <si>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</si>
  <si>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</si>
  <si>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</si>
  <si>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</si>
  <si>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</si>
  <si>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</si>
  <si>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</si>
  <si>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</si>
  <si>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</si>
  <si>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</si>
  <si>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</si>
  <si>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</si>
  <si>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</si>
  <si>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</si>
  <si>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</si>
  <si>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</si>
  <si>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</si>
  <si>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</si>
  <si>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</si>
  <si>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</si>
  <si>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</si>
  <si>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</si>
  <si>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</si>
  <si>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</si>
  <si>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</si>
  <si>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</si>
  <si>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</si>
  <si>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</si>
  <si>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</si>
  <si>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</si>
  <si>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</si>
  <si>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</si>
  <si>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</si>
  <si>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</si>
  <si>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</si>
  <si>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</si>
  <si>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</si>
  <si>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</si>
  <si>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</si>
  <si>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</si>
  <si>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</si>
  <si>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</si>
  <si>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</si>
  <si>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</si>
  <si>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</si>
  <si>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</si>
  <si>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</si>
  <si>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</si>
  <si>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</si>
  <si>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</si>
  <si>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</si>
  <si>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</si>
  <si>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</si>
  <si>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</si>
  <si>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</si>
  <si>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</si>
  <si>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</si>
  <si>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</si>
  <si>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</si>
  <si>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</si>
  <si>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</si>
  <si>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</si>
  <si>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</si>
  <si>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</si>
  <si>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</si>
  <si>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</si>
  <si>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</si>
  <si>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</si>
  <si>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</si>
  <si>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</si>
  <si>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</si>
  <si>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</si>
  <si>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</si>
  <si>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</si>
  <si>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</si>
  <si>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</si>
  <si>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</si>
  <si>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</si>
  <si>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</si>
  <si>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</si>
  <si>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</si>
  <si>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</si>
  <si>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</si>
  <si>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</si>
  <si>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</si>
  <si>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</si>
  <si>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</si>
  <si>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</si>
  <si>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</si>
  <si>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</si>
  <si>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</si>
  <si>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</si>
  <si>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</si>
  <si>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</si>
  <si>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</si>
  <si>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</si>
  <si>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</si>
  <si>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</si>
  <si>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</si>
  <si>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</si>
  <si>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</si>
  <si>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</si>
  <si>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</si>
  <si>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</si>
  <si>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</si>
  <si>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</si>
  <si>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</si>
  <si>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</si>
  <si>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</si>
  <si>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</si>
  <si>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</si>
  <si>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</si>
  <si>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</si>
  <si>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</si>
  <si>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</si>
  <si>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</si>
  <si>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</si>
  <si>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</si>
  <si>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</si>
  <si>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</si>
  <si>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</si>
  <si>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</si>
  <si>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</si>
  <si>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</si>
  <si>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</si>
  <si>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</si>
  <si>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</si>
  <si>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</si>
  <si>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</si>
  <si>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</si>
  <si>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</si>
  <si>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</si>
  <si>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</si>
  <si>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</si>
  <si>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</si>
  <si>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</si>
  <si>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</si>
  <si>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</si>
  <si>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</si>
  <si>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</si>
  <si>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</si>
  <si>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</si>
  <si>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</si>
  <si>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</si>
  <si>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</si>
  <si>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</si>
  <si>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</si>
  <si>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</si>
  <si>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</si>
  <si>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</si>
  <si>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</si>
  <si>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</si>
  <si>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</si>
  <si>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</si>
  <si>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</si>
  <si>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</si>
  <si>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</si>
  <si>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</si>
  <si>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</si>
  <si>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</si>
  <si>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</si>
  <si>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</si>
  <si>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</si>
  <si>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</si>
  <si>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</si>
  <si>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</si>
  <si>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</si>
  <si>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</si>
  <si>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</si>
  <si>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</si>
  <si>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</si>
  <si>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</si>
  <si>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</si>
  <si>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</si>
  <si>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</si>
  <si>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</si>
  <si>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</si>
  <si>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</si>
  <si>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</si>
  <si>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</si>
  <si>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</si>
  <si>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</si>
  <si>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</si>
  <si>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</si>
  <si>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</si>
  <si>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</si>
  <si>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</si>
  <si>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</si>
  <si>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</si>
  <si>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</si>
  <si>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</si>
  <si>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</si>
  <si>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</si>
  <si>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</si>
  <si>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</si>
  <si>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</si>
  <si>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</si>
  <si>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</si>
  <si>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</si>
  <si>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</si>
  <si>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</si>
  <si>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</si>
  <si>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</si>
  <si>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</si>
  <si>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</si>
  <si>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</si>
  <si>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</si>
  <si>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</si>
  <si>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</si>
  <si>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</si>
  <si>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</si>
  <si>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</si>
  <si>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</si>
  <si>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</si>
  <si>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</si>
  <si>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</si>
  <si>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</si>
  <si>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</si>
  <si>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</si>
  <si>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</si>
  <si>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</si>
  <si>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</si>
  <si>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</si>
  <si>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</si>
  <si>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</si>
  <si>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</si>
  <si>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</si>
  <si>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</si>
  <si>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</si>
  <si>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</si>
  <si>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</si>
  <si>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</si>
  <si>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</si>
  <si>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</si>
  <si>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</si>
  <si>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</si>
  <si>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</si>
  <si>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</si>
  <si>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</si>
  <si>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</si>
  <si>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</si>
  <si>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</si>
  <si>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</si>
  <si>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</si>
  <si>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</si>
  <si>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</si>
  <si>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</si>
  <si>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</si>
  <si>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</si>
  <si>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</si>
  <si>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</si>
  <si>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</si>
  <si>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</si>
  <si>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</si>
  <si>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</si>
  <si>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</si>
  <si>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</si>
  <si>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</si>
  <si>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</si>
  <si>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</si>
  <si>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</si>
  <si>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</si>
  <si>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</si>
  <si>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</si>
  <si>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</si>
  <si>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</si>
  <si>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</si>
  <si>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</si>
  <si>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</si>
  <si>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</si>
  <si>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</si>
  <si>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</si>
  <si>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</si>
  <si>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</si>
  <si>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</si>
  <si>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</si>
  <si>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</si>
  <si>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</si>
  <si>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</si>
  <si>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</si>
  <si>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</si>
  <si>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</si>
  <si>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</si>
  <si>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</si>
  <si>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</si>
  <si>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</si>
  <si>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</si>
  <si>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</si>
  <si>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</si>
  <si>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</si>
  <si>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</si>
  <si>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</si>
  <si>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</si>
  <si>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</si>
  <si>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</si>
  <si>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</si>
  <si>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</si>
  <si>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</si>
  <si>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</si>
  <si>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</si>
  <si>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</si>
  <si>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</si>
  <si>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</si>
  <si>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</si>
  <si>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</si>
  <si>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</si>
  <si>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</si>
  <si>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</si>
  <si>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</si>
  <si>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</si>
  <si>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</si>
  <si>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</si>
  <si>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</si>
  <si>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</si>
  <si>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</si>
  <si>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</si>
  <si>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</si>
  <si>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</si>
  <si>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</si>
  <si>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</si>
  <si>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</si>
  <si>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</si>
  <si>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</si>
  <si>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</si>
  <si>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</si>
  <si>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</si>
  <si>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</si>
  <si>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</si>
  <si>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</si>
  <si>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</si>
  <si>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</si>
  <si>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</si>
  <si>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</si>
  <si>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</si>
  <si>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</si>
  <si>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</si>
  <si>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</si>
  <si>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</si>
  <si>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</si>
  <si>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</si>
  <si>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</si>
  <si>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</si>
  <si>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</si>
  <si>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</si>
  <si>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</si>
  <si>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</si>
  <si>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</si>
  <si>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</si>
  <si>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</si>
  <si>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</si>
  <si>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</si>
  <si>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</si>
  <si>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</si>
  <si>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</si>
  <si>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</si>
  <si>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</si>
  <si>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</si>
  <si>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</si>
  <si>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</si>
  <si>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</si>
  <si>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</si>
  <si>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</si>
  <si>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</si>
  <si>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</si>
  <si>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</si>
  <si>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</si>
  <si>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</si>
  <si>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</si>
  <si>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</si>
  <si>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</si>
  <si>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</si>
  <si>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</si>
  <si>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</si>
  <si>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</si>
  <si>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</si>
  <si>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</si>
  <si>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</si>
  <si>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</si>
  <si>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</si>
  <si>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</si>
  <si>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</si>
  <si>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</si>
  <si>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</si>
  <si>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</si>
  <si>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</si>
  <si>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</si>
  <si>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</si>
  <si>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</si>
  <si>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</si>
  <si>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</si>
  <si>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</si>
  <si>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</si>
  <si>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</si>
  <si>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</si>
  <si>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</si>
  <si>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</si>
  <si>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</si>
  <si>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</si>
  <si>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</si>
  <si>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</si>
  <si>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</si>
  <si>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</si>
  <si>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</si>
  <si>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</si>
  <si>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</si>
  <si>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</si>
  <si>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</si>
  <si>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</si>
  <si>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</si>
  <si>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</si>
  <si>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</si>
  <si>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</si>
  <si>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</si>
  <si>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</si>
  <si>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</si>
  <si>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</si>
  <si>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</si>
  <si>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</si>
  <si>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</si>
  <si>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</si>
  <si>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</si>
  <si>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</si>
  <si>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</si>
  <si>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</si>
  <si>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</si>
  <si>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</si>
  <si>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</si>
  <si>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</si>
  <si>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</si>
  <si>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</si>
  <si>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</si>
  <si>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</si>
  <si>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</si>
  <si>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</si>
  <si>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</si>
  <si>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</si>
  <si>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</si>
  <si>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</si>
  <si>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</si>
  <si>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</si>
  <si>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</si>
  <si>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</si>
  <si>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</si>
  <si>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</si>
  <si>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</si>
  <si>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</si>
  <si>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</si>
  <si>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</si>
  <si>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</si>
  <si>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</si>
  <si>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</si>
  <si>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</si>
  <si>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</si>
  <si>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</si>
  <si>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</si>
  <si>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</si>
  <si>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</si>
  <si>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</si>
  <si>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</si>
  <si>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</si>
  <si>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</si>
  <si>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</si>
  <si>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</si>
  <si>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</si>
  <si>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</si>
  <si>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</si>
  <si>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</si>
  <si>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</si>
  <si>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</si>
  <si>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</si>
  <si>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</si>
  <si>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</si>
  <si>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</si>
  <si>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</si>
  <si>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</si>
  <si>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</si>
  <si>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</si>
  <si>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</si>
  <si>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</si>
  <si>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</si>
  <si>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</si>
  <si>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</si>
  <si>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</si>
  <si>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</si>
  <si>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</si>
  <si>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</si>
  <si>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</si>
  <si>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</si>
  <si>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</si>
  <si>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</si>
  <si>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</si>
  <si>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</si>
  <si>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</si>
  <si>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</si>
  <si>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</si>
  <si>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</si>
  <si>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</si>
  <si>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</si>
  <si>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</si>
  <si>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</si>
  <si>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</si>
  <si>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</si>
  <si>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</si>
  <si>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</si>
  <si>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</si>
  <si>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</si>
  <si>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</si>
  <si>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</si>
  <si>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</si>
  <si>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</si>
  <si>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</si>
  <si>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</si>
  <si>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</si>
  <si>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</si>
  <si>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</si>
  <si>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</si>
  <si>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</si>
  <si>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</si>
  <si>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</si>
  <si>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</si>
  <si>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</si>
  <si>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</si>
  <si>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</si>
  <si>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</si>
  <si>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</si>
  <si>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</si>
  <si>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</si>
  <si>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</si>
  <si>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</si>
  <si>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</si>
  <si>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</si>
  <si>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</si>
  <si>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</si>
  <si>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</si>
  <si>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</si>
  <si>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</si>
  <si>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</si>
  <si>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</si>
  <si>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</si>
  <si>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</si>
  <si>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</si>
  <si>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</si>
  <si>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</si>
  <si>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</si>
  <si>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</si>
  <si>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</si>
  <si>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</si>
  <si>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</si>
  <si>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</si>
  <si>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</si>
  <si>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</si>
  <si>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</si>
  <si>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</si>
  <si>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</si>
  <si>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</si>
  <si>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</si>
  <si>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</si>
  <si>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</si>
  <si>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</si>
  <si>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</si>
  <si>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</si>
  <si>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</si>
  <si>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</si>
  <si>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</si>
  <si>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</si>
  <si>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</si>
  <si>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</si>
  <si>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</si>
  <si>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</si>
  <si>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</si>
  <si>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</si>
  <si>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</si>
  <si>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</si>
  <si>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</si>
  <si>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</si>
  <si>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</si>
  <si>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</si>
  <si>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</si>
  <si>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</si>
  <si>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</si>
  <si>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</si>
  <si>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</si>
  <si>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</si>
  <si>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</si>
  <si>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</si>
  <si>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</si>
  <si>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</si>
  <si>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</si>
  <si>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</si>
  <si>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</si>
  <si>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</si>
  <si>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</si>
  <si>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</si>
  <si>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</si>
  <si>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</si>
  <si>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</si>
  <si>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</si>
  <si>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</si>
  <si>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</si>
  <si>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</si>
  <si>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</si>
  <si>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</si>
  <si>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</si>
  <si>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</si>
  <si>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</si>
  <si>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</si>
  <si>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</si>
  <si>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</si>
  <si>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</si>
  <si>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</si>
  <si>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</si>
  <si>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</si>
  <si>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</si>
  <si>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</si>
  <si>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</si>
  <si>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</si>
  <si>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</si>
  <si>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</si>
  <si>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</si>
  <si>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</si>
  <si>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</si>
  <si>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</si>
  <si>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</si>
  <si>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</si>
  <si>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</si>
  <si>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</si>
  <si>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</si>
  <si>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</si>
  <si>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</si>
  <si>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</si>
  <si>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</si>
  <si>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</si>
  <si>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</si>
  <si>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</si>
  <si>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</si>
  <si>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</si>
  <si>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</si>
  <si>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</si>
  <si>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</si>
  <si>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</si>
  <si>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</si>
  <si>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</si>
  <si>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</si>
  <si>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</si>
  <si>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</si>
  <si>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</si>
  <si>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</si>
  <si>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</si>
  <si>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</si>
  <si>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</si>
  <si>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</si>
  <si>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</si>
  <si>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</si>
  <si>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</si>
  <si>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</si>
  <si>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</si>
  <si>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</si>
  <si>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</si>
  <si>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</si>
  <si>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</si>
  <si>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</si>
  <si>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</si>
  <si>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</si>
  <si>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</si>
  <si>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</si>
  <si>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</si>
  <si>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</si>
  <si>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</si>
  <si>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</si>
  <si>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</si>
  <si>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</si>
  <si>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</si>
  <si>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</si>
  <si>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</si>
  <si>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</si>
  <si>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</si>
  <si>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</si>
  <si>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</si>
  <si>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</si>
  <si>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</si>
  <si>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</si>
  <si>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</si>
  <si>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</si>
  <si>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</si>
  <si>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</si>
  <si>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</si>
  <si>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</si>
  <si>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</si>
  <si>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</si>
  <si>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</si>
  <si>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</si>
  <si>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</si>
  <si>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</si>
  <si>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</si>
  <si>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</si>
  <si>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</si>
  <si>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</si>
  <si>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</si>
  <si>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</si>
  <si>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</si>
  <si>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</si>
  <si>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</si>
  <si>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</si>
  <si>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</si>
  <si>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</si>
  <si>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</si>
  <si>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</si>
  <si>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</si>
  <si>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</si>
  <si>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</si>
  <si>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</si>
  <si>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</si>
  <si>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</si>
  <si>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</si>
  <si>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</si>
  <si>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</si>
  <si>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</si>
  <si>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</si>
  <si>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</si>
  <si>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</si>
  <si>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</si>
  <si>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</si>
  <si>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</si>
  <si>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</si>
  <si>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</si>
  <si>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</si>
  <si>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</si>
  <si>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</si>
  <si>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</si>
  <si>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</si>
  <si>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</si>
  <si>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</si>
  <si>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</si>
  <si>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</si>
  <si>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</si>
  <si>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</si>
  <si>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</si>
  <si>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</si>
  <si>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</si>
  <si>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</si>
  <si>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</si>
  <si>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</si>
  <si>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</si>
  <si>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</si>
  <si>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</si>
  <si>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</si>
  <si>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</si>
  <si>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</si>
  <si>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</si>
  <si>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</si>
  <si>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</si>
  <si>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</si>
  <si>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</si>
  <si>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</si>
  <si>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</si>
  <si>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</si>
  <si>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</si>
  <si>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</si>
  <si>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</si>
  <si>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</si>
  <si>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</si>
  <si>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</si>
  <si>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</si>
  <si>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</si>
  <si>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</si>
  <si>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</si>
  <si>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</si>
  <si>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</si>
  <si>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</si>
  <si>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</si>
  <si>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</si>
  <si>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</si>
  <si>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</si>
  <si>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</si>
  <si>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</si>
  <si>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</si>
  <si>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</si>
  <si>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</si>
  <si>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</si>
  <si>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</si>
  <si>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</si>
  <si>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</si>
  <si>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</si>
  <si>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</si>
  <si>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</si>
  <si>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</si>
  <si>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</si>
  <si>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</si>
  <si>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</si>
  <si>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</si>
  <si>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</si>
  <si>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</si>
  <si>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</si>
  <si>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</si>
  <si>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</si>
  <si>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</si>
  <si>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</si>
  <si>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</si>
  <si>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</si>
  <si>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</si>
  <si>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</si>
  <si>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</si>
  <si>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</si>
  <si>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</si>
  <si>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</si>
  <si>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</si>
  <si>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</si>
  <si>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</si>
  <si>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</si>
  <si>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</si>
  <si>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</si>
  <si>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</si>
  <si>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</si>
  <si>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</si>
  <si>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</si>
  <si>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</si>
  <si>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</si>
  <si>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</si>
  <si>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</si>
  <si>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</si>
  <si>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</si>
  <si>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</si>
  <si>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</si>
  <si>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</si>
  <si>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</si>
  <si>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</si>
  <si>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</si>
  <si>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</si>
  <si>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</si>
  <si>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</si>
  <si>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</si>
  <si>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</si>
  <si>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</si>
  <si>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</si>
  <si>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</si>
  <si>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</si>
  <si>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</si>
  <si>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</si>
  <si>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</si>
  <si>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</si>
  <si>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</si>
  <si>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</si>
  <si>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</si>
  <si>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</si>
  <si>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</si>
  <si>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</si>
  <si>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</si>
  <si>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</si>
  <si>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</si>
  <si>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</si>
  <si>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</si>
  <si>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</si>
  <si>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</si>
  <si>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</si>
  <si>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</si>
  <si>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</si>
  <si>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</si>
  <si>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</si>
  <si>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</si>
  <si>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</si>
  <si>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</si>
  <si>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</si>
  <si>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</si>
  <si>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</si>
  <si>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</si>
  <si>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</si>
  <si>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</si>
  <si>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</si>
  <si>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</si>
  <si>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</si>
  <si>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</si>
  <si>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</si>
  <si>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</si>
  <si>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</si>
  <si>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</si>
  <si>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</si>
  <si>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</si>
  <si>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</si>
  <si>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</si>
  <si>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</si>
  <si>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</si>
  <si>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</si>
  <si>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</si>
  <si>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</si>
  <si>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</si>
  <si>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</si>
  <si>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</si>
  <si>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</si>
  <si>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</si>
  <si>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</si>
  <si>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</si>
  <si>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</si>
  <si>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</si>
  <si>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</si>
  <si>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</si>
  <si>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</si>
  <si>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</si>
  <si>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</si>
  <si>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</si>
  <si>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</si>
  <si>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</si>
  <si>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</si>
  <si>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</si>
  <si>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</si>
  <si>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</si>
  <si>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</si>
  <si>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</si>
  <si>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</si>
  <si>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</si>
  <si>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</si>
  <si>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</si>
  <si>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</si>
  <si>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</si>
  <si>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</si>
  <si>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</si>
  <si>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</si>
  <si>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</si>
  <si>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</si>
  <si>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</si>
  <si>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</si>
  <si>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</si>
  <si>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</si>
  <si>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</si>
  <si>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</si>
  <si>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</si>
  <si>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</si>
  <si>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</si>
  <si>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</si>
  <si>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</si>
  <si>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</si>
  <si>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</si>
  <si>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</si>
  <si>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</si>
  <si>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</si>
  <si>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</si>
  <si>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</si>
  <si>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</si>
  <si>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</si>
  <si>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</si>
  <si>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</si>
  <si>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</si>
  <si>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</si>
  <si>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</si>
  <si>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</si>
  <si>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</si>
  <si>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</si>
  <si>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</si>
  <si>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</si>
  <si>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</si>
  <si>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</si>
  <si>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</si>
  <si>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</si>
  <si>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</si>
  <si>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</si>
  <si>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</si>
  <si>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</si>
  <si>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</si>
  <si>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</si>
  <si>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</si>
  <si>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</si>
  <si>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</si>
  <si>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</si>
  <si>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</si>
  <si>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</si>
  <si>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</si>
  <si>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</si>
  <si>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</si>
  <si>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</si>
  <si>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</si>
  <si>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</si>
  <si>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</si>
  <si>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</si>
  <si>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</si>
  <si>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</si>
  <si>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</si>
  <si>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</si>
  <si>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</si>
  <si>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</si>
  <si>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</si>
  <si>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</si>
  <si>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</si>
  <si>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</si>
  <si>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</si>
  <si>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</si>
  <si>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</si>
  <si>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</si>
  <si>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</si>
  <si>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</si>
  <si>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</si>
  <si>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</si>
  <si>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</si>
  <si>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</si>
  <si>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</si>
  <si>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</si>
  <si>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</si>
  <si>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</si>
  <si>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</si>
  <si>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</si>
  <si>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</si>
  <si>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</si>
  <si>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</si>
  <si>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</si>
  <si>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</si>
  <si>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</si>
  <si>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</si>
  <si>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</si>
  <si>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</si>
  <si>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</si>
  <si>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</si>
  <si>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</si>
  <si>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</si>
  <si>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</si>
  <si>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</si>
  <si>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</si>
  <si>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</si>
  <si>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</si>
  <si>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</si>
  <si>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</si>
  <si>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</si>
  <si>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</si>
  <si>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</si>
  <si>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</si>
  <si>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</si>
  <si>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</si>
  <si>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</si>
  <si>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</si>
  <si>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</si>
  <si>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</si>
  <si>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</si>
  <si>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</si>
  <si>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</si>
  <si>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</si>
  <si>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</si>
  <si>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</si>
  <si>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</si>
  <si>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</si>
  <si>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</si>
  <si>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</si>
  <si>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</si>
  <si>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</si>
  <si>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</si>
  <si>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</si>
  <si>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</si>
  <si>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</si>
  <si>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</si>
  <si>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</si>
  <si>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</si>
  <si>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</si>
  <si>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</si>
  <si>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</si>
  <si>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</si>
  <si>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</si>
  <si>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</si>
  <si>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</si>
  <si>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</si>
  <si>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</si>
  <si>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</si>
  <si>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</si>
  <si>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</si>
  <si>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</si>
  <si>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</si>
  <si>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</si>
  <si>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</si>
  <si>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</si>
  <si>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</si>
  <si>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</si>
  <si>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</si>
  <si>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</si>
  <si>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</si>
  <si>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</si>
  <si>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</si>
  <si>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</si>
  <si>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</si>
  <si>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</si>
  <si>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</si>
  <si>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</si>
  <si>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</si>
  <si>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</si>
  <si>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</si>
  <si>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</si>
  <si>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</si>
  <si>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</si>
  <si>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</si>
  <si>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</si>
  <si>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</si>
  <si>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</si>
  <si>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</si>
  <si>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</si>
  <si>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</si>
  <si>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</si>
  <si>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</si>
  <si>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</si>
  <si>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</si>
  <si>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</si>
  <si>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</si>
  <si>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</si>
  <si>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</si>
  <si>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</si>
  <si>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</si>
  <si>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</si>
  <si>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</si>
  <si>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</si>
  <si>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</si>
  <si>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</si>
  <si>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</si>
  <si>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</si>
  <si>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</si>
  <si>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</si>
  <si>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</si>
  <si>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</si>
  <si>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</si>
  <si>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</si>
  <si>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</si>
  <si>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</si>
  <si>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</si>
  <si>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</si>
  <si>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</si>
  <si>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</si>
  <si>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</si>
  <si>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</si>
  <si>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</si>
  <si>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</si>
  <si>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</si>
  <si>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</si>
  <si>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</si>
  <si>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</si>
  <si>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</si>
  <si>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</si>
  <si>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</si>
  <si>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</si>
  <si>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</si>
  <si>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</si>
  <si>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</si>
  <si>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</si>
  <si>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</si>
  <si>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</si>
  <si>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</si>
  <si>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</si>
  <si>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</si>
  <si>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</si>
  <si>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</si>
  <si>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</si>
  <si>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</si>
  <si>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</si>
  <si>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</si>
  <si>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</si>
  <si>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</si>
  <si>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</si>
  <si>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</si>
  <si>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</si>
  <si>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</si>
  <si>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</si>
  <si>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</si>
  <si>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</si>
  <si>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</si>
  <si>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</si>
  <si>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</si>
  <si>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</si>
  <si>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</si>
  <si>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</si>
  <si>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</si>
  <si>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</si>
  <si>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</si>
  <si>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</si>
  <si>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</si>
  <si>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</si>
  <si>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</si>
  <si>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</si>
  <si>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</si>
  <si>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</si>
  <si>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</si>
  <si>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</si>
  <si>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</si>
  <si>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</si>
  <si>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</si>
  <si>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</si>
  <si>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</si>
  <si>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</si>
  <si>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</si>
  <si>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</si>
  <si>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</si>
  <si>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</si>
  <si>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</si>
  <si>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</si>
  <si>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</si>
  <si>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</si>
  <si>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</si>
  <si>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</si>
  <si>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</si>
  <si>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</si>
  <si>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</si>
  <si>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</si>
  <si>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</si>
  <si>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</si>
  <si>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</si>
  <si>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</si>
  <si>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</si>
  <si>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</si>
  <si>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</si>
  <si>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</si>
  <si>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</si>
  <si>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</si>
  <si>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</si>
  <si>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</si>
  <si>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</si>
  <si>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</si>
  <si>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</si>
  <si>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</si>
  <si>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</si>
  <si>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</si>
  <si>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</si>
  <si>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</si>
  <si>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</si>
  <si>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</si>
  <si>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</si>
  <si>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</si>
  <si>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</si>
  <si>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</si>
  <si>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</si>
  <si>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</si>
  <si>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</si>
  <si>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</si>
  <si>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</si>
  <si>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</si>
  <si>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</si>
  <si>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</si>
  <si>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</si>
  <si>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</si>
  <si>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</si>
  <si>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</si>
  <si>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</si>
  <si>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</si>
  <si>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</si>
  <si>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</si>
  <si>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</si>
  <si>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</si>
  <si>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</si>
  <si>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</si>
  <si>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</si>
  <si>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</si>
  <si>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</si>
  <si>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</si>
  <si>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</si>
  <si>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</si>
  <si>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</si>
  <si>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</si>
  <si>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</si>
  <si>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</si>
  <si>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</si>
  <si>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</si>
  <si>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</si>
  <si>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</si>
  <si>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</si>
  <si>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</si>
  <si>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</si>
  <si>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</si>
  <si>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</si>
  <si>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</si>
  <si>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</si>
  <si>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</si>
  <si>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</si>
  <si>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</si>
  <si>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</si>
  <si>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</si>
  <si>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</si>
  <si>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</si>
  <si>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</si>
  <si>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</si>
  <si>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</si>
  <si>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</si>
  <si>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</si>
  <si>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</si>
  <si>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</si>
  <si>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</si>
  <si>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</si>
  <si>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</si>
  <si>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</si>
  <si>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</si>
  <si>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</si>
  <si>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</si>
  <si>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</si>
  <si>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</si>
  <si>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</si>
  <si>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</si>
  <si>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</si>
  <si>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</si>
  <si>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</si>
  <si>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</si>
  <si>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</si>
  <si>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</si>
  <si>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</si>
  <si>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</si>
  <si>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</si>
  <si>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</si>
  <si>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</si>
  <si>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</si>
  <si>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</si>
  <si>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</si>
  <si>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</si>
  <si>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</si>
  <si>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</si>
  <si>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</si>
  <si>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</si>
  <si>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</si>
  <si>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</si>
  <si>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</si>
  <si>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</si>
  <si>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</si>
  <si>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</si>
  <si>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</si>
  <si>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</si>
  <si>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</si>
  <si>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</si>
  <si>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</si>
  <si>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</si>
  <si>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</si>
  <si>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</si>
  <si>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</si>
  <si>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</si>
  <si>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</si>
  <si>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</si>
  <si>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</si>
  <si>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</si>
  <si>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</si>
  <si>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</si>
  <si>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</si>
  <si>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</si>
  <si>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</si>
  <si>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</si>
  <si>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</si>
  <si>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</si>
  <si>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</si>
  <si>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</si>
  <si>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</si>
  <si>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</si>
  <si>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</si>
  <si>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</si>
  <si>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</si>
  <si>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</si>
  <si>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</si>
  <si>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</si>
  <si>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</si>
  <si>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</si>
  <si>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</si>
  <si>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</si>
  <si>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</si>
  <si>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</si>
  <si>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</si>
  <si>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</si>
  <si>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</si>
  <si>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</si>
  <si>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</si>
  <si>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</si>
  <si>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</si>
  <si>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</si>
  <si>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</si>
  <si>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</si>
  <si>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</si>
  <si>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</si>
  <si>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</si>
  <si>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</si>
  <si>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</si>
  <si>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</si>
  <si>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</si>
  <si>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</si>
  <si>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</si>
  <si>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</si>
  <si>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</si>
  <si>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</si>
  <si>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</si>
  <si>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</si>
  <si>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</si>
  <si>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</si>
  <si>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</si>
  <si>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</si>
  <si>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</si>
  <si>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</si>
  <si>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</si>
  <si>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</si>
  <si>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</si>
  <si>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</si>
  <si>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</si>
  <si>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</si>
  <si>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</si>
  <si>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</si>
  <si>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</si>
  <si>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</si>
  <si>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</si>
  <si>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</si>
  <si>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</si>
  <si>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</si>
  <si>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</si>
  <si>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</si>
  <si>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</si>
  <si>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</si>
  <si>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</si>
  <si>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</si>
  <si>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</si>
  <si>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</si>
  <si>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</si>
  <si>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</si>
  <si>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</si>
  <si>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</si>
  <si>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</si>
  <si>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</si>
  <si>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</si>
  <si>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</si>
  <si>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</si>
  <si>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</si>
  <si>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</si>
  <si>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</si>
  <si>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</si>
  <si>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</si>
  <si>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</si>
  <si>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</si>
  <si>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</si>
  <si>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</si>
  <si>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</si>
  <si>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</si>
  <si>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</si>
  <si>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</si>
  <si>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</si>
  <si>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</si>
  <si>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</si>
  <si>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</si>
  <si>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</si>
  <si>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</si>
  <si>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</si>
  <si>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</si>
  <si>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</si>
  <si>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</si>
  <si>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</si>
  <si>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</si>
  <si>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</si>
  <si>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</si>
  <si>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</si>
  <si>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</si>
  <si>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</si>
  <si>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</si>
  <si>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</si>
  <si>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</si>
  <si>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</si>
  <si>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</si>
  <si>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</si>
  <si>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</si>
  <si>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</si>
  <si>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</si>
  <si>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</si>
  <si>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</si>
  <si>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</si>
  <si>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</si>
  <si>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</si>
  <si>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</si>
  <si>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</si>
  <si>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</si>
  <si>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</si>
  <si>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</si>
  <si>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</si>
  <si>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</si>
  <si>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</si>
  <si>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</si>
  <si>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</si>
  <si>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</si>
  <si>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</si>
  <si>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</si>
  <si>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</si>
  <si>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</si>
  <si>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</si>
  <si>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</si>
  <si>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</si>
  <si>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</si>
  <si>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</si>
  <si>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</si>
  <si>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</si>
  <si>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</si>
  <si>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</si>
  <si>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</si>
  <si>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</si>
  <si>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</si>
  <si>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</si>
  <si>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</si>
  <si>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</si>
  <si>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</si>
  <si>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</si>
  <si>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</si>
  <si>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</si>
  <si>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</si>
  <si>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</si>
  <si>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</si>
  <si>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</si>
  <si>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</si>
  <si>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</si>
  <si>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</si>
  <si>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</si>
  <si>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</si>
  <si>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</si>
  <si>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</si>
  <si>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</si>
  <si>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</si>
  <si>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</si>
  <si>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</si>
  <si>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</si>
  <si>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</si>
  <si>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</si>
  <si>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</si>
  <si>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</si>
  <si>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</si>
  <si>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</si>
  <si>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</si>
  <si>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</si>
  <si>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</si>
  <si>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</si>
  <si>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</si>
  <si>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</si>
  <si>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</si>
  <si>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</si>
  <si>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</si>
  <si>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</si>
  <si>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</si>
  <si>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</si>
  <si>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</si>
  <si>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</si>
  <si>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</si>
  <si>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</si>
  <si>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</si>
  <si>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</si>
  <si>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</si>
  <si>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</si>
  <si>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</si>
  <si>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</si>
  <si>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</si>
  <si>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</si>
  <si>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</si>
  <si>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</si>
  <si>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</si>
  <si>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</si>
  <si>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</si>
  <si>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</si>
  <si>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</si>
  <si>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</si>
  <si>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</si>
  <si>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</si>
  <si>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</si>
  <si>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</si>
  <si>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</si>
  <si>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</si>
  <si>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</si>
  <si>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</si>
  <si>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</si>
  <si>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</si>
  <si>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</si>
  <si>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</si>
  <si>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</si>
  <si>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</si>
  <si>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</si>
  <si>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</si>
  <si>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</si>
  <si>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</si>
  <si>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</si>
  <si>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</si>
  <si>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</si>
  <si>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</si>
  <si>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</si>
  <si>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</si>
  <si>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</si>
  <si>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</si>
  <si>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</si>
  <si>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</si>
  <si>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</si>
  <si>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</si>
  <si>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</si>
  <si>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</si>
  <si>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</si>
  <si>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</si>
  <si>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</si>
  <si>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</si>
  <si>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</si>
  <si>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</si>
  <si>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</si>
  <si>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</si>
  <si>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</si>
  <si>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</si>
  <si>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</si>
  <si>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</si>
  <si>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</si>
  <si>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</si>
  <si>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</si>
  <si>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</si>
  <si>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</si>
  <si>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</si>
  <si>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</si>
  <si>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</si>
  <si>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</si>
  <si>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</si>
  <si>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</si>
  <si>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</si>
  <si>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</si>
  <si>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</si>
  <si>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</si>
  <si>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</si>
  <si>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</si>
  <si>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</si>
  <si>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</si>
  <si>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</si>
  <si>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</si>
  <si>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</si>
  <si>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</si>
  <si>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</si>
  <si>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</si>
  <si>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</si>
  <si>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</si>
  <si>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</si>
  <si>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</si>
  <si>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</si>
  <si>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</si>
  <si>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</si>
  <si>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</si>
  <si>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</si>
  <si>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</si>
  <si>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</si>
  <si>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</si>
  <si>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</si>
  <si>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</si>
  <si>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</si>
  <si>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</si>
  <si>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</si>
  <si>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</si>
  <si>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</si>
  <si>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</si>
  <si>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</si>
  <si>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</si>
  <si>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</si>
  <si>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</si>
  <si>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</si>
  <si>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</si>
  <si>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</si>
  <si>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</si>
  <si>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</si>
  <si>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</si>
  <si>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</si>
  <si>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</si>
  <si>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</si>
  <si>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</si>
  <si>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</si>
  <si>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</si>
  <si>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</si>
  <si>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</si>
  <si>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</si>
  <si>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</si>
  <si>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</si>
  <si>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</si>
  <si>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</si>
  <si>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</si>
  <si>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</si>
  <si>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</si>
  <si>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</si>
  <si>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</si>
  <si>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</si>
  <si>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</si>
  <si>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</si>
  <si>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</si>
  <si>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</si>
  <si>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</si>
  <si>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</si>
  <si>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</si>
  <si>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</si>
  <si>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</si>
  <si>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</si>
  <si>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</si>
  <si>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</si>
  <si>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</si>
  <si>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</si>
  <si>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</si>
  <si>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</si>
  <si>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</si>
  <si>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</si>
  <si>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</si>
  <si>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</si>
  <si>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</si>
  <si>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</si>
  <si>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</si>
  <si>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</si>
  <si>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</si>
  <si>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</si>
  <si>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</si>
  <si>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</si>
  <si>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</si>
  <si>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</si>
  <si>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</si>
  <si>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</si>
  <si>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</si>
  <si>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</si>
  <si>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</si>
  <si>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</si>
  <si>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</si>
  <si>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</si>
  <si>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</si>
  <si>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</si>
  <si>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</si>
  <si>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</si>
  <si>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</si>
  <si>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</si>
  <si>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</si>
  <si>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</si>
  <si>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</si>
  <si>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</si>
  <si>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</si>
  <si>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</si>
  <si>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</si>
  <si>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</si>
  <si>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</si>
  <si>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</si>
  <si>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</si>
  <si>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</si>
  <si>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</si>
  <si>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</si>
  <si>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</si>
  <si>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</si>
  <si>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</si>
  <si>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</si>
  <si>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</si>
  <si>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</si>
  <si>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</si>
  <si>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</si>
  <si>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</si>
  <si>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</si>
  <si>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</si>
  <si>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</si>
  <si>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</si>
  <si>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</si>
  <si>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</si>
  <si>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</si>
  <si>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</si>
  <si>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</si>
  <si>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</si>
  <si>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</si>
  <si>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</si>
  <si>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</si>
  <si>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</si>
  <si>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</si>
  <si>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</si>
  <si>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</si>
  <si>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</si>
  <si>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</si>
  <si>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</si>
  <si>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</si>
  <si>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</si>
  <si>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</si>
  <si>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</si>
  <si>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</si>
  <si>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</si>
  <si>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</si>
  <si>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</si>
  <si>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</si>
  <si>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</si>
  <si>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</si>
  <si>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</si>
  <si>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</si>
  <si>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</si>
  <si>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</si>
  <si>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</si>
  <si>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</si>
  <si>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</si>
  <si>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</si>
  <si>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</si>
  <si>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</si>
  <si>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</si>
  <si>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</si>
  <si>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</si>
  <si>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</si>
  <si>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</si>
  <si>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</si>
  <si>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</si>
  <si>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</si>
  <si>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</si>
  <si>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</si>
  <si>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</si>
  <si>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</si>
  <si>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</si>
  <si>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</si>
  <si>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</si>
  <si>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</si>
  <si>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</si>
  <si>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</si>
  <si>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</si>
  <si>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</si>
  <si>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</si>
  <si>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</si>
  <si>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</si>
  <si>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</si>
  <si>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</si>
  <si>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</si>
  <si>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</si>
  <si>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</si>
  <si>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</si>
  <si>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</si>
  <si>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</si>
  <si>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</si>
  <si>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</si>
  <si>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</si>
  <si>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</si>
  <si>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</si>
  <si>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</si>
  <si>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</si>
  <si>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</si>
  <si>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</si>
  <si>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</si>
  <si>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</si>
  <si>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</si>
  <si>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</si>
  <si>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</si>
  <si>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</si>
  <si>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</si>
  <si>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</si>
  <si>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</si>
  <si>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</si>
  <si>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</si>
  <si>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</si>
  <si>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</si>
  <si>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</si>
  <si>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</si>
  <si>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</si>
  <si>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</si>
  <si>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</si>
  <si>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</si>
  <si>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</si>
  <si>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</si>
  <si>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</si>
  <si>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</si>
  <si>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</si>
  <si>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</si>
  <si>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</si>
  <si>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</si>
  <si>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</si>
  <si>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</si>
  <si>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</si>
  <si>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</si>
  <si>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</si>
  <si>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</si>
  <si>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</si>
  <si>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</si>
  <si>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</si>
  <si>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</si>
  <si>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</si>
  <si>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</si>
  <si>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</si>
  <si>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</si>
  <si>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</si>
  <si>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</si>
  <si>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</si>
  <si>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</si>
  <si>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</si>
  <si>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</si>
  <si>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</si>
  <si>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</si>
  <si>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</si>
  <si>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</si>
  <si>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</si>
  <si>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</si>
  <si>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</si>
  <si>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</si>
  <si>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</si>
  <si>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</si>
  <si>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</si>
  <si>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</si>
  <si>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</si>
  <si>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</si>
  <si>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</si>
  <si>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</si>
  <si>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</si>
  <si>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</si>
  <si>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</si>
  <si>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</si>
  <si>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</si>
  <si>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</si>
  <si>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</si>
  <si>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</si>
  <si>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</si>
  <si>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</si>
  <si>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</si>
  <si>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</si>
  <si>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</si>
  <si>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</si>
  <si>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</si>
  <si>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</si>
  <si>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</si>
  <si>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</si>
  <si>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</si>
  <si>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</si>
  <si>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</si>
  <si>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</si>
  <si>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</si>
  <si>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</si>
  <si>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</si>
  <si>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</si>
  <si>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</si>
  <si>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</si>
  <si>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</si>
  <si>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</si>
  <si>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</si>
  <si>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</si>
  <si>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</si>
  <si>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</si>
  <si>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</si>
  <si>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</si>
  <si>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</si>
  <si>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</si>
  <si>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</si>
  <si>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</si>
  <si>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</si>
  <si>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</si>
  <si>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</si>
  <si>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</si>
  <si>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</si>
  <si>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</si>
  <si>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</si>
  <si>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</si>
  <si>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</si>
  <si>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</si>
  <si>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</si>
  <si>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</si>
  <si>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</si>
  <si>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</si>
  <si>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</si>
  <si>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</si>
  <si>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</si>
  <si>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</si>
  <si>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</si>
  <si>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</si>
  <si>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</si>
  <si>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</si>
  <si>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</si>
  <si>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</si>
  <si>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</si>
  <si>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</si>
  <si>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</si>
  <si>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</si>
  <si>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</si>
  <si>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</si>
  <si>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</si>
  <si>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</si>
  <si>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</si>
  <si>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</si>
  <si>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</si>
  <si>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</si>
  <si>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</si>
  <si>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</si>
  <si>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</si>
  <si>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</si>
  <si>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</si>
  <si>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</si>
  <si>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</si>
  <si>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</si>
  <si>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</si>
  <si>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</si>
  <si>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</si>
  <si>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</si>
  <si>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</si>
  <si>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</si>
  <si>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</si>
  <si>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</si>
  <si>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</si>
  <si>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</si>
  <si>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</si>
  <si>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</si>
  <si>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</si>
  <si>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</si>
  <si>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</si>
  <si>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</si>
  <si>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</si>
  <si>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</si>
  <si>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</si>
  <si>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</si>
  <si>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</si>
  <si>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</si>
  <si>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</si>
  <si>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</si>
  <si>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</si>
  <si>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</si>
  <si>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</si>
  <si>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</si>
  <si>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</si>
  <si>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</si>
  <si>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</si>
  <si>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</si>
  <si>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</si>
  <si>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</si>
  <si>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</si>
  <si>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</si>
  <si>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</si>
  <si>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</si>
  <si>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</si>
  <si>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</si>
  <si>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</si>
  <si>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</si>
  <si>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</si>
  <si>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</si>
  <si>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</si>
  <si>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</si>
  <si>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</si>
  <si>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</si>
  <si>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</si>
  <si>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</si>
  <si>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</si>
  <si>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</si>
  <si>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</si>
  <si>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</si>
  <si>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</si>
  <si>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</si>
  <si>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</si>
  <si>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</si>
  <si>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</si>
  <si>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</si>
  <si>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</si>
  <si>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</si>
  <si>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</si>
  <si>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</si>
  <si>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</si>
  <si>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</si>
  <si>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</si>
  <si>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</si>
  <si>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</si>
  <si>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</si>
  <si>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</si>
  <si>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</si>
  <si>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</si>
  <si>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</si>
  <si>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</si>
  <si>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</si>
  <si>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</si>
  <si>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</si>
  <si>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</si>
  <si>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</si>
  <si>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</si>
  <si>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</si>
  <si>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</si>
  <si>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</si>
  <si>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</si>
  <si>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</si>
  <si>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</si>
  <si>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</si>
  <si>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</si>
  <si>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</si>
  <si>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</si>
  <si>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</si>
  <si>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</si>
  <si>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</si>
  <si>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</si>
  <si>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</si>
  <si>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</si>
  <si>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</si>
  <si>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</si>
  <si>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</si>
  <si>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</si>
  <si>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</si>
  <si>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</si>
  <si>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</si>
  <si>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</si>
  <si>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</si>
  <si>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</si>
  <si>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</si>
  <si>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</si>
  <si>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</si>
  <si>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</si>
  <si>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</si>
  <si>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</si>
  <si>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</si>
  <si>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</si>
  <si>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</si>
  <si>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</si>
  <si>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</si>
  <si>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</si>
  <si>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</si>
  <si>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</si>
  <si>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</si>
  <si>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</si>
  <si>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</si>
  <si>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</si>
  <si>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</si>
  <si>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</si>
  <si>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</si>
  <si>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</si>
  <si>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</si>
  <si>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</si>
  <si>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</si>
  <si>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</si>
  <si>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</si>
  <si>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</si>
  <si>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</si>
  <si>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</si>
  <si>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</si>
  <si>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</si>
  <si>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</si>
  <si>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</si>
  <si>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</si>
  <si>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</si>
  <si>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</si>
  <si>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</si>
  <si>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</si>
  <si>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</si>
  <si>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</si>
  <si>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</si>
  <si>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</si>
  <si>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</si>
  <si>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</si>
  <si>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</si>
  <si>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</si>
  <si>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</si>
  <si>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</si>
  <si>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</si>
  <si>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</si>
  <si>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</si>
  <si>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</si>
  <si>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</si>
  <si>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</si>
  <si>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</si>
  <si>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</si>
  <si>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</si>
  <si>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</si>
  <si>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</si>
  <si>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</si>
  <si>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</si>
  <si>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</si>
  <si>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</si>
  <si>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</si>
  <si>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</si>
  <si>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</si>
  <si>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</si>
  <si>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</si>
  <si>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</si>
  <si>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</si>
  <si>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</si>
  <si>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</si>
  <si>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</si>
  <si>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</si>
  <si>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</si>
  <si>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</si>
  <si>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</si>
  <si>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</si>
  <si>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</si>
  <si>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</si>
  <si>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</si>
  <si>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</si>
  <si>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</si>
  <si>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</si>
  <si>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</si>
  <si>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</si>
  <si>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</si>
  <si>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</si>
  <si>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</si>
  <si>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</si>
  <si>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</si>
  <si>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</si>
  <si>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</si>
  <si>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</si>
  <si>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</si>
  <si>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</si>
  <si>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</si>
  <si>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</si>
  <si>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</si>
  <si>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</si>
  <si>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</si>
  <si>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</si>
  <si>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</si>
  <si>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</si>
  <si>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</si>
  <si>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</si>
  <si>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</si>
  <si>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</si>
  <si>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</si>
  <si>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</si>
  <si>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</si>
  <si>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</si>
  <si>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</si>
  <si>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</si>
  <si>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</si>
  <si>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</si>
  <si>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</si>
  <si>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</si>
  <si>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</si>
  <si>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</si>
  <si>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</si>
  <si>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</si>
  <si>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</si>
  <si>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</si>
  <si>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</si>
  <si>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</si>
  <si>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</si>
  <si>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</si>
  <si>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</si>
  <si>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</si>
  <si>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</si>
  <si>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</si>
  <si>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</si>
  <si>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</si>
  <si>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</si>
  <si>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</si>
  <si>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</si>
  <si>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</si>
  <si>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</si>
  <si>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</si>
  <si>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</si>
  <si>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</si>
  <si>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</si>
  <si>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</si>
  <si>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</si>
  <si>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</si>
  <si>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</si>
  <si>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</si>
  <si>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</si>
  <si>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</si>
  <si>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</si>
  <si>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</si>
  <si>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</si>
  <si>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</si>
  <si>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</si>
  <si>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</si>
  <si>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</si>
  <si>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</si>
  <si>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</si>
  <si>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</si>
  <si>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</si>
  <si>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</si>
  <si>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</si>
  <si>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</si>
  <si>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</si>
  <si>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</si>
  <si>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</si>
  <si>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</si>
  <si>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</si>
  <si>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</si>
  <si>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</si>
  <si>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</si>
  <si>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</si>
  <si>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</si>
  <si>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</si>
  <si>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</si>
  <si>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</si>
  <si>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</si>
  <si>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</si>
  <si>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</si>
  <si>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</si>
  <si>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</si>
  <si>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</si>
  <si>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</si>
  <si>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</si>
  <si>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</si>
  <si>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</si>
  <si>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</si>
  <si>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</si>
  <si>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</si>
  <si>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</si>
  <si>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</si>
  <si>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</si>
  <si>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</si>
  <si>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</si>
  <si>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</si>
  <si>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</si>
  <si>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</si>
  <si>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</si>
  <si>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</si>
  <si>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</si>
  <si>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</si>
  <si>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</si>
  <si>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</si>
  <si>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</si>
  <si>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</si>
  <si>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</si>
  <si>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</si>
  <si>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</si>
  <si>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</si>
  <si>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</si>
  <si>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</si>
  <si>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</si>
  <si>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</si>
  <si>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</si>
  <si>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</si>
  <si>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</si>
  <si>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</si>
  <si>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</si>
  <si>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</si>
  <si>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</si>
  <si>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</si>
  <si>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</si>
  <si>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</si>
  <si>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</si>
  <si>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</si>
  <si>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</si>
  <si>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</si>
  <si>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</si>
  <si>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</si>
  <si>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</si>
  <si>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</si>
  <si>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</si>
  <si>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</si>
  <si>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</si>
  <si>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</si>
  <si>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</si>
  <si>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</si>
  <si>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</si>
  <si>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</si>
  <si>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</si>
  <si>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</si>
  <si>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</si>
  <si>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</si>
  <si>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</si>
  <si>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</si>
  <si>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</si>
  <si>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</si>
  <si>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</si>
  <si>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</si>
  <si>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</si>
  <si>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</si>
  <si>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</si>
  <si>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</si>
  <si>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</si>
  <si>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</si>
  <si>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</si>
  <si>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</si>
  <si>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</si>
  <si>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</si>
  <si>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</si>
  <si>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</si>
  <si>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</si>
  <si>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</si>
  <si>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</si>
  <si>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</si>
  <si>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</si>
  <si>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</si>
  <si>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</si>
  <si>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</si>
  <si>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</si>
  <si>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</si>
  <si>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</si>
  <si>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</si>
  <si>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</si>
  <si>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</si>
  <si>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</si>
  <si>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</si>
  <si>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</si>
  <si>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</si>
  <si>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</si>
  <si>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</si>
  <si>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</si>
  <si>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</si>
  <si>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</si>
  <si>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</si>
  <si>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</si>
  <si>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</si>
  <si>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</si>
  <si>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</si>
  <si>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</si>
  <si>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</si>
  <si>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</si>
  <si>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</si>
  <si>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</si>
  <si>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</si>
  <si>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</si>
  <si>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</si>
  <si>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</si>
  <si>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</si>
  <si>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</si>
  <si>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</si>
  <si>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</si>
  <si>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</si>
  <si>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</si>
  <si>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</si>
  <si>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</si>
  <si>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</si>
  <si>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</si>
  <si>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</si>
  <si>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</si>
  <si>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</si>
  <si>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</si>
  <si>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</si>
  <si>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</si>
  <si>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</si>
  <si>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</si>
  <si>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</si>
  <si>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</si>
  <si>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</si>
  <si>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</si>
  <si>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</si>
  <si>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</si>
  <si>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</si>
  <si>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</si>
  <si>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</si>
  <si>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</si>
  <si>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</si>
  <si>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</si>
  <si>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</si>
  <si>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</si>
  <si>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</si>
  <si>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</si>
  <si>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</si>
  <si>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</si>
  <si>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</si>
  <si>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</si>
  <si>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</si>
  <si>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</si>
  <si>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</si>
  <si>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</si>
  <si>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</si>
  <si>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</si>
  <si>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</si>
  <si>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</si>
  <si>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</si>
  <si>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</si>
  <si>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</si>
  <si>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</si>
  <si>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</si>
  <si>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</si>
  <si>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</si>
  <si>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</si>
  <si>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</si>
  <si>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</si>
  <si>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</si>
  <si>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</si>
  <si>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</si>
  <si>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</si>
  <si>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</si>
  <si>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</si>
  <si>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</si>
  <si>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</si>
  <si>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</si>
  <si>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</si>
  <si>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</si>
  <si>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</si>
  <si>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</si>
  <si>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</si>
  <si>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</si>
  <si>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</si>
  <si>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</si>
  <si>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</si>
  <si>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</si>
  <si>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</si>
  <si>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</si>
  <si>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</si>
  <si>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</si>
  <si>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</si>
  <si>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</si>
  <si>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</si>
  <si>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</si>
  <si>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</si>
  <si>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</si>
  <si>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</si>
  <si>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</si>
  <si>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</si>
  <si>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</si>
  <si>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</si>
  <si>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</si>
  <si>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</si>
  <si>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</si>
  <si>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</si>
  <si>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</si>
  <si>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</si>
  <si>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</si>
  <si>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</si>
  <si>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</si>
  <si>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</si>
  <si>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</si>
  <si>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</si>
  <si>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</si>
  <si>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</si>
  <si>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</si>
  <si>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</si>
  <si>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</si>
  <si>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</si>
  <si>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</si>
  <si>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</si>
  <si>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</si>
  <si>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</si>
  <si>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</si>
  <si>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</si>
  <si>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</si>
  <si>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</si>
  <si>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</si>
  <si>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</si>
  <si>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</si>
  <si>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</si>
  <si>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</si>
  <si>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</si>
  <si>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</si>
  <si>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</si>
  <si>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</si>
  <si>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</si>
  <si>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</si>
  <si>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</si>
  <si>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</si>
  <si>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</si>
  <si>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</si>
  <si>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</si>
  <si>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</si>
  <si>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</si>
  <si>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</si>
  <si>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</si>
  <si>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</si>
  <si>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</si>
  <si>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</si>
  <si>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</si>
  <si>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</si>
  <si>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</si>
  <si>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</si>
  <si>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</si>
  <si>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</si>
  <si>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</si>
  <si>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</si>
  <si>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</si>
  <si>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</si>
  <si>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</si>
  <si>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</si>
  <si>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</si>
  <si>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</si>
  <si>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</si>
  <si>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</si>
  <si>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</si>
  <si>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</si>
  <si>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</si>
  <si>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</si>
  <si>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</si>
  <si>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</si>
  <si>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</si>
  <si>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</si>
  <si>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</si>
  <si>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</si>
  <si>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</si>
  <si>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</si>
  <si>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</si>
  <si>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</si>
  <si>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</si>
  <si>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</si>
  <si>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</si>
  <si>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</si>
  <si>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</si>
  <si>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</si>
  <si>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</si>
  <si>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</si>
  <si>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</si>
  <si>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</si>
  <si>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</si>
  <si>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</si>
  <si>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</si>
  <si>
    <t>Brand</t>
  </si>
  <si>
    <t>Canon</t>
  </si>
  <si>
    <t>Fuji</t>
  </si>
  <si>
    <t>Sony</t>
  </si>
  <si>
    <t>Samyang</t>
  </si>
  <si>
    <t>Motor</t>
  </si>
  <si>
    <t>AF</t>
  </si>
  <si>
    <t>VR</t>
  </si>
  <si>
    <t>Sigma</t>
  </si>
  <si>
    <t>Tamron</t>
  </si>
  <si>
    <t>MinMaxNumberFilter</t>
  </si>
  <si>
    <t>MultipleStringFilter</t>
  </si>
  <si>
    <t>ResultTable (According to set Filters)</t>
  </si>
  <si>
    <t>Minimal Focus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</si>
</sst>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  <numFmt numFmtId="171" formatCode="0.00&quot;m&quot;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0" fontId="1" fillId="0" borderId="0" xfId="0" applyFont="1" applyFill="1" applyAlignment="1">
      <alignment wrapText="1"/>
    </xf>
    <xf numFmtId="0" fontId="0" fillId="0" borderId="0" xfId="0" applyFill="1"/>
    <xf numFmtId="0" fontId="0" fillId="0" borderId="0" xfId="0" applyFill="1" applyAlignment="1">
      <alignment horizontal="left"/>
    </xf>
    <xf numFmtId="0" fontId="4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9" fillId="5" borderId="1" xfId="1" applyFont="1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1" fillId="0" borderId="1" xfId="0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/>
    </xf>
    <xf numFmtId="165" fontId="0" fillId="0" borderId="1" xfId="0" applyNumberFormat="1" applyFill="1" applyBorder="1" applyAlignment="1">
      <alignment horizontal="left"/>
    </xf>
    <xf numFmtId="168" fontId="1" fillId="0" borderId="1" xfId="0" applyNumberFormat="1" applyFont="1" applyFill="1" applyBorder="1" applyAlignment="1">
      <alignment horizontal="left"/>
    </xf>
    <xf numFmtId="0" fontId="0" fillId="0" borderId="1" xfId="0" applyFill="1" applyBorder="1"/>
    <xf numFmtId="171" fontId="0" fillId="0" borderId="0" xfId="0" applyNumberFormat="1"/>
    <xf numFmtId="171" fontId="1" fillId="0" borderId="1" xfId="0" applyNumberFormat="1" applyFont="1" applyFill="1" applyBorder="1" applyAlignment="1">
      <alignment horizontal="right" vertical="center"/>
    </xf>
    <xf numFmtId="0" fontId="1" fillId="0" borderId="0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center" vertical="center"/>
    </xf>
    <xf numFmtId="171" fontId="0" fillId="0" borderId="1" xfId="0" applyNumberFormat="1" applyFill="1" applyBorder="1" applyAlignment="1">
      <alignment horizontal="left"/>
    </xf>
    <xf numFmtId="164" fontId="7" fillId="0" borderId="1" xfId="0" applyNumberFormat="1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9</xdr:row>
          <xdr:rowOff>209550</xdr:rowOff>
        </xdr:from>
        <xdr:to>
          <xdr:col>5</xdr:col>
          <xdr:colOff>180975</xdr:colOff>
          <xdr:row>13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9</xdr:row>
          <xdr:rowOff>200025</xdr:rowOff>
        </xdr:from>
        <xdr:to>
          <xdr:col>1</xdr:col>
          <xdr:colOff>1876425</xdr:colOff>
          <xdr:row>13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4133850</xdr:colOff>
          <xdr:row>10</xdr:row>
          <xdr:rowOff>0</xdr:rowOff>
        </xdr:from>
        <xdr:to>
          <xdr:col>2</xdr:col>
          <xdr:colOff>752475</xdr:colOff>
          <xdr:row>13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11</xdr:row>
          <xdr:rowOff>0</xdr:rowOff>
        </xdr:from>
        <xdr:to>
          <xdr:col>1</xdr:col>
          <xdr:colOff>3971925</xdr:colOff>
          <xdr:row>13</xdr:row>
          <xdr:rowOff>19050</xdr:rowOff>
        </xdr:to>
        <xdr:sp macro="" textlink="">
          <xdr:nvSpPr>
            <xdr:cNvPr id="2052" name="Schaltfläche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python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P3645"/>
  <sheetViews>
    <sheetView workbookViewId="0">
      <selection activeCell="E8" sqref="E8"/>
    </sheetView>
  </sheetViews>
  <sheetFormatPr baseColWidth="10" defaultRowHeight="15" x14ac:dyDescent="0.25"/>
  <cols>
    <col min="1" max="1" width="3" customWidth="1"/>
    <col min="2" max="2" width="66.28515625" style="43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23.28515625" bestFit="1" customWidth="1"/>
    <col min="10" max="10" width="14" bestFit="1" customWidth="1"/>
    <col min="11" max="11" width="15.5703125" bestFit="1" customWidth="1"/>
    <col min="12" max="12" width="14.42578125" bestFit="1" customWidth="1"/>
    <col min="13" max="13" width="16.85546875" bestFit="1" customWidth="1"/>
    <col min="14" max="14" width="13.85546875" bestFit="1" customWidth="1"/>
    <col min="15" max="15" width="7.7109375" bestFit="1" customWidth="1"/>
    <col min="16" max="16" width="9.28515625" bestFit="1" customWidth="1"/>
    <col min="17" max="17" width="5.85546875" bestFit="1" customWidth="1"/>
    <col min="18" max="18" width="12.28515625" bestFit="1" customWidth="1"/>
    <col min="19" max="19" width="9.28515625" bestFit="1" customWidth="1"/>
    <col min="20" max="21" width="5" customWidth="1"/>
    <col min="22" max="22" width="12" customWidth="1"/>
    <col min="23" max="24" width="5" customWidth="1"/>
    <col min="25" max="25" width="6" customWidth="1"/>
    <col min="26" max="27" width="5" customWidth="1"/>
    <col min="28" max="28" width="4" customWidth="1"/>
    <col min="29" max="36" width="5" customWidth="1"/>
    <col min="37" max="37" width="4" customWidth="1"/>
    <col min="38" max="39" width="5" customWidth="1"/>
    <col min="40" max="41" width="4" customWidth="1"/>
    <col min="42" max="42" width="2" customWidth="1"/>
    <col min="43" max="43" width="6.28515625" customWidth="1"/>
    <col min="44" max="44" width="15.5703125" customWidth="1"/>
    <col min="45" max="45" width="44.140625" customWidth="1"/>
    <col min="46" max="46" width="35.85546875" customWidth="1"/>
    <col min="47" max="47" width="42.28515625" customWidth="1"/>
    <col min="48" max="48" width="38.85546875" customWidth="1"/>
    <col min="49" max="49" width="45.140625" customWidth="1"/>
    <col min="50" max="50" width="29" customWidth="1"/>
    <col min="51" max="51" width="35.28515625" customWidth="1"/>
    <col min="52" max="52" width="40.42578125" customWidth="1"/>
    <col min="53" max="53" width="46.7109375" bestFit="1" customWidth="1"/>
    <col min="54" max="54" width="33.5703125" bestFit="1" customWidth="1"/>
    <col min="55" max="55" width="39.85546875" customWidth="1"/>
    <col min="56" max="56" width="32.42578125" customWidth="1"/>
    <col min="57" max="57" width="38.85546875" customWidth="1"/>
    <col min="58" max="58" width="33.42578125" customWidth="1"/>
    <col min="59" max="59" width="39.7109375" customWidth="1"/>
    <col min="60" max="60" width="34.5703125" customWidth="1"/>
    <col min="61" max="61" width="40.85546875" customWidth="1"/>
    <col min="62" max="62" width="36.140625" customWidth="1"/>
    <col min="63" max="63" width="42.5703125" customWidth="1"/>
    <col min="64" max="64" width="35.7109375" customWidth="1"/>
    <col min="65" max="65" width="42.140625" customWidth="1"/>
    <col min="66" max="66" width="32.28515625" customWidth="1"/>
    <col min="67" max="67" width="38.7109375" customWidth="1"/>
    <col min="68" max="68" width="33" customWidth="1"/>
    <col min="69" max="69" width="39.42578125" bestFit="1" customWidth="1"/>
    <col min="70" max="70" width="28.42578125" customWidth="1"/>
    <col min="71" max="71" width="34.7109375" customWidth="1"/>
    <col min="72" max="72" width="30" customWidth="1"/>
    <col min="73" max="73" width="36.28515625" customWidth="1"/>
    <col min="74" max="74" width="40.85546875" customWidth="1"/>
    <col min="75" max="75" width="47.28515625" customWidth="1"/>
    <col min="76" max="76" width="32" customWidth="1"/>
    <col min="77" max="77" width="38.42578125" customWidth="1"/>
    <col min="78" max="78" width="33.7109375" customWidth="1"/>
    <col min="79" max="79" width="40" customWidth="1"/>
    <col min="80" max="80" width="37.42578125" customWidth="1"/>
    <col min="81" max="81" width="43.85546875" customWidth="1"/>
    <col min="82" max="82" width="28.42578125" customWidth="1"/>
    <col min="83" max="83" width="34.7109375" customWidth="1"/>
    <col min="84" max="84" width="28.42578125" customWidth="1"/>
    <col min="85" max="85" width="34.7109375" customWidth="1"/>
    <col min="86" max="86" width="37" customWidth="1"/>
    <col min="87" max="87" width="43.42578125" customWidth="1"/>
    <col min="88" max="88" width="27.85546875" customWidth="1"/>
    <col min="89" max="89" width="34.28515625" customWidth="1"/>
    <col min="90" max="90" width="25.5703125" customWidth="1"/>
    <col min="91" max="91" width="32" customWidth="1"/>
    <col min="92" max="92" width="36.28515625" customWidth="1"/>
    <col min="93" max="93" width="42.7109375" customWidth="1"/>
    <col min="94" max="94" width="30" customWidth="1"/>
    <col min="95" max="95" width="36.28515625" customWidth="1"/>
    <col min="96" max="96" width="32.85546875" customWidth="1"/>
    <col min="97" max="97" width="39.28515625" customWidth="1"/>
    <col min="98" max="98" width="25.5703125" customWidth="1"/>
    <col min="99" max="99" width="32" customWidth="1"/>
    <col min="100" max="100" width="28.42578125" customWidth="1"/>
    <col min="101" max="101" width="34.7109375" bestFit="1" customWidth="1"/>
    <col min="102" max="102" width="34.28515625" bestFit="1" customWidth="1"/>
    <col min="103" max="103" width="40.5703125" bestFit="1" customWidth="1"/>
    <col min="104" max="104" width="32.28515625" customWidth="1"/>
    <col min="105" max="105" width="38.7109375" customWidth="1"/>
    <col min="106" max="106" width="32.5703125" customWidth="1"/>
    <col min="107" max="107" width="39" bestFit="1" customWidth="1"/>
    <col min="108" max="108" width="32.28515625" customWidth="1"/>
    <col min="109" max="109" width="38.7109375" customWidth="1"/>
    <col min="110" max="110" width="25.5703125" customWidth="1"/>
    <col min="111" max="111" width="32" customWidth="1"/>
    <col min="112" max="112" width="25.5703125" customWidth="1"/>
    <col min="113" max="113" width="32" customWidth="1"/>
    <col min="114" max="114" width="39.42578125" customWidth="1"/>
    <col min="115" max="115" width="45.7109375" bestFit="1" customWidth="1"/>
    <col min="116" max="116" width="25.5703125" customWidth="1"/>
    <col min="117" max="117" width="32" customWidth="1"/>
    <col min="118" max="118" width="32.5703125" customWidth="1"/>
    <col min="119" max="119" width="39" customWidth="1"/>
    <col min="120" max="120" width="30.7109375" customWidth="1"/>
    <col min="121" max="121" width="37.140625" customWidth="1"/>
    <col min="122" max="122" width="34.140625" customWidth="1"/>
    <col min="123" max="123" width="40.42578125" customWidth="1"/>
    <col min="124" max="124" width="37" customWidth="1"/>
    <col min="125" max="125" width="43.42578125" customWidth="1"/>
    <col min="126" max="126" width="36.7109375" customWidth="1"/>
    <col min="127" max="127" width="43.140625" customWidth="1"/>
    <col min="128" max="128" width="37.42578125" customWidth="1"/>
    <col min="129" max="129" width="43.85546875" customWidth="1"/>
    <col min="130" max="130" width="33.5703125" customWidth="1"/>
    <col min="131" max="131" width="39.85546875" bestFit="1" customWidth="1"/>
    <col min="132" max="132" width="39.28515625" customWidth="1"/>
    <col min="133" max="133" width="45.5703125" customWidth="1"/>
    <col min="134" max="134" width="34.28515625" customWidth="1"/>
    <col min="135" max="135" width="40.5703125" customWidth="1"/>
    <col min="136" max="136" width="38.5703125" customWidth="1"/>
    <col min="137" max="137" width="44.85546875" customWidth="1"/>
    <col min="138" max="138" width="40.5703125" bestFit="1" customWidth="1"/>
    <col min="139" max="139" width="47" customWidth="1"/>
    <col min="140" max="140" width="25.5703125" customWidth="1"/>
    <col min="141" max="141" width="32" customWidth="1"/>
    <col min="142" max="142" width="25.5703125" customWidth="1"/>
    <col min="143" max="143" width="32" customWidth="1"/>
    <col min="144" max="144" width="36.5703125" customWidth="1"/>
    <col min="145" max="145" width="43" customWidth="1"/>
    <col min="146" max="146" width="34.85546875" customWidth="1"/>
    <col min="147" max="147" width="41.140625" customWidth="1"/>
    <col min="148" max="148" width="38.28515625" customWidth="1"/>
    <col min="149" max="149" width="44.7109375" customWidth="1"/>
    <col min="150" max="150" width="40.42578125" customWidth="1"/>
    <col min="151" max="151" width="46.7109375" customWidth="1"/>
    <col min="152" max="152" width="36.42578125" customWidth="1"/>
    <col min="153" max="153" width="42.85546875" bestFit="1" customWidth="1"/>
    <col min="154" max="154" width="41.42578125" customWidth="1"/>
    <col min="155" max="155" width="47.85546875" customWidth="1"/>
    <col min="156" max="156" width="41.42578125" customWidth="1"/>
    <col min="157" max="157" width="47.85546875" customWidth="1"/>
    <col min="158" max="158" width="43" customWidth="1"/>
    <col min="159" max="159" width="49.42578125" bestFit="1" customWidth="1"/>
    <col min="160" max="160" width="41.42578125" customWidth="1"/>
    <col min="161" max="161" width="47.85546875" customWidth="1"/>
    <col min="162" max="162" width="41.42578125" customWidth="1"/>
    <col min="163" max="163" width="47.85546875" customWidth="1"/>
    <col min="164" max="164" width="39.140625" customWidth="1"/>
    <col min="165" max="165" width="45.42578125" customWidth="1"/>
    <col min="166" max="166" width="37.5703125" customWidth="1"/>
    <col min="167" max="167" width="44" customWidth="1"/>
    <col min="168" max="168" width="39.28515625" bestFit="1" customWidth="1"/>
    <col min="169" max="169" width="45.5703125" customWidth="1"/>
    <col min="170" max="170" width="39.85546875" customWidth="1"/>
    <col min="171" max="171" width="46.140625" customWidth="1"/>
    <col min="172" max="172" width="28.5703125" customWidth="1"/>
    <col min="173" max="173" width="34.85546875" customWidth="1"/>
    <col min="174" max="174" width="34.28515625" customWidth="1"/>
    <col min="175" max="175" width="40.5703125" customWidth="1"/>
    <col min="176" max="176" width="43.85546875" customWidth="1"/>
    <col min="177" max="177" width="50.140625" customWidth="1"/>
    <col min="178" max="178" width="36.85546875" customWidth="1"/>
    <col min="179" max="179" width="43.28515625" customWidth="1"/>
    <col min="180" max="180" width="41.42578125" customWidth="1"/>
    <col min="181" max="181" width="47.85546875" customWidth="1"/>
    <col min="182" max="182" width="41.42578125" customWidth="1"/>
    <col min="183" max="183" width="47.85546875" bestFit="1" customWidth="1"/>
    <col min="184" max="184" width="34.28515625" customWidth="1"/>
    <col min="185" max="185" width="40.5703125" bestFit="1" customWidth="1"/>
    <col min="186" max="186" width="21.7109375" customWidth="1"/>
    <col min="187" max="187" width="28.140625" customWidth="1"/>
    <col min="188" max="188" width="28.28515625" customWidth="1"/>
    <col min="189" max="189" width="34.5703125" customWidth="1"/>
    <col min="190" max="190" width="34" customWidth="1"/>
    <col min="191" max="191" width="40.28515625" customWidth="1"/>
    <col min="192" max="192" width="31.140625" customWidth="1"/>
    <col min="193" max="193" width="37.5703125" customWidth="1"/>
    <col min="194" max="194" width="26.28515625" customWidth="1"/>
    <col min="195" max="195" width="32.7109375" customWidth="1"/>
    <col min="196" max="196" width="28.85546875" customWidth="1"/>
    <col min="197" max="197" width="35.140625" customWidth="1"/>
    <col min="198" max="198" width="39.28515625" customWidth="1"/>
    <col min="199" max="199" width="45.5703125" bestFit="1" customWidth="1"/>
    <col min="200" max="200" width="33.140625" customWidth="1"/>
    <col min="201" max="201" width="39.5703125" customWidth="1"/>
    <col min="202" max="202" width="32.140625" customWidth="1"/>
    <col min="203" max="203" width="38.5703125" customWidth="1"/>
    <col min="204" max="204" width="32.140625" customWidth="1"/>
    <col min="205" max="205" width="38.5703125" customWidth="1"/>
    <col min="206" max="206" width="33" customWidth="1"/>
    <col min="207" max="207" width="39.42578125" customWidth="1"/>
    <col min="208" max="208" width="32.140625" customWidth="1"/>
    <col min="209" max="209" width="38.5703125" customWidth="1"/>
    <col min="210" max="210" width="29.42578125" customWidth="1"/>
    <col min="211" max="211" width="35.7109375" bestFit="1" customWidth="1"/>
    <col min="212" max="212" width="35.5703125" customWidth="1"/>
    <col min="213" max="213" width="42" bestFit="1" customWidth="1"/>
    <col min="214" max="214" width="35" customWidth="1"/>
    <col min="215" max="215" width="41.28515625" bestFit="1" customWidth="1"/>
    <col min="216" max="216" width="44.140625" customWidth="1"/>
    <col min="217" max="217" width="50.42578125" customWidth="1"/>
    <col min="218" max="218" width="33.85546875" bestFit="1" customWidth="1"/>
    <col min="219" max="219" width="40.140625" customWidth="1"/>
    <col min="220" max="220" width="35.42578125" customWidth="1"/>
    <col min="221" max="221" width="41.85546875" customWidth="1"/>
    <col min="222" max="222" width="35.7109375" bestFit="1" customWidth="1"/>
    <col min="223" max="223" width="42.140625" customWidth="1"/>
    <col min="224" max="224" width="36.7109375" customWidth="1"/>
    <col min="225" max="225" width="43.140625" customWidth="1"/>
    <col min="226" max="226" width="37.42578125" customWidth="1"/>
    <col min="227" max="227" width="43.85546875" customWidth="1"/>
    <col min="228" max="228" width="34.7109375" customWidth="1"/>
    <col min="229" max="229" width="41" bestFit="1" customWidth="1"/>
    <col min="230" max="230" width="46.5703125" customWidth="1"/>
    <col min="231" max="231" width="53" customWidth="1"/>
    <col min="232" max="232" width="36.28515625" customWidth="1"/>
    <col min="233" max="233" width="42.7109375" customWidth="1"/>
    <col min="234" max="234" width="31.140625" customWidth="1"/>
    <col min="235" max="235" width="37.5703125" customWidth="1"/>
    <col min="236" max="236" width="32.85546875" customWidth="1"/>
    <col min="237" max="237" width="39.28515625" customWidth="1"/>
    <col min="238" max="238" width="39.7109375" bestFit="1" customWidth="1"/>
    <col min="239" max="239" width="46" customWidth="1"/>
    <col min="240" max="240" width="31.140625" customWidth="1"/>
    <col min="241" max="241" width="37.5703125" customWidth="1"/>
    <col min="242" max="242" width="35.85546875" bestFit="1" customWidth="1"/>
    <col min="243" max="243" width="42.28515625" customWidth="1"/>
    <col min="244" max="244" width="41.7109375" customWidth="1"/>
    <col min="245" max="245" width="48.140625" bestFit="1" customWidth="1"/>
    <col min="246" max="246" width="37.85546875" customWidth="1"/>
    <col min="247" max="247" width="44.28515625" bestFit="1" customWidth="1"/>
    <col min="248" max="248" width="41.5703125" customWidth="1"/>
    <col min="249" max="249" width="48" bestFit="1" customWidth="1"/>
    <col min="250" max="250" width="37.28515625" customWidth="1"/>
    <col min="251" max="251" width="43.7109375" bestFit="1" customWidth="1"/>
    <col min="252" max="252" width="38.85546875" bestFit="1" customWidth="1"/>
    <col min="253" max="253" width="45.140625" bestFit="1" customWidth="1"/>
    <col min="254" max="254" width="40" customWidth="1"/>
    <col min="255" max="255" width="46.28515625" customWidth="1"/>
    <col min="256" max="256" width="44.140625" customWidth="1"/>
    <col min="257" max="257" width="50.42578125" customWidth="1"/>
    <col min="258" max="258" width="40.28515625" customWidth="1"/>
    <col min="259" max="259" width="46.5703125" customWidth="1"/>
    <col min="260" max="260" width="39.85546875" customWidth="1"/>
    <col min="261" max="261" width="46.140625" customWidth="1"/>
    <col min="262" max="262" width="34.140625" customWidth="1"/>
    <col min="263" max="263" width="40.42578125" customWidth="1"/>
    <col min="264" max="264" width="39.42578125" bestFit="1" customWidth="1"/>
    <col min="265" max="265" width="45.7109375" customWidth="1"/>
    <col min="266" max="266" width="38" customWidth="1"/>
    <col min="267" max="267" width="44.42578125" customWidth="1"/>
    <col min="268" max="268" width="44.140625" bestFit="1" customWidth="1"/>
    <col min="269" max="269" width="50.42578125" bestFit="1" customWidth="1"/>
    <col min="270" max="270" width="35.85546875" customWidth="1"/>
    <col min="271" max="271" width="42.28515625" bestFit="1" customWidth="1"/>
    <col min="272" max="272" width="38.28515625" customWidth="1"/>
    <col min="273" max="273" width="44.7109375" bestFit="1" customWidth="1"/>
    <col min="274" max="274" width="28.28515625" customWidth="1"/>
    <col min="275" max="275" width="34.5703125" customWidth="1"/>
    <col min="276" max="276" width="31.140625" customWidth="1"/>
    <col min="277" max="277" width="37.5703125" customWidth="1"/>
    <col min="278" max="278" width="42.85546875" bestFit="1" customWidth="1"/>
    <col min="279" max="279" width="49.28515625" bestFit="1" customWidth="1"/>
    <col min="280" max="280" width="35.85546875" customWidth="1"/>
    <col min="281" max="281" width="42.28515625" bestFit="1" customWidth="1"/>
    <col min="282" max="282" width="37.28515625" customWidth="1"/>
    <col min="283" max="283" width="43.7109375" bestFit="1" customWidth="1"/>
    <col min="284" max="284" width="34.85546875" customWidth="1"/>
    <col min="285" max="285" width="41.140625" customWidth="1"/>
    <col min="286" max="286" width="33.140625" customWidth="1"/>
    <col min="287" max="287" width="39.5703125" customWidth="1"/>
    <col min="288" max="288" width="30.5703125" customWidth="1"/>
    <col min="289" max="289" width="37" customWidth="1"/>
    <col min="290" max="290" width="32.85546875" customWidth="1"/>
    <col min="291" max="291" width="39.28515625" customWidth="1"/>
    <col min="292" max="292" width="33.5703125" customWidth="1"/>
    <col min="293" max="293" width="39.85546875" customWidth="1"/>
    <col min="294" max="294" width="34.140625" customWidth="1"/>
    <col min="295" max="295" width="40.42578125" customWidth="1"/>
    <col min="296" max="296" width="34.7109375" customWidth="1"/>
    <col min="297" max="297" width="41" customWidth="1"/>
    <col min="298" max="298" width="34.140625" customWidth="1"/>
    <col min="299" max="299" width="40.42578125" customWidth="1"/>
    <col min="300" max="300" width="37.85546875" customWidth="1"/>
    <col min="301" max="301" width="44.28515625" customWidth="1"/>
    <col min="302" max="302" width="34.140625" customWidth="1"/>
    <col min="303" max="303" width="40.42578125" customWidth="1"/>
    <col min="304" max="304" width="28.42578125" customWidth="1"/>
    <col min="305" max="305" width="34.7109375" customWidth="1"/>
    <col min="306" max="306" width="26.85546875" customWidth="1"/>
    <col min="307" max="307" width="33.28515625" customWidth="1"/>
    <col min="308" max="308" width="43.85546875" customWidth="1"/>
    <col min="309" max="309" width="50.140625" bestFit="1" customWidth="1"/>
    <col min="310" max="310" width="34.140625" customWidth="1"/>
    <col min="311" max="311" width="40.42578125" customWidth="1"/>
    <col min="312" max="312" width="40.42578125" bestFit="1" customWidth="1"/>
    <col min="313" max="313" width="46.7109375" bestFit="1" customWidth="1"/>
    <col min="314" max="314" width="38.140625" bestFit="1" customWidth="1"/>
    <col min="315" max="315" width="44.5703125" bestFit="1" customWidth="1"/>
    <col min="316" max="316" width="34.28515625" bestFit="1" customWidth="1"/>
    <col min="317" max="318" width="40.5703125" bestFit="1" customWidth="1"/>
    <col min="319" max="319" width="47" bestFit="1" customWidth="1"/>
    <col min="320" max="320" width="28.7109375" bestFit="1" customWidth="1"/>
    <col min="321" max="321" width="35" bestFit="1" customWidth="1"/>
    <col min="322" max="322" width="30.140625" bestFit="1" customWidth="1"/>
    <col min="323" max="323" width="36.42578125" bestFit="1" customWidth="1"/>
    <col min="324" max="324" width="44.7109375" bestFit="1" customWidth="1"/>
    <col min="325" max="325" width="51" bestFit="1" customWidth="1"/>
    <col min="326" max="326" width="37.42578125" bestFit="1" customWidth="1"/>
    <col min="327" max="327" width="43.85546875" bestFit="1" customWidth="1"/>
    <col min="328" max="328" width="33" bestFit="1" customWidth="1"/>
    <col min="329" max="329" width="39.42578125" bestFit="1" customWidth="1"/>
    <col min="330" max="330" width="29.85546875" bestFit="1" customWidth="1"/>
    <col min="331" max="331" width="36.140625" bestFit="1" customWidth="1"/>
    <col min="332" max="332" width="30.140625" bestFit="1" customWidth="1"/>
    <col min="333" max="333" width="36.42578125" bestFit="1" customWidth="1"/>
    <col min="334" max="334" width="34.140625" bestFit="1" customWidth="1"/>
    <col min="335" max="335" width="40.42578125" bestFit="1" customWidth="1"/>
    <col min="336" max="336" width="30.85546875" bestFit="1" customWidth="1"/>
    <col min="337" max="337" width="37.28515625" bestFit="1" customWidth="1"/>
    <col min="338" max="338" width="28.7109375" bestFit="1" customWidth="1"/>
    <col min="339" max="339" width="35" bestFit="1" customWidth="1"/>
    <col min="340" max="340" width="37.7109375" bestFit="1" customWidth="1"/>
    <col min="341" max="341" width="44.140625" bestFit="1" customWidth="1"/>
    <col min="342" max="342" width="29.85546875" bestFit="1" customWidth="1"/>
    <col min="343" max="343" width="36.140625" bestFit="1" customWidth="1"/>
    <col min="344" max="344" width="29.7109375" bestFit="1" customWidth="1"/>
    <col min="345" max="345" width="36" bestFit="1" customWidth="1"/>
    <col min="346" max="346" width="28.7109375" bestFit="1" customWidth="1"/>
    <col min="347" max="347" width="35" bestFit="1" customWidth="1"/>
    <col min="348" max="348" width="31.140625" bestFit="1" customWidth="1"/>
    <col min="349" max="349" width="37.5703125" bestFit="1" customWidth="1"/>
    <col min="350" max="350" width="28.7109375" bestFit="1" customWidth="1"/>
    <col min="351" max="351" width="35" bestFit="1" customWidth="1"/>
    <col min="352" max="352" width="33.85546875" bestFit="1" customWidth="1"/>
    <col min="353" max="353" width="40.140625" bestFit="1" customWidth="1"/>
    <col min="354" max="354" width="29.85546875" bestFit="1" customWidth="1"/>
    <col min="355" max="355" width="36.140625" bestFit="1" customWidth="1"/>
    <col min="356" max="356" width="34.42578125" bestFit="1" customWidth="1"/>
    <col min="357" max="357" width="40.7109375" bestFit="1" customWidth="1"/>
    <col min="358" max="358" width="28.7109375" bestFit="1" customWidth="1"/>
    <col min="359" max="359" width="35" bestFit="1" customWidth="1"/>
    <col min="360" max="360" width="28.42578125" bestFit="1" customWidth="1"/>
    <col min="361" max="361" width="34.7109375" bestFit="1" customWidth="1"/>
    <col min="362" max="362" width="32.140625" bestFit="1" customWidth="1"/>
    <col min="363" max="363" width="38.5703125" bestFit="1" customWidth="1"/>
    <col min="364" max="364" width="28.7109375" bestFit="1" customWidth="1"/>
    <col min="365" max="365" width="35" bestFit="1" customWidth="1"/>
    <col min="366" max="366" width="28.7109375" bestFit="1" customWidth="1"/>
    <col min="367" max="367" width="35" bestFit="1" customWidth="1"/>
    <col min="368" max="368" width="38" bestFit="1" customWidth="1"/>
    <col min="369" max="369" width="44.42578125" bestFit="1" customWidth="1"/>
    <col min="370" max="370" width="38" bestFit="1" customWidth="1"/>
    <col min="371" max="371" width="44.42578125" bestFit="1" customWidth="1"/>
    <col min="372" max="372" width="41.85546875" bestFit="1" customWidth="1"/>
    <col min="373" max="373" width="48.28515625" bestFit="1" customWidth="1"/>
    <col min="374" max="374" width="44.5703125" bestFit="1" customWidth="1"/>
    <col min="375" max="375" width="50.85546875" bestFit="1" customWidth="1"/>
    <col min="376" max="376" width="44.5703125" bestFit="1" customWidth="1"/>
    <col min="377" max="377" width="50.85546875" bestFit="1" customWidth="1"/>
    <col min="378" max="378" width="36.140625" bestFit="1" customWidth="1"/>
    <col min="379" max="379" width="42.5703125" bestFit="1" customWidth="1"/>
    <col min="380" max="380" width="37.85546875" bestFit="1" customWidth="1"/>
    <col min="381" max="381" width="44.28515625" bestFit="1" customWidth="1"/>
    <col min="382" max="382" width="30.7109375" bestFit="1" customWidth="1"/>
    <col min="383" max="383" width="37.140625" bestFit="1" customWidth="1"/>
    <col min="384" max="384" width="36.85546875" bestFit="1" customWidth="1"/>
    <col min="385" max="385" width="43.28515625" bestFit="1" customWidth="1"/>
    <col min="386" max="386" width="31" bestFit="1" customWidth="1"/>
    <col min="387" max="387" width="37.42578125" bestFit="1" customWidth="1"/>
    <col min="388" max="388" width="32" bestFit="1" customWidth="1"/>
    <col min="389" max="389" width="38.42578125" bestFit="1" customWidth="1"/>
    <col min="390" max="390" width="32" bestFit="1" customWidth="1"/>
    <col min="391" max="391" width="38.42578125" bestFit="1" customWidth="1"/>
    <col min="392" max="392" width="35" bestFit="1" customWidth="1"/>
    <col min="393" max="393" width="41.28515625" bestFit="1" customWidth="1"/>
    <col min="394" max="394" width="37.42578125" bestFit="1" customWidth="1"/>
    <col min="395" max="395" width="43.85546875" bestFit="1" customWidth="1"/>
    <col min="396" max="396" width="44.7109375" bestFit="1" customWidth="1"/>
    <col min="397" max="397" width="51" bestFit="1" customWidth="1"/>
    <col min="398" max="398" width="34.5703125" bestFit="1" customWidth="1"/>
    <col min="399" max="399" width="40.85546875" bestFit="1" customWidth="1"/>
    <col min="400" max="401" width="38.5703125" bestFit="1" customWidth="1"/>
    <col min="402" max="402" width="44.85546875" bestFit="1" customWidth="1"/>
    <col min="403" max="403" width="38.5703125" bestFit="1" customWidth="1"/>
    <col min="404" max="404" width="44.85546875" bestFit="1" customWidth="1"/>
    <col min="405" max="405" width="37.140625" bestFit="1" customWidth="1"/>
    <col min="406" max="406" width="43.5703125" bestFit="1" customWidth="1"/>
    <col min="407" max="407" width="37.28515625" bestFit="1" customWidth="1"/>
    <col min="408" max="408" width="43.7109375" bestFit="1" customWidth="1"/>
    <col min="409" max="409" width="28.42578125" bestFit="1" customWidth="1"/>
    <col min="410" max="410" width="34.7109375" bestFit="1" customWidth="1"/>
    <col min="411" max="411" width="35.42578125" bestFit="1" customWidth="1"/>
    <col min="412" max="412" width="41.85546875" bestFit="1" customWidth="1"/>
    <col min="413" max="413" width="38.28515625" bestFit="1" customWidth="1"/>
    <col min="414" max="414" width="44.7109375" bestFit="1" customWidth="1"/>
    <col min="415" max="415" width="34.42578125" bestFit="1" customWidth="1"/>
    <col min="416" max="416" width="40.7109375" bestFit="1" customWidth="1"/>
    <col min="417" max="417" width="35.5703125" bestFit="1" customWidth="1"/>
    <col min="418" max="418" width="42" bestFit="1" customWidth="1"/>
    <col min="419" max="419" width="41.5703125" bestFit="1" customWidth="1"/>
    <col min="420" max="420" width="48" bestFit="1" customWidth="1"/>
    <col min="421" max="421" width="42.140625" bestFit="1" customWidth="1"/>
    <col min="422" max="422" width="48.5703125" bestFit="1" customWidth="1"/>
    <col min="423" max="423" width="35.42578125" bestFit="1" customWidth="1"/>
    <col min="424" max="424" width="41.85546875" bestFit="1" customWidth="1"/>
    <col min="425" max="425" width="31.140625" bestFit="1" customWidth="1"/>
    <col min="426" max="426" width="37.5703125" bestFit="1" customWidth="1"/>
    <col min="427" max="427" width="39.42578125" bestFit="1" customWidth="1"/>
    <col min="428" max="428" width="45.7109375" bestFit="1" customWidth="1"/>
    <col min="429" max="429" width="38.140625" bestFit="1" customWidth="1"/>
    <col min="430" max="430" width="44.5703125" bestFit="1" customWidth="1"/>
    <col min="431" max="431" width="32.5703125" bestFit="1" customWidth="1"/>
    <col min="432" max="432" width="39" bestFit="1" customWidth="1"/>
    <col min="433" max="433" width="38.85546875" bestFit="1" customWidth="1"/>
    <col min="434" max="434" width="45.140625" bestFit="1" customWidth="1"/>
    <col min="435" max="435" width="29.28515625" bestFit="1" customWidth="1"/>
    <col min="436" max="436" width="35.5703125" bestFit="1" customWidth="1"/>
    <col min="437" max="437" width="31.28515625" bestFit="1" customWidth="1"/>
    <col min="438" max="438" width="37.7109375" bestFit="1" customWidth="1"/>
    <col min="439" max="439" width="33.85546875" bestFit="1" customWidth="1"/>
    <col min="440" max="440" width="40.140625" bestFit="1" customWidth="1"/>
    <col min="441" max="441" width="32" bestFit="1" customWidth="1"/>
    <col min="442" max="442" width="38.42578125" bestFit="1" customWidth="1"/>
    <col min="443" max="443" width="35.7109375" bestFit="1" customWidth="1"/>
    <col min="444" max="444" width="42.140625" bestFit="1" customWidth="1"/>
    <col min="445" max="445" width="32.5703125" bestFit="1" customWidth="1"/>
    <col min="446" max="446" width="39" bestFit="1" customWidth="1"/>
    <col min="447" max="447" width="32.5703125" bestFit="1" customWidth="1"/>
    <col min="448" max="448" width="39" bestFit="1" customWidth="1"/>
    <col min="449" max="449" width="30.5703125" bestFit="1" customWidth="1"/>
    <col min="450" max="450" width="37" bestFit="1" customWidth="1"/>
    <col min="451" max="451" width="34.28515625" bestFit="1" customWidth="1"/>
    <col min="452" max="452" width="40.5703125" bestFit="1" customWidth="1"/>
    <col min="453" max="453" width="23.28515625" bestFit="1" customWidth="1"/>
    <col min="454" max="454" width="29.5703125" bestFit="1" customWidth="1"/>
    <col min="455" max="455" width="26.7109375" bestFit="1" customWidth="1"/>
    <col min="456" max="456" width="33.140625" bestFit="1" customWidth="1"/>
    <col min="457" max="457" width="31.85546875" bestFit="1" customWidth="1"/>
    <col min="458" max="458" width="38.28515625" bestFit="1" customWidth="1"/>
    <col min="459" max="459" width="27.5703125" bestFit="1" customWidth="1"/>
    <col min="460" max="460" width="34" bestFit="1" customWidth="1"/>
    <col min="461" max="461" width="24.140625" bestFit="1" customWidth="1"/>
    <col min="462" max="462" width="30.42578125" bestFit="1" customWidth="1"/>
    <col min="463" max="463" width="33.140625" bestFit="1" customWidth="1"/>
    <col min="464" max="464" width="39.5703125" bestFit="1" customWidth="1"/>
    <col min="465" max="465" width="23.28515625" bestFit="1" customWidth="1"/>
    <col min="466" max="466" width="29.5703125" bestFit="1" customWidth="1"/>
    <col min="467" max="467" width="31.42578125" bestFit="1" customWidth="1"/>
    <col min="468" max="468" width="37.85546875" bestFit="1" customWidth="1"/>
    <col min="469" max="469" width="34" bestFit="1" customWidth="1"/>
    <col min="470" max="470" width="40.28515625" bestFit="1" customWidth="1"/>
    <col min="471" max="471" width="23.28515625" bestFit="1" customWidth="1"/>
    <col min="472" max="472" width="29.5703125" bestFit="1" customWidth="1"/>
    <col min="473" max="473" width="39.28515625" bestFit="1" customWidth="1"/>
    <col min="474" max="474" width="45.5703125" bestFit="1" customWidth="1"/>
    <col min="475" max="475" width="21.28515625" bestFit="1" customWidth="1"/>
    <col min="476" max="476" width="27.7109375" bestFit="1" customWidth="1"/>
    <col min="477" max="477" width="26.7109375" bestFit="1" customWidth="1"/>
    <col min="478" max="478" width="33.140625" bestFit="1" customWidth="1"/>
    <col min="479" max="479" width="24.140625" bestFit="1" customWidth="1"/>
    <col min="480" max="480" width="30.42578125" bestFit="1" customWidth="1"/>
    <col min="481" max="481" width="35.42578125" bestFit="1" customWidth="1"/>
    <col min="482" max="482" width="41.85546875" bestFit="1" customWidth="1"/>
    <col min="483" max="483" width="25.85546875" bestFit="1" customWidth="1"/>
    <col min="484" max="484" width="32.28515625" bestFit="1" customWidth="1"/>
    <col min="485" max="485" width="24" bestFit="1" customWidth="1"/>
    <col min="486" max="486" width="30.28515625" bestFit="1" customWidth="1"/>
    <col min="487" max="487" width="24" bestFit="1" customWidth="1"/>
    <col min="488" max="488" width="30.28515625" bestFit="1" customWidth="1"/>
    <col min="489" max="489" width="24" bestFit="1" customWidth="1"/>
    <col min="490" max="490" width="30.28515625" bestFit="1" customWidth="1"/>
    <col min="491" max="491" width="24" bestFit="1" customWidth="1"/>
    <col min="492" max="492" width="30.28515625" bestFit="1" customWidth="1"/>
    <col min="493" max="493" width="22.28515625" bestFit="1" customWidth="1"/>
    <col min="494" max="494" width="28.7109375" bestFit="1" customWidth="1"/>
    <col min="495" max="495" width="22.28515625" bestFit="1" customWidth="1"/>
    <col min="496" max="496" width="28.7109375" bestFit="1" customWidth="1"/>
    <col min="497" max="497" width="22.28515625" bestFit="1" customWidth="1"/>
    <col min="498" max="498" width="28.7109375" bestFit="1" customWidth="1"/>
    <col min="499" max="499" width="24" bestFit="1" customWidth="1"/>
    <col min="500" max="500" width="30.28515625" bestFit="1" customWidth="1"/>
    <col min="501" max="501" width="27.7109375" bestFit="1" customWidth="1"/>
    <col min="502" max="502" width="34.140625" bestFit="1" customWidth="1"/>
    <col min="503" max="503" width="26.7109375" bestFit="1" customWidth="1"/>
    <col min="504" max="504" width="33.140625" bestFit="1" customWidth="1"/>
    <col min="505" max="505" width="28.28515625" bestFit="1" customWidth="1"/>
    <col min="506" max="506" width="34.5703125" bestFit="1" customWidth="1"/>
    <col min="507" max="507" width="28.28515625" bestFit="1" customWidth="1"/>
    <col min="508" max="508" width="34.5703125" bestFit="1" customWidth="1"/>
    <col min="509" max="509" width="28.85546875" bestFit="1" customWidth="1"/>
    <col min="510" max="510" width="35.140625" bestFit="1" customWidth="1"/>
    <col min="511" max="511" width="28.85546875" bestFit="1" customWidth="1"/>
    <col min="512" max="512" width="35.140625" bestFit="1" customWidth="1"/>
    <col min="513" max="513" width="28.85546875" bestFit="1" customWidth="1"/>
    <col min="514" max="514" width="35.140625" bestFit="1" customWidth="1"/>
    <col min="515" max="515" width="24.7109375" bestFit="1" customWidth="1"/>
    <col min="516" max="516" width="31" bestFit="1" customWidth="1"/>
    <col min="517" max="517" width="27.140625" bestFit="1" customWidth="1"/>
    <col min="518" max="518" width="33.5703125" bestFit="1" customWidth="1"/>
    <col min="519" max="519" width="28.85546875" bestFit="1" customWidth="1"/>
    <col min="520" max="520" width="35.140625" bestFit="1" customWidth="1"/>
    <col min="521" max="521" width="33.42578125" bestFit="1" customWidth="1"/>
    <col min="522" max="522" width="39.7109375" bestFit="1" customWidth="1"/>
    <col min="523" max="523" width="28.85546875" bestFit="1" customWidth="1"/>
    <col min="524" max="524" width="35.140625" bestFit="1" customWidth="1"/>
    <col min="525" max="525" width="26.85546875" bestFit="1" customWidth="1"/>
    <col min="526" max="526" width="33.28515625" bestFit="1" customWidth="1"/>
    <col min="527" max="527" width="22.7109375" bestFit="1" customWidth="1"/>
    <col min="528" max="528" width="29.140625" bestFit="1" customWidth="1"/>
    <col min="529" max="529" width="22.7109375" bestFit="1" customWidth="1"/>
    <col min="530" max="530" width="29.140625" bestFit="1" customWidth="1"/>
    <col min="531" max="531" width="21.7109375" bestFit="1" customWidth="1"/>
    <col min="532" max="532" width="28.140625" bestFit="1" customWidth="1"/>
    <col min="533" max="533" width="21.7109375" bestFit="1" customWidth="1"/>
    <col min="534" max="534" width="28.140625" bestFit="1" customWidth="1"/>
    <col min="535" max="535" width="8.140625" customWidth="1"/>
    <col min="536" max="536" width="14.28515625" bestFit="1" customWidth="1"/>
    <col min="537" max="537" width="15.5703125" bestFit="1" customWidth="1"/>
  </cols>
  <sheetData>
    <row r="1" spans="2:16" ht="26.25" x14ac:dyDescent="0.4">
      <c r="B1" s="68" t="s">
        <v>0</v>
      </c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</row>
    <row r="2" spans="2:16" ht="17.25" x14ac:dyDescent="0.3">
      <c r="B2" s="65"/>
      <c r="C2" s="66" t="s">
        <v>890</v>
      </c>
      <c r="D2" s="66" t="s">
        <v>891</v>
      </c>
      <c r="E2" s="17"/>
      <c r="F2" s="66"/>
      <c r="G2" s="69" t="s">
        <v>888</v>
      </c>
      <c r="H2" s="70"/>
      <c r="I2" s="70"/>
      <c r="J2" s="70"/>
      <c r="K2" s="70"/>
      <c r="L2" s="70"/>
      <c r="M2" s="70"/>
      <c r="N2" s="70"/>
      <c r="O2" s="70"/>
      <c r="P2" s="71"/>
    </row>
    <row r="3" spans="2:16" ht="17.25" x14ac:dyDescent="0.3">
      <c r="B3" s="18" t="s">
        <v>889</v>
      </c>
      <c r="C3" s="36"/>
      <c r="D3" s="36"/>
      <c r="E3" s="14"/>
      <c r="F3" s="18" t="s">
        <v>1</v>
      </c>
      <c r="G3" s="55" t="s">
        <v>8</v>
      </c>
      <c r="H3" s="29" t="s">
        <v>1226</v>
      </c>
      <c r="I3" s="29" t="s">
        <v>1225</v>
      </c>
      <c r="J3" s="29" t="s">
        <v>1290</v>
      </c>
      <c r="K3" s="48" t="s">
        <v>4516</v>
      </c>
      <c r="L3" s="48" t="s">
        <v>4517</v>
      </c>
      <c r="M3" s="48" t="s">
        <v>4518</v>
      </c>
      <c r="N3" s="29" t="s">
        <v>1559</v>
      </c>
      <c r="O3" s="29" t="s">
        <v>1311</v>
      </c>
    </row>
    <row r="4" spans="2:16" ht="17.25" x14ac:dyDescent="0.3">
      <c r="B4" s="20" t="s">
        <v>882</v>
      </c>
      <c r="C4" s="37"/>
      <c r="D4" s="37"/>
      <c r="E4" s="14"/>
      <c r="F4" s="20" t="s">
        <v>885</v>
      </c>
      <c r="G4" s="28" t="s">
        <v>907</v>
      </c>
      <c r="H4" s="28" t="s">
        <v>898</v>
      </c>
      <c r="I4" s="21"/>
      <c r="J4" s="21"/>
      <c r="K4" s="21"/>
      <c r="L4" s="21"/>
      <c r="M4" s="21"/>
      <c r="N4" s="21"/>
      <c r="O4" s="21"/>
    </row>
    <row r="5" spans="2:16" ht="17.25" x14ac:dyDescent="0.3">
      <c r="B5" s="18" t="s">
        <v>0</v>
      </c>
      <c r="C5" s="36"/>
      <c r="D5" s="36"/>
      <c r="E5" s="14"/>
      <c r="F5" s="18" t="s">
        <v>4519</v>
      </c>
      <c r="G5" s="29" t="s">
        <v>877</v>
      </c>
      <c r="H5" s="29" t="s">
        <v>876</v>
      </c>
      <c r="I5" s="48" t="s">
        <v>4520</v>
      </c>
      <c r="J5" s="48" t="s">
        <v>4521</v>
      </c>
      <c r="K5" s="48" t="s">
        <v>4522</v>
      </c>
      <c r="L5" s="48" t="s">
        <v>4518</v>
      </c>
      <c r="M5" s="29" t="s">
        <v>4523</v>
      </c>
      <c r="N5" s="29" t="s">
        <v>4527</v>
      </c>
      <c r="O5" s="48" t="s">
        <v>4528</v>
      </c>
    </row>
    <row r="6" spans="2:16" ht="17.25" x14ac:dyDescent="0.3">
      <c r="B6" s="20" t="s">
        <v>871</v>
      </c>
      <c r="C6" s="37"/>
      <c r="D6" s="37"/>
      <c r="E6" s="14"/>
      <c r="F6" s="20" t="s">
        <v>4525</v>
      </c>
      <c r="G6" s="28" t="s">
        <v>873</v>
      </c>
      <c r="H6" s="28" t="s">
        <v>874</v>
      </c>
      <c r="I6" s="28" t="s">
        <v>4524</v>
      </c>
      <c r="J6" s="21"/>
      <c r="K6" s="21"/>
      <c r="L6" s="21"/>
      <c r="M6" s="21"/>
      <c r="N6" s="21"/>
      <c r="O6" s="21"/>
    </row>
    <row r="7" spans="2:16" ht="17.25" x14ac:dyDescent="0.3">
      <c r="B7" s="18" t="s">
        <v>4532</v>
      </c>
      <c r="C7" s="36"/>
      <c r="D7" s="36"/>
      <c r="E7" s="14"/>
      <c r="F7" s="18" t="s">
        <v>4526</v>
      </c>
      <c r="G7" s="29" t="s">
        <v>873</v>
      </c>
      <c r="H7" s="29" t="s">
        <v>875</v>
      </c>
      <c r="I7" s="19"/>
      <c r="J7" s="19"/>
      <c r="K7" s="19"/>
      <c r="L7" s="19"/>
      <c r="M7" s="19"/>
      <c r="N7" s="19"/>
      <c r="O7" s="19"/>
    </row>
    <row r="8" spans="2:16" ht="17.25" x14ac:dyDescent="0.3">
      <c r="B8" s="20" t="s">
        <v>2</v>
      </c>
      <c r="C8" s="37"/>
      <c r="D8" s="37"/>
      <c r="E8" s="14"/>
      <c r="F8" s="2"/>
      <c r="G8" s="2"/>
      <c r="H8" s="2"/>
      <c r="I8" s="2"/>
      <c r="J8" s="2"/>
      <c r="K8" s="64"/>
      <c r="L8" s="64"/>
      <c r="M8" s="64"/>
      <c r="N8" s="64"/>
      <c r="O8" s="64"/>
    </row>
    <row r="9" spans="2:16" ht="17.25" x14ac:dyDescent="0.3">
      <c r="B9" s="18" t="s">
        <v>887</v>
      </c>
      <c r="C9" s="36"/>
      <c r="D9" s="36"/>
      <c r="E9" s="14"/>
      <c r="F9" s="2"/>
      <c r="G9" s="2"/>
      <c r="H9" s="2"/>
      <c r="I9" s="2"/>
      <c r="J9" s="2"/>
      <c r="K9" s="2"/>
      <c r="L9" s="2"/>
      <c r="M9" s="3"/>
      <c r="N9" s="3"/>
      <c r="O9" s="2"/>
      <c r="P9" s="2"/>
    </row>
    <row r="10" spans="2:16" ht="17.25" x14ac:dyDescent="0.3">
      <c r="B10" s="20" t="s">
        <v>886</v>
      </c>
      <c r="C10" s="37"/>
      <c r="D10" s="37"/>
      <c r="E10" s="14"/>
      <c r="F10" s="2"/>
      <c r="G10" s="2"/>
      <c r="H10" s="2"/>
      <c r="I10" s="2"/>
      <c r="J10" s="2"/>
      <c r="K10" s="2"/>
      <c r="L10" s="2"/>
      <c r="M10" s="3"/>
      <c r="N10" s="3"/>
      <c r="O10" s="2"/>
      <c r="P10" s="2"/>
    </row>
    <row r="11" spans="2:16" x14ac:dyDescent="0.25">
      <c r="B11" s="7"/>
      <c r="C11" s="7"/>
      <c r="D11" s="2"/>
      <c r="E11" s="14"/>
      <c r="F11" s="2"/>
      <c r="G11" s="2"/>
      <c r="H11" s="2"/>
      <c r="I11" s="2"/>
      <c r="J11" s="2"/>
      <c r="K11" s="49"/>
      <c r="L11" s="49"/>
      <c r="M11" s="49"/>
      <c r="N11" s="3"/>
      <c r="O11" s="2"/>
      <c r="P11" s="2"/>
    </row>
    <row r="12" spans="2:16" x14ac:dyDescent="0.25">
      <c r="B12" s="7"/>
      <c r="C12" s="7"/>
      <c r="D12" s="2"/>
      <c r="E12" s="14"/>
      <c r="F12" s="13"/>
      <c r="G12" s="7"/>
      <c r="H12" s="2"/>
      <c r="I12" s="2"/>
      <c r="J12" s="49"/>
      <c r="K12" s="49"/>
      <c r="L12" s="49"/>
      <c r="M12" s="49"/>
      <c r="N12" s="3"/>
      <c r="O12" s="2"/>
      <c r="P12" s="2"/>
    </row>
    <row r="13" spans="2:16" x14ac:dyDescent="0.25">
      <c r="B13" s="41"/>
      <c r="C13" s="7"/>
      <c r="D13" s="2"/>
      <c r="E13" s="2"/>
      <c r="F13" s="13"/>
      <c r="G13" s="7"/>
      <c r="H13" s="2"/>
      <c r="I13" s="2"/>
      <c r="J13" s="1"/>
      <c r="K13" s="1"/>
      <c r="L13" s="1"/>
      <c r="M13" s="1"/>
      <c r="N13" s="3"/>
      <c r="O13" s="2"/>
      <c r="P13" s="2"/>
    </row>
    <row r="14" spans="2:16" x14ac:dyDescent="0.25">
      <c r="B14" s="7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</row>
    <row r="15" spans="2:16" ht="26.25" x14ac:dyDescent="0.25">
      <c r="B15" s="72" t="s">
        <v>892</v>
      </c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4"/>
    </row>
    <row r="16" spans="2:16" s="26" customFormat="1" ht="19.5" x14ac:dyDescent="0.25">
      <c r="B16" s="38" t="s">
        <v>878</v>
      </c>
      <c r="C16" s="38" t="s">
        <v>880</v>
      </c>
      <c r="D16" s="38" t="s">
        <v>881</v>
      </c>
      <c r="E16" s="39" t="s">
        <v>883</v>
      </c>
      <c r="F16" s="39" t="s">
        <v>884</v>
      </c>
      <c r="G16" s="38" t="s">
        <v>0</v>
      </c>
      <c r="H16" s="38" t="s">
        <v>897</v>
      </c>
      <c r="I16" s="38" t="s">
        <v>4532</v>
      </c>
      <c r="J16" s="38" t="s">
        <v>1</v>
      </c>
      <c r="K16" s="38" t="s">
        <v>885</v>
      </c>
      <c r="L16" s="38" t="s">
        <v>2</v>
      </c>
      <c r="M16" s="40" t="s">
        <v>887</v>
      </c>
      <c r="N16" s="40" t="s">
        <v>886</v>
      </c>
      <c r="O16" s="27"/>
    </row>
    <row r="17" spans="2:14" x14ac:dyDescent="0.25">
      <c r="B17" s="42" t="s">
        <v>3100</v>
      </c>
      <c r="C17" s="30">
        <v>8</v>
      </c>
      <c r="D17" s="30">
        <v>8</v>
      </c>
      <c r="E17" s="30">
        <v>3.5</v>
      </c>
      <c r="F17" s="30">
        <v>3.5</v>
      </c>
      <c r="G17" s="30">
        <v>0</v>
      </c>
      <c r="H17" s="47">
        <v>0</v>
      </c>
      <c r="I17" s="63">
        <v>0</v>
      </c>
      <c r="J17" s="31" t="s">
        <v>8</v>
      </c>
      <c r="K17" s="31" t="s">
        <v>898</v>
      </c>
      <c r="L17" s="32">
        <v>430</v>
      </c>
      <c r="M17" s="32">
        <v>0</v>
      </c>
      <c r="N17" s="32">
        <v>0</v>
      </c>
    </row>
    <row r="18" spans="2:14" x14ac:dyDescent="0.25">
      <c r="B18" s="42" t="s">
        <v>2736</v>
      </c>
      <c r="C18" s="30">
        <v>11</v>
      </c>
      <c r="D18" s="30">
        <v>11</v>
      </c>
      <c r="E18" s="30">
        <v>4</v>
      </c>
      <c r="F18" s="30">
        <v>4</v>
      </c>
      <c r="G18" s="30">
        <v>0</v>
      </c>
      <c r="H18" s="47">
        <v>0</v>
      </c>
      <c r="I18" s="63">
        <v>0</v>
      </c>
      <c r="J18" s="31" t="s">
        <v>8</v>
      </c>
      <c r="K18" s="31" t="s">
        <v>907</v>
      </c>
      <c r="L18" s="32">
        <v>790</v>
      </c>
      <c r="M18" s="32">
        <v>118</v>
      </c>
      <c r="N18" s="32">
        <v>103</v>
      </c>
    </row>
    <row r="19" spans="2:14" x14ac:dyDescent="0.25">
      <c r="B19" s="42" t="s">
        <v>2699</v>
      </c>
      <c r="C19" s="30">
        <v>11</v>
      </c>
      <c r="D19" s="30">
        <v>11</v>
      </c>
      <c r="E19" s="30">
        <v>4</v>
      </c>
      <c r="F19" s="30">
        <v>4</v>
      </c>
      <c r="G19" s="30">
        <v>0</v>
      </c>
      <c r="H19" s="47">
        <v>0</v>
      </c>
      <c r="I19" s="63">
        <v>0</v>
      </c>
      <c r="J19" s="31" t="s">
        <v>8</v>
      </c>
      <c r="K19" s="31" t="s">
        <v>907</v>
      </c>
      <c r="L19" s="32">
        <v>790</v>
      </c>
      <c r="M19" s="32">
        <v>118</v>
      </c>
      <c r="N19" s="32">
        <v>103</v>
      </c>
    </row>
    <row r="20" spans="2:14" x14ac:dyDescent="0.25">
      <c r="B20" s="42" t="s">
        <v>4196</v>
      </c>
      <c r="C20" s="30">
        <v>15</v>
      </c>
      <c r="D20" s="30">
        <v>15</v>
      </c>
      <c r="E20" s="30">
        <v>2.4</v>
      </c>
      <c r="F20" s="30">
        <v>2.4</v>
      </c>
      <c r="G20" s="30">
        <v>95</v>
      </c>
      <c r="H20" s="47">
        <v>0</v>
      </c>
      <c r="I20" s="63">
        <v>0</v>
      </c>
      <c r="J20" s="31" t="s">
        <v>8</v>
      </c>
      <c r="K20" s="31" t="s">
        <v>907</v>
      </c>
      <c r="L20" s="32">
        <v>653</v>
      </c>
      <c r="M20" s="32">
        <v>114</v>
      </c>
      <c r="N20" s="32">
        <v>100</v>
      </c>
    </row>
    <row r="21" spans="2:14" x14ac:dyDescent="0.25">
      <c r="B21" s="42" t="s">
        <v>4194</v>
      </c>
      <c r="C21" s="30">
        <v>15</v>
      </c>
      <c r="D21" s="30">
        <v>15</v>
      </c>
      <c r="E21" s="30">
        <v>2.4</v>
      </c>
      <c r="F21" s="30">
        <v>2.4</v>
      </c>
      <c r="G21" s="30">
        <v>95</v>
      </c>
      <c r="H21" s="47">
        <v>0</v>
      </c>
      <c r="I21" s="63">
        <v>0</v>
      </c>
      <c r="J21" s="31" t="s">
        <v>8</v>
      </c>
      <c r="K21" s="31" t="s">
        <v>907</v>
      </c>
      <c r="L21" s="32">
        <v>581</v>
      </c>
      <c r="M21" s="32">
        <v>114</v>
      </c>
      <c r="N21" s="32">
        <v>100</v>
      </c>
    </row>
    <row r="22" spans="2:14" x14ac:dyDescent="0.25">
      <c r="B22" s="42" t="s">
        <v>1021</v>
      </c>
      <c r="C22" s="30">
        <v>105</v>
      </c>
      <c r="D22" s="30">
        <v>105</v>
      </c>
      <c r="E22" s="30">
        <v>2</v>
      </c>
      <c r="F22" s="30">
        <v>2</v>
      </c>
      <c r="G22" s="30">
        <v>67</v>
      </c>
      <c r="H22" s="47">
        <v>6.15</v>
      </c>
      <c r="I22" s="63">
        <v>0</v>
      </c>
      <c r="J22" s="31" t="s">
        <v>8</v>
      </c>
      <c r="K22" s="31" t="s">
        <v>907</v>
      </c>
      <c r="L22" s="32">
        <v>745</v>
      </c>
      <c r="M22" s="32">
        <v>76</v>
      </c>
      <c r="N22" s="32">
        <v>98.9</v>
      </c>
    </row>
    <row r="23" spans="2:14" x14ac:dyDescent="0.25">
      <c r="B23" s="42" t="s">
        <v>1154</v>
      </c>
      <c r="C23" s="30">
        <v>12</v>
      </c>
      <c r="D23" s="30">
        <v>12</v>
      </c>
      <c r="E23" s="30">
        <v>2.8</v>
      </c>
      <c r="F23" s="30">
        <v>2.8</v>
      </c>
      <c r="G23" s="30">
        <v>0</v>
      </c>
      <c r="H23" s="47">
        <v>5</v>
      </c>
      <c r="I23" s="63">
        <v>0</v>
      </c>
      <c r="J23" s="31" t="s">
        <v>8</v>
      </c>
      <c r="K23" s="31" t="s">
        <v>907</v>
      </c>
      <c r="L23" s="32">
        <v>609</v>
      </c>
      <c r="M23" s="32">
        <v>78.8</v>
      </c>
      <c r="N23" s="32">
        <v>82.8</v>
      </c>
    </row>
    <row r="24" spans="2:14" x14ac:dyDescent="0.25">
      <c r="B24" s="42" t="s">
        <v>1017</v>
      </c>
      <c r="C24" s="30">
        <v>15</v>
      </c>
      <c r="D24" s="30">
        <v>15</v>
      </c>
      <c r="E24" s="30">
        <v>4</v>
      </c>
      <c r="F24" s="30">
        <v>4</v>
      </c>
      <c r="G24" s="30">
        <v>77</v>
      </c>
      <c r="H24" s="47">
        <v>1</v>
      </c>
      <c r="I24" s="63">
        <v>0</v>
      </c>
      <c r="J24" s="31" t="s">
        <v>8</v>
      </c>
      <c r="K24" s="31" t="s">
        <v>907</v>
      </c>
      <c r="L24" s="32">
        <v>410</v>
      </c>
      <c r="M24" s="32">
        <v>83.8</v>
      </c>
      <c r="N24" s="32">
        <v>64.7</v>
      </c>
    </row>
    <row r="25" spans="2:14" x14ac:dyDescent="0.25">
      <c r="B25" s="42" t="s">
        <v>1012</v>
      </c>
      <c r="C25" s="30">
        <v>60</v>
      </c>
      <c r="D25" s="30">
        <v>60</v>
      </c>
      <c r="E25" s="30">
        <v>2.8</v>
      </c>
      <c r="F25" s="30">
        <v>2.8</v>
      </c>
      <c r="G25" s="30">
        <v>62</v>
      </c>
      <c r="H25" s="47">
        <v>0.5</v>
      </c>
      <c r="I25" s="63">
        <v>0</v>
      </c>
      <c r="J25" s="31" t="s">
        <v>8</v>
      </c>
      <c r="K25" s="31" t="s">
        <v>907</v>
      </c>
      <c r="L25" s="32">
        <v>503</v>
      </c>
      <c r="M25" s="32">
        <v>70</v>
      </c>
      <c r="N25" s="32">
        <v>95</v>
      </c>
    </row>
    <row r="26" spans="2:14" x14ac:dyDescent="0.25">
      <c r="B26" s="42" t="s">
        <v>3140</v>
      </c>
      <c r="C26" s="30">
        <v>60</v>
      </c>
      <c r="D26" s="30">
        <v>60</v>
      </c>
      <c r="E26" s="30">
        <v>2.5</v>
      </c>
      <c r="F26" s="30">
        <v>2.5</v>
      </c>
      <c r="G26" s="30">
        <v>46</v>
      </c>
      <c r="H26" s="47">
        <v>0</v>
      </c>
      <c r="I26" s="63">
        <v>0</v>
      </c>
      <c r="J26" s="31" t="s">
        <v>8</v>
      </c>
      <c r="K26" s="31" t="s">
        <v>907</v>
      </c>
      <c r="L26" s="32">
        <v>200</v>
      </c>
      <c r="M26" s="32">
        <v>0</v>
      </c>
      <c r="N26" s="32">
        <v>0</v>
      </c>
    </row>
    <row r="27" spans="2:14" x14ac:dyDescent="0.25">
      <c r="B27" s="42" t="s">
        <v>3992</v>
      </c>
      <c r="C27" s="30">
        <v>56</v>
      </c>
      <c r="D27" s="30">
        <v>56</v>
      </c>
      <c r="E27" s="30">
        <v>1.6</v>
      </c>
      <c r="F27" s="30">
        <v>1.6</v>
      </c>
      <c r="G27" s="30">
        <v>62</v>
      </c>
      <c r="H27" s="47">
        <v>2</v>
      </c>
      <c r="I27" s="63">
        <v>0</v>
      </c>
      <c r="J27" s="31" t="s">
        <v>8</v>
      </c>
      <c r="K27" s="31" t="s">
        <v>907</v>
      </c>
      <c r="L27" s="32">
        <v>400</v>
      </c>
      <c r="M27" s="32">
        <v>72</v>
      </c>
      <c r="N27" s="32">
        <v>85</v>
      </c>
    </row>
    <row r="28" spans="2:14" x14ac:dyDescent="0.25">
      <c r="B28" s="42" t="s">
        <v>3991</v>
      </c>
      <c r="C28" s="30">
        <v>56</v>
      </c>
      <c r="D28" s="30">
        <v>56</v>
      </c>
      <c r="E28" s="30">
        <v>1.6</v>
      </c>
      <c r="F28" s="30">
        <v>1.6</v>
      </c>
      <c r="G28" s="30">
        <v>62</v>
      </c>
      <c r="H28" s="47">
        <v>2</v>
      </c>
      <c r="I28" s="63">
        <v>0</v>
      </c>
      <c r="J28" s="31" t="s">
        <v>8</v>
      </c>
      <c r="K28" s="31" t="s">
        <v>907</v>
      </c>
      <c r="L28" s="32">
        <v>400</v>
      </c>
      <c r="M28" s="32">
        <v>72</v>
      </c>
      <c r="N28" s="32">
        <v>85</v>
      </c>
    </row>
    <row r="29" spans="2:14" x14ac:dyDescent="0.25">
      <c r="B29" s="42" t="s">
        <v>3984</v>
      </c>
      <c r="C29" s="30">
        <v>85</v>
      </c>
      <c r="D29" s="30">
        <v>85</v>
      </c>
      <c r="E29" s="30">
        <v>1.8</v>
      </c>
      <c r="F29" s="30">
        <v>1.8</v>
      </c>
      <c r="G29" s="30">
        <v>68</v>
      </c>
      <c r="H29" s="47">
        <v>2</v>
      </c>
      <c r="I29" s="63">
        <v>0</v>
      </c>
      <c r="J29" s="31" t="s">
        <v>8</v>
      </c>
      <c r="K29" s="31" t="s">
        <v>907</v>
      </c>
      <c r="L29" s="32">
        <v>530</v>
      </c>
      <c r="M29" s="32">
        <v>76</v>
      </c>
      <c r="N29" s="32">
        <v>89</v>
      </c>
    </row>
    <row r="30" spans="2:14" x14ac:dyDescent="0.25">
      <c r="B30" s="42" t="s">
        <v>3173</v>
      </c>
      <c r="C30" s="30">
        <v>58</v>
      </c>
      <c r="D30" s="30">
        <v>58</v>
      </c>
      <c r="E30" s="30">
        <v>1.9</v>
      </c>
      <c r="F30" s="30">
        <v>1.9</v>
      </c>
      <c r="G30" s="30">
        <v>0</v>
      </c>
      <c r="H30" s="47">
        <v>0</v>
      </c>
      <c r="I30" s="63">
        <v>0</v>
      </c>
      <c r="J30" s="31" t="s">
        <v>8</v>
      </c>
      <c r="K30" s="31" t="s">
        <v>907</v>
      </c>
      <c r="L30" s="32">
        <v>0</v>
      </c>
      <c r="M30" s="32">
        <v>0</v>
      </c>
      <c r="N30" s="32">
        <v>0</v>
      </c>
    </row>
    <row r="31" spans="2:14" x14ac:dyDescent="0.25">
      <c r="B31" s="42" t="s">
        <v>3171</v>
      </c>
      <c r="C31" s="30">
        <v>8</v>
      </c>
      <c r="D31" s="30">
        <v>8</v>
      </c>
      <c r="E31" s="30">
        <v>3.5</v>
      </c>
      <c r="F31" s="30">
        <v>3.5</v>
      </c>
      <c r="G31" s="30">
        <v>0</v>
      </c>
      <c r="H31" s="47">
        <v>0</v>
      </c>
      <c r="I31" s="63">
        <v>0</v>
      </c>
      <c r="J31" s="31" t="s">
        <v>8</v>
      </c>
      <c r="K31" s="31" t="s">
        <v>907</v>
      </c>
      <c r="L31" s="32">
        <v>519</v>
      </c>
      <c r="M31" s="32">
        <v>77</v>
      </c>
      <c r="N31" s="32">
        <v>84</v>
      </c>
    </row>
    <row r="32" spans="2:14" x14ac:dyDescent="0.25">
      <c r="B32" s="42" t="s">
        <v>3164</v>
      </c>
      <c r="C32" s="30">
        <v>35</v>
      </c>
      <c r="D32" s="30">
        <v>35</v>
      </c>
      <c r="E32" s="30">
        <v>2</v>
      </c>
      <c r="F32" s="30">
        <v>2</v>
      </c>
      <c r="G32" s="30">
        <v>55</v>
      </c>
      <c r="H32" s="47">
        <v>0</v>
      </c>
      <c r="I32" s="63">
        <v>0</v>
      </c>
      <c r="J32" s="31" t="s">
        <v>8</v>
      </c>
      <c r="K32" s="31" t="s">
        <v>907</v>
      </c>
      <c r="L32" s="32">
        <v>370</v>
      </c>
      <c r="M32" s="32">
        <v>0</v>
      </c>
      <c r="N32" s="32">
        <v>0</v>
      </c>
    </row>
    <row r="33" spans="2:14" x14ac:dyDescent="0.25">
      <c r="B33" s="42" t="s">
        <v>3162</v>
      </c>
      <c r="C33" s="30">
        <v>85</v>
      </c>
      <c r="D33" s="30">
        <v>85</v>
      </c>
      <c r="E33" s="30">
        <v>2</v>
      </c>
      <c r="F33" s="30">
        <v>2</v>
      </c>
      <c r="G33" s="30">
        <v>55</v>
      </c>
      <c r="H33" s="47">
        <v>0</v>
      </c>
      <c r="I33" s="63">
        <v>0</v>
      </c>
      <c r="J33" s="31" t="s">
        <v>8</v>
      </c>
      <c r="K33" s="31" t="s">
        <v>907</v>
      </c>
      <c r="L33" s="32">
        <v>425</v>
      </c>
      <c r="M33" s="32">
        <v>0</v>
      </c>
      <c r="N33" s="32">
        <v>0</v>
      </c>
    </row>
    <row r="34" spans="2:14" x14ac:dyDescent="0.25">
      <c r="B34" s="42" t="s">
        <v>3975</v>
      </c>
      <c r="C34" s="30">
        <v>58</v>
      </c>
      <c r="D34" s="30">
        <v>58</v>
      </c>
      <c r="E34" s="30">
        <v>1.9</v>
      </c>
      <c r="F34" s="30">
        <v>1.9</v>
      </c>
      <c r="G34" s="30">
        <v>37</v>
      </c>
      <c r="H34" s="47">
        <v>0</v>
      </c>
      <c r="I34" s="63">
        <v>0</v>
      </c>
      <c r="J34" s="31" t="s">
        <v>8</v>
      </c>
      <c r="K34" s="31" t="s">
        <v>907</v>
      </c>
      <c r="L34" s="32">
        <v>200</v>
      </c>
      <c r="M34" s="32">
        <v>0</v>
      </c>
      <c r="N34" s="32">
        <v>0</v>
      </c>
    </row>
    <row r="35" spans="2:14" x14ac:dyDescent="0.25">
      <c r="B35" s="42" t="s">
        <v>3966</v>
      </c>
      <c r="C35" s="30">
        <v>75</v>
      </c>
      <c r="D35" s="30">
        <v>75</v>
      </c>
      <c r="E35" s="30">
        <v>1.9</v>
      </c>
      <c r="F35" s="30">
        <v>1.9</v>
      </c>
      <c r="G35" s="30">
        <v>52</v>
      </c>
      <c r="H35" s="47">
        <v>0</v>
      </c>
      <c r="I35" s="63">
        <v>0</v>
      </c>
      <c r="J35" s="31" t="s">
        <v>8</v>
      </c>
      <c r="K35" s="31" t="s">
        <v>907</v>
      </c>
      <c r="L35" s="32">
        <v>300</v>
      </c>
      <c r="M35" s="32">
        <v>58</v>
      </c>
      <c r="N35" s="32">
        <v>55</v>
      </c>
    </row>
    <row r="36" spans="2:14" x14ac:dyDescent="0.25">
      <c r="B36" s="42" t="s">
        <v>3186</v>
      </c>
      <c r="C36" s="30">
        <v>85</v>
      </c>
      <c r="D36" s="30">
        <v>85</v>
      </c>
      <c r="E36" s="30">
        <v>1.5</v>
      </c>
      <c r="F36" s="30">
        <v>1.5</v>
      </c>
      <c r="G36" s="30">
        <v>67</v>
      </c>
      <c r="H36" s="47">
        <v>0</v>
      </c>
      <c r="I36" s="63">
        <v>0</v>
      </c>
      <c r="J36" s="31" t="s">
        <v>8</v>
      </c>
      <c r="K36" s="31" t="s">
        <v>907</v>
      </c>
      <c r="L36" s="32">
        <v>885</v>
      </c>
      <c r="M36" s="32">
        <v>0</v>
      </c>
      <c r="N36" s="32">
        <v>0</v>
      </c>
    </row>
    <row r="37" spans="2:14" x14ac:dyDescent="0.25">
      <c r="B37" s="42" t="s">
        <v>3181</v>
      </c>
      <c r="C37" s="30">
        <v>95</v>
      </c>
      <c r="D37" s="30">
        <v>95</v>
      </c>
      <c r="E37" s="30">
        <v>2.6</v>
      </c>
      <c r="F37" s="30">
        <v>2.6</v>
      </c>
      <c r="G37" s="30">
        <v>52</v>
      </c>
      <c r="H37" s="47">
        <v>0</v>
      </c>
      <c r="I37" s="63">
        <v>0</v>
      </c>
      <c r="J37" s="31" t="s">
        <v>8</v>
      </c>
      <c r="K37" s="31" t="s">
        <v>907</v>
      </c>
      <c r="L37" s="32">
        <v>380</v>
      </c>
      <c r="M37" s="32">
        <v>55</v>
      </c>
      <c r="N37" s="32">
        <v>122</v>
      </c>
    </row>
    <row r="38" spans="2:14" x14ac:dyDescent="0.25">
      <c r="B38" s="42" t="s">
        <v>3960</v>
      </c>
      <c r="C38" s="30">
        <v>100</v>
      </c>
      <c r="D38" s="30">
        <v>100</v>
      </c>
      <c r="E38" s="30">
        <v>2.8</v>
      </c>
      <c r="F38" s="30">
        <v>2.8</v>
      </c>
      <c r="G38" s="30">
        <v>52</v>
      </c>
      <c r="H38" s="47">
        <v>0</v>
      </c>
      <c r="I38" s="63">
        <v>0</v>
      </c>
      <c r="J38" s="31" t="s">
        <v>8</v>
      </c>
      <c r="K38" s="31" t="s">
        <v>907</v>
      </c>
      <c r="L38" s="32">
        <v>800</v>
      </c>
      <c r="M38" s="32">
        <v>0</v>
      </c>
      <c r="N38" s="32">
        <v>0</v>
      </c>
    </row>
    <row r="39" spans="2:14" x14ac:dyDescent="0.25">
      <c r="B39" s="42" t="s">
        <v>3175</v>
      </c>
      <c r="C39" s="30">
        <v>50</v>
      </c>
      <c r="D39" s="30">
        <v>50</v>
      </c>
      <c r="E39" s="30">
        <v>2.9</v>
      </c>
      <c r="F39" s="30">
        <v>2.9</v>
      </c>
      <c r="G39" s="30">
        <v>35.5</v>
      </c>
      <c r="H39" s="47">
        <v>0</v>
      </c>
      <c r="I39" s="63">
        <v>0</v>
      </c>
      <c r="J39" s="31" t="s">
        <v>8</v>
      </c>
      <c r="K39" s="31" t="s">
        <v>907</v>
      </c>
      <c r="L39" s="32">
        <v>200</v>
      </c>
      <c r="M39" s="32">
        <v>0</v>
      </c>
      <c r="N39" s="32">
        <v>0</v>
      </c>
    </row>
    <row r="40" spans="2:14" x14ac:dyDescent="0.25">
      <c r="B40" s="42" t="s">
        <v>4183</v>
      </c>
      <c r="C40" s="30">
        <v>85</v>
      </c>
      <c r="D40" s="30">
        <v>85</v>
      </c>
      <c r="E40" s="30">
        <v>2</v>
      </c>
      <c r="F40" s="30">
        <v>2</v>
      </c>
      <c r="G40" s="30">
        <v>0</v>
      </c>
      <c r="H40" s="47">
        <v>0</v>
      </c>
      <c r="I40" s="63">
        <v>0</v>
      </c>
      <c r="J40" s="31" t="s">
        <v>8</v>
      </c>
      <c r="K40" s="31" t="s">
        <v>907</v>
      </c>
      <c r="L40" s="32">
        <v>370</v>
      </c>
      <c r="M40" s="32">
        <v>0</v>
      </c>
      <c r="N40" s="32">
        <v>0</v>
      </c>
    </row>
    <row r="41" spans="2:14" x14ac:dyDescent="0.25">
      <c r="B41" s="42" t="s">
        <v>3954</v>
      </c>
      <c r="C41" s="30">
        <v>85</v>
      </c>
      <c r="D41" s="30">
        <v>85</v>
      </c>
      <c r="E41" s="30">
        <v>1.2</v>
      </c>
      <c r="F41" s="30">
        <v>1.2</v>
      </c>
      <c r="G41" s="30">
        <v>77</v>
      </c>
      <c r="H41" s="47">
        <v>0</v>
      </c>
      <c r="I41" s="63">
        <v>0</v>
      </c>
      <c r="J41" s="31" t="s">
        <v>8</v>
      </c>
      <c r="K41" s="31" t="s">
        <v>907</v>
      </c>
      <c r="L41" s="32">
        <v>921</v>
      </c>
      <c r="M41" s="32">
        <v>0</v>
      </c>
      <c r="N41" s="32">
        <v>0</v>
      </c>
    </row>
    <row r="42" spans="2:14" x14ac:dyDescent="0.25">
      <c r="B42" s="42" t="s">
        <v>3953</v>
      </c>
      <c r="C42" s="30">
        <v>20</v>
      </c>
      <c r="D42" s="30">
        <v>20</v>
      </c>
      <c r="E42" s="30">
        <v>2.8</v>
      </c>
      <c r="F42" s="30">
        <v>2.8</v>
      </c>
      <c r="G42" s="30">
        <v>62</v>
      </c>
      <c r="H42" s="47">
        <v>0</v>
      </c>
      <c r="I42" s="63">
        <v>0</v>
      </c>
      <c r="J42" s="31" t="s">
        <v>8</v>
      </c>
      <c r="K42" s="31" t="s">
        <v>907</v>
      </c>
      <c r="L42" s="32">
        <v>260</v>
      </c>
      <c r="M42" s="32">
        <v>65</v>
      </c>
      <c r="N42" s="32">
        <v>42.5</v>
      </c>
    </row>
    <row r="43" spans="2:14" x14ac:dyDescent="0.25">
      <c r="B43" s="42" t="s">
        <v>3952</v>
      </c>
      <c r="C43" s="30">
        <v>24</v>
      </c>
      <c r="D43" s="30">
        <v>24</v>
      </c>
      <c r="E43" s="30">
        <v>2.8</v>
      </c>
      <c r="F43" s="30">
        <v>2.8</v>
      </c>
      <c r="G43" s="30">
        <v>52</v>
      </c>
      <c r="H43" s="47">
        <v>0</v>
      </c>
      <c r="I43" s="63">
        <v>0</v>
      </c>
      <c r="J43" s="31" t="s">
        <v>8</v>
      </c>
      <c r="K43" s="31" t="s">
        <v>907</v>
      </c>
      <c r="L43" s="32">
        <v>250</v>
      </c>
      <c r="M43" s="32">
        <v>46</v>
      </c>
      <c r="N43" s="32">
        <v>63</v>
      </c>
    </row>
    <row r="44" spans="2:14" x14ac:dyDescent="0.25">
      <c r="B44" s="42" t="s">
        <v>2800</v>
      </c>
      <c r="C44" s="30">
        <v>35</v>
      </c>
      <c r="D44" s="30">
        <v>35</v>
      </c>
      <c r="E44" s="30">
        <v>1.4</v>
      </c>
      <c r="F44" s="30">
        <v>1.4</v>
      </c>
      <c r="G44" s="30">
        <v>52</v>
      </c>
      <c r="H44" s="47">
        <v>0</v>
      </c>
      <c r="I44" s="63">
        <v>0</v>
      </c>
      <c r="J44" s="31" t="s">
        <v>8</v>
      </c>
      <c r="K44" s="31" t="s">
        <v>907</v>
      </c>
      <c r="L44" s="32">
        <v>400</v>
      </c>
      <c r="M44" s="32">
        <v>62</v>
      </c>
      <c r="N44" s="32">
        <v>67.5</v>
      </c>
    </row>
    <row r="45" spans="2:14" x14ac:dyDescent="0.25">
      <c r="B45" s="42" t="s">
        <v>4326</v>
      </c>
      <c r="C45" s="30">
        <v>50</v>
      </c>
      <c r="D45" s="30">
        <v>50</v>
      </c>
      <c r="E45" s="30">
        <v>1.2</v>
      </c>
      <c r="F45" s="30">
        <v>1.2</v>
      </c>
      <c r="G45" s="30">
        <v>52</v>
      </c>
      <c r="H45" s="47">
        <v>0</v>
      </c>
      <c r="I45" s="63">
        <v>0</v>
      </c>
      <c r="J45" s="31" t="s">
        <v>8</v>
      </c>
      <c r="K45" s="31" t="s">
        <v>907</v>
      </c>
      <c r="L45" s="32">
        <v>360</v>
      </c>
      <c r="M45" s="32">
        <v>68.5</v>
      </c>
      <c r="N45" s="32">
        <v>47.5</v>
      </c>
    </row>
    <row r="46" spans="2:14" x14ac:dyDescent="0.25">
      <c r="B46" s="42" t="s">
        <v>3209</v>
      </c>
      <c r="C46" s="30">
        <v>50</v>
      </c>
      <c r="D46" s="30">
        <v>50</v>
      </c>
      <c r="E46" s="30">
        <v>1.4</v>
      </c>
      <c r="F46" s="30">
        <v>1.4</v>
      </c>
      <c r="G46" s="30">
        <v>52</v>
      </c>
      <c r="H46" s="47">
        <v>0</v>
      </c>
      <c r="I46" s="63">
        <v>0</v>
      </c>
      <c r="J46" s="31" t="s">
        <v>8</v>
      </c>
      <c r="K46" s="31" t="s">
        <v>907</v>
      </c>
      <c r="L46" s="32">
        <v>250</v>
      </c>
      <c r="M46" s="32">
        <v>63</v>
      </c>
      <c r="N46" s="32">
        <v>40</v>
      </c>
    </row>
    <row r="47" spans="2:14" x14ac:dyDescent="0.25">
      <c r="B47" s="42" t="s">
        <v>3197</v>
      </c>
      <c r="C47" s="30">
        <v>14</v>
      </c>
      <c r="D47" s="30">
        <v>14</v>
      </c>
      <c r="E47" s="30">
        <v>2.8</v>
      </c>
      <c r="F47" s="30">
        <v>2.8</v>
      </c>
      <c r="G47" s="30">
        <v>0</v>
      </c>
      <c r="H47" s="47">
        <v>6.71</v>
      </c>
      <c r="I47" s="63">
        <v>0</v>
      </c>
      <c r="J47" s="31" t="s">
        <v>8</v>
      </c>
      <c r="K47" s="31" t="s">
        <v>907</v>
      </c>
      <c r="L47" s="32">
        <v>670</v>
      </c>
      <c r="M47" s="32">
        <v>86.5</v>
      </c>
      <c r="N47" s="32">
        <v>87</v>
      </c>
    </row>
    <row r="48" spans="2:14" x14ac:dyDescent="0.25">
      <c r="B48" s="42" t="s">
        <v>2916</v>
      </c>
      <c r="C48" s="30">
        <v>16</v>
      </c>
      <c r="D48" s="30">
        <v>16</v>
      </c>
      <c r="E48" s="30">
        <v>2.8</v>
      </c>
      <c r="F48" s="30">
        <v>2.8</v>
      </c>
      <c r="G48" s="30">
        <v>0</v>
      </c>
      <c r="H48" s="47">
        <v>10</v>
      </c>
      <c r="I48" s="63">
        <v>0</v>
      </c>
      <c r="J48" s="31" t="s">
        <v>8</v>
      </c>
      <c r="K48" s="31" t="s">
        <v>907</v>
      </c>
      <c r="L48" s="32">
        <v>290</v>
      </c>
      <c r="M48" s="32">
        <v>57</v>
      </c>
      <c r="N48" s="32">
        <v>63</v>
      </c>
    </row>
    <row r="49" spans="2:14" x14ac:dyDescent="0.25">
      <c r="B49" s="42" t="s">
        <v>3190</v>
      </c>
      <c r="C49" s="30">
        <v>180</v>
      </c>
      <c r="D49" s="30">
        <v>180</v>
      </c>
      <c r="E49" s="30">
        <v>2.8</v>
      </c>
      <c r="F49" s="30">
        <v>2.8</v>
      </c>
      <c r="G49" s="30">
        <v>72</v>
      </c>
      <c r="H49" s="47">
        <v>6.67</v>
      </c>
      <c r="I49" s="63">
        <v>0</v>
      </c>
      <c r="J49" s="31" t="s">
        <v>8</v>
      </c>
      <c r="K49" s="31" t="s">
        <v>907</v>
      </c>
      <c r="L49" s="32">
        <v>760</v>
      </c>
      <c r="M49" s="32">
        <v>78.5</v>
      </c>
      <c r="N49" s="32">
        <v>144</v>
      </c>
    </row>
    <row r="50" spans="2:14" x14ac:dyDescent="0.25">
      <c r="B50" s="42" t="s">
        <v>2914</v>
      </c>
      <c r="C50" s="30">
        <v>18</v>
      </c>
      <c r="D50" s="30">
        <v>35</v>
      </c>
      <c r="E50" s="30">
        <v>3.5</v>
      </c>
      <c r="F50" s="30">
        <v>4.5</v>
      </c>
      <c r="G50" s="30">
        <v>77</v>
      </c>
      <c r="H50" s="47">
        <v>6.67</v>
      </c>
      <c r="I50" s="63">
        <v>0</v>
      </c>
      <c r="J50" s="31" t="s">
        <v>8</v>
      </c>
      <c r="K50" s="31" t="s">
        <v>907</v>
      </c>
      <c r="L50" s="32">
        <v>370</v>
      </c>
      <c r="M50" s="32">
        <v>82.5</v>
      </c>
      <c r="N50" s="32">
        <v>82.7</v>
      </c>
    </row>
    <row r="51" spans="2:14" x14ac:dyDescent="0.25">
      <c r="B51" s="42" t="s">
        <v>3196</v>
      </c>
      <c r="C51" s="30">
        <v>20</v>
      </c>
      <c r="D51" s="30">
        <v>20</v>
      </c>
      <c r="E51" s="30">
        <v>2.8</v>
      </c>
      <c r="F51" s="30">
        <v>2.8</v>
      </c>
      <c r="G51" s="30">
        <v>62</v>
      </c>
      <c r="H51" s="47">
        <v>8.33</v>
      </c>
      <c r="I51" s="63">
        <v>0</v>
      </c>
      <c r="J51" s="31" t="s">
        <v>8</v>
      </c>
      <c r="K51" s="31" t="s">
        <v>907</v>
      </c>
      <c r="L51" s="32">
        <v>270</v>
      </c>
      <c r="M51" s="32">
        <v>42.5</v>
      </c>
      <c r="N51" s="32">
        <v>69</v>
      </c>
    </row>
    <row r="52" spans="2:14" x14ac:dyDescent="0.25">
      <c r="B52" s="42" t="s">
        <v>2798</v>
      </c>
      <c r="C52" s="30">
        <v>24</v>
      </c>
      <c r="D52" s="30">
        <v>85</v>
      </c>
      <c r="E52" s="30">
        <v>2.8</v>
      </c>
      <c r="F52" s="30">
        <v>4</v>
      </c>
      <c r="G52" s="30">
        <v>72</v>
      </c>
      <c r="H52" s="47">
        <v>2</v>
      </c>
      <c r="I52" s="63">
        <v>0</v>
      </c>
      <c r="J52" s="31" t="s">
        <v>8</v>
      </c>
      <c r="K52" s="31" t="s">
        <v>907</v>
      </c>
      <c r="L52" s="32">
        <v>545</v>
      </c>
      <c r="M52" s="32">
        <v>78.5</v>
      </c>
      <c r="N52" s="32">
        <v>82.5</v>
      </c>
    </row>
    <row r="53" spans="2:14" x14ac:dyDescent="0.25">
      <c r="B53" s="42" t="s">
        <v>3195</v>
      </c>
      <c r="C53" s="30">
        <v>24</v>
      </c>
      <c r="D53" s="30">
        <v>24</v>
      </c>
      <c r="E53" s="30">
        <v>2.8</v>
      </c>
      <c r="F53" s="30">
        <v>2.8</v>
      </c>
      <c r="G53" s="30">
        <v>52</v>
      </c>
      <c r="H53" s="47">
        <v>9.09</v>
      </c>
      <c r="I53" s="63">
        <v>0</v>
      </c>
      <c r="J53" s="31" t="s">
        <v>8</v>
      </c>
      <c r="K53" s="31" t="s">
        <v>907</v>
      </c>
      <c r="L53" s="32">
        <v>270</v>
      </c>
      <c r="M53" s="32">
        <v>64.5</v>
      </c>
      <c r="N53" s="32">
        <v>46</v>
      </c>
    </row>
    <row r="54" spans="2:14" x14ac:dyDescent="0.25">
      <c r="B54" s="42" t="s">
        <v>2913</v>
      </c>
      <c r="C54" s="30">
        <v>28</v>
      </c>
      <c r="D54" s="30">
        <v>28</v>
      </c>
      <c r="E54" s="30">
        <v>2.8</v>
      </c>
      <c r="F54" s="30">
        <v>2.8</v>
      </c>
      <c r="G54" s="30">
        <v>52</v>
      </c>
      <c r="H54" s="47">
        <v>4.76</v>
      </c>
      <c r="I54" s="63">
        <v>0</v>
      </c>
      <c r="J54" s="31" t="s">
        <v>8</v>
      </c>
      <c r="K54" s="31" t="s">
        <v>907</v>
      </c>
      <c r="L54" s="32">
        <v>205</v>
      </c>
      <c r="M54" s="32">
        <v>65</v>
      </c>
      <c r="N54" s="32">
        <v>44.5</v>
      </c>
    </row>
    <row r="55" spans="2:14" x14ac:dyDescent="0.25">
      <c r="B55" s="42" t="s">
        <v>2912</v>
      </c>
      <c r="C55" s="30">
        <v>35</v>
      </c>
      <c r="D55" s="30">
        <v>35</v>
      </c>
      <c r="E55" s="30">
        <v>2</v>
      </c>
      <c r="F55" s="30">
        <v>2</v>
      </c>
      <c r="G55" s="30">
        <v>52</v>
      </c>
      <c r="H55" s="47">
        <v>4.3499999999999996</v>
      </c>
      <c r="I55" s="63">
        <v>0</v>
      </c>
      <c r="J55" s="31" t="s">
        <v>8</v>
      </c>
      <c r="K55" s="31" t="s">
        <v>907</v>
      </c>
      <c r="L55" s="32">
        <v>205</v>
      </c>
      <c r="M55" s="32">
        <v>64.5</v>
      </c>
      <c r="N55" s="32">
        <v>43.5</v>
      </c>
    </row>
    <row r="56" spans="2:14" x14ac:dyDescent="0.25">
      <c r="B56" s="42" t="s">
        <v>4276</v>
      </c>
      <c r="C56" s="30">
        <v>50</v>
      </c>
      <c r="D56" s="30">
        <v>50</v>
      </c>
      <c r="E56" s="30">
        <v>1.4</v>
      </c>
      <c r="F56" s="30">
        <v>1.4</v>
      </c>
      <c r="G56" s="30">
        <v>52</v>
      </c>
      <c r="H56" s="47">
        <v>7.14</v>
      </c>
      <c r="I56" s="63">
        <v>0</v>
      </c>
      <c r="J56" s="31" t="s">
        <v>8</v>
      </c>
      <c r="K56" s="31" t="s">
        <v>907</v>
      </c>
      <c r="L56" s="32">
        <v>230</v>
      </c>
      <c r="M56" s="32">
        <v>64.5</v>
      </c>
      <c r="N56" s="32">
        <v>42.5</v>
      </c>
    </row>
    <row r="57" spans="2:14" x14ac:dyDescent="0.25">
      <c r="B57" s="42" t="s">
        <v>2658</v>
      </c>
      <c r="C57" s="30">
        <v>50</v>
      </c>
      <c r="D57" s="30">
        <v>50</v>
      </c>
      <c r="E57" s="30">
        <v>1.8</v>
      </c>
      <c r="F57" s="30">
        <v>1.8</v>
      </c>
      <c r="G57" s="30">
        <v>52</v>
      </c>
      <c r="H57" s="47">
        <v>7.14</v>
      </c>
      <c r="I57" s="63">
        <v>0</v>
      </c>
      <c r="J57" s="31" t="s">
        <v>8</v>
      </c>
      <c r="K57" s="31" t="s">
        <v>907</v>
      </c>
      <c r="L57" s="32">
        <v>160</v>
      </c>
      <c r="M57" s="32">
        <v>63</v>
      </c>
      <c r="N57" s="32">
        <v>39</v>
      </c>
    </row>
    <row r="58" spans="2:14" x14ac:dyDescent="0.25">
      <c r="B58" s="42" t="s">
        <v>2911</v>
      </c>
      <c r="C58" s="30">
        <v>70</v>
      </c>
      <c r="D58" s="30">
        <v>300</v>
      </c>
      <c r="E58" s="30">
        <v>4</v>
      </c>
      <c r="F58" s="30">
        <v>5.6</v>
      </c>
      <c r="G58" s="30">
        <v>62</v>
      </c>
      <c r="H58" s="47">
        <v>4</v>
      </c>
      <c r="I58" s="63">
        <v>0</v>
      </c>
      <c r="J58" s="31" t="s">
        <v>8</v>
      </c>
      <c r="K58" s="31" t="s">
        <v>907</v>
      </c>
      <c r="L58" s="32">
        <v>470</v>
      </c>
      <c r="M58" s="32">
        <v>74</v>
      </c>
      <c r="N58" s="32">
        <v>116.5</v>
      </c>
    </row>
    <row r="59" spans="2:14" x14ac:dyDescent="0.25">
      <c r="B59" s="42" t="s">
        <v>4275</v>
      </c>
      <c r="C59" s="30">
        <v>85</v>
      </c>
      <c r="D59" s="30">
        <v>85</v>
      </c>
      <c r="E59" s="30">
        <v>1.8</v>
      </c>
      <c r="F59" s="30">
        <v>1.8</v>
      </c>
      <c r="G59" s="30">
        <v>62</v>
      </c>
      <c r="H59" s="47">
        <v>10</v>
      </c>
      <c r="I59" s="63">
        <v>0</v>
      </c>
      <c r="J59" s="31" t="s">
        <v>8</v>
      </c>
      <c r="K59" s="31" t="s">
        <v>907</v>
      </c>
      <c r="L59" s="32">
        <v>380</v>
      </c>
      <c r="M59" s="32">
        <v>71.5</v>
      </c>
      <c r="N59" s="32">
        <v>58.5</v>
      </c>
    </row>
    <row r="60" spans="2:14" x14ac:dyDescent="0.25">
      <c r="B60" s="42" t="s">
        <v>2910</v>
      </c>
      <c r="C60" s="30">
        <v>105</v>
      </c>
      <c r="D60" s="30">
        <v>105</v>
      </c>
      <c r="E60" s="30">
        <v>2</v>
      </c>
      <c r="F60" s="30">
        <v>2</v>
      </c>
      <c r="G60" s="30">
        <v>72</v>
      </c>
      <c r="H60" s="47">
        <v>0</v>
      </c>
      <c r="I60" s="63">
        <v>0</v>
      </c>
      <c r="J60" s="31" t="s">
        <v>8</v>
      </c>
      <c r="K60" s="31" t="s">
        <v>907</v>
      </c>
      <c r="L60" s="32">
        <v>640</v>
      </c>
      <c r="M60" s="32">
        <v>79</v>
      </c>
      <c r="N60" s="32">
        <v>111</v>
      </c>
    </row>
    <row r="61" spans="2:14" x14ac:dyDescent="0.25">
      <c r="B61" s="42" t="s">
        <v>4325</v>
      </c>
      <c r="C61" s="30">
        <v>135</v>
      </c>
      <c r="D61" s="30">
        <v>135</v>
      </c>
      <c r="E61" s="30">
        <v>2</v>
      </c>
      <c r="F61" s="30">
        <v>2</v>
      </c>
      <c r="G61" s="30">
        <v>72</v>
      </c>
      <c r="H61" s="47">
        <v>0</v>
      </c>
      <c r="I61" s="63">
        <v>0</v>
      </c>
      <c r="J61" s="31" t="s">
        <v>8</v>
      </c>
      <c r="K61" s="31" t="s">
        <v>907</v>
      </c>
      <c r="L61" s="32">
        <v>815</v>
      </c>
      <c r="M61" s="32">
        <v>79</v>
      </c>
      <c r="N61" s="32">
        <v>120</v>
      </c>
    </row>
    <row r="62" spans="2:14" x14ac:dyDescent="0.25">
      <c r="B62" s="42" t="s">
        <v>2909</v>
      </c>
      <c r="C62" s="30">
        <v>10.5</v>
      </c>
      <c r="D62" s="30">
        <v>10.5</v>
      </c>
      <c r="E62" s="30">
        <v>2.8</v>
      </c>
      <c r="F62" s="30">
        <v>2.8</v>
      </c>
      <c r="G62" s="30">
        <v>52</v>
      </c>
      <c r="H62" s="47">
        <v>5</v>
      </c>
      <c r="I62" s="63">
        <v>0</v>
      </c>
      <c r="J62" s="31" t="s">
        <v>8</v>
      </c>
      <c r="K62" s="31" t="s">
        <v>898</v>
      </c>
      <c r="L62" s="32">
        <v>300</v>
      </c>
      <c r="M62" s="32">
        <v>63</v>
      </c>
      <c r="N62" s="32">
        <v>62.5</v>
      </c>
    </row>
    <row r="63" spans="2:14" x14ac:dyDescent="0.25">
      <c r="B63" s="42" t="s">
        <v>2907</v>
      </c>
      <c r="C63" s="30">
        <v>200</v>
      </c>
      <c r="D63" s="30">
        <v>200</v>
      </c>
      <c r="E63" s="30">
        <v>4</v>
      </c>
      <c r="F63" s="30">
        <v>4</v>
      </c>
      <c r="G63" s="30">
        <v>62</v>
      </c>
      <c r="H63" s="47">
        <v>1</v>
      </c>
      <c r="I63" s="63">
        <v>0</v>
      </c>
      <c r="J63" s="31" t="s">
        <v>8</v>
      </c>
      <c r="K63" s="31" t="s">
        <v>907</v>
      </c>
      <c r="L63" s="32">
        <v>1190</v>
      </c>
      <c r="M63" s="32">
        <v>76</v>
      </c>
      <c r="N63" s="32">
        <v>193</v>
      </c>
    </row>
    <row r="64" spans="2:14" x14ac:dyDescent="0.25">
      <c r="B64" s="42" t="s">
        <v>4274</v>
      </c>
      <c r="C64" s="30">
        <v>60</v>
      </c>
      <c r="D64" s="30">
        <v>60</v>
      </c>
      <c r="E64" s="30">
        <v>2.8</v>
      </c>
      <c r="F64" s="30">
        <v>2.8</v>
      </c>
      <c r="G64" s="30">
        <v>62</v>
      </c>
      <c r="H64" s="47">
        <v>1</v>
      </c>
      <c r="I64" s="63">
        <v>0</v>
      </c>
      <c r="J64" s="31" t="s">
        <v>8</v>
      </c>
      <c r="K64" s="31" t="s">
        <v>907</v>
      </c>
      <c r="L64" s="32">
        <v>440</v>
      </c>
      <c r="M64" s="32">
        <v>70</v>
      </c>
      <c r="N64" s="32">
        <v>74.5</v>
      </c>
    </row>
    <row r="65" spans="2:14" x14ac:dyDescent="0.25">
      <c r="B65" s="42" t="s">
        <v>2906</v>
      </c>
      <c r="C65" s="30">
        <v>18</v>
      </c>
      <c r="D65" s="30">
        <v>55</v>
      </c>
      <c r="E65" s="30">
        <v>3.5</v>
      </c>
      <c r="F65" s="30">
        <v>5.6</v>
      </c>
      <c r="G65" s="30">
        <v>55</v>
      </c>
      <c r="H65" s="47">
        <v>2.6</v>
      </c>
      <c r="I65" s="63">
        <v>0</v>
      </c>
      <c r="J65" s="31" t="s">
        <v>8</v>
      </c>
      <c r="K65" s="31" t="s">
        <v>898</v>
      </c>
      <c r="L65" s="32">
        <v>195</v>
      </c>
      <c r="M65" s="32">
        <v>64.5</v>
      </c>
      <c r="N65" s="32">
        <v>62.5</v>
      </c>
    </row>
    <row r="66" spans="2:14" x14ac:dyDescent="0.25">
      <c r="B66" s="42" t="s">
        <v>4179</v>
      </c>
      <c r="C66" s="30">
        <v>70</v>
      </c>
      <c r="D66" s="30">
        <v>300</v>
      </c>
      <c r="E66" s="30">
        <v>4.5</v>
      </c>
      <c r="F66" s="30">
        <v>6.3</v>
      </c>
      <c r="G66" s="30">
        <v>58</v>
      </c>
      <c r="H66" s="47">
        <v>4.5</v>
      </c>
      <c r="I66" s="63">
        <v>0</v>
      </c>
      <c r="J66" s="31" t="s">
        <v>8</v>
      </c>
      <c r="K66" s="31" t="s">
        <v>898</v>
      </c>
      <c r="L66" s="32">
        <v>400</v>
      </c>
      <c r="M66" s="32">
        <v>72</v>
      </c>
      <c r="N66" s="32">
        <v>125</v>
      </c>
    </row>
    <row r="67" spans="2:14" x14ac:dyDescent="0.25">
      <c r="B67" s="42" t="s">
        <v>2657</v>
      </c>
      <c r="C67" s="30">
        <v>70</v>
      </c>
      <c r="D67" s="30">
        <v>300</v>
      </c>
      <c r="E67" s="30">
        <v>4.5</v>
      </c>
      <c r="F67" s="30">
        <v>5.6</v>
      </c>
      <c r="G67" s="30">
        <v>67</v>
      </c>
      <c r="H67" s="47">
        <v>4</v>
      </c>
      <c r="I67" s="63">
        <v>0</v>
      </c>
      <c r="J67" s="31" t="s">
        <v>8</v>
      </c>
      <c r="K67" s="31" t="s">
        <v>907</v>
      </c>
      <c r="L67" s="32">
        <v>680</v>
      </c>
      <c r="M67" s="32">
        <v>80.5</v>
      </c>
      <c r="N67" s="32">
        <v>145</v>
      </c>
    </row>
    <row r="68" spans="2:14" x14ac:dyDescent="0.25">
      <c r="B68" s="42" t="s">
        <v>2542</v>
      </c>
      <c r="C68" s="30">
        <v>10</v>
      </c>
      <c r="D68" s="30">
        <v>20</v>
      </c>
      <c r="E68" s="30">
        <v>4.5</v>
      </c>
      <c r="F68" s="30">
        <v>5.6</v>
      </c>
      <c r="G68" s="30">
        <v>72</v>
      </c>
      <c r="H68" s="47">
        <v>5.88</v>
      </c>
      <c r="I68" s="63">
        <v>0</v>
      </c>
      <c r="J68" s="31" t="s">
        <v>8</v>
      </c>
      <c r="K68" s="31" t="s">
        <v>898</v>
      </c>
      <c r="L68" s="32">
        <v>230</v>
      </c>
      <c r="M68" s="32">
        <v>77</v>
      </c>
      <c r="N68" s="32">
        <v>73</v>
      </c>
    </row>
    <row r="69" spans="2:14" x14ac:dyDescent="0.25">
      <c r="B69" s="42" t="s">
        <v>4324</v>
      </c>
      <c r="C69" s="30">
        <v>18</v>
      </c>
      <c r="D69" s="30">
        <v>55</v>
      </c>
      <c r="E69" s="30">
        <v>3.5</v>
      </c>
      <c r="F69" s="30">
        <v>5.6</v>
      </c>
      <c r="G69" s="30">
        <v>55</v>
      </c>
      <c r="H69" s="47">
        <v>2.6</v>
      </c>
      <c r="I69" s="63">
        <v>0</v>
      </c>
      <c r="J69" s="31" t="s">
        <v>8</v>
      </c>
      <c r="K69" s="31" t="s">
        <v>898</v>
      </c>
      <c r="L69" s="32">
        <v>205</v>
      </c>
      <c r="M69" s="32">
        <v>64.5</v>
      </c>
      <c r="N69" s="32">
        <v>62.5</v>
      </c>
    </row>
    <row r="70" spans="2:14" x14ac:dyDescent="0.25">
      <c r="B70" s="42" t="s">
        <v>2656</v>
      </c>
      <c r="C70" s="30">
        <v>70</v>
      </c>
      <c r="D70" s="30">
        <v>300</v>
      </c>
      <c r="E70" s="30">
        <v>4.5</v>
      </c>
      <c r="F70" s="30">
        <v>6.3</v>
      </c>
      <c r="G70" s="30">
        <v>58</v>
      </c>
      <c r="H70" s="47">
        <v>4.5</v>
      </c>
      <c r="I70" s="63">
        <v>0</v>
      </c>
      <c r="J70" s="31" t="s">
        <v>8</v>
      </c>
      <c r="K70" s="31" t="s">
        <v>898</v>
      </c>
      <c r="L70" s="32">
        <v>415</v>
      </c>
      <c r="M70" s="32">
        <v>72</v>
      </c>
      <c r="N70" s="32">
        <v>125</v>
      </c>
    </row>
    <row r="71" spans="2:14" x14ac:dyDescent="0.25">
      <c r="B71" s="42" t="s">
        <v>2570</v>
      </c>
      <c r="C71" s="30">
        <v>105</v>
      </c>
      <c r="D71" s="30">
        <v>105</v>
      </c>
      <c r="E71" s="30">
        <v>1.4</v>
      </c>
      <c r="F71" s="30">
        <v>1.4</v>
      </c>
      <c r="G71" s="30">
        <v>82</v>
      </c>
      <c r="H71" s="47">
        <v>7.7</v>
      </c>
      <c r="I71" s="63">
        <v>0</v>
      </c>
      <c r="J71" s="31" t="s">
        <v>8</v>
      </c>
      <c r="K71" s="31" t="s">
        <v>907</v>
      </c>
      <c r="L71" s="32">
        <v>985</v>
      </c>
      <c r="M71" s="32">
        <v>94.5</v>
      </c>
      <c r="N71" s="32">
        <v>106</v>
      </c>
    </row>
    <row r="72" spans="2:14" x14ac:dyDescent="0.25">
      <c r="B72" s="42" t="s">
        <v>4415</v>
      </c>
      <c r="C72" s="30">
        <v>14</v>
      </c>
      <c r="D72" s="30">
        <v>24</v>
      </c>
      <c r="E72" s="30">
        <v>2.8</v>
      </c>
      <c r="F72" s="30">
        <v>2.8</v>
      </c>
      <c r="G72" s="30">
        <v>0</v>
      </c>
      <c r="H72" s="47">
        <v>6.7</v>
      </c>
      <c r="I72" s="63">
        <v>0</v>
      </c>
      <c r="J72" s="31" t="s">
        <v>8</v>
      </c>
      <c r="K72" s="31" t="s">
        <v>907</v>
      </c>
      <c r="L72" s="32">
        <v>1000</v>
      </c>
      <c r="M72" s="32">
        <v>98</v>
      </c>
      <c r="N72" s="32">
        <v>131.5</v>
      </c>
    </row>
    <row r="73" spans="2:14" x14ac:dyDescent="0.25">
      <c r="B73" s="42" t="s">
        <v>4323</v>
      </c>
      <c r="C73" s="30">
        <v>17</v>
      </c>
      <c r="D73" s="30">
        <v>35</v>
      </c>
      <c r="E73" s="30">
        <v>2.8</v>
      </c>
      <c r="F73" s="30">
        <v>2.8</v>
      </c>
      <c r="G73" s="30">
        <v>77</v>
      </c>
      <c r="H73" s="47">
        <v>4.76</v>
      </c>
      <c r="I73" s="63">
        <v>0</v>
      </c>
      <c r="J73" s="31" t="s">
        <v>8</v>
      </c>
      <c r="K73" s="31" t="s">
        <v>907</v>
      </c>
      <c r="L73" s="32">
        <v>750</v>
      </c>
      <c r="M73" s="32">
        <v>83</v>
      </c>
      <c r="N73" s="32">
        <v>106</v>
      </c>
    </row>
    <row r="74" spans="2:14" x14ac:dyDescent="0.25">
      <c r="B74" s="42" t="s">
        <v>2654</v>
      </c>
      <c r="C74" s="30">
        <v>18</v>
      </c>
      <c r="D74" s="30">
        <v>35</v>
      </c>
      <c r="E74" s="30">
        <v>3.5</v>
      </c>
      <c r="F74" s="30">
        <v>4.5</v>
      </c>
      <c r="G74" s="30">
        <v>77</v>
      </c>
      <c r="H74" s="47">
        <v>5</v>
      </c>
      <c r="I74" s="63">
        <v>0</v>
      </c>
      <c r="J74" s="31" t="s">
        <v>8</v>
      </c>
      <c r="K74" s="31" t="s">
        <v>907</v>
      </c>
      <c r="L74" s="32">
        <v>385</v>
      </c>
      <c r="M74" s="32">
        <v>83</v>
      </c>
      <c r="N74" s="32">
        <v>95</v>
      </c>
    </row>
    <row r="75" spans="2:14" x14ac:dyDescent="0.25">
      <c r="B75" s="42" t="s">
        <v>2571</v>
      </c>
      <c r="C75" s="30">
        <v>20</v>
      </c>
      <c r="D75" s="30">
        <v>20</v>
      </c>
      <c r="E75" s="30">
        <v>1.8</v>
      </c>
      <c r="F75" s="30">
        <v>1.8</v>
      </c>
      <c r="G75" s="30">
        <v>77</v>
      </c>
      <c r="H75" s="47">
        <v>0</v>
      </c>
      <c r="I75" s="63">
        <v>0</v>
      </c>
      <c r="J75" s="31" t="s">
        <v>8</v>
      </c>
      <c r="K75" s="31" t="s">
        <v>907</v>
      </c>
      <c r="L75" s="32">
        <v>355</v>
      </c>
      <c r="M75" s="32">
        <v>0</v>
      </c>
      <c r="N75" s="32">
        <v>0</v>
      </c>
    </row>
    <row r="76" spans="2:14" x14ac:dyDescent="0.25">
      <c r="B76" s="42" t="s">
        <v>4386</v>
      </c>
      <c r="C76" s="30">
        <v>24</v>
      </c>
      <c r="D76" s="30">
        <v>70</v>
      </c>
      <c r="E76" s="30">
        <v>2.8</v>
      </c>
      <c r="F76" s="30">
        <v>2.8</v>
      </c>
      <c r="G76" s="30">
        <v>77</v>
      </c>
      <c r="H76" s="47">
        <v>3.7</v>
      </c>
      <c r="I76" s="63">
        <v>0</v>
      </c>
      <c r="J76" s="31" t="s">
        <v>8</v>
      </c>
      <c r="K76" s="31" t="s">
        <v>907</v>
      </c>
      <c r="L76" s="32">
        <v>900</v>
      </c>
      <c r="M76" s="32">
        <v>83</v>
      </c>
      <c r="N76" s="32">
        <v>133</v>
      </c>
    </row>
    <row r="77" spans="2:14" x14ac:dyDescent="0.25">
      <c r="B77" s="42" t="s">
        <v>4273</v>
      </c>
      <c r="C77" s="30">
        <v>24</v>
      </c>
      <c r="D77" s="30">
        <v>24</v>
      </c>
      <c r="E77" s="30">
        <v>1.4</v>
      </c>
      <c r="F77" s="30">
        <v>1.4</v>
      </c>
      <c r="G77" s="30">
        <v>77</v>
      </c>
      <c r="H77" s="47">
        <v>5.59</v>
      </c>
      <c r="I77" s="63">
        <v>0</v>
      </c>
      <c r="J77" s="31" t="s">
        <v>8</v>
      </c>
      <c r="K77" s="31" t="s">
        <v>907</v>
      </c>
      <c r="L77" s="32">
        <v>620</v>
      </c>
      <c r="M77" s="32">
        <v>83</v>
      </c>
      <c r="N77" s="32">
        <v>88.5</v>
      </c>
    </row>
    <row r="78" spans="2:14" x14ac:dyDescent="0.25">
      <c r="B78" s="42" t="s">
        <v>4385</v>
      </c>
      <c r="C78" s="30">
        <v>24</v>
      </c>
      <c r="D78" s="30">
        <v>24</v>
      </c>
      <c r="E78" s="30">
        <v>1.8</v>
      </c>
      <c r="F78" s="30">
        <v>1.8</v>
      </c>
      <c r="G78" s="30">
        <v>72</v>
      </c>
      <c r="H78" s="47">
        <v>5</v>
      </c>
      <c r="I78" s="63">
        <v>0</v>
      </c>
      <c r="J78" s="31" t="s">
        <v>8</v>
      </c>
      <c r="K78" s="31" t="s">
        <v>907</v>
      </c>
      <c r="L78" s="32">
        <v>355</v>
      </c>
      <c r="M78" s="32">
        <v>77.5</v>
      </c>
      <c r="N78" s="32">
        <v>83</v>
      </c>
    </row>
    <row r="79" spans="2:14" x14ac:dyDescent="0.25">
      <c r="B79" s="42" t="s">
        <v>4322</v>
      </c>
      <c r="C79" s="30">
        <v>28</v>
      </c>
      <c r="D79" s="30">
        <v>28</v>
      </c>
      <c r="E79" s="30">
        <v>1.4</v>
      </c>
      <c r="F79" s="30">
        <v>1.4</v>
      </c>
      <c r="G79" s="30">
        <v>77</v>
      </c>
      <c r="H79" s="47">
        <v>5.88</v>
      </c>
      <c r="I79" s="63">
        <v>0</v>
      </c>
      <c r="J79" s="31" t="s">
        <v>8</v>
      </c>
      <c r="K79" s="31" t="s">
        <v>907</v>
      </c>
      <c r="L79" s="32">
        <v>645</v>
      </c>
      <c r="M79" s="32">
        <v>83</v>
      </c>
      <c r="N79" s="32">
        <v>100.5</v>
      </c>
    </row>
    <row r="80" spans="2:14" x14ac:dyDescent="0.25">
      <c r="B80" s="42" t="s">
        <v>2697</v>
      </c>
      <c r="C80" s="30">
        <v>28</v>
      </c>
      <c r="D80" s="30">
        <v>28</v>
      </c>
      <c r="E80" s="30">
        <v>1.8</v>
      </c>
      <c r="F80" s="30">
        <v>1.8</v>
      </c>
      <c r="G80" s="30">
        <v>67</v>
      </c>
      <c r="H80" s="47">
        <v>4.55</v>
      </c>
      <c r="I80" s="63">
        <v>0</v>
      </c>
      <c r="J80" s="31" t="s">
        <v>8</v>
      </c>
      <c r="K80" s="31" t="s">
        <v>907</v>
      </c>
      <c r="L80" s="32">
        <v>330</v>
      </c>
      <c r="M80" s="32">
        <v>73</v>
      </c>
      <c r="N80" s="32">
        <v>80.5</v>
      </c>
    </row>
    <row r="81" spans="2:14" x14ac:dyDescent="0.25">
      <c r="B81" s="42" t="s">
        <v>3951</v>
      </c>
      <c r="C81" s="30">
        <v>300</v>
      </c>
      <c r="D81" s="30">
        <v>300</v>
      </c>
      <c r="E81" s="30">
        <v>4</v>
      </c>
      <c r="F81" s="30">
        <v>4</v>
      </c>
      <c r="G81" s="30">
        <v>77</v>
      </c>
      <c r="H81" s="47">
        <v>3.7</v>
      </c>
      <c r="I81" s="63">
        <v>0</v>
      </c>
      <c r="J81" s="31" t="s">
        <v>8</v>
      </c>
      <c r="K81" s="31" t="s">
        <v>907</v>
      </c>
      <c r="L81" s="32">
        <v>1440</v>
      </c>
      <c r="M81" s="32">
        <v>90</v>
      </c>
      <c r="N81" s="32">
        <v>222.5</v>
      </c>
    </row>
    <row r="82" spans="2:14" x14ac:dyDescent="0.25">
      <c r="B82" s="42" t="s">
        <v>4384</v>
      </c>
      <c r="C82" s="30">
        <v>35</v>
      </c>
      <c r="D82" s="30">
        <v>35</v>
      </c>
      <c r="E82" s="30">
        <v>1.4</v>
      </c>
      <c r="F82" s="30">
        <v>1.4</v>
      </c>
      <c r="G82" s="30">
        <v>67</v>
      </c>
      <c r="H82" s="47">
        <v>5</v>
      </c>
      <c r="I82" s="63">
        <v>0</v>
      </c>
      <c r="J82" s="31" t="s">
        <v>8</v>
      </c>
      <c r="K82" s="31" t="s">
        <v>907</v>
      </c>
      <c r="L82" s="32">
        <v>600</v>
      </c>
      <c r="M82" s="32">
        <v>83</v>
      </c>
      <c r="N82" s="32">
        <v>89.5</v>
      </c>
    </row>
    <row r="83" spans="2:14" x14ac:dyDescent="0.25">
      <c r="B83" s="42" t="s">
        <v>4414</v>
      </c>
      <c r="C83" s="30">
        <v>35</v>
      </c>
      <c r="D83" s="30">
        <v>35</v>
      </c>
      <c r="E83" s="30">
        <v>1.8</v>
      </c>
      <c r="F83" s="30">
        <v>1.8</v>
      </c>
      <c r="G83" s="30">
        <v>58</v>
      </c>
      <c r="H83" s="47">
        <v>4.2</v>
      </c>
      <c r="I83" s="63">
        <v>0</v>
      </c>
      <c r="J83" s="31" t="s">
        <v>8</v>
      </c>
      <c r="K83" s="31" t="s">
        <v>907</v>
      </c>
      <c r="L83" s="32">
        <v>305</v>
      </c>
      <c r="M83" s="32">
        <v>72</v>
      </c>
      <c r="N83" s="32">
        <v>71.5</v>
      </c>
    </row>
    <row r="84" spans="2:14" x14ac:dyDescent="0.25">
      <c r="B84" s="42" t="s">
        <v>4468</v>
      </c>
      <c r="C84" s="30">
        <v>50</v>
      </c>
      <c r="D84" s="30">
        <v>50</v>
      </c>
      <c r="E84" s="30">
        <v>1.4</v>
      </c>
      <c r="F84" s="30">
        <v>1.4</v>
      </c>
      <c r="G84" s="30">
        <v>58</v>
      </c>
      <c r="H84" s="47">
        <v>6.7</v>
      </c>
      <c r="I84" s="63">
        <v>0</v>
      </c>
      <c r="J84" s="31" t="s">
        <v>8</v>
      </c>
      <c r="K84" s="31" t="s">
        <v>907</v>
      </c>
      <c r="L84" s="32">
        <v>280</v>
      </c>
      <c r="M84" s="32">
        <v>73.5</v>
      </c>
      <c r="N84" s="32">
        <v>54</v>
      </c>
    </row>
    <row r="85" spans="2:14" x14ac:dyDescent="0.25">
      <c r="B85" s="42" t="s">
        <v>4487</v>
      </c>
      <c r="C85" s="30">
        <v>50</v>
      </c>
      <c r="D85" s="30">
        <v>50</v>
      </c>
      <c r="E85" s="30">
        <v>1.8</v>
      </c>
      <c r="F85" s="30">
        <v>1.8</v>
      </c>
      <c r="G85" s="30">
        <v>58</v>
      </c>
      <c r="H85" s="47">
        <v>6.7</v>
      </c>
      <c r="I85" s="63">
        <v>0</v>
      </c>
      <c r="J85" s="31" t="s">
        <v>8</v>
      </c>
      <c r="K85" s="31" t="s">
        <v>907</v>
      </c>
      <c r="L85" s="32">
        <v>185</v>
      </c>
      <c r="M85" s="32">
        <v>72</v>
      </c>
      <c r="N85" s="32">
        <v>52.5</v>
      </c>
    </row>
    <row r="86" spans="2:14" x14ac:dyDescent="0.25">
      <c r="B86" s="42" t="s">
        <v>4321</v>
      </c>
      <c r="C86" s="30">
        <v>50</v>
      </c>
      <c r="D86" s="30">
        <v>50</v>
      </c>
      <c r="E86" s="30">
        <v>1.8</v>
      </c>
      <c r="F86" s="30">
        <v>1.8</v>
      </c>
      <c r="G86" s="30">
        <v>58</v>
      </c>
      <c r="H86" s="47">
        <v>6.7</v>
      </c>
      <c r="I86" s="63">
        <v>0</v>
      </c>
      <c r="J86" s="31" t="s">
        <v>8</v>
      </c>
      <c r="K86" s="31" t="s">
        <v>907</v>
      </c>
      <c r="L86" s="32">
        <v>190</v>
      </c>
      <c r="M86" s="32">
        <v>73</v>
      </c>
      <c r="N86" s="32">
        <v>52.5</v>
      </c>
    </row>
    <row r="87" spans="2:14" x14ac:dyDescent="0.25">
      <c r="B87" s="42" t="s">
        <v>2696</v>
      </c>
      <c r="C87" s="30">
        <v>58</v>
      </c>
      <c r="D87" s="30">
        <v>58</v>
      </c>
      <c r="E87" s="30">
        <v>1.4</v>
      </c>
      <c r="F87" s="30">
        <v>1.4</v>
      </c>
      <c r="G87" s="30">
        <v>72</v>
      </c>
      <c r="H87" s="47">
        <v>7.7</v>
      </c>
      <c r="I87" s="63">
        <v>0</v>
      </c>
      <c r="J87" s="31" t="s">
        <v>8</v>
      </c>
      <c r="K87" s="31" t="s">
        <v>907</v>
      </c>
      <c r="L87" s="32">
        <v>385</v>
      </c>
      <c r="M87" s="32">
        <v>85</v>
      </c>
      <c r="N87" s="32">
        <v>70</v>
      </c>
    </row>
    <row r="88" spans="2:14" x14ac:dyDescent="0.25">
      <c r="B88" s="42" t="s">
        <v>4416</v>
      </c>
      <c r="C88" s="30">
        <v>8</v>
      </c>
      <c r="D88" s="30">
        <v>15</v>
      </c>
      <c r="E88" s="30">
        <v>3.5</v>
      </c>
      <c r="F88" s="30">
        <v>4.5</v>
      </c>
      <c r="G88" s="30">
        <v>0</v>
      </c>
      <c r="H88" s="47">
        <v>2.94</v>
      </c>
      <c r="I88" s="63">
        <v>0</v>
      </c>
      <c r="J88" s="31" t="s">
        <v>8</v>
      </c>
      <c r="K88" s="31" t="s">
        <v>907</v>
      </c>
      <c r="L88" s="32">
        <v>485</v>
      </c>
      <c r="M88" s="32">
        <v>77.5</v>
      </c>
      <c r="N88" s="32">
        <v>83</v>
      </c>
    </row>
    <row r="89" spans="2:14" x14ac:dyDescent="0.25">
      <c r="B89" s="42" t="s">
        <v>2641</v>
      </c>
      <c r="C89" s="30">
        <v>85</v>
      </c>
      <c r="D89" s="30">
        <v>85</v>
      </c>
      <c r="E89" s="30">
        <v>1.4</v>
      </c>
      <c r="F89" s="30">
        <v>1.4</v>
      </c>
      <c r="G89" s="30">
        <v>77</v>
      </c>
      <c r="H89" s="47">
        <v>8.33</v>
      </c>
      <c r="I89" s="63">
        <v>0</v>
      </c>
      <c r="J89" s="31" t="s">
        <v>8</v>
      </c>
      <c r="K89" s="31" t="s">
        <v>907</v>
      </c>
      <c r="L89" s="32">
        <v>595</v>
      </c>
      <c r="M89" s="32">
        <v>86.5</v>
      </c>
      <c r="N89" s="32">
        <v>84</v>
      </c>
    </row>
    <row r="90" spans="2:14" x14ac:dyDescent="0.25">
      <c r="B90" s="42" t="s">
        <v>4460</v>
      </c>
      <c r="C90" s="30">
        <v>85</v>
      </c>
      <c r="D90" s="30">
        <v>85</v>
      </c>
      <c r="E90" s="30">
        <v>1.8</v>
      </c>
      <c r="F90" s="30">
        <v>1.8</v>
      </c>
      <c r="G90" s="30">
        <v>67</v>
      </c>
      <c r="H90" s="47">
        <v>8</v>
      </c>
      <c r="I90" s="63">
        <v>0</v>
      </c>
      <c r="J90" s="31" t="s">
        <v>8</v>
      </c>
      <c r="K90" s="31" t="s">
        <v>907</v>
      </c>
      <c r="L90" s="32">
        <v>350</v>
      </c>
      <c r="M90" s="32">
        <v>80</v>
      </c>
      <c r="N90" s="32">
        <v>73</v>
      </c>
    </row>
    <row r="91" spans="2:14" x14ac:dyDescent="0.25">
      <c r="B91" s="42" t="s">
        <v>2640</v>
      </c>
      <c r="C91" s="30">
        <v>10</v>
      </c>
      <c r="D91" s="30">
        <v>24</v>
      </c>
      <c r="E91" s="30">
        <v>3.5</v>
      </c>
      <c r="F91" s="30">
        <v>4.5</v>
      </c>
      <c r="G91" s="30">
        <v>77</v>
      </c>
      <c r="H91" s="47">
        <v>5</v>
      </c>
      <c r="I91" s="63">
        <v>0</v>
      </c>
      <c r="J91" s="31" t="s">
        <v>8</v>
      </c>
      <c r="K91" s="31" t="s">
        <v>898</v>
      </c>
      <c r="L91" s="32">
        <v>460</v>
      </c>
      <c r="M91" s="32">
        <v>82.5</v>
      </c>
      <c r="N91" s="32">
        <v>87</v>
      </c>
    </row>
    <row r="92" spans="2:14" x14ac:dyDescent="0.25">
      <c r="B92" s="42" t="s">
        <v>4272</v>
      </c>
      <c r="C92" s="30">
        <v>12</v>
      </c>
      <c r="D92" s="30">
        <v>24</v>
      </c>
      <c r="E92" s="30">
        <v>4</v>
      </c>
      <c r="F92" s="30">
        <v>4</v>
      </c>
      <c r="G92" s="30">
        <v>77</v>
      </c>
      <c r="H92" s="47">
        <v>8.33</v>
      </c>
      <c r="I92" s="63">
        <v>0</v>
      </c>
      <c r="J92" s="31" t="s">
        <v>8</v>
      </c>
      <c r="K92" s="31" t="s">
        <v>898</v>
      </c>
      <c r="L92" s="32">
        <v>485</v>
      </c>
      <c r="M92" s="32">
        <v>82.5</v>
      </c>
      <c r="N92" s="32">
        <v>90</v>
      </c>
    </row>
    <row r="93" spans="2:14" x14ac:dyDescent="0.25">
      <c r="B93" s="42" t="s">
        <v>2695</v>
      </c>
      <c r="C93" s="30">
        <v>17</v>
      </c>
      <c r="D93" s="30">
        <v>55</v>
      </c>
      <c r="E93" s="30">
        <v>2.8</v>
      </c>
      <c r="F93" s="30">
        <v>2.8</v>
      </c>
      <c r="G93" s="30">
        <v>77</v>
      </c>
      <c r="H93" s="47">
        <v>4.76</v>
      </c>
      <c r="I93" s="63">
        <v>0</v>
      </c>
      <c r="J93" s="31" t="s">
        <v>8</v>
      </c>
      <c r="K93" s="31" t="s">
        <v>898</v>
      </c>
      <c r="L93" s="32">
        <v>755</v>
      </c>
      <c r="M93" s="32">
        <v>85.5</v>
      </c>
      <c r="N93" s="32">
        <v>110.5</v>
      </c>
    </row>
    <row r="94" spans="2:14" x14ac:dyDescent="0.25">
      <c r="B94" s="42" t="s">
        <v>3950</v>
      </c>
      <c r="C94" s="30">
        <v>18</v>
      </c>
      <c r="D94" s="30">
        <v>135</v>
      </c>
      <c r="E94" s="30">
        <v>3.5</v>
      </c>
      <c r="F94" s="30">
        <v>5.6</v>
      </c>
      <c r="G94" s="30">
        <v>67</v>
      </c>
      <c r="H94" s="47">
        <v>4.17</v>
      </c>
      <c r="I94" s="63">
        <v>0</v>
      </c>
      <c r="J94" s="31" t="s">
        <v>8</v>
      </c>
      <c r="K94" s="31" t="s">
        <v>898</v>
      </c>
      <c r="L94" s="32">
        <v>385</v>
      </c>
      <c r="M94" s="32">
        <v>73.5</v>
      </c>
      <c r="N94" s="32">
        <v>86.5</v>
      </c>
    </row>
    <row r="95" spans="2:14" x14ac:dyDescent="0.25">
      <c r="B95" s="42" t="s">
        <v>3949</v>
      </c>
      <c r="C95" s="30">
        <v>18</v>
      </c>
      <c r="D95" s="30">
        <v>55</v>
      </c>
      <c r="E95" s="30">
        <v>3.5</v>
      </c>
      <c r="F95" s="30">
        <v>5.6</v>
      </c>
      <c r="G95" s="30">
        <v>52</v>
      </c>
      <c r="H95" s="47">
        <v>3.23</v>
      </c>
      <c r="I95" s="63">
        <v>0</v>
      </c>
      <c r="J95" s="31" t="s">
        <v>8</v>
      </c>
      <c r="K95" s="31" t="s">
        <v>898</v>
      </c>
      <c r="L95" s="32">
        <v>205</v>
      </c>
      <c r="M95" s="32">
        <v>70.5</v>
      </c>
      <c r="N95" s="32">
        <v>74</v>
      </c>
    </row>
    <row r="96" spans="2:14" x14ac:dyDescent="0.25">
      <c r="B96" s="42" t="s">
        <v>2550</v>
      </c>
      <c r="C96" s="30">
        <v>35</v>
      </c>
      <c r="D96" s="30">
        <v>35</v>
      </c>
      <c r="E96" s="30">
        <v>1.8</v>
      </c>
      <c r="F96" s="30">
        <v>1.8</v>
      </c>
      <c r="G96" s="30">
        <v>52</v>
      </c>
      <c r="H96" s="47">
        <v>0</v>
      </c>
      <c r="I96" s="63">
        <v>0</v>
      </c>
      <c r="J96" s="31" t="s">
        <v>8</v>
      </c>
      <c r="K96" s="31" t="s">
        <v>898</v>
      </c>
      <c r="L96" s="32">
        <v>210</v>
      </c>
      <c r="M96" s="32">
        <v>70</v>
      </c>
      <c r="N96" s="32">
        <v>52.5</v>
      </c>
    </row>
    <row r="97" spans="2:14" x14ac:dyDescent="0.25">
      <c r="B97" s="42" t="s">
        <v>3948</v>
      </c>
      <c r="C97" s="30">
        <v>55</v>
      </c>
      <c r="D97" s="30">
        <v>200</v>
      </c>
      <c r="E97" s="30">
        <v>4</v>
      </c>
      <c r="F97" s="30">
        <v>5.6</v>
      </c>
      <c r="G97" s="30">
        <v>52</v>
      </c>
      <c r="H97" s="47">
        <v>0</v>
      </c>
      <c r="I97" s="63">
        <v>0</v>
      </c>
      <c r="J97" s="31" t="s">
        <v>8</v>
      </c>
      <c r="K97" s="31" t="s">
        <v>898</v>
      </c>
      <c r="L97" s="32">
        <v>255</v>
      </c>
      <c r="M97" s="32">
        <v>68</v>
      </c>
      <c r="N97" s="32">
        <v>79</v>
      </c>
    </row>
    <row r="98" spans="2:14" x14ac:dyDescent="0.25">
      <c r="B98" s="42" t="s">
        <v>2653</v>
      </c>
      <c r="C98" s="30">
        <v>40</v>
      </c>
      <c r="D98" s="30">
        <v>40</v>
      </c>
      <c r="E98" s="30">
        <v>2.8</v>
      </c>
      <c r="F98" s="30">
        <v>2.8</v>
      </c>
      <c r="G98" s="30">
        <v>52</v>
      </c>
      <c r="H98" s="47">
        <v>1</v>
      </c>
      <c r="I98" s="63">
        <v>0</v>
      </c>
      <c r="J98" s="31" t="s">
        <v>8</v>
      </c>
      <c r="K98" s="31" t="s">
        <v>898</v>
      </c>
      <c r="L98" s="32">
        <v>235</v>
      </c>
      <c r="M98" s="32">
        <v>68.5</v>
      </c>
      <c r="N98" s="32">
        <v>64.5</v>
      </c>
    </row>
    <row r="99" spans="2:14" x14ac:dyDescent="0.25">
      <c r="B99" s="42" t="s">
        <v>4320</v>
      </c>
      <c r="C99" s="30">
        <v>60</v>
      </c>
      <c r="D99" s="30">
        <v>60</v>
      </c>
      <c r="E99" s="30">
        <v>2.8</v>
      </c>
      <c r="F99" s="30">
        <v>2.8</v>
      </c>
      <c r="G99" s="30">
        <v>62</v>
      </c>
      <c r="H99" s="47">
        <v>1</v>
      </c>
      <c r="I99" s="63">
        <v>0</v>
      </c>
      <c r="J99" s="31" t="s">
        <v>8</v>
      </c>
      <c r="K99" s="31" t="s">
        <v>907</v>
      </c>
      <c r="L99" s="32">
        <v>425</v>
      </c>
      <c r="M99" s="32">
        <v>73</v>
      </c>
      <c r="N99" s="32">
        <v>89</v>
      </c>
    </row>
    <row r="100" spans="2:14" x14ac:dyDescent="0.25">
      <c r="B100" s="42" t="s">
        <v>4383</v>
      </c>
      <c r="C100" s="30">
        <v>16</v>
      </c>
      <c r="D100" s="30">
        <v>35</v>
      </c>
      <c r="E100" s="30">
        <v>4</v>
      </c>
      <c r="F100" s="30">
        <v>4</v>
      </c>
      <c r="G100" s="30">
        <v>77</v>
      </c>
      <c r="H100" s="47">
        <v>4</v>
      </c>
      <c r="I100" s="63">
        <v>0</v>
      </c>
      <c r="J100" s="31" t="s">
        <v>8</v>
      </c>
      <c r="K100" s="31" t="s">
        <v>907</v>
      </c>
      <c r="L100" s="32">
        <v>685</v>
      </c>
      <c r="M100" s="32">
        <v>82.5</v>
      </c>
      <c r="N100" s="32">
        <v>125</v>
      </c>
    </row>
    <row r="101" spans="2:14" x14ac:dyDescent="0.25">
      <c r="B101" s="42" t="s">
        <v>4177</v>
      </c>
      <c r="C101" s="30">
        <v>200</v>
      </c>
      <c r="D101" s="30">
        <v>400</v>
      </c>
      <c r="E101" s="30">
        <v>4</v>
      </c>
      <c r="F101" s="30">
        <v>4</v>
      </c>
      <c r="G101" s="30">
        <v>52</v>
      </c>
      <c r="H101" s="47">
        <v>3.7</v>
      </c>
      <c r="I101" s="63">
        <v>0</v>
      </c>
      <c r="J101" s="31" t="s">
        <v>8</v>
      </c>
      <c r="K101" s="31" t="s">
        <v>907</v>
      </c>
      <c r="L101" s="32">
        <v>3360</v>
      </c>
      <c r="M101" s="32">
        <v>124</v>
      </c>
      <c r="N101" s="32">
        <v>365.5</v>
      </c>
    </row>
    <row r="102" spans="2:14" x14ac:dyDescent="0.25">
      <c r="B102" s="42" t="s">
        <v>2517</v>
      </c>
      <c r="C102" s="30">
        <v>200</v>
      </c>
      <c r="D102" s="30">
        <v>500</v>
      </c>
      <c r="E102" s="30">
        <v>5.6</v>
      </c>
      <c r="F102" s="30">
        <v>5.6</v>
      </c>
      <c r="G102" s="30">
        <v>95</v>
      </c>
      <c r="H102" s="47">
        <v>4.5</v>
      </c>
      <c r="I102" s="63">
        <v>0</v>
      </c>
      <c r="J102" s="31" t="s">
        <v>8</v>
      </c>
      <c r="K102" s="31" t="s">
        <v>907</v>
      </c>
      <c r="L102" s="32">
        <v>2300</v>
      </c>
      <c r="M102" s="32">
        <v>108</v>
      </c>
      <c r="N102" s="32">
        <v>267.5</v>
      </c>
    </row>
    <row r="103" spans="2:14" x14ac:dyDescent="0.25">
      <c r="B103" s="42" t="s">
        <v>4176</v>
      </c>
      <c r="C103" s="30">
        <v>200</v>
      </c>
      <c r="D103" s="30">
        <v>200</v>
      </c>
      <c r="E103" s="30">
        <v>2</v>
      </c>
      <c r="F103" s="30">
        <v>2</v>
      </c>
      <c r="G103" s="30">
        <v>52</v>
      </c>
      <c r="H103" s="47">
        <v>8.33</v>
      </c>
      <c r="I103" s="63">
        <v>0</v>
      </c>
      <c r="J103" s="31" t="s">
        <v>8</v>
      </c>
      <c r="K103" s="31" t="s">
        <v>907</v>
      </c>
      <c r="L103" s="32">
        <v>2930</v>
      </c>
      <c r="M103" s="32">
        <v>124</v>
      </c>
      <c r="N103" s="32">
        <v>203.5</v>
      </c>
    </row>
    <row r="104" spans="2:14" x14ac:dyDescent="0.25">
      <c r="B104" s="42" t="s">
        <v>4459</v>
      </c>
      <c r="C104" s="30">
        <v>24</v>
      </c>
      <c r="D104" s="30">
        <v>120</v>
      </c>
      <c r="E104" s="30">
        <v>4</v>
      </c>
      <c r="F104" s="30">
        <v>4</v>
      </c>
      <c r="G104" s="30">
        <v>77</v>
      </c>
      <c r="H104" s="47">
        <v>4.17</v>
      </c>
      <c r="I104" s="63">
        <v>0</v>
      </c>
      <c r="J104" s="31" t="s">
        <v>8</v>
      </c>
      <c r="K104" s="31" t="s">
        <v>907</v>
      </c>
      <c r="L104" s="32">
        <v>710</v>
      </c>
      <c r="M104" s="32">
        <v>84</v>
      </c>
      <c r="N104" s="32">
        <v>103.5</v>
      </c>
    </row>
    <row r="105" spans="2:14" x14ac:dyDescent="0.25">
      <c r="B105" s="42" t="s">
        <v>4470</v>
      </c>
      <c r="C105" s="30">
        <v>24</v>
      </c>
      <c r="D105" s="30">
        <v>70</v>
      </c>
      <c r="E105" s="30">
        <v>2.8</v>
      </c>
      <c r="F105" s="30">
        <v>2.8</v>
      </c>
      <c r="G105" s="30">
        <v>82</v>
      </c>
      <c r="H105" s="47">
        <v>3.6</v>
      </c>
      <c r="I105" s="63">
        <v>0</v>
      </c>
      <c r="J105" s="31" t="s">
        <v>8</v>
      </c>
      <c r="K105" s="31" t="s">
        <v>907</v>
      </c>
      <c r="L105" s="32">
        <v>1070</v>
      </c>
      <c r="M105" s="32">
        <v>88</v>
      </c>
      <c r="N105" s="32">
        <v>154.5</v>
      </c>
    </row>
    <row r="106" spans="2:14" x14ac:dyDescent="0.25">
      <c r="B106" s="42" t="s">
        <v>4382</v>
      </c>
      <c r="C106" s="30">
        <v>24</v>
      </c>
      <c r="D106" s="30">
        <v>85</v>
      </c>
      <c r="E106" s="30">
        <v>3.5</v>
      </c>
      <c r="F106" s="30">
        <v>4.5</v>
      </c>
      <c r="G106" s="30">
        <v>72</v>
      </c>
      <c r="H106" s="47">
        <v>4.5</v>
      </c>
      <c r="I106" s="63">
        <v>0</v>
      </c>
      <c r="J106" s="31" t="s">
        <v>8</v>
      </c>
      <c r="K106" s="31" t="s">
        <v>907</v>
      </c>
      <c r="L106" s="32">
        <v>465</v>
      </c>
      <c r="M106" s="32">
        <v>78</v>
      </c>
      <c r="N106" s="32">
        <v>82</v>
      </c>
    </row>
    <row r="107" spans="2:14" x14ac:dyDescent="0.25">
      <c r="B107" s="42" t="s">
        <v>2694</v>
      </c>
      <c r="C107" s="30">
        <v>28</v>
      </c>
      <c r="D107" s="30">
        <v>300</v>
      </c>
      <c r="E107" s="30">
        <v>3.5</v>
      </c>
      <c r="F107" s="30">
        <v>5.6</v>
      </c>
      <c r="G107" s="30">
        <v>77</v>
      </c>
      <c r="H107" s="47">
        <v>3.13</v>
      </c>
      <c r="I107" s="63">
        <v>0</v>
      </c>
      <c r="J107" s="31" t="s">
        <v>8</v>
      </c>
      <c r="K107" s="31" t="s">
        <v>907</v>
      </c>
      <c r="L107" s="32">
        <v>800</v>
      </c>
      <c r="M107" s="32">
        <v>83</v>
      </c>
      <c r="N107" s="32">
        <v>114.5</v>
      </c>
    </row>
    <row r="108" spans="2:14" x14ac:dyDescent="0.25">
      <c r="B108" s="42" t="s">
        <v>3947</v>
      </c>
      <c r="C108" s="30">
        <v>300</v>
      </c>
      <c r="D108" s="30">
        <v>300</v>
      </c>
      <c r="E108" s="30">
        <v>2.8</v>
      </c>
      <c r="F108" s="30">
        <v>2.8</v>
      </c>
      <c r="G108" s="30">
        <v>52</v>
      </c>
      <c r="H108" s="47">
        <v>6.25</v>
      </c>
      <c r="I108" s="63">
        <v>0</v>
      </c>
      <c r="J108" s="31" t="s">
        <v>8</v>
      </c>
      <c r="K108" s="31" t="s">
        <v>907</v>
      </c>
      <c r="L108" s="32">
        <v>2900</v>
      </c>
      <c r="M108" s="32">
        <v>124</v>
      </c>
      <c r="N108" s="32">
        <v>267.5</v>
      </c>
    </row>
    <row r="109" spans="2:14" x14ac:dyDescent="0.25">
      <c r="B109" s="42" t="s">
        <v>4448</v>
      </c>
      <c r="C109" s="30">
        <v>300</v>
      </c>
      <c r="D109" s="30">
        <v>300</v>
      </c>
      <c r="E109" s="30">
        <v>4</v>
      </c>
      <c r="F109" s="30">
        <v>4</v>
      </c>
      <c r="G109" s="30">
        <v>77</v>
      </c>
      <c r="H109" s="47">
        <v>4.2</v>
      </c>
      <c r="I109" s="63">
        <v>0</v>
      </c>
      <c r="J109" s="31" t="s">
        <v>8</v>
      </c>
      <c r="K109" s="31" t="s">
        <v>907</v>
      </c>
      <c r="L109" s="32">
        <v>755</v>
      </c>
      <c r="M109" s="32">
        <v>89</v>
      </c>
      <c r="N109" s="32">
        <v>147.5</v>
      </c>
    </row>
    <row r="110" spans="2:14" x14ac:dyDescent="0.25">
      <c r="B110" s="42" t="s">
        <v>4318</v>
      </c>
      <c r="C110" s="30">
        <v>400</v>
      </c>
      <c r="D110" s="30">
        <v>400</v>
      </c>
      <c r="E110" s="30">
        <v>2.8</v>
      </c>
      <c r="F110" s="30">
        <v>2.8</v>
      </c>
      <c r="G110" s="30">
        <v>40.5</v>
      </c>
      <c r="H110" s="47">
        <v>6.3</v>
      </c>
      <c r="I110" s="63">
        <v>0</v>
      </c>
      <c r="J110" s="31" t="s">
        <v>8</v>
      </c>
      <c r="K110" s="31" t="s">
        <v>907</v>
      </c>
      <c r="L110" s="32">
        <v>3800</v>
      </c>
      <c r="M110" s="32">
        <v>159.5</v>
      </c>
      <c r="N110" s="32">
        <v>358</v>
      </c>
    </row>
    <row r="111" spans="2:14" x14ac:dyDescent="0.25">
      <c r="B111" s="42" t="s">
        <v>3946</v>
      </c>
      <c r="C111" s="30">
        <v>400</v>
      </c>
      <c r="D111" s="30">
        <v>400</v>
      </c>
      <c r="E111" s="30">
        <v>2.8</v>
      </c>
      <c r="F111" s="30">
        <v>2.8</v>
      </c>
      <c r="G111" s="30">
        <v>52</v>
      </c>
      <c r="H111" s="47">
        <v>6.3</v>
      </c>
      <c r="I111" s="63">
        <v>0</v>
      </c>
      <c r="J111" s="31" t="s">
        <v>8</v>
      </c>
      <c r="K111" s="31" t="s">
        <v>907</v>
      </c>
      <c r="L111" s="32">
        <v>4620</v>
      </c>
      <c r="M111" s="32">
        <v>159.5</v>
      </c>
      <c r="N111" s="32">
        <v>368</v>
      </c>
    </row>
    <row r="112" spans="2:14" x14ac:dyDescent="0.25">
      <c r="B112" s="42" t="s">
        <v>4317</v>
      </c>
      <c r="C112" s="30">
        <v>500</v>
      </c>
      <c r="D112" s="30">
        <v>500</v>
      </c>
      <c r="E112" s="30">
        <v>4</v>
      </c>
      <c r="F112" s="30">
        <v>4</v>
      </c>
      <c r="G112" s="30">
        <v>40.5</v>
      </c>
      <c r="H112" s="47">
        <v>6.7</v>
      </c>
      <c r="I112" s="63">
        <v>0</v>
      </c>
      <c r="J112" s="31" t="s">
        <v>8</v>
      </c>
      <c r="K112" s="31" t="s">
        <v>907</v>
      </c>
      <c r="L112" s="32">
        <v>3090</v>
      </c>
      <c r="M112" s="32">
        <v>140</v>
      </c>
      <c r="N112" s="32">
        <v>387</v>
      </c>
    </row>
    <row r="113" spans="2:14" x14ac:dyDescent="0.25">
      <c r="B113" s="42" t="s">
        <v>4175</v>
      </c>
      <c r="C113" s="30">
        <v>500</v>
      </c>
      <c r="D113" s="30">
        <v>500</v>
      </c>
      <c r="E113" s="30">
        <v>4</v>
      </c>
      <c r="F113" s="30">
        <v>4</v>
      </c>
      <c r="G113" s="30">
        <v>52</v>
      </c>
      <c r="H113" s="47">
        <v>6.9</v>
      </c>
      <c r="I113" s="63">
        <v>0</v>
      </c>
      <c r="J113" s="31" t="s">
        <v>8</v>
      </c>
      <c r="K113" s="31" t="s">
        <v>907</v>
      </c>
      <c r="L113" s="32">
        <v>3880</v>
      </c>
      <c r="M113" s="32">
        <v>139.5</v>
      </c>
      <c r="N113" s="32">
        <v>391</v>
      </c>
    </row>
    <row r="114" spans="2:14" x14ac:dyDescent="0.25">
      <c r="B114" s="42" t="s">
        <v>4174</v>
      </c>
      <c r="C114" s="30">
        <v>600</v>
      </c>
      <c r="D114" s="30">
        <v>600</v>
      </c>
      <c r="E114" s="30">
        <v>4</v>
      </c>
      <c r="F114" s="30">
        <v>4</v>
      </c>
      <c r="G114" s="30">
        <v>40.5</v>
      </c>
      <c r="H114" s="47">
        <v>7.1</v>
      </c>
      <c r="I114" s="63">
        <v>0</v>
      </c>
      <c r="J114" s="31" t="s">
        <v>8</v>
      </c>
      <c r="K114" s="31" t="s">
        <v>907</v>
      </c>
      <c r="L114" s="32">
        <v>3810</v>
      </c>
      <c r="M114" s="32">
        <v>166</v>
      </c>
      <c r="N114" s="32">
        <v>432</v>
      </c>
    </row>
    <row r="115" spans="2:14" x14ac:dyDescent="0.25">
      <c r="B115" s="42" t="s">
        <v>4271</v>
      </c>
      <c r="C115" s="30">
        <v>600</v>
      </c>
      <c r="D115" s="30">
        <v>600</v>
      </c>
      <c r="E115" s="30">
        <v>4</v>
      </c>
      <c r="F115" s="30">
        <v>4</v>
      </c>
      <c r="G115" s="30">
        <v>52</v>
      </c>
      <c r="H115" s="47">
        <v>7.4</v>
      </c>
      <c r="I115" s="63">
        <v>0</v>
      </c>
      <c r="J115" s="31" t="s">
        <v>8</v>
      </c>
      <c r="K115" s="31" t="s">
        <v>907</v>
      </c>
      <c r="L115" s="32">
        <v>5060</v>
      </c>
      <c r="M115" s="32">
        <v>166</v>
      </c>
      <c r="N115" s="32">
        <v>445</v>
      </c>
    </row>
    <row r="116" spans="2:14" x14ac:dyDescent="0.25">
      <c r="B116" s="42" t="s">
        <v>4178</v>
      </c>
      <c r="C116" s="30">
        <v>70</v>
      </c>
      <c r="D116" s="30">
        <v>200</v>
      </c>
      <c r="E116" s="30">
        <v>2.8</v>
      </c>
      <c r="F116" s="30">
        <v>2.8</v>
      </c>
      <c r="G116" s="30">
        <v>77</v>
      </c>
      <c r="H116" s="47">
        <v>4.8</v>
      </c>
      <c r="I116" s="63">
        <v>0</v>
      </c>
      <c r="J116" s="31" t="s">
        <v>8</v>
      </c>
      <c r="K116" s="31" t="s">
        <v>907</v>
      </c>
      <c r="L116" s="32">
        <v>1430</v>
      </c>
      <c r="M116" s="32">
        <v>88.5</v>
      </c>
      <c r="N116" s="32">
        <v>202.5</v>
      </c>
    </row>
    <row r="117" spans="2:14" x14ac:dyDescent="0.25">
      <c r="B117" s="42" t="s">
        <v>4467</v>
      </c>
      <c r="C117" s="30">
        <v>70</v>
      </c>
      <c r="D117" s="30">
        <v>200</v>
      </c>
      <c r="E117" s="30">
        <v>2.8</v>
      </c>
      <c r="F117" s="30">
        <v>2.8</v>
      </c>
      <c r="G117" s="30">
        <v>77</v>
      </c>
      <c r="H117" s="47">
        <v>4.8</v>
      </c>
      <c r="I117" s="63">
        <v>0</v>
      </c>
      <c r="J117" s="31" t="s">
        <v>8</v>
      </c>
      <c r="K117" s="31" t="s">
        <v>907</v>
      </c>
      <c r="L117" s="32">
        <v>1430</v>
      </c>
      <c r="M117" s="32">
        <v>88.5</v>
      </c>
      <c r="N117" s="32">
        <v>202.5</v>
      </c>
    </row>
    <row r="118" spans="2:14" x14ac:dyDescent="0.25">
      <c r="B118" s="42" t="s">
        <v>4361</v>
      </c>
      <c r="C118" s="30">
        <v>70</v>
      </c>
      <c r="D118" s="30">
        <v>200</v>
      </c>
      <c r="E118" s="30">
        <v>2.8</v>
      </c>
      <c r="F118" s="30">
        <v>2.8</v>
      </c>
      <c r="G118" s="30">
        <v>77</v>
      </c>
      <c r="H118" s="47">
        <v>0</v>
      </c>
      <c r="I118" s="63">
        <v>0</v>
      </c>
      <c r="J118" s="31" t="s">
        <v>8</v>
      </c>
      <c r="K118" s="31" t="s">
        <v>907</v>
      </c>
      <c r="L118" s="32">
        <v>1540</v>
      </c>
      <c r="M118" s="32">
        <v>87</v>
      </c>
      <c r="N118" s="32">
        <v>209</v>
      </c>
    </row>
    <row r="119" spans="2:14" x14ac:dyDescent="0.25">
      <c r="B119" s="42" t="s">
        <v>2639</v>
      </c>
      <c r="C119" s="30">
        <v>70</v>
      </c>
      <c r="D119" s="30">
        <v>200</v>
      </c>
      <c r="E119" s="30">
        <v>4</v>
      </c>
      <c r="F119" s="30">
        <v>4</v>
      </c>
      <c r="G119" s="30">
        <v>67</v>
      </c>
      <c r="H119" s="47">
        <v>3.65</v>
      </c>
      <c r="I119" s="63">
        <v>0</v>
      </c>
      <c r="J119" s="31" t="s">
        <v>8</v>
      </c>
      <c r="K119" s="31" t="s">
        <v>907</v>
      </c>
      <c r="L119" s="32">
        <v>850</v>
      </c>
      <c r="M119" s="32">
        <v>78</v>
      </c>
      <c r="N119" s="32">
        <v>179</v>
      </c>
    </row>
    <row r="120" spans="2:14" x14ac:dyDescent="0.25">
      <c r="B120" s="42" t="s">
        <v>4319</v>
      </c>
      <c r="C120" s="30">
        <v>70</v>
      </c>
      <c r="D120" s="30">
        <v>300</v>
      </c>
      <c r="E120" s="30">
        <v>4.5</v>
      </c>
      <c r="F120" s="30">
        <v>5.6</v>
      </c>
      <c r="G120" s="30">
        <v>67</v>
      </c>
      <c r="H120" s="47">
        <v>4</v>
      </c>
      <c r="I120" s="63">
        <v>0</v>
      </c>
      <c r="J120" s="31" t="s">
        <v>8</v>
      </c>
      <c r="K120" s="31" t="s">
        <v>907</v>
      </c>
      <c r="L120" s="32">
        <v>745</v>
      </c>
      <c r="M120" s="32">
        <v>80</v>
      </c>
      <c r="N120" s="32">
        <v>143.5</v>
      </c>
    </row>
    <row r="121" spans="2:14" x14ac:dyDescent="0.25">
      <c r="B121" s="42" t="s">
        <v>4270</v>
      </c>
      <c r="C121" s="30">
        <v>800</v>
      </c>
      <c r="D121" s="30">
        <v>800</v>
      </c>
      <c r="E121" s="30">
        <v>5.6</v>
      </c>
      <c r="F121" s="30">
        <v>5.6</v>
      </c>
      <c r="G121" s="30">
        <v>52</v>
      </c>
      <c r="H121" s="47">
        <v>6.7</v>
      </c>
      <c r="I121" s="63">
        <v>0</v>
      </c>
      <c r="J121" s="31" t="s">
        <v>8</v>
      </c>
      <c r="K121" s="31" t="s">
        <v>907</v>
      </c>
      <c r="L121" s="32">
        <v>4590</v>
      </c>
      <c r="M121" s="32">
        <v>160</v>
      </c>
      <c r="N121" s="32">
        <v>461</v>
      </c>
    </row>
    <row r="122" spans="2:14" x14ac:dyDescent="0.25">
      <c r="B122" s="42" t="s">
        <v>4359</v>
      </c>
      <c r="C122" s="30">
        <v>80</v>
      </c>
      <c r="D122" s="30">
        <v>400</v>
      </c>
      <c r="E122" s="30">
        <v>4.5</v>
      </c>
      <c r="F122" s="30">
        <v>5.6</v>
      </c>
      <c r="G122" s="30">
        <v>77</v>
      </c>
      <c r="H122" s="47">
        <v>5</v>
      </c>
      <c r="I122" s="63">
        <v>0</v>
      </c>
      <c r="J122" s="31" t="s">
        <v>8</v>
      </c>
      <c r="K122" s="31" t="s">
        <v>907</v>
      </c>
      <c r="L122" s="32">
        <v>1570</v>
      </c>
      <c r="M122" s="32">
        <v>95.5</v>
      </c>
      <c r="N122" s="32">
        <v>203</v>
      </c>
    </row>
    <row r="123" spans="2:14" x14ac:dyDescent="0.25">
      <c r="B123" s="42" t="s">
        <v>2562</v>
      </c>
      <c r="C123" s="30">
        <v>16</v>
      </c>
      <c r="D123" s="30">
        <v>80</v>
      </c>
      <c r="E123" s="30">
        <v>2.8</v>
      </c>
      <c r="F123" s="30">
        <v>4</v>
      </c>
      <c r="G123" s="30">
        <v>72</v>
      </c>
      <c r="H123" s="47">
        <v>4.5</v>
      </c>
      <c r="I123" s="63">
        <v>0</v>
      </c>
      <c r="J123" s="31" t="s">
        <v>8</v>
      </c>
      <c r="K123" s="31" t="s">
        <v>898</v>
      </c>
      <c r="L123" s="32">
        <v>480</v>
      </c>
      <c r="M123" s="32">
        <v>80</v>
      </c>
      <c r="N123" s="32">
        <v>85.5</v>
      </c>
    </row>
    <row r="124" spans="2:14" x14ac:dyDescent="0.25">
      <c r="B124" s="42" t="s">
        <v>2638</v>
      </c>
      <c r="C124" s="30">
        <v>16</v>
      </c>
      <c r="D124" s="30">
        <v>85</v>
      </c>
      <c r="E124" s="30">
        <v>3.5</v>
      </c>
      <c r="F124" s="30">
        <v>5.6</v>
      </c>
      <c r="G124" s="30">
        <v>67</v>
      </c>
      <c r="H124" s="47">
        <v>4.5999999999999996</v>
      </c>
      <c r="I124" s="63">
        <v>0</v>
      </c>
      <c r="J124" s="31" t="s">
        <v>8</v>
      </c>
      <c r="K124" s="31" t="s">
        <v>898</v>
      </c>
      <c r="L124" s="32">
        <v>485</v>
      </c>
      <c r="M124" s="32">
        <v>72</v>
      </c>
      <c r="N124" s="32">
        <v>85</v>
      </c>
    </row>
    <row r="125" spans="2:14" x14ac:dyDescent="0.25">
      <c r="B125" s="42" t="s">
        <v>2569</v>
      </c>
      <c r="C125" s="30">
        <v>18</v>
      </c>
      <c r="D125" s="30">
        <v>105</v>
      </c>
      <c r="E125" s="30">
        <v>3.5</v>
      </c>
      <c r="F125" s="30">
        <v>5.6</v>
      </c>
      <c r="G125" s="30">
        <v>67</v>
      </c>
      <c r="H125" s="47">
        <v>5</v>
      </c>
      <c r="I125" s="63">
        <v>0</v>
      </c>
      <c r="J125" s="31" t="s">
        <v>8</v>
      </c>
      <c r="K125" s="31" t="s">
        <v>898</v>
      </c>
      <c r="L125" s="32">
        <v>420</v>
      </c>
      <c r="M125" s="32">
        <v>76</v>
      </c>
      <c r="N125" s="32">
        <v>89</v>
      </c>
    </row>
    <row r="126" spans="2:14" x14ac:dyDescent="0.25">
      <c r="B126" s="42" t="s">
        <v>2652</v>
      </c>
      <c r="C126" s="30">
        <v>18</v>
      </c>
      <c r="D126" s="30">
        <v>140</v>
      </c>
      <c r="E126" s="30">
        <v>3.5</v>
      </c>
      <c r="F126" s="30">
        <v>5.6</v>
      </c>
      <c r="G126" s="30">
        <v>67</v>
      </c>
      <c r="H126" s="47">
        <v>4.3</v>
      </c>
      <c r="I126" s="63">
        <v>0</v>
      </c>
      <c r="J126" s="31" t="s">
        <v>8</v>
      </c>
      <c r="K126" s="31" t="s">
        <v>898</v>
      </c>
      <c r="L126" s="32">
        <v>490</v>
      </c>
      <c r="M126" s="32">
        <v>78</v>
      </c>
      <c r="N126" s="32">
        <v>97</v>
      </c>
    </row>
    <row r="127" spans="2:14" x14ac:dyDescent="0.25">
      <c r="B127" s="42" t="s">
        <v>4316</v>
      </c>
      <c r="C127" s="30">
        <v>18</v>
      </c>
      <c r="D127" s="30">
        <v>200</v>
      </c>
      <c r="E127" s="30">
        <v>3.5</v>
      </c>
      <c r="F127" s="30">
        <v>5.6</v>
      </c>
      <c r="G127" s="30">
        <v>72</v>
      </c>
      <c r="H127" s="47">
        <v>4.55</v>
      </c>
      <c r="I127" s="63">
        <v>0</v>
      </c>
      <c r="J127" s="31" t="s">
        <v>8</v>
      </c>
      <c r="K127" s="31" t="s">
        <v>898</v>
      </c>
      <c r="L127" s="32">
        <v>565</v>
      </c>
      <c r="M127" s="32">
        <v>77</v>
      </c>
      <c r="N127" s="32">
        <v>96.5</v>
      </c>
    </row>
    <row r="128" spans="2:14" x14ac:dyDescent="0.25">
      <c r="B128" s="42" t="s">
        <v>4315</v>
      </c>
      <c r="C128" s="30">
        <v>18</v>
      </c>
      <c r="D128" s="30">
        <v>200</v>
      </c>
      <c r="E128" s="30">
        <v>3.5</v>
      </c>
      <c r="F128" s="30">
        <v>5.6</v>
      </c>
      <c r="G128" s="30">
        <v>72</v>
      </c>
      <c r="H128" s="47">
        <v>4.55</v>
      </c>
      <c r="I128" s="63">
        <v>0</v>
      </c>
      <c r="J128" s="31" t="s">
        <v>8</v>
      </c>
      <c r="K128" s="31" t="s">
        <v>898</v>
      </c>
      <c r="L128" s="32">
        <v>560</v>
      </c>
      <c r="M128" s="32">
        <v>77</v>
      </c>
      <c r="N128" s="32">
        <v>96.5</v>
      </c>
    </row>
    <row r="129" spans="2:14" x14ac:dyDescent="0.25">
      <c r="B129" s="42" t="s">
        <v>4381</v>
      </c>
      <c r="C129" s="30">
        <v>18</v>
      </c>
      <c r="D129" s="30">
        <v>300</v>
      </c>
      <c r="E129" s="30">
        <v>3.5</v>
      </c>
      <c r="F129" s="30">
        <v>5.6</v>
      </c>
      <c r="G129" s="30">
        <v>77</v>
      </c>
      <c r="H129" s="47">
        <v>3.2</v>
      </c>
      <c r="I129" s="63">
        <v>0</v>
      </c>
      <c r="J129" s="31" t="s">
        <v>8</v>
      </c>
      <c r="K129" s="31" t="s">
        <v>898</v>
      </c>
      <c r="L129" s="32">
        <v>830</v>
      </c>
      <c r="M129" s="32">
        <v>83</v>
      </c>
      <c r="N129" s="32">
        <v>120</v>
      </c>
    </row>
    <row r="130" spans="2:14" x14ac:dyDescent="0.25">
      <c r="B130" s="42" t="s">
        <v>4447</v>
      </c>
      <c r="C130" s="30">
        <v>18</v>
      </c>
      <c r="D130" s="30">
        <v>300</v>
      </c>
      <c r="E130" s="30">
        <v>3.5</v>
      </c>
      <c r="F130" s="30">
        <v>6.3</v>
      </c>
      <c r="G130" s="30">
        <v>67</v>
      </c>
      <c r="H130" s="47">
        <v>0</v>
      </c>
      <c r="I130" s="63">
        <v>0</v>
      </c>
      <c r="J130" s="31" t="s">
        <v>8</v>
      </c>
      <c r="K130" s="31" t="s">
        <v>898</v>
      </c>
      <c r="L130" s="32">
        <v>550</v>
      </c>
      <c r="M130" s="32">
        <v>79</v>
      </c>
      <c r="N130" s="32">
        <v>99</v>
      </c>
    </row>
    <row r="131" spans="2:14" x14ac:dyDescent="0.25">
      <c r="B131" s="42" t="s">
        <v>4173</v>
      </c>
      <c r="C131" s="30">
        <v>18</v>
      </c>
      <c r="D131" s="30">
        <v>55</v>
      </c>
      <c r="E131" s="30">
        <v>3.5</v>
      </c>
      <c r="F131" s="30">
        <v>5.6</v>
      </c>
      <c r="G131" s="30">
        <v>52</v>
      </c>
      <c r="H131" s="47">
        <v>3.2</v>
      </c>
      <c r="I131" s="63">
        <v>0</v>
      </c>
      <c r="J131" s="31" t="s">
        <v>8</v>
      </c>
      <c r="K131" s="31" t="s">
        <v>898</v>
      </c>
      <c r="L131" s="32">
        <v>195</v>
      </c>
      <c r="M131" s="32">
        <v>66</v>
      </c>
      <c r="N131" s="32">
        <v>59.5</v>
      </c>
    </row>
    <row r="132" spans="2:14" x14ac:dyDescent="0.25">
      <c r="B132" s="42" t="s">
        <v>3945</v>
      </c>
      <c r="C132" s="30">
        <v>18</v>
      </c>
      <c r="D132" s="30">
        <v>55</v>
      </c>
      <c r="E132" s="30">
        <v>3.5</v>
      </c>
      <c r="F132" s="30">
        <v>5.6</v>
      </c>
      <c r="G132" s="30">
        <v>52</v>
      </c>
      <c r="H132" s="47">
        <v>0</v>
      </c>
      <c r="I132" s="63">
        <v>0</v>
      </c>
      <c r="J132" s="31" t="s">
        <v>8</v>
      </c>
      <c r="K132" s="31" t="s">
        <v>898</v>
      </c>
      <c r="L132" s="32">
        <v>265</v>
      </c>
      <c r="M132" s="32">
        <v>73</v>
      </c>
      <c r="N132" s="32">
        <v>79.5</v>
      </c>
    </row>
    <row r="133" spans="2:14" x14ac:dyDescent="0.25">
      <c r="B133" s="42" t="s">
        <v>4269</v>
      </c>
      <c r="C133" s="30">
        <v>55</v>
      </c>
      <c r="D133" s="30">
        <v>200</v>
      </c>
      <c r="E133" s="30">
        <v>4</v>
      </c>
      <c r="F133" s="30">
        <v>5.6</v>
      </c>
      <c r="G133" s="30">
        <v>52</v>
      </c>
      <c r="H133" s="47">
        <v>0</v>
      </c>
      <c r="I133" s="63">
        <v>0</v>
      </c>
      <c r="J133" s="31" t="s">
        <v>8</v>
      </c>
      <c r="K133" s="31" t="s">
        <v>898</v>
      </c>
      <c r="L133" s="32">
        <v>300</v>
      </c>
      <c r="M133" s="32">
        <v>70.5</v>
      </c>
      <c r="N133" s="32">
        <v>83</v>
      </c>
    </row>
    <row r="134" spans="2:14" x14ac:dyDescent="0.25">
      <c r="B134" s="42" t="s">
        <v>4171</v>
      </c>
      <c r="C134" s="30">
        <v>55</v>
      </c>
      <c r="D134" s="30">
        <v>200</v>
      </c>
      <c r="E134" s="30">
        <v>4</v>
      </c>
      <c r="F134" s="30">
        <v>5.6</v>
      </c>
      <c r="G134" s="30">
        <v>52</v>
      </c>
      <c r="H134" s="47">
        <v>0</v>
      </c>
      <c r="I134" s="63">
        <v>0</v>
      </c>
      <c r="J134" s="31" t="s">
        <v>8</v>
      </c>
      <c r="K134" s="31" t="s">
        <v>898</v>
      </c>
      <c r="L134" s="32">
        <v>335</v>
      </c>
      <c r="M134" s="32">
        <v>73</v>
      </c>
      <c r="N134" s="32">
        <v>99.5</v>
      </c>
    </row>
    <row r="135" spans="2:14" x14ac:dyDescent="0.25">
      <c r="B135" s="42" t="s">
        <v>4437</v>
      </c>
      <c r="C135" s="30">
        <v>55</v>
      </c>
      <c r="D135" s="30">
        <v>300</v>
      </c>
      <c r="E135" s="30">
        <v>4.5</v>
      </c>
      <c r="F135" s="30">
        <v>5.6</v>
      </c>
      <c r="G135" s="30">
        <v>58</v>
      </c>
      <c r="H135" s="47">
        <v>3.57</v>
      </c>
      <c r="I135" s="63">
        <v>0</v>
      </c>
      <c r="J135" s="31" t="s">
        <v>8</v>
      </c>
      <c r="K135" s="31" t="s">
        <v>898</v>
      </c>
      <c r="L135" s="32">
        <v>530</v>
      </c>
      <c r="M135" s="32">
        <v>76.5</v>
      </c>
      <c r="N135" s="32">
        <v>123</v>
      </c>
    </row>
    <row r="136" spans="2:14" x14ac:dyDescent="0.25">
      <c r="B136" s="42" t="s">
        <v>4170</v>
      </c>
      <c r="C136" s="30">
        <v>85</v>
      </c>
      <c r="D136" s="30">
        <v>85</v>
      </c>
      <c r="E136" s="30">
        <v>3.5</v>
      </c>
      <c r="F136" s="30">
        <v>3.5</v>
      </c>
      <c r="G136" s="30">
        <v>52</v>
      </c>
      <c r="H136" s="47">
        <v>1</v>
      </c>
      <c r="I136" s="63">
        <v>0</v>
      </c>
      <c r="J136" s="31" t="s">
        <v>8</v>
      </c>
      <c r="K136" s="31" t="s">
        <v>898</v>
      </c>
      <c r="L136" s="32">
        <v>355</v>
      </c>
      <c r="M136" s="32">
        <v>73</v>
      </c>
      <c r="N136" s="32">
        <v>98.5</v>
      </c>
    </row>
    <row r="137" spans="2:14" x14ac:dyDescent="0.25">
      <c r="B137" s="42" t="s">
        <v>4380</v>
      </c>
      <c r="C137" s="30">
        <v>105</v>
      </c>
      <c r="D137" s="30">
        <v>105</v>
      </c>
      <c r="E137" s="30">
        <v>2.8</v>
      </c>
      <c r="F137" s="30">
        <v>2.8</v>
      </c>
      <c r="G137" s="30">
        <v>62</v>
      </c>
      <c r="H137" s="47">
        <v>1</v>
      </c>
      <c r="I137" s="63">
        <v>0</v>
      </c>
      <c r="J137" s="31" t="s">
        <v>8</v>
      </c>
      <c r="K137" s="31" t="s">
        <v>907</v>
      </c>
      <c r="L137" s="32">
        <v>750</v>
      </c>
      <c r="M137" s="32">
        <v>83</v>
      </c>
      <c r="N137" s="32">
        <v>116</v>
      </c>
    </row>
    <row r="138" spans="2:14" x14ac:dyDescent="0.25">
      <c r="B138" s="42" t="s">
        <v>4169</v>
      </c>
      <c r="C138" s="30">
        <v>28</v>
      </c>
      <c r="D138" s="30">
        <v>28</v>
      </c>
      <c r="E138" s="30">
        <v>2.8</v>
      </c>
      <c r="F138" s="30">
        <v>2.8</v>
      </c>
      <c r="G138" s="30">
        <v>52</v>
      </c>
      <c r="H138" s="47">
        <v>0</v>
      </c>
      <c r="I138" s="63">
        <v>0</v>
      </c>
      <c r="J138" s="31" t="s">
        <v>8</v>
      </c>
      <c r="K138" s="31" t="s">
        <v>907</v>
      </c>
      <c r="L138" s="32">
        <v>250</v>
      </c>
      <c r="M138" s="32">
        <v>63</v>
      </c>
      <c r="N138" s="32">
        <v>44.5</v>
      </c>
    </row>
    <row r="139" spans="2:14" x14ac:dyDescent="0.25">
      <c r="B139" s="42" t="s">
        <v>3944</v>
      </c>
      <c r="C139" s="30">
        <v>55</v>
      </c>
      <c r="D139" s="30">
        <v>55</v>
      </c>
      <c r="E139" s="30">
        <v>2.8</v>
      </c>
      <c r="F139" s="30">
        <v>2.8</v>
      </c>
      <c r="G139" s="30">
        <v>52</v>
      </c>
      <c r="H139" s="47">
        <v>0</v>
      </c>
      <c r="I139" s="63">
        <v>0</v>
      </c>
      <c r="J139" s="31" t="s">
        <v>8</v>
      </c>
      <c r="K139" s="31" t="s">
        <v>907</v>
      </c>
      <c r="L139" s="32">
        <v>210</v>
      </c>
      <c r="M139" s="32">
        <v>62</v>
      </c>
      <c r="N139" s="32">
        <v>63.5</v>
      </c>
    </row>
    <row r="140" spans="2:14" x14ac:dyDescent="0.25">
      <c r="B140" s="42" t="s">
        <v>4268</v>
      </c>
      <c r="C140" s="30">
        <v>19</v>
      </c>
      <c r="D140" s="30">
        <v>19</v>
      </c>
      <c r="E140" s="30">
        <v>4</v>
      </c>
      <c r="F140" s="30">
        <v>4</v>
      </c>
      <c r="G140" s="30">
        <v>0</v>
      </c>
      <c r="H140" s="47">
        <v>5.6</v>
      </c>
      <c r="I140" s="63">
        <v>0</v>
      </c>
      <c r="J140" s="31" t="s">
        <v>8</v>
      </c>
      <c r="K140" s="31" t="s">
        <v>907</v>
      </c>
      <c r="L140" s="32">
        <v>885</v>
      </c>
      <c r="M140" s="32">
        <v>89</v>
      </c>
      <c r="N140" s="32">
        <v>124</v>
      </c>
    </row>
    <row r="141" spans="2:14" x14ac:dyDescent="0.25">
      <c r="B141" s="42" t="s">
        <v>4267</v>
      </c>
      <c r="C141" s="30">
        <v>24</v>
      </c>
      <c r="D141" s="30">
        <v>24</v>
      </c>
      <c r="E141" s="30">
        <v>3.5</v>
      </c>
      <c r="F141" s="30">
        <v>3.5</v>
      </c>
      <c r="G141" s="30">
        <v>77</v>
      </c>
      <c r="H141" s="47">
        <v>2.7</v>
      </c>
      <c r="I141" s="63">
        <v>0</v>
      </c>
      <c r="J141" s="31" t="s">
        <v>8</v>
      </c>
      <c r="K141" s="31" t="s">
        <v>907</v>
      </c>
      <c r="L141" s="32">
        <v>730</v>
      </c>
      <c r="M141" s="32">
        <v>82.5</v>
      </c>
      <c r="N141" s="32">
        <v>108</v>
      </c>
    </row>
    <row r="142" spans="2:14" x14ac:dyDescent="0.25">
      <c r="B142" s="42" t="s">
        <v>4168</v>
      </c>
      <c r="C142" s="30">
        <v>45</v>
      </c>
      <c r="D142" s="30">
        <v>45</v>
      </c>
      <c r="E142" s="30">
        <v>2.8</v>
      </c>
      <c r="F142" s="30">
        <v>2.8</v>
      </c>
      <c r="G142" s="30">
        <v>77</v>
      </c>
      <c r="H142" s="47">
        <v>2</v>
      </c>
      <c r="I142" s="63">
        <v>0</v>
      </c>
      <c r="J142" s="31" t="s">
        <v>8</v>
      </c>
      <c r="K142" s="31" t="s">
        <v>907</v>
      </c>
      <c r="L142" s="32">
        <v>780</v>
      </c>
      <c r="M142" s="32">
        <v>83.5</v>
      </c>
      <c r="N142" s="32">
        <v>112</v>
      </c>
    </row>
    <row r="143" spans="2:14" x14ac:dyDescent="0.25">
      <c r="B143" s="42" t="s">
        <v>4167</v>
      </c>
      <c r="C143" s="30">
        <v>85</v>
      </c>
      <c r="D143" s="30">
        <v>85</v>
      </c>
      <c r="E143" s="30">
        <v>2.8</v>
      </c>
      <c r="F143" s="30">
        <v>2.8</v>
      </c>
      <c r="G143" s="30">
        <v>77</v>
      </c>
      <c r="H143" s="47">
        <v>2</v>
      </c>
      <c r="I143" s="63">
        <v>0</v>
      </c>
      <c r="J143" s="31" t="s">
        <v>8</v>
      </c>
      <c r="K143" s="31" t="s">
        <v>907</v>
      </c>
      <c r="L143" s="32">
        <v>650</v>
      </c>
      <c r="M143" s="32">
        <v>82.7</v>
      </c>
      <c r="N143" s="32">
        <v>107</v>
      </c>
    </row>
    <row r="144" spans="2:14" x14ac:dyDescent="0.25">
      <c r="B144" s="42" t="s">
        <v>3303</v>
      </c>
      <c r="C144" s="30">
        <v>100</v>
      </c>
      <c r="D144" s="30">
        <v>100</v>
      </c>
      <c r="E144" s="30">
        <v>2.8</v>
      </c>
      <c r="F144" s="30">
        <v>2.8</v>
      </c>
      <c r="G144" s="30">
        <v>67</v>
      </c>
      <c r="H144" s="47">
        <v>1</v>
      </c>
      <c r="I144" s="63">
        <v>0</v>
      </c>
      <c r="J144" s="31" t="s">
        <v>8</v>
      </c>
      <c r="K144" s="31" t="s">
        <v>907</v>
      </c>
      <c r="L144" s="32">
        <v>705</v>
      </c>
      <c r="M144" s="32">
        <v>72.5</v>
      </c>
      <c r="N144" s="32">
        <v>120.6</v>
      </c>
    </row>
    <row r="145" spans="2:14" x14ac:dyDescent="0.25">
      <c r="B145" s="42" t="s">
        <v>1006</v>
      </c>
      <c r="C145" s="30">
        <v>100</v>
      </c>
      <c r="D145" s="30">
        <v>100</v>
      </c>
      <c r="E145" s="30">
        <v>3.1</v>
      </c>
      <c r="F145" s="30">
        <v>3.1</v>
      </c>
      <c r="G145" s="30">
        <v>67</v>
      </c>
      <c r="H145" s="47">
        <v>1</v>
      </c>
      <c r="I145" s="63">
        <v>0</v>
      </c>
      <c r="J145" s="31" t="s">
        <v>8</v>
      </c>
      <c r="K145" s="31" t="s">
        <v>907</v>
      </c>
      <c r="L145" s="32">
        <v>710</v>
      </c>
      <c r="M145" s="32">
        <v>81.599999999999994</v>
      </c>
      <c r="N145" s="32">
        <v>120.6</v>
      </c>
    </row>
    <row r="146" spans="2:14" x14ac:dyDescent="0.25">
      <c r="B146" s="42" t="s">
        <v>1073</v>
      </c>
      <c r="C146" s="30">
        <v>10</v>
      </c>
      <c r="D146" s="30">
        <v>10</v>
      </c>
      <c r="E146" s="30">
        <v>2.8</v>
      </c>
      <c r="F146" s="30">
        <v>2.8</v>
      </c>
      <c r="G146" s="30">
        <v>0</v>
      </c>
      <c r="H146" s="47">
        <v>0</v>
      </c>
      <c r="I146" s="63">
        <v>0</v>
      </c>
      <c r="J146" s="31" t="s">
        <v>8</v>
      </c>
      <c r="K146" s="31" t="s">
        <v>898</v>
      </c>
      <c r="L146" s="32">
        <v>580</v>
      </c>
      <c r="M146" s="32">
        <v>86</v>
      </c>
      <c r="N146" s="32">
        <v>77</v>
      </c>
    </row>
    <row r="147" spans="2:14" x14ac:dyDescent="0.25">
      <c r="B147" s="42" t="s">
        <v>3272</v>
      </c>
      <c r="C147" s="30">
        <v>10</v>
      </c>
      <c r="D147" s="30">
        <v>10</v>
      </c>
      <c r="E147" s="30">
        <v>3.1</v>
      </c>
      <c r="F147" s="30">
        <v>3.1</v>
      </c>
      <c r="G147" s="30">
        <v>0</v>
      </c>
      <c r="H147" s="47">
        <v>0</v>
      </c>
      <c r="I147" s="63">
        <v>0</v>
      </c>
      <c r="J147" s="31" t="s">
        <v>8</v>
      </c>
      <c r="K147" s="31" t="s">
        <v>907</v>
      </c>
      <c r="L147" s="32">
        <v>590</v>
      </c>
      <c r="M147" s="32">
        <v>87</v>
      </c>
      <c r="N147" s="32">
        <v>103.6</v>
      </c>
    </row>
    <row r="148" spans="2:14" x14ac:dyDescent="0.25">
      <c r="B148" s="42" t="s">
        <v>2977</v>
      </c>
      <c r="C148" s="30">
        <v>12</v>
      </c>
      <c r="D148" s="30">
        <v>12</v>
      </c>
      <c r="E148" s="30">
        <v>2.8</v>
      </c>
      <c r="F148" s="30">
        <v>2.8</v>
      </c>
      <c r="G148" s="30">
        <v>0</v>
      </c>
      <c r="H148" s="47">
        <v>0</v>
      </c>
      <c r="I148" s="63">
        <v>0</v>
      </c>
      <c r="J148" s="31" t="s">
        <v>8</v>
      </c>
      <c r="K148" s="31" t="s">
        <v>907</v>
      </c>
      <c r="L148" s="32">
        <v>500</v>
      </c>
      <c r="M148" s="32">
        <v>77.3</v>
      </c>
      <c r="N148" s="32">
        <v>70.2</v>
      </c>
    </row>
    <row r="149" spans="2:14" x14ac:dyDescent="0.25">
      <c r="B149" s="42" t="s">
        <v>1028</v>
      </c>
      <c r="C149" s="30">
        <v>12</v>
      </c>
      <c r="D149" s="30">
        <v>12</v>
      </c>
      <c r="E149" s="30">
        <v>3.1</v>
      </c>
      <c r="F149" s="30">
        <v>3.1</v>
      </c>
      <c r="G149" s="30">
        <v>0</v>
      </c>
      <c r="H149" s="47">
        <v>0</v>
      </c>
      <c r="I149" s="63">
        <v>0</v>
      </c>
      <c r="J149" s="31" t="s">
        <v>8</v>
      </c>
      <c r="K149" s="31" t="s">
        <v>907</v>
      </c>
      <c r="L149" s="32">
        <v>510</v>
      </c>
      <c r="M149" s="32">
        <v>81.599999999999994</v>
      </c>
      <c r="N149" s="32">
        <v>70.2</v>
      </c>
    </row>
    <row r="150" spans="2:14" x14ac:dyDescent="0.25">
      <c r="B150" s="42" t="s">
        <v>3854</v>
      </c>
      <c r="C150" s="30">
        <v>135</v>
      </c>
      <c r="D150" s="30">
        <v>135</v>
      </c>
      <c r="E150" s="30">
        <v>2</v>
      </c>
      <c r="F150" s="30">
        <v>2</v>
      </c>
      <c r="G150" s="30">
        <v>77</v>
      </c>
      <c r="H150" s="47">
        <v>0</v>
      </c>
      <c r="I150" s="63">
        <v>0</v>
      </c>
      <c r="J150" s="31" t="s">
        <v>8</v>
      </c>
      <c r="K150" s="31" t="s">
        <v>907</v>
      </c>
      <c r="L150" s="32">
        <v>815</v>
      </c>
      <c r="M150" s="32">
        <v>82</v>
      </c>
      <c r="N150" s="32">
        <v>120</v>
      </c>
    </row>
    <row r="151" spans="2:14" x14ac:dyDescent="0.25">
      <c r="B151" s="42" t="s">
        <v>1122</v>
      </c>
      <c r="C151" s="30">
        <v>135</v>
      </c>
      <c r="D151" s="30">
        <v>135</v>
      </c>
      <c r="E151" s="30">
        <v>2.2000000000000002</v>
      </c>
      <c r="F151" s="30">
        <v>2.2000000000000002</v>
      </c>
      <c r="G151" s="30">
        <v>77</v>
      </c>
      <c r="H151" s="47">
        <v>0</v>
      </c>
      <c r="I151" s="63">
        <v>0</v>
      </c>
      <c r="J151" s="31" t="s">
        <v>8</v>
      </c>
      <c r="K151" s="31" t="s">
        <v>907</v>
      </c>
      <c r="L151" s="32">
        <v>820</v>
      </c>
      <c r="M151" s="32">
        <v>82</v>
      </c>
      <c r="N151" s="32">
        <v>120</v>
      </c>
    </row>
    <row r="152" spans="2:14" x14ac:dyDescent="0.25">
      <c r="B152" s="42" t="s">
        <v>2972</v>
      </c>
      <c r="C152" s="30">
        <v>14</v>
      </c>
      <c r="D152" s="30">
        <v>14</v>
      </c>
      <c r="E152" s="30">
        <v>2.8</v>
      </c>
      <c r="F152" s="30">
        <v>2.8</v>
      </c>
      <c r="G152" s="30">
        <v>0</v>
      </c>
      <c r="H152" s="47">
        <v>0</v>
      </c>
      <c r="I152" s="63">
        <v>0</v>
      </c>
      <c r="J152" s="31" t="s">
        <v>8</v>
      </c>
      <c r="K152" s="31" t="s">
        <v>907</v>
      </c>
      <c r="L152" s="32">
        <v>555</v>
      </c>
      <c r="M152" s="32">
        <v>92</v>
      </c>
      <c r="N152" s="32">
        <v>86</v>
      </c>
    </row>
    <row r="153" spans="2:14" x14ac:dyDescent="0.25">
      <c r="B153" s="42" t="s">
        <v>1059</v>
      </c>
      <c r="C153" s="30">
        <v>14</v>
      </c>
      <c r="D153" s="30">
        <v>14</v>
      </c>
      <c r="E153" s="30">
        <v>3.1</v>
      </c>
      <c r="F153" s="30">
        <v>3.1</v>
      </c>
      <c r="G153" s="30">
        <v>0</v>
      </c>
      <c r="H153" s="47">
        <v>0</v>
      </c>
      <c r="I153" s="63">
        <v>0</v>
      </c>
      <c r="J153" s="31" t="s">
        <v>8</v>
      </c>
      <c r="K153" s="31" t="s">
        <v>907</v>
      </c>
      <c r="L153" s="32">
        <v>552</v>
      </c>
      <c r="M153" s="32">
        <v>94</v>
      </c>
      <c r="N153" s="32">
        <v>87</v>
      </c>
    </row>
    <row r="154" spans="2:14" x14ac:dyDescent="0.25">
      <c r="B154" s="42" t="s">
        <v>1047</v>
      </c>
      <c r="C154" s="30">
        <v>14</v>
      </c>
      <c r="D154" s="30">
        <v>14</v>
      </c>
      <c r="E154" s="30">
        <v>3.1</v>
      </c>
      <c r="F154" s="30">
        <v>3.1</v>
      </c>
      <c r="G154" s="30">
        <v>0</v>
      </c>
      <c r="H154" s="47">
        <v>0</v>
      </c>
      <c r="I154" s="63">
        <v>0</v>
      </c>
      <c r="J154" s="31" t="s">
        <v>8</v>
      </c>
      <c r="K154" s="31" t="s">
        <v>907</v>
      </c>
      <c r="L154" s="32">
        <v>605</v>
      </c>
      <c r="M154" s="32">
        <v>87</v>
      </c>
      <c r="N154" s="32">
        <v>93.6</v>
      </c>
    </row>
    <row r="155" spans="2:14" x14ac:dyDescent="0.25">
      <c r="B155" s="42" t="s">
        <v>1112</v>
      </c>
      <c r="C155" s="30">
        <v>16</v>
      </c>
      <c r="D155" s="30">
        <v>16</v>
      </c>
      <c r="E155" s="30">
        <v>2.2000000000000002</v>
      </c>
      <c r="F155" s="30">
        <v>2.2000000000000002</v>
      </c>
      <c r="G155" s="30">
        <v>77</v>
      </c>
      <c r="H155" s="47">
        <v>0</v>
      </c>
      <c r="I155" s="63">
        <v>0</v>
      </c>
      <c r="J155" s="31" t="s">
        <v>8</v>
      </c>
      <c r="K155" s="31" t="s">
        <v>898</v>
      </c>
      <c r="L155" s="32">
        <v>580</v>
      </c>
      <c r="M155" s="32">
        <v>83</v>
      </c>
      <c r="N155" s="32">
        <v>86.9</v>
      </c>
    </row>
    <row r="156" spans="2:14" x14ac:dyDescent="0.25">
      <c r="B156" s="42" t="s">
        <v>3283</v>
      </c>
      <c r="C156" s="30">
        <v>16</v>
      </c>
      <c r="D156" s="30">
        <v>16</v>
      </c>
      <c r="E156" s="30">
        <v>2.6</v>
      </c>
      <c r="F156" s="30">
        <v>2.6</v>
      </c>
      <c r="G156" s="30">
        <v>77</v>
      </c>
      <c r="H156" s="47">
        <v>0</v>
      </c>
      <c r="I156" s="63">
        <v>0</v>
      </c>
      <c r="J156" s="31" t="s">
        <v>8</v>
      </c>
      <c r="K156" s="31" t="s">
        <v>907</v>
      </c>
      <c r="L156" s="32">
        <v>515</v>
      </c>
      <c r="M156" s="32">
        <v>81.7</v>
      </c>
      <c r="N156" s="32">
        <v>93.6</v>
      </c>
    </row>
    <row r="157" spans="2:14" x14ac:dyDescent="0.25">
      <c r="B157" s="42" t="s">
        <v>2969</v>
      </c>
      <c r="C157" s="30">
        <v>20</v>
      </c>
      <c r="D157" s="30">
        <v>20</v>
      </c>
      <c r="E157" s="30">
        <v>1.8</v>
      </c>
      <c r="F157" s="30">
        <v>1.8</v>
      </c>
      <c r="G157" s="30">
        <v>77</v>
      </c>
      <c r="H157" s="47">
        <v>0</v>
      </c>
      <c r="I157" s="63">
        <v>0</v>
      </c>
      <c r="J157" s="31" t="s">
        <v>8</v>
      </c>
      <c r="K157" s="31" t="s">
        <v>907</v>
      </c>
      <c r="L157" s="32">
        <v>488</v>
      </c>
      <c r="M157" s="32">
        <v>83</v>
      </c>
      <c r="N157" s="32">
        <v>85.9</v>
      </c>
    </row>
    <row r="158" spans="2:14" x14ac:dyDescent="0.25">
      <c r="B158" s="42" t="s">
        <v>964</v>
      </c>
      <c r="C158" s="30">
        <v>20</v>
      </c>
      <c r="D158" s="30">
        <v>20</v>
      </c>
      <c r="E158" s="30">
        <v>1.9</v>
      </c>
      <c r="F158" s="30">
        <v>1.9</v>
      </c>
      <c r="G158" s="30">
        <v>77</v>
      </c>
      <c r="H158" s="47">
        <v>0</v>
      </c>
      <c r="I158" s="63">
        <v>0</v>
      </c>
      <c r="J158" s="31" t="s">
        <v>8</v>
      </c>
      <c r="K158" s="31" t="s">
        <v>907</v>
      </c>
      <c r="L158" s="32">
        <v>508</v>
      </c>
      <c r="M158" s="32">
        <v>83</v>
      </c>
      <c r="N158" s="32">
        <v>85.9</v>
      </c>
    </row>
    <row r="159" spans="2:14" x14ac:dyDescent="0.25">
      <c r="B159" s="42" t="s">
        <v>4137</v>
      </c>
      <c r="C159" s="30">
        <v>24</v>
      </c>
      <c r="D159" s="30">
        <v>24</v>
      </c>
      <c r="E159" s="30">
        <v>1.4</v>
      </c>
      <c r="F159" s="30">
        <v>1.4</v>
      </c>
      <c r="G159" s="30">
        <v>77</v>
      </c>
      <c r="H159" s="47">
        <v>0</v>
      </c>
      <c r="I159" s="63">
        <v>0</v>
      </c>
      <c r="J159" s="31" t="s">
        <v>8</v>
      </c>
      <c r="K159" s="31" t="s">
        <v>907</v>
      </c>
      <c r="L159" s="32">
        <v>580</v>
      </c>
      <c r="M159" s="32">
        <v>83</v>
      </c>
      <c r="N159" s="32">
        <v>95</v>
      </c>
    </row>
    <row r="160" spans="2:14" x14ac:dyDescent="0.25">
      <c r="B160" s="42" t="s">
        <v>1061</v>
      </c>
      <c r="C160" s="30">
        <v>24</v>
      </c>
      <c r="D160" s="30">
        <v>24</v>
      </c>
      <c r="E160" s="30">
        <v>1.5</v>
      </c>
      <c r="F160" s="30">
        <v>1.5</v>
      </c>
      <c r="G160" s="30">
        <v>77</v>
      </c>
      <c r="H160" s="47">
        <v>0</v>
      </c>
      <c r="I160" s="63">
        <v>0</v>
      </c>
      <c r="J160" s="31" t="s">
        <v>8</v>
      </c>
      <c r="K160" s="31" t="s">
        <v>907</v>
      </c>
      <c r="L160" s="32">
        <v>680</v>
      </c>
      <c r="M160" s="32">
        <v>83</v>
      </c>
      <c r="N160" s="32">
        <v>97</v>
      </c>
    </row>
    <row r="161" spans="2:14" x14ac:dyDescent="0.25">
      <c r="B161" s="42" t="s">
        <v>1069</v>
      </c>
      <c r="C161" s="30">
        <v>24</v>
      </c>
      <c r="D161" s="30">
        <v>24</v>
      </c>
      <c r="E161" s="30">
        <v>1.5</v>
      </c>
      <c r="F161" s="30">
        <v>1.5</v>
      </c>
      <c r="G161" s="30">
        <v>77</v>
      </c>
      <c r="H161" s="47">
        <v>0</v>
      </c>
      <c r="I161" s="63">
        <v>0</v>
      </c>
      <c r="J161" s="31" t="s">
        <v>8</v>
      </c>
      <c r="K161" s="31" t="s">
        <v>907</v>
      </c>
      <c r="L161" s="32">
        <v>600</v>
      </c>
      <c r="M161" s="32">
        <v>83</v>
      </c>
      <c r="N161" s="32">
        <v>95</v>
      </c>
    </row>
    <row r="162" spans="2:14" x14ac:dyDescent="0.25">
      <c r="B162" s="42" t="s">
        <v>1120</v>
      </c>
      <c r="C162" s="30">
        <v>300</v>
      </c>
      <c r="D162" s="30">
        <v>300</v>
      </c>
      <c r="E162" s="30">
        <v>6.3</v>
      </c>
      <c r="F162" s="30">
        <v>6.3</v>
      </c>
      <c r="G162" s="30">
        <v>25.5</v>
      </c>
      <c r="H162" s="47">
        <v>0</v>
      </c>
      <c r="I162" s="63">
        <v>0</v>
      </c>
      <c r="J162" s="31" t="s">
        <v>8</v>
      </c>
      <c r="K162" s="31" t="s">
        <v>907</v>
      </c>
      <c r="L162" s="32">
        <v>260</v>
      </c>
      <c r="M162" s="32">
        <v>64.5</v>
      </c>
      <c r="N162" s="32">
        <v>73.599999999999994</v>
      </c>
    </row>
    <row r="163" spans="2:14" x14ac:dyDescent="0.25">
      <c r="B163" s="42" t="s">
        <v>1100</v>
      </c>
      <c r="C163" s="30">
        <v>35</v>
      </c>
      <c r="D163" s="30">
        <v>35</v>
      </c>
      <c r="E163" s="30">
        <v>1.4</v>
      </c>
      <c r="F163" s="30">
        <v>1.4</v>
      </c>
      <c r="G163" s="30">
        <v>77</v>
      </c>
      <c r="H163" s="47">
        <v>0</v>
      </c>
      <c r="I163" s="63">
        <v>0</v>
      </c>
      <c r="J163" s="31" t="s">
        <v>8</v>
      </c>
      <c r="K163" s="31" t="s">
        <v>907</v>
      </c>
      <c r="L163" s="32">
        <v>660</v>
      </c>
      <c r="M163" s="32">
        <v>83</v>
      </c>
      <c r="N163" s="32">
        <v>111</v>
      </c>
    </row>
    <row r="164" spans="2:14" x14ac:dyDescent="0.25">
      <c r="B164" s="42" t="s">
        <v>1062</v>
      </c>
      <c r="C164" s="30">
        <v>35</v>
      </c>
      <c r="D164" s="30">
        <v>35</v>
      </c>
      <c r="E164" s="30">
        <v>1.5</v>
      </c>
      <c r="F164" s="30">
        <v>1.5</v>
      </c>
      <c r="G164" s="30">
        <v>77</v>
      </c>
      <c r="H164" s="47">
        <v>0</v>
      </c>
      <c r="I164" s="63">
        <v>0</v>
      </c>
      <c r="J164" s="31" t="s">
        <v>8</v>
      </c>
      <c r="K164" s="31" t="s">
        <v>907</v>
      </c>
      <c r="L164" s="32">
        <v>660</v>
      </c>
      <c r="M164" s="32">
        <v>83</v>
      </c>
      <c r="N164" s="32">
        <v>111</v>
      </c>
    </row>
    <row r="165" spans="2:14" x14ac:dyDescent="0.25">
      <c r="B165" s="42" t="s">
        <v>4134</v>
      </c>
      <c r="C165" s="30">
        <v>35</v>
      </c>
      <c r="D165" s="30">
        <v>35</v>
      </c>
      <c r="E165" s="30">
        <v>1.5</v>
      </c>
      <c r="F165" s="30">
        <v>1.5</v>
      </c>
      <c r="G165" s="30">
        <v>77</v>
      </c>
      <c r="H165" s="47">
        <v>0</v>
      </c>
      <c r="I165" s="63">
        <v>0</v>
      </c>
      <c r="J165" s="31" t="s">
        <v>8</v>
      </c>
      <c r="K165" s="31" t="s">
        <v>907</v>
      </c>
      <c r="L165" s="32">
        <v>685</v>
      </c>
      <c r="M165" s="32">
        <v>83</v>
      </c>
      <c r="N165" s="32">
        <v>109</v>
      </c>
    </row>
    <row r="166" spans="2:14" x14ac:dyDescent="0.25">
      <c r="B166" s="42" t="s">
        <v>3294</v>
      </c>
      <c r="C166" s="30">
        <v>50</v>
      </c>
      <c r="D166" s="30">
        <v>50</v>
      </c>
      <c r="E166" s="30">
        <v>1.4</v>
      </c>
      <c r="F166" s="30">
        <v>1.4</v>
      </c>
      <c r="G166" s="30">
        <v>77</v>
      </c>
      <c r="H166" s="47">
        <v>0</v>
      </c>
      <c r="I166" s="63">
        <v>0</v>
      </c>
      <c r="J166" s="31" t="s">
        <v>8</v>
      </c>
      <c r="K166" s="31" t="s">
        <v>907</v>
      </c>
      <c r="L166" s="32">
        <v>520</v>
      </c>
      <c r="M166" s="32">
        <v>81.599999999999994</v>
      </c>
      <c r="N166" s="32">
        <v>72.2</v>
      </c>
    </row>
    <row r="167" spans="2:14" x14ac:dyDescent="0.25">
      <c r="B167" s="42" t="s">
        <v>1038</v>
      </c>
      <c r="C167" s="30">
        <v>50</v>
      </c>
      <c r="D167" s="30">
        <v>50</v>
      </c>
      <c r="E167" s="30">
        <v>1.5</v>
      </c>
      <c r="F167" s="30">
        <v>1.5</v>
      </c>
      <c r="G167" s="30">
        <v>77</v>
      </c>
      <c r="H167" s="47">
        <v>0</v>
      </c>
      <c r="I167" s="63">
        <v>0</v>
      </c>
      <c r="J167" s="31" t="s">
        <v>8</v>
      </c>
      <c r="K167" s="31" t="s">
        <v>907</v>
      </c>
      <c r="L167" s="32">
        <v>555</v>
      </c>
      <c r="M167" s="32">
        <v>81.599999999999994</v>
      </c>
      <c r="N167" s="32">
        <v>72.2</v>
      </c>
    </row>
    <row r="168" spans="2:14" x14ac:dyDescent="0.25">
      <c r="B168" s="42" t="s">
        <v>1082</v>
      </c>
      <c r="C168" s="30">
        <v>85</v>
      </c>
      <c r="D168" s="30">
        <v>85</v>
      </c>
      <c r="E168" s="30">
        <v>1.4</v>
      </c>
      <c r="F168" s="30">
        <v>1.4</v>
      </c>
      <c r="G168" s="30">
        <v>72</v>
      </c>
      <c r="H168" s="47">
        <v>0</v>
      </c>
      <c r="I168" s="63">
        <v>0</v>
      </c>
      <c r="J168" s="31" t="s">
        <v>8</v>
      </c>
      <c r="K168" s="31" t="s">
        <v>907</v>
      </c>
      <c r="L168" s="32">
        <v>539</v>
      </c>
      <c r="M168" s="32">
        <v>78</v>
      </c>
      <c r="N168" s="32">
        <v>75</v>
      </c>
    </row>
    <row r="169" spans="2:14" x14ac:dyDescent="0.25">
      <c r="B169" s="42" t="s">
        <v>1033</v>
      </c>
      <c r="C169" s="30">
        <v>85</v>
      </c>
      <c r="D169" s="30">
        <v>85</v>
      </c>
      <c r="E169" s="30">
        <v>1.5</v>
      </c>
      <c r="F169" s="30">
        <v>1.5</v>
      </c>
      <c r="G169" s="30">
        <v>72</v>
      </c>
      <c r="H169" s="47">
        <v>0</v>
      </c>
      <c r="I169" s="63">
        <v>0</v>
      </c>
      <c r="J169" s="31" t="s">
        <v>8</v>
      </c>
      <c r="K169" s="31" t="s">
        <v>907</v>
      </c>
      <c r="L169" s="32">
        <v>560</v>
      </c>
      <c r="M169" s="32">
        <v>78</v>
      </c>
      <c r="N169" s="32">
        <v>72.2</v>
      </c>
    </row>
    <row r="170" spans="2:14" x14ac:dyDescent="0.25">
      <c r="B170" s="42" t="s">
        <v>1087</v>
      </c>
      <c r="C170" s="30">
        <v>85</v>
      </c>
      <c r="D170" s="30">
        <v>85</v>
      </c>
      <c r="E170" s="30">
        <v>1.5</v>
      </c>
      <c r="F170" s="30">
        <v>1.5</v>
      </c>
      <c r="G170" s="30">
        <v>0</v>
      </c>
      <c r="H170" s="47">
        <v>0</v>
      </c>
      <c r="I170" s="63">
        <v>0</v>
      </c>
      <c r="J170" s="31" t="s">
        <v>8</v>
      </c>
      <c r="K170" s="31" t="s">
        <v>907</v>
      </c>
      <c r="L170" s="32">
        <v>577</v>
      </c>
      <c r="M170" s="32">
        <v>78</v>
      </c>
      <c r="N170" s="32">
        <v>75</v>
      </c>
    </row>
    <row r="171" spans="2:14" x14ac:dyDescent="0.25">
      <c r="B171" s="42" t="s">
        <v>3259</v>
      </c>
      <c r="C171" s="30">
        <v>8</v>
      </c>
      <c r="D171" s="30">
        <v>8</v>
      </c>
      <c r="E171" s="30">
        <v>3.5</v>
      </c>
      <c r="F171" s="30">
        <v>3.5</v>
      </c>
      <c r="G171" s="30">
        <v>0</v>
      </c>
      <c r="H171" s="47">
        <v>0</v>
      </c>
      <c r="I171" s="63">
        <v>0</v>
      </c>
      <c r="J171" s="31" t="s">
        <v>8</v>
      </c>
      <c r="K171" s="31" t="s">
        <v>898</v>
      </c>
      <c r="L171" s="32">
        <v>410</v>
      </c>
      <c r="M171" s="32">
        <v>77.8</v>
      </c>
      <c r="N171" s="32">
        <v>72.599999999999994</v>
      </c>
    </row>
    <row r="172" spans="2:14" x14ac:dyDescent="0.25">
      <c r="B172" s="42" t="s">
        <v>1058</v>
      </c>
      <c r="C172" s="30">
        <v>8</v>
      </c>
      <c r="D172" s="30">
        <v>8</v>
      </c>
      <c r="E172" s="30">
        <v>3.8</v>
      </c>
      <c r="F172" s="30">
        <v>3.8</v>
      </c>
      <c r="G172" s="30">
        <v>0</v>
      </c>
      <c r="H172" s="47">
        <v>0</v>
      </c>
      <c r="I172" s="63">
        <v>0</v>
      </c>
      <c r="J172" s="31" t="s">
        <v>8</v>
      </c>
      <c r="K172" s="31" t="s">
        <v>898</v>
      </c>
      <c r="L172" s="32">
        <v>435</v>
      </c>
      <c r="M172" s="32">
        <v>75</v>
      </c>
      <c r="N172" s="32">
        <v>74.8</v>
      </c>
    </row>
    <row r="173" spans="2:14" x14ac:dyDescent="0.25">
      <c r="B173" s="42" t="s">
        <v>3908</v>
      </c>
      <c r="C173" s="30">
        <v>8</v>
      </c>
      <c r="D173" s="30">
        <v>8</v>
      </c>
      <c r="E173" s="30">
        <v>3.8</v>
      </c>
      <c r="F173" s="30">
        <v>3.8</v>
      </c>
      <c r="G173" s="30">
        <v>0</v>
      </c>
      <c r="H173" s="47">
        <v>0</v>
      </c>
      <c r="I173" s="63">
        <v>0</v>
      </c>
      <c r="J173" s="31" t="s">
        <v>8</v>
      </c>
      <c r="K173" s="31" t="s">
        <v>898</v>
      </c>
      <c r="L173" s="32">
        <v>430</v>
      </c>
      <c r="M173" s="32">
        <v>77.8</v>
      </c>
      <c r="N173" s="32">
        <v>72.599999999999994</v>
      </c>
    </row>
    <row r="174" spans="2:14" x14ac:dyDescent="0.25">
      <c r="B174" s="42" t="s">
        <v>999</v>
      </c>
      <c r="C174" s="30">
        <v>16</v>
      </c>
      <c r="D174" s="30">
        <v>16</v>
      </c>
      <c r="E174" s="30">
        <v>2</v>
      </c>
      <c r="F174" s="30">
        <v>2</v>
      </c>
      <c r="G174" s="30">
        <v>77</v>
      </c>
      <c r="H174" s="47">
        <v>0</v>
      </c>
      <c r="I174" s="63">
        <v>0</v>
      </c>
      <c r="J174" s="31" t="s">
        <v>8</v>
      </c>
      <c r="K174" s="31" t="s">
        <v>898</v>
      </c>
      <c r="L174" s="32">
        <v>583</v>
      </c>
      <c r="M174" s="32">
        <v>83</v>
      </c>
      <c r="N174" s="32">
        <v>89.4</v>
      </c>
    </row>
    <row r="175" spans="2:14" x14ac:dyDescent="0.25">
      <c r="B175" s="42" t="s">
        <v>1101</v>
      </c>
      <c r="C175" s="30">
        <v>35</v>
      </c>
      <c r="D175" s="30">
        <v>35</v>
      </c>
      <c r="E175" s="30">
        <v>1.4</v>
      </c>
      <c r="F175" s="30">
        <v>1.4</v>
      </c>
      <c r="G175" s="30">
        <v>77</v>
      </c>
      <c r="H175" s="47">
        <v>0</v>
      </c>
      <c r="I175" s="63">
        <v>0</v>
      </c>
      <c r="J175" s="31" t="s">
        <v>8</v>
      </c>
      <c r="K175" s="31" t="s">
        <v>907</v>
      </c>
      <c r="L175" s="32">
        <v>660</v>
      </c>
      <c r="M175" s="32">
        <v>83</v>
      </c>
      <c r="N175" s="32">
        <v>111</v>
      </c>
    </row>
    <row r="176" spans="2:14" x14ac:dyDescent="0.25">
      <c r="B176" s="42" t="s">
        <v>936</v>
      </c>
      <c r="C176" s="30">
        <v>85</v>
      </c>
      <c r="D176" s="30">
        <v>85</v>
      </c>
      <c r="E176" s="30">
        <v>1.4</v>
      </c>
      <c r="F176" s="30">
        <v>1.4</v>
      </c>
      <c r="G176" s="30">
        <v>72</v>
      </c>
      <c r="H176" s="47">
        <v>0</v>
      </c>
      <c r="I176" s="63">
        <v>0</v>
      </c>
      <c r="J176" s="31" t="s">
        <v>8</v>
      </c>
      <c r="K176" s="31" t="s">
        <v>907</v>
      </c>
      <c r="L176" s="32">
        <v>513</v>
      </c>
      <c r="M176" s="32">
        <v>78</v>
      </c>
      <c r="N176" s="32">
        <v>72.2</v>
      </c>
    </row>
    <row r="177" spans="2:14" x14ac:dyDescent="0.25">
      <c r="B177" s="42" t="s">
        <v>1136</v>
      </c>
      <c r="C177" s="30">
        <v>24</v>
      </c>
      <c r="D177" s="30">
        <v>24</v>
      </c>
      <c r="E177" s="30">
        <v>3.5</v>
      </c>
      <c r="F177" s="30">
        <v>3.5</v>
      </c>
      <c r="G177" s="30">
        <v>82</v>
      </c>
      <c r="H177" s="47">
        <v>0</v>
      </c>
      <c r="I177" s="63">
        <v>0</v>
      </c>
      <c r="J177" s="31" t="s">
        <v>8</v>
      </c>
      <c r="K177" s="31" t="s">
        <v>907</v>
      </c>
      <c r="L177" s="32">
        <v>680</v>
      </c>
      <c r="M177" s="32">
        <v>86</v>
      </c>
      <c r="N177" s="32">
        <v>112</v>
      </c>
    </row>
    <row r="178" spans="2:14" x14ac:dyDescent="0.25">
      <c r="B178" s="42" t="s">
        <v>3838</v>
      </c>
      <c r="C178" s="30">
        <v>135</v>
      </c>
      <c r="D178" s="30">
        <v>135</v>
      </c>
      <c r="E178" s="30">
        <v>2.2000000000000002</v>
      </c>
      <c r="F178" s="30">
        <v>2.2000000000000002</v>
      </c>
      <c r="G178" s="30">
        <v>0</v>
      </c>
      <c r="H178" s="47">
        <v>0</v>
      </c>
      <c r="I178" s="63">
        <v>0</v>
      </c>
      <c r="J178" s="31" t="s">
        <v>8</v>
      </c>
      <c r="K178" s="31" t="s">
        <v>907</v>
      </c>
      <c r="L178" s="32">
        <v>1350</v>
      </c>
      <c r="M178" s="32">
        <v>117.6</v>
      </c>
      <c r="N178" s="32">
        <v>119.2</v>
      </c>
    </row>
    <row r="179" spans="2:14" x14ac:dyDescent="0.25">
      <c r="B179" s="42" t="s">
        <v>3850</v>
      </c>
      <c r="C179" s="30">
        <v>14</v>
      </c>
      <c r="D179" s="30">
        <v>14</v>
      </c>
      <c r="E179" s="30">
        <v>3.1</v>
      </c>
      <c r="F179" s="30">
        <v>3.1</v>
      </c>
      <c r="G179" s="30">
        <v>0</v>
      </c>
      <c r="H179" s="47">
        <v>0</v>
      </c>
      <c r="I179" s="63">
        <v>0</v>
      </c>
      <c r="J179" s="31" t="s">
        <v>8</v>
      </c>
      <c r="K179" s="31" t="s">
        <v>907</v>
      </c>
      <c r="L179" s="32">
        <v>1130</v>
      </c>
      <c r="M179" s="32">
        <v>117.6</v>
      </c>
      <c r="N179" s="32">
        <v>85.8</v>
      </c>
    </row>
    <row r="180" spans="2:14" x14ac:dyDescent="0.25">
      <c r="B180" s="42" t="s">
        <v>3847</v>
      </c>
      <c r="C180" s="30">
        <v>16</v>
      </c>
      <c r="D180" s="30">
        <v>16</v>
      </c>
      <c r="E180" s="30">
        <v>2.6</v>
      </c>
      <c r="F180" s="30">
        <v>2.6</v>
      </c>
      <c r="G180" s="30">
        <v>0</v>
      </c>
      <c r="H180" s="47">
        <v>0</v>
      </c>
      <c r="I180" s="63">
        <v>0</v>
      </c>
      <c r="J180" s="31" t="s">
        <v>8</v>
      </c>
      <c r="K180" s="31" t="s">
        <v>907</v>
      </c>
      <c r="L180" s="32">
        <v>1130</v>
      </c>
      <c r="M180" s="32">
        <v>117.6</v>
      </c>
      <c r="N180" s="32">
        <v>92.8</v>
      </c>
    </row>
    <row r="181" spans="2:14" x14ac:dyDescent="0.25">
      <c r="B181" s="42" t="s">
        <v>3843</v>
      </c>
      <c r="C181" s="30">
        <v>24</v>
      </c>
      <c r="D181" s="30">
        <v>24</v>
      </c>
      <c r="E181" s="30">
        <v>1.5</v>
      </c>
      <c r="F181" s="30">
        <v>1.5</v>
      </c>
      <c r="G181" s="30">
        <v>0</v>
      </c>
      <c r="H181" s="47">
        <v>0</v>
      </c>
      <c r="I181" s="63">
        <v>0</v>
      </c>
      <c r="J181" s="31" t="s">
        <v>8</v>
      </c>
      <c r="K181" s="31" t="s">
        <v>907</v>
      </c>
      <c r="L181" s="32">
        <v>935</v>
      </c>
      <c r="M181" s="32">
        <v>117.6</v>
      </c>
      <c r="N181" s="32">
        <v>92.8</v>
      </c>
    </row>
    <row r="182" spans="2:14" x14ac:dyDescent="0.25">
      <c r="B182" s="42" t="s">
        <v>3335</v>
      </c>
      <c r="C182" s="30">
        <v>24</v>
      </c>
      <c r="D182" s="30">
        <v>24</v>
      </c>
      <c r="E182" s="30">
        <v>1.5</v>
      </c>
      <c r="F182" s="30">
        <v>1.5</v>
      </c>
      <c r="G182" s="30">
        <v>0</v>
      </c>
      <c r="H182" s="47">
        <v>0</v>
      </c>
      <c r="I182" s="63">
        <v>0</v>
      </c>
      <c r="J182" s="31" t="s">
        <v>8</v>
      </c>
      <c r="K182" s="31" t="s">
        <v>907</v>
      </c>
      <c r="L182" s="32">
        <v>1140</v>
      </c>
      <c r="M182" s="32">
        <v>117.6</v>
      </c>
      <c r="N182" s="32">
        <v>119.2</v>
      </c>
    </row>
    <row r="183" spans="2:14" x14ac:dyDescent="0.25">
      <c r="B183" s="42" t="s">
        <v>3002</v>
      </c>
      <c r="C183" s="30">
        <v>35</v>
      </c>
      <c r="D183" s="30">
        <v>35</v>
      </c>
      <c r="E183" s="30">
        <v>1.5</v>
      </c>
      <c r="F183" s="30">
        <v>1.5</v>
      </c>
      <c r="G183" s="30">
        <v>0</v>
      </c>
      <c r="H183" s="47">
        <v>0</v>
      </c>
      <c r="I183" s="63">
        <v>0</v>
      </c>
      <c r="J183" s="31" t="s">
        <v>8</v>
      </c>
      <c r="K183" s="31" t="s">
        <v>907</v>
      </c>
      <c r="L183" s="32">
        <v>1320</v>
      </c>
      <c r="M183" s="32">
        <v>117.6</v>
      </c>
      <c r="N183" s="32">
        <v>119.2</v>
      </c>
    </row>
    <row r="184" spans="2:14" x14ac:dyDescent="0.25">
      <c r="B184" s="42" t="s">
        <v>3327</v>
      </c>
      <c r="C184" s="30">
        <v>50</v>
      </c>
      <c r="D184" s="30">
        <v>50</v>
      </c>
      <c r="E184" s="30">
        <v>1.5</v>
      </c>
      <c r="F184" s="30">
        <v>1.5</v>
      </c>
      <c r="G184" s="30">
        <v>0</v>
      </c>
      <c r="H184" s="47">
        <v>0</v>
      </c>
      <c r="I184" s="63">
        <v>0</v>
      </c>
      <c r="J184" s="31" t="s">
        <v>8</v>
      </c>
      <c r="K184" s="31" t="s">
        <v>907</v>
      </c>
      <c r="L184" s="32">
        <v>1120</v>
      </c>
      <c r="M184" s="32">
        <v>117.6</v>
      </c>
      <c r="N184" s="32">
        <v>119.2</v>
      </c>
    </row>
    <row r="185" spans="2:14" x14ac:dyDescent="0.25">
      <c r="B185" s="42" t="s">
        <v>3323</v>
      </c>
      <c r="C185" s="30">
        <v>85</v>
      </c>
      <c r="D185" s="30">
        <v>85</v>
      </c>
      <c r="E185" s="30">
        <v>1.5</v>
      </c>
      <c r="F185" s="30">
        <v>1.5</v>
      </c>
      <c r="G185" s="30">
        <v>0</v>
      </c>
      <c r="H185" s="47">
        <v>0</v>
      </c>
      <c r="I185" s="63">
        <v>0</v>
      </c>
      <c r="J185" s="31" t="s">
        <v>8</v>
      </c>
      <c r="K185" s="31" t="s">
        <v>907</v>
      </c>
      <c r="L185" s="32">
        <v>1200</v>
      </c>
      <c r="M185" s="32">
        <v>117.6</v>
      </c>
      <c r="N185" s="32">
        <v>119.2</v>
      </c>
    </row>
    <row r="186" spans="2:14" x14ac:dyDescent="0.25">
      <c r="B186" s="42" t="s">
        <v>1115</v>
      </c>
      <c r="C186" s="30">
        <v>14</v>
      </c>
      <c r="D186" s="30">
        <v>14</v>
      </c>
      <c r="E186" s="30">
        <v>2.4</v>
      </c>
      <c r="F186" s="30">
        <v>2.4</v>
      </c>
      <c r="G186" s="30">
        <v>0</v>
      </c>
      <c r="H186" s="47">
        <v>12.5</v>
      </c>
      <c r="I186" s="63">
        <v>0</v>
      </c>
      <c r="J186" s="31" t="s">
        <v>8</v>
      </c>
      <c r="K186" s="31" t="s">
        <v>907</v>
      </c>
      <c r="L186" s="32">
        <v>791</v>
      </c>
      <c r="M186" s="32">
        <v>95</v>
      </c>
      <c r="N186" s="32">
        <v>109.4</v>
      </c>
    </row>
    <row r="187" spans="2:14" x14ac:dyDescent="0.25">
      <c r="B187" s="42" t="s">
        <v>2566</v>
      </c>
      <c r="C187" s="30">
        <v>10</v>
      </c>
      <c r="D187" s="30">
        <v>20</v>
      </c>
      <c r="E187" s="30">
        <v>3.5</v>
      </c>
      <c r="F187" s="30">
        <v>3.5</v>
      </c>
      <c r="G187" s="30">
        <v>82</v>
      </c>
      <c r="H187" s="47">
        <v>6.6</v>
      </c>
      <c r="I187" s="63">
        <v>0</v>
      </c>
      <c r="J187" s="31" t="s">
        <v>8</v>
      </c>
      <c r="K187" s="31" t="s">
        <v>898</v>
      </c>
      <c r="L187" s="32">
        <v>520</v>
      </c>
      <c r="M187" s="32">
        <v>87.3</v>
      </c>
      <c r="N187" s="32">
        <v>88.2</v>
      </c>
    </row>
    <row r="188" spans="2:14" x14ac:dyDescent="0.25">
      <c r="B188" s="42" t="s">
        <v>2844</v>
      </c>
      <c r="C188" s="30">
        <v>10</v>
      </c>
      <c r="D188" s="30">
        <v>20</v>
      </c>
      <c r="E188" s="30">
        <v>4</v>
      </c>
      <c r="F188" s="30">
        <v>5.6</v>
      </c>
      <c r="G188" s="30">
        <v>77</v>
      </c>
      <c r="H188" s="47">
        <v>6.7</v>
      </c>
      <c r="I188" s="63">
        <v>0</v>
      </c>
      <c r="J188" s="31" t="s">
        <v>8</v>
      </c>
      <c r="K188" s="31" t="s">
        <v>898</v>
      </c>
      <c r="L188" s="32">
        <v>470</v>
      </c>
      <c r="M188" s="32">
        <v>83.5</v>
      </c>
      <c r="N188" s="32">
        <v>81</v>
      </c>
    </row>
    <row r="189" spans="2:14" x14ac:dyDescent="0.25">
      <c r="B189" s="42" t="s">
        <v>2634</v>
      </c>
      <c r="C189" s="30">
        <v>105</v>
      </c>
      <c r="D189" s="30">
        <v>105</v>
      </c>
      <c r="E189" s="30">
        <v>2.8</v>
      </c>
      <c r="F189" s="30">
        <v>2.8</v>
      </c>
      <c r="G189" s="30">
        <v>62</v>
      </c>
      <c r="H189" s="47">
        <v>1</v>
      </c>
      <c r="I189" s="63">
        <v>0</v>
      </c>
      <c r="J189" s="31" t="s">
        <v>8</v>
      </c>
      <c r="K189" s="31" t="s">
        <v>907</v>
      </c>
      <c r="L189" s="32">
        <v>725</v>
      </c>
      <c r="M189" s="32">
        <v>78.3</v>
      </c>
      <c r="N189" s="32">
        <v>126.4</v>
      </c>
    </row>
    <row r="190" spans="2:14" x14ac:dyDescent="0.25">
      <c r="B190" s="42" t="s">
        <v>3350</v>
      </c>
      <c r="C190" s="30">
        <v>10</v>
      </c>
      <c r="D190" s="30">
        <v>10</v>
      </c>
      <c r="E190" s="30">
        <v>2.8</v>
      </c>
      <c r="F190" s="30">
        <v>2.8</v>
      </c>
      <c r="G190" s="30">
        <v>0</v>
      </c>
      <c r="H190" s="47">
        <v>3.3</v>
      </c>
      <c r="I190" s="63">
        <v>0</v>
      </c>
      <c r="J190" s="31" t="s">
        <v>8</v>
      </c>
      <c r="K190" s="31" t="s">
        <v>898</v>
      </c>
      <c r="L190" s="32">
        <v>0</v>
      </c>
      <c r="M190" s="32">
        <v>75.8</v>
      </c>
      <c r="N190" s="32">
        <v>83.1</v>
      </c>
    </row>
    <row r="191" spans="2:14" x14ac:dyDescent="0.25">
      <c r="B191" s="42" t="s">
        <v>2991</v>
      </c>
      <c r="C191" s="30">
        <v>12</v>
      </c>
      <c r="D191" s="30">
        <v>24</v>
      </c>
      <c r="E191" s="30">
        <v>4.5</v>
      </c>
      <c r="F191" s="30">
        <v>5.6</v>
      </c>
      <c r="G191" s="30">
        <v>0</v>
      </c>
      <c r="H191" s="47">
        <v>6.4</v>
      </c>
      <c r="I191" s="63">
        <v>0</v>
      </c>
      <c r="J191" s="31" t="s">
        <v>8</v>
      </c>
      <c r="K191" s="31" t="s">
        <v>907</v>
      </c>
      <c r="L191" s="32">
        <v>670</v>
      </c>
      <c r="M191" s="32">
        <v>87</v>
      </c>
      <c r="N191" s="32">
        <v>120.2</v>
      </c>
    </row>
    <row r="192" spans="2:14" x14ac:dyDescent="0.25">
      <c r="B192" s="42" t="s">
        <v>3355</v>
      </c>
      <c r="C192" s="30">
        <v>150</v>
      </c>
      <c r="D192" s="30">
        <v>500</v>
      </c>
      <c r="E192" s="30">
        <v>5</v>
      </c>
      <c r="F192" s="30">
        <v>6.3</v>
      </c>
      <c r="G192" s="30">
        <v>86</v>
      </c>
      <c r="H192" s="47">
        <v>5.2</v>
      </c>
      <c r="I192" s="63">
        <v>0</v>
      </c>
      <c r="J192" s="31" t="s">
        <v>8</v>
      </c>
      <c r="K192" s="31" t="s">
        <v>907</v>
      </c>
      <c r="L192" s="32">
        <v>1910</v>
      </c>
      <c r="M192" s="32">
        <v>94.7</v>
      </c>
      <c r="N192" s="32">
        <v>252</v>
      </c>
    </row>
    <row r="193" spans="2:14" x14ac:dyDescent="0.25">
      <c r="B193" s="42" t="s">
        <v>4248</v>
      </c>
      <c r="C193" s="30">
        <v>150</v>
      </c>
      <c r="D193" s="30">
        <v>150</v>
      </c>
      <c r="E193" s="30">
        <v>2.8</v>
      </c>
      <c r="F193" s="30">
        <v>2.8</v>
      </c>
      <c r="G193" s="30">
        <v>72</v>
      </c>
      <c r="H193" s="47">
        <v>1</v>
      </c>
      <c r="I193" s="63">
        <v>0</v>
      </c>
      <c r="J193" s="31" t="s">
        <v>8</v>
      </c>
      <c r="K193" s="31" t="s">
        <v>907</v>
      </c>
      <c r="L193" s="32">
        <v>1180</v>
      </c>
      <c r="M193" s="32">
        <v>79.599999999999994</v>
      </c>
      <c r="N193" s="32">
        <v>150</v>
      </c>
    </row>
    <row r="194" spans="2:14" x14ac:dyDescent="0.25">
      <c r="B194" s="42" t="s">
        <v>2989</v>
      </c>
      <c r="C194" s="30">
        <v>15</v>
      </c>
      <c r="D194" s="30">
        <v>15</v>
      </c>
      <c r="E194" s="30">
        <v>2.8</v>
      </c>
      <c r="F194" s="30">
        <v>2.8</v>
      </c>
      <c r="G194" s="30">
        <v>0</v>
      </c>
      <c r="H194" s="47">
        <v>3.8</v>
      </c>
      <c r="I194" s="63">
        <v>0</v>
      </c>
      <c r="J194" s="31" t="s">
        <v>8</v>
      </c>
      <c r="K194" s="31" t="s">
        <v>907</v>
      </c>
      <c r="L194" s="32">
        <v>370</v>
      </c>
      <c r="M194" s="32">
        <v>73.5</v>
      </c>
      <c r="N194" s="32">
        <v>65</v>
      </c>
    </row>
    <row r="195" spans="2:14" x14ac:dyDescent="0.25">
      <c r="B195" s="42" t="s">
        <v>2558</v>
      </c>
      <c r="C195" s="30">
        <v>17</v>
      </c>
      <c r="D195" s="30">
        <v>50</v>
      </c>
      <c r="E195" s="30">
        <v>2.8</v>
      </c>
      <c r="F195" s="30">
        <v>2.8</v>
      </c>
      <c r="G195" s="30">
        <v>77</v>
      </c>
      <c r="H195" s="47">
        <v>5</v>
      </c>
      <c r="I195" s="63">
        <v>0</v>
      </c>
      <c r="J195" s="31" t="s">
        <v>8</v>
      </c>
      <c r="K195" s="31" t="s">
        <v>898</v>
      </c>
      <c r="L195" s="32">
        <v>565</v>
      </c>
      <c r="M195" s="32">
        <v>83.5</v>
      </c>
      <c r="N195" s="32">
        <v>91.8</v>
      </c>
    </row>
    <row r="196" spans="2:14" x14ac:dyDescent="0.25">
      <c r="B196" s="42" t="s">
        <v>2838</v>
      </c>
      <c r="C196" s="30">
        <v>17</v>
      </c>
      <c r="D196" s="30">
        <v>70</v>
      </c>
      <c r="E196" s="30">
        <v>2.8</v>
      </c>
      <c r="F196" s="30">
        <v>4</v>
      </c>
      <c r="G196" s="30">
        <v>72</v>
      </c>
      <c r="H196" s="47">
        <v>2.7</v>
      </c>
      <c r="I196" s="63">
        <v>0</v>
      </c>
      <c r="J196" s="31" t="s">
        <v>8</v>
      </c>
      <c r="K196" s="31" t="s">
        <v>898</v>
      </c>
      <c r="L196" s="32">
        <v>535</v>
      </c>
      <c r="M196" s="32">
        <v>79</v>
      </c>
      <c r="N196" s="32">
        <v>88.9</v>
      </c>
    </row>
    <row r="197" spans="2:14" x14ac:dyDescent="0.25">
      <c r="B197" s="42" t="s">
        <v>3009</v>
      </c>
      <c r="C197" s="30">
        <v>180</v>
      </c>
      <c r="D197" s="30">
        <v>180</v>
      </c>
      <c r="E197" s="30">
        <v>2.8</v>
      </c>
      <c r="F197" s="30">
        <v>2.8</v>
      </c>
      <c r="G197" s="30">
        <v>86</v>
      </c>
      <c r="H197" s="47">
        <v>1</v>
      </c>
      <c r="I197" s="63">
        <v>0</v>
      </c>
      <c r="J197" s="31" t="s">
        <v>8</v>
      </c>
      <c r="K197" s="31" t="s">
        <v>907</v>
      </c>
      <c r="L197" s="32">
        <v>1640</v>
      </c>
      <c r="M197" s="32">
        <v>95</v>
      </c>
      <c r="N197" s="32">
        <v>203.9</v>
      </c>
    </row>
    <row r="198" spans="2:14" x14ac:dyDescent="0.25">
      <c r="B198" s="42" t="s">
        <v>2987</v>
      </c>
      <c r="C198" s="30">
        <v>18</v>
      </c>
      <c r="D198" s="30">
        <v>125</v>
      </c>
      <c r="E198" s="30">
        <v>3.8</v>
      </c>
      <c r="F198" s="30">
        <v>5.6</v>
      </c>
      <c r="G198" s="30">
        <v>67</v>
      </c>
      <c r="H198" s="47">
        <v>3.8</v>
      </c>
      <c r="I198" s="63">
        <v>0</v>
      </c>
      <c r="J198" s="31" t="s">
        <v>8</v>
      </c>
      <c r="K198" s="31" t="s">
        <v>898</v>
      </c>
      <c r="L198" s="32">
        <v>505</v>
      </c>
      <c r="M198" s="32">
        <v>74</v>
      </c>
      <c r="N198" s="32">
        <v>88.5</v>
      </c>
    </row>
    <row r="199" spans="2:14" x14ac:dyDescent="0.25">
      <c r="B199" s="42" t="s">
        <v>2837</v>
      </c>
      <c r="C199" s="30">
        <v>18</v>
      </c>
      <c r="D199" s="30">
        <v>200</v>
      </c>
      <c r="E199" s="30">
        <v>3.5</v>
      </c>
      <c r="F199" s="30">
        <v>6.3</v>
      </c>
      <c r="G199" s="30">
        <v>72</v>
      </c>
      <c r="H199" s="47">
        <v>0</v>
      </c>
      <c r="I199" s="63">
        <v>0</v>
      </c>
      <c r="J199" s="31" t="s">
        <v>8</v>
      </c>
      <c r="K199" s="31" t="s">
        <v>898</v>
      </c>
      <c r="L199" s="32">
        <v>610</v>
      </c>
      <c r="M199" s="32">
        <v>79</v>
      </c>
      <c r="N199" s="32">
        <v>100</v>
      </c>
    </row>
    <row r="200" spans="2:14" x14ac:dyDescent="0.25">
      <c r="B200" s="42" t="s">
        <v>4122</v>
      </c>
      <c r="C200" s="30">
        <v>18</v>
      </c>
      <c r="D200" s="30">
        <v>200</v>
      </c>
      <c r="E200" s="30">
        <v>3.5</v>
      </c>
      <c r="F200" s="30">
        <v>6.3</v>
      </c>
      <c r="G200" s="30">
        <v>62</v>
      </c>
      <c r="H200" s="47">
        <v>3.8</v>
      </c>
      <c r="I200" s="63">
        <v>0</v>
      </c>
      <c r="J200" s="31" t="s">
        <v>8</v>
      </c>
      <c r="K200" s="31" t="s">
        <v>898</v>
      </c>
      <c r="L200" s="32">
        <v>490</v>
      </c>
      <c r="M200" s="32">
        <v>75.3</v>
      </c>
      <c r="N200" s="32">
        <v>87.7</v>
      </c>
    </row>
    <row r="201" spans="2:14" x14ac:dyDescent="0.25">
      <c r="B201" s="42" t="s">
        <v>2527</v>
      </c>
      <c r="C201" s="30">
        <v>18</v>
      </c>
      <c r="D201" s="30">
        <v>250</v>
      </c>
      <c r="E201" s="30">
        <v>3.5</v>
      </c>
      <c r="F201" s="30">
        <v>6.3</v>
      </c>
      <c r="G201" s="30">
        <v>62</v>
      </c>
      <c r="H201" s="47">
        <v>2.9</v>
      </c>
      <c r="I201" s="63">
        <v>0</v>
      </c>
      <c r="J201" s="31" t="s">
        <v>8</v>
      </c>
      <c r="K201" s="31" t="s">
        <v>898</v>
      </c>
      <c r="L201" s="32">
        <v>470</v>
      </c>
      <c r="M201" s="32">
        <v>73.5</v>
      </c>
      <c r="N201" s="32">
        <v>88.6</v>
      </c>
    </row>
    <row r="202" spans="2:14" x14ac:dyDescent="0.25">
      <c r="B202" s="42" t="s">
        <v>2834</v>
      </c>
      <c r="C202" s="30">
        <v>18</v>
      </c>
      <c r="D202" s="30">
        <v>250</v>
      </c>
      <c r="E202" s="30">
        <v>3.5</v>
      </c>
      <c r="F202" s="30">
        <v>6.3</v>
      </c>
      <c r="G202" s="30">
        <v>72</v>
      </c>
      <c r="H202" s="47">
        <v>3.4</v>
      </c>
      <c r="I202" s="63">
        <v>0</v>
      </c>
      <c r="J202" s="31" t="s">
        <v>8</v>
      </c>
      <c r="K202" s="31" t="s">
        <v>898</v>
      </c>
      <c r="L202" s="32">
        <v>630</v>
      </c>
      <c r="M202" s="32">
        <v>79</v>
      </c>
      <c r="N202" s="32">
        <v>101</v>
      </c>
    </row>
    <row r="203" spans="2:14" x14ac:dyDescent="0.25">
      <c r="B203" s="42" t="s">
        <v>3007</v>
      </c>
      <c r="C203" s="30">
        <v>200</v>
      </c>
      <c r="D203" s="30">
        <v>500</v>
      </c>
      <c r="E203" s="30">
        <v>2.8</v>
      </c>
      <c r="F203" s="30">
        <v>2.8</v>
      </c>
      <c r="G203" s="30">
        <v>72</v>
      </c>
      <c r="H203" s="47">
        <v>7.7</v>
      </c>
      <c r="I203" s="63">
        <v>0</v>
      </c>
      <c r="J203" s="31" t="s">
        <v>8</v>
      </c>
      <c r="K203" s="31" t="s">
        <v>907</v>
      </c>
      <c r="L203" s="32">
        <v>15700</v>
      </c>
      <c r="M203" s="32">
        <v>236.5</v>
      </c>
      <c r="N203" s="32">
        <v>726</v>
      </c>
    </row>
    <row r="204" spans="2:14" x14ac:dyDescent="0.25">
      <c r="B204" s="42" t="s">
        <v>4118</v>
      </c>
      <c r="C204" s="30">
        <v>20</v>
      </c>
      <c r="D204" s="30">
        <v>20</v>
      </c>
      <c r="E204" s="30">
        <v>1.8</v>
      </c>
      <c r="F204" s="30">
        <v>1.8</v>
      </c>
      <c r="G204" s="30">
        <v>82</v>
      </c>
      <c r="H204" s="47">
        <v>4</v>
      </c>
      <c r="I204" s="63">
        <v>0</v>
      </c>
      <c r="J204" s="31" t="s">
        <v>8</v>
      </c>
      <c r="K204" s="31" t="s">
        <v>907</v>
      </c>
      <c r="L204" s="32">
        <v>500</v>
      </c>
      <c r="M204" s="32">
        <v>88.6</v>
      </c>
      <c r="N204" s="32">
        <v>87</v>
      </c>
    </row>
    <row r="205" spans="2:14" x14ac:dyDescent="0.25">
      <c r="B205" s="42" t="s">
        <v>4314</v>
      </c>
      <c r="C205" s="30">
        <v>24</v>
      </c>
      <c r="D205" s="30">
        <v>70</v>
      </c>
      <c r="E205" s="30">
        <v>2.8</v>
      </c>
      <c r="F205" s="30">
        <v>2.8</v>
      </c>
      <c r="G205" s="30">
        <v>82</v>
      </c>
      <c r="H205" s="47">
        <v>5.3</v>
      </c>
      <c r="I205" s="63">
        <v>0</v>
      </c>
      <c r="J205" s="31" t="s">
        <v>8</v>
      </c>
      <c r="K205" s="31" t="s">
        <v>907</v>
      </c>
      <c r="L205" s="32">
        <v>790</v>
      </c>
      <c r="M205" s="32">
        <v>88.6</v>
      </c>
      <c r="N205" s="32">
        <v>94.7</v>
      </c>
    </row>
    <row r="206" spans="2:14" x14ac:dyDescent="0.25">
      <c r="B206" s="42" t="s">
        <v>3806</v>
      </c>
      <c r="C206" s="30">
        <v>300</v>
      </c>
      <c r="D206" s="30">
        <v>800</v>
      </c>
      <c r="E206" s="30">
        <v>5.6</v>
      </c>
      <c r="F206" s="30">
        <v>5.6</v>
      </c>
      <c r="G206" s="30">
        <v>46</v>
      </c>
      <c r="H206" s="47">
        <v>6.9</v>
      </c>
      <c r="I206" s="63">
        <v>0</v>
      </c>
      <c r="J206" s="31" t="s">
        <v>8</v>
      </c>
      <c r="K206" s="31" t="s">
        <v>907</v>
      </c>
      <c r="L206" s="32">
        <v>5880</v>
      </c>
      <c r="M206" s="32">
        <v>156.5</v>
      </c>
      <c r="N206" s="32">
        <v>544</v>
      </c>
    </row>
    <row r="207" spans="2:14" x14ac:dyDescent="0.25">
      <c r="B207" s="42" t="s">
        <v>3804</v>
      </c>
      <c r="C207" s="30">
        <v>300</v>
      </c>
      <c r="D207" s="30">
        <v>300</v>
      </c>
      <c r="E207" s="30">
        <v>2.8</v>
      </c>
      <c r="F207" s="30">
        <v>2.8</v>
      </c>
      <c r="G207" s="30">
        <v>46</v>
      </c>
      <c r="H207" s="47">
        <v>7.5</v>
      </c>
      <c r="I207" s="63">
        <v>0</v>
      </c>
      <c r="J207" s="31" t="s">
        <v>8</v>
      </c>
      <c r="K207" s="31" t="s">
        <v>907</v>
      </c>
      <c r="L207" s="32">
        <v>2400</v>
      </c>
      <c r="M207" s="32">
        <v>119</v>
      </c>
      <c r="N207" s="32">
        <v>214.5</v>
      </c>
    </row>
    <row r="208" spans="2:14" x14ac:dyDescent="0.25">
      <c r="B208" s="42" t="s">
        <v>4313</v>
      </c>
      <c r="C208" s="30">
        <v>30</v>
      </c>
      <c r="D208" s="30">
        <v>30</v>
      </c>
      <c r="E208" s="30">
        <v>1.4</v>
      </c>
      <c r="F208" s="30">
        <v>1.4</v>
      </c>
      <c r="G208" s="30">
        <v>62</v>
      </c>
      <c r="H208" s="47">
        <v>10.4</v>
      </c>
      <c r="I208" s="63">
        <v>0</v>
      </c>
      <c r="J208" s="31" t="s">
        <v>8</v>
      </c>
      <c r="K208" s="31" t="s">
        <v>898</v>
      </c>
      <c r="L208" s="32">
        <v>430</v>
      </c>
      <c r="M208" s="32">
        <v>76.599999999999994</v>
      </c>
      <c r="N208" s="32">
        <v>59</v>
      </c>
    </row>
    <row r="209" spans="2:14" x14ac:dyDescent="0.25">
      <c r="B209" s="42" t="s">
        <v>3834</v>
      </c>
      <c r="C209" s="30">
        <v>4.5</v>
      </c>
      <c r="D209" s="30">
        <v>4.5</v>
      </c>
      <c r="E209" s="30">
        <v>2.8</v>
      </c>
      <c r="F209" s="30">
        <v>2.8</v>
      </c>
      <c r="G209" s="30">
        <v>0</v>
      </c>
      <c r="H209" s="47">
        <v>6</v>
      </c>
      <c r="I209" s="63">
        <v>0</v>
      </c>
      <c r="J209" s="31" t="s">
        <v>8</v>
      </c>
      <c r="K209" s="31" t="s">
        <v>898</v>
      </c>
      <c r="L209" s="32">
        <v>470</v>
      </c>
      <c r="M209" s="32">
        <v>76.2</v>
      </c>
      <c r="N209" s="32">
        <v>77.8</v>
      </c>
    </row>
    <row r="210" spans="2:14" x14ac:dyDescent="0.25">
      <c r="B210" s="42" t="s">
        <v>3385</v>
      </c>
      <c r="C210" s="30">
        <v>500</v>
      </c>
      <c r="D210" s="30">
        <v>500</v>
      </c>
      <c r="E210" s="30">
        <v>4.5</v>
      </c>
      <c r="F210" s="30">
        <v>4.5</v>
      </c>
      <c r="G210" s="30">
        <v>46</v>
      </c>
      <c r="H210" s="47">
        <v>7.7</v>
      </c>
      <c r="I210" s="63">
        <v>0</v>
      </c>
      <c r="J210" s="31" t="s">
        <v>8</v>
      </c>
      <c r="K210" s="31" t="s">
        <v>907</v>
      </c>
      <c r="L210" s="32">
        <v>3150</v>
      </c>
      <c r="M210" s="32">
        <v>123</v>
      </c>
      <c r="N210" s="32">
        <v>350</v>
      </c>
    </row>
    <row r="211" spans="2:14" x14ac:dyDescent="0.25">
      <c r="B211" s="42" t="s">
        <v>3825</v>
      </c>
      <c r="C211" s="30">
        <v>50</v>
      </c>
      <c r="D211" s="30">
        <v>200</v>
      </c>
      <c r="E211" s="30">
        <v>4</v>
      </c>
      <c r="F211" s="30">
        <v>5.6</v>
      </c>
      <c r="G211" s="30">
        <v>55</v>
      </c>
      <c r="H211" s="47">
        <v>4.5</v>
      </c>
      <c r="I211" s="63">
        <v>0</v>
      </c>
      <c r="J211" s="31" t="s">
        <v>8</v>
      </c>
      <c r="K211" s="31" t="s">
        <v>898</v>
      </c>
      <c r="L211" s="32">
        <v>420</v>
      </c>
      <c r="M211" s="32">
        <v>74</v>
      </c>
      <c r="N211" s="32">
        <v>101.9</v>
      </c>
    </row>
    <row r="212" spans="2:14" x14ac:dyDescent="0.25">
      <c r="B212" s="42" t="s">
        <v>3821</v>
      </c>
      <c r="C212" s="30">
        <v>50</v>
      </c>
      <c r="D212" s="30">
        <v>500</v>
      </c>
      <c r="E212" s="30">
        <v>4</v>
      </c>
      <c r="F212" s="30">
        <v>6.3</v>
      </c>
      <c r="G212" s="30">
        <v>86</v>
      </c>
      <c r="H212" s="47">
        <v>3.13</v>
      </c>
      <c r="I212" s="63">
        <v>0</v>
      </c>
      <c r="J212" s="31" t="s">
        <v>8</v>
      </c>
      <c r="K212" s="31" t="s">
        <v>907</v>
      </c>
      <c r="L212" s="32">
        <v>1840</v>
      </c>
      <c r="M212" s="32">
        <v>95</v>
      </c>
      <c r="N212" s="32">
        <v>218.5</v>
      </c>
    </row>
    <row r="213" spans="2:14" x14ac:dyDescent="0.25">
      <c r="B213" s="42" t="s">
        <v>2833</v>
      </c>
      <c r="C213" s="30">
        <v>50</v>
      </c>
      <c r="D213" s="30">
        <v>500</v>
      </c>
      <c r="E213" s="30">
        <v>4.5</v>
      </c>
      <c r="F213" s="30">
        <v>6.3</v>
      </c>
      <c r="G213" s="30">
        <v>95</v>
      </c>
      <c r="H213" s="47">
        <v>3.1</v>
      </c>
      <c r="I213" s="63">
        <v>0</v>
      </c>
      <c r="J213" s="31" t="s">
        <v>8</v>
      </c>
      <c r="K213" s="31" t="s">
        <v>907</v>
      </c>
      <c r="L213" s="32">
        <v>1970</v>
      </c>
      <c r="M213" s="32">
        <v>104.4</v>
      </c>
      <c r="N213" s="32">
        <v>219</v>
      </c>
    </row>
    <row r="214" spans="2:14" x14ac:dyDescent="0.25">
      <c r="B214" s="42" t="s">
        <v>2832</v>
      </c>
      <c r="C214" s="30">
        <v>50</v>
      </c>
      <c r="D214" s="30">
        <v>50</v>
      </c>
      <c r="E214" s="30">
        <v>1.4</v>
      </c>
      <c r="F214" s="30">
        <v>1.4</v>
      </c>
      <c r="G214" s="30">
        <v>77</v>
      </c>
      <c r="H214" s="47">
        <v>7.4</v>
      </c>
      <c r="I214" s="63">
        <v>0</v>
      </c>
      <c r="J214" s="31" t="s">
        <v>8</v>
      </c>
      <c r="K214" s="31" t="s">
        <v>907</v>
      </c>
      <c r="L214" s="32">
        <v>505</v>
      </c>
      <c r="M214" s="32">
        <v>84.5</v>
      </c>
      <c r="N214" s="32">
        <v>68.2</v>
      </c>
    </row>
    <row r="215" spans="2:14" x14ac:dyDescent="0.25">
      <c r="B215" s="42" t="s">
        <v>4110</v>
      </c>
      <c r="C215" s="30">
        <v>50</v>
      </c>
      <c r="D215" s="30">
        <v>50</v>
      </c>
      <c r="E215" s="30">
        <v>2.8</v>
      </c>
      <c r="F215" s="30">
        <v>2.8</v>
      </c>
      <c r="G215" s="30">
        <v>55</v>
      </c>
      <c r="H215" s="47">
        <v>1</v>
      </c>
      <c r="I215" s="63">
        <v>0</v>
      </c>
      <c r="J215" s="31" t="s">
        <v>8</v>
      </c>
      <c r="K215" s="31" t="s">
        <v>907</v>
      </c>
      <c r="L215" s="32">
        <v>315</v>
      </c>
      <c r="M215" s="32">
        <v>71.400000000000006</v>
      </c>
      <c r="N215" s="32">
        <v>64</v>
      </c>
    </row>
    <row r="216" spans="2:14" x14ac:dyDescent="0.25">
      <c r="B216" s="42" t="s">
        <v>2686</v>
      </c>
      <c r="C216" s="30">
        <v>70</v>
      </c>
      <c r="D216" s="30">
        <v>200</v>
      </c>
      <c r="E216" s="30">
        <v>2.8</v>
      </c>
      <c r="F216" s="30">
        <v>2.8</v>
      </c>
      <c r="G216" s="30">
        <v>77</v>
      </c>
      <c r="H216" s="47">
        <v>8</v>
      </c>
      <c r="I216" s="63">
        <v>0</v>
      </c>
      <c r="J216" s="31" t="s">
        <v>8</v>
      </c>
      <c r="K216" s="31" t="s">
        <v>907</v>
      </c>
      <c r="L216" s="32">
        <v>1430</v>
      </c>
      <c r="M216" s="32">
        <v>86.4</v>
      </c>
      <c r="N216" s="32">
        <v>197.6</v>
      </c>
    </row>
    <row r="217" spans="2:14" x14ac:dyDescent="0.25">
      <c r="B217" s="42" t="s">
        <v>3814</v>
      </c>
      <c r="C217" s="30">
        <v>70</v>
      </c>
      <c r="D217" s="30">
        <v>300</v>
      </c>
      <c r="E217" s="30">
        <v>4</v>
      </c>
      <c r="F217" s="30">
        <v>5.6</v>
      </c>
      <c r="G217" s="30">
        <v>58</v>
      </c>
      <c r="H217" s="47">
        <v>4.0999999999999996</v>
      </c>
      <c r="I217" s="63">
        <v>0</v>
      </c>
      <c r="J217" s="31" t="s">
        <v>8</v>
      </c>
      <c r="K217" s="31" t="s">
        <v>907</v>
      </c>
      <c r="L217" s="32">
        <v>550</v>
      </c>
      <c r="M217" s="32">
        <v>76.599999999999994</v>
      </c>
      <c r="N217" s="32">
        <v>122</v>
      </c>
    </row>
    <row r="218" spans="2:14" x14ac:dyDescent="0.25">
      <c r="B218" s="42" t="s">
        <v>3368</v>
      </c>
      <c r="C218" s="30">
        <v>70</v>
      </c>
      <c r="D218" s="30">
        <v>300</v>
      </c>
      <c r="E218" s="30">
        <v>4</v>
      </c>
      <c r="F218" s="30">
        <v>5.6</v>
      </c>
      <c r="G218" s="30">
        <v>58</v>
      </c>
      <c r="H218" s="47">
        <v>4.0999999999999996</v>
      </c>
      <c r="I218" s="63">
        <v>0</v>
      </c>
      <c r="J218" s="31" t="s">
        <v>8</v>
      </c>
      <c r="K218" s="31" t="s">
        <v>907</v>
      </c>
      <c r="L218" s="32">
        <v>550</v>
      </c>
      <c r="M218" s="32">
        <v>76.599999999999994</v>
      </c>
      <c r="N218" s="32">
        <v>122</v>
      </c>
    </row>
    <row r="219" spans="2:14" x14ac:dyDescent="0.25">
      <c r="B219" s="42" t="s">
        <v>3367</v>
      </c>
      <c r="C219" s="30">
        <v>70</v>
      </c>
      <c r="D219" s="30">
        <v>300</v>
      </c>
      <c r="E219" s="30">
        <v>4</v>
      </c>
      <c r="F219" s="30">
        <v>5.6</v>
      </c>
      <c r="G219" s="30">
        <v>58</v>
      </c>
      <c r="H219" s="47">
        <v>4.0999999999999996</v>
      </c>
      <c r="I219" s="63">
        <v>0</v>
      </c>
      <c r="J219" s="31" t="s">
        <v>8</v>
      </c>
      <c r="K219" s="31" t="s">
        <v>907</v>
      </c>
      <c r="L219" s="32">
        <v>530</v>
      </c>
      <c r="M219" s="32">
        <v>76.599999999999994</v>
      </c>
      <c r="N219" s="32">
        <v>119.5</v>
      </c>
    </row>
    <row r="220" spans="2:14" x14ac:dyDescent="0.25">
      <c r="B220" s="42" t="s">
        <v>3365</v>
      </c>
      <c r="C220" s="30">
        <v>70</v>
      </c>
      <c r="D220" s="30">
        <v>300</v>
      </c>
      <c r="E220" s="30">
        <v>4</v>
      </c>
      <c r="F220" s="30">
        <v>5.6</v>
      </c>
      <c r="G220" s="30">
        <v>58</v>
      </c>
      <c r="H220" s="47">
        <v>4.0999999999999996</v>
      </c>
      <c r="I220" s="63">
        <v>0</v>
      </c>
      <c r="J220" s="31" t="s">
        <v>8</v>
      </c>
      <c r="K220" s="31" t="s">
        <v>907</v>
      </c>
      <c r="L220" s="32">
        <v>540</v>
      </c>
      <c r="M220" s="32">
        <v>76.599999999999994</v>
      </c>
      <c r="N220" s="32">
        <v>119.5</v>
      </c>
    </row>
    <row r="221" spans="2:14" x14ac:dyDescent="0.25">
      <c r="B221" s="42" t="s">
        <v>3364</v>
      </c>
      <c r="C221" s="30">
        <v>70</v>
      </c>
      <c r="D221" s="30">
        <v>300</v>
      </c>
      <c r="E221" s="30">
        <v>4</v>
      </c>
      <c r="F221" s="30">
        <v>5.6</v>
      </c>
      <c r="G221" s="30">
        <v>62</v>
      </c>
      <c r="H221" s="47">
        <v>3.9</v>
      </c>
      <c r="I221" s="63">
        <v>0</v>
      </c>
      <c r="J221" s="31" t="s">
        <v>8</v>
      </c>
      <c r="K221" s="31" t="s">
        <v>907</v>
      </c>
      <c r="L221" s="32">
        <v>610</v>
      </c>
      <c r="M221" s="32">
        <v>76.5</v>
      </c>
      <c r="N221" s="32">
        <v>126.5</v>
      </c>
    </row>
    <row r="222" spans="2:14" x14ac:dyDescent="0.25">
      <c r="B222" s="42" t="s">
        <v>3360</v>
      </c>
      <c r="C222" s="30">
        <v>70</v>
      </c>
      <c r="D222" s="30">
        <v>70</v>
      </c>
      <c r="E222" s="30">
        <v>2.8</v>
      </c>
      <c r="F222" s="30">
        <v>2.8</v>
      </c>
      <c r="G222" s="30">
        <v>62</v>
      </c>
      <c r="H222" s="47">
        <v>1</v>
      </c>
      <c r="I222" s="63">
        <v>0</v>
      </c>
      <c r="J222" s="31" t="s">
        <v>8</v>
      </c>
      <c r="K222" s="31" t="s">
        <v>907</v>
      </c>
      <c r="L222" s="32">
        <v>527</v>
      </c>
      <c r="M222" s="32">
        <v>76</v>
      </c>
      <c r="N222" s="32">
        <v>95</v>
      </c>
    </row>
    <row r="223" spans="2:14" x14ac:dyDescent="0.25">
      <c r="B223" s="42" t="s">
        <v>3381</v>
      </c>
      <c r="C223" s="30">
        <v>800</v>
      </c>
      <c r="D223" s="30">
        <v>800</v>
      </c>
      <c r="E223" s="30">
        <v>5.6</v>
      </c>
      <c r="F223" s="30">
        <v>5.6</v>
      </c>
      <c r="G223" s="30">
        <v>46</v>
      </c>
      <c r="H223" s="47">
        <v>8.8000000000000007</v>
      </c>
      <c r="I223" s="63">
        <v>0</v>
      </c>
      <c r="J223" s="31" t="s">
        <v>8</v>
      </c>
      <c r="K223" s="31" t="s">
        <v>907</v>
      </c>
      <c r="L223" s="32">
        <v>4900</v>
      </c>
      <c r="M223" s="32">
        <v>156.5</v>
      </c>
      <c r="N223" s="32">
        <v>521</v>
      </c>
    </row>
    <row r="224" spans="2:14" x14ac:dyDescent="0.25">
      <c r="B224" s="42" t="s">
        <v>2996</v>
      </c>
      <c r="C224" s="30">
        <v>8</v>
      </c>
      <c r="D224" s="30">
        <v>16</v>
      </c>
      <c r="E224" s="30">
        <v>4.5</v>
      </c>
      <c r="F224" s="30">
        <v>5.6</v>
      </c>
      <c r="G224" s="30">
        <v>0</v>
      </c>
      <c r="H224" s="47">
        <v>7.8</v>
      </c>
      <c r="I224" s="63">
        <v>0</v>
      </c>
      <c r="J224" s="31" t="s">
        <v>8</v>
      </c>
      <c r="K224" s="31" t="s">
        <v>898</v>
      </c>
      <c r="L224" s="32">
        <v>545</v>
      </c>
      <c r="M224" s="32">
        <v>75</v>
      </c>
      <c r="N224" s="32">
        <v>105.7</v>
      </c>
    </row>
    <row r="225" spans="2:14" x14ac:dyDescent="0.25">
      <c r="B225" s="42" t="s">
        <v>3358</v>
      </c>
      <c r="C225" s="30">
        <v>85</v>
      </c>
      <c r="D225" s="30">
        <v>85</v>
      </c>
      <c r="E225" s="30">
        <v>1.4</v>
      </c>
      <c r="F225" s="30">
        <v>1.4</v>
      </c>
      <c r="G225" s="30">
        <v>77</v>
      </c>
      <c r="H225" s="47">
        <v>8.6</v>
      </c>
      <c r="I225" s="63">
        <v>0</v>
      </c>
      <c r="J225" s="31" t="s">
        <v>8</v>
      </c>
      <c r="K225" s="31" t="s">
        <v>907</v>
      </c>
      <c r="L225" s="32">
        <v>719</v>
      </c>
      <c r="M225" s="32">
        <v>84.7</v>
      </c>
      <c r="N225" s="32">
        <v>87.6</v>
      </c>
    </row>
    <row r="226" spans="2:14" x14ac:dyDescent="0.25">
      <c r="B226" s="42" t="s">
        <v>3828</v>
      </c>
      <c r="C226" s="30">
        <v>8</v>
      </c>
      <c r="D226" s="30">
        <v>8</v>
      </c>
      <c r="E226" s="30">
        <v>3.5</v>
      </c>
      <c r="F226" s="30">
        <v>3.5</v>
      </c>
      <c r="G226" s="30">
        <v>0</v>
      </c>
      <c r="H226" s="47">
        <v>4.5999999999999996</v>
      </c>
      <c r="I226" s="63">
        <v>0</v>
      </c>
      <c r="J226" s="31" t="s">
        <v>8</v>
      </c>
      <c r="K226" s="31" t="s">
        <v>907</v>
      </c>
      <c r="L226" s="32">
        <v>400</v>
      </c>
      <c r="M226" s="32">
        <v>73.5</v>
      </c>
      <c r="N226" s="32">
        <v>68.599999999999994</v>
      </c>
    </row>
    <row r="227" spans="2:14" x14ac:dyDescent="0.25">
      <c r="B227" s="42" t="s">
        <v>2726</v>
      </c>
      <c r="C227" s="30">
        <v>12</v>
      </c>
      <c r="D227" s="30">
        <v>24</v>
      </c>
      <c r="E227" s="30">
        <v>4</v>
      </c>
      <c r="F227" s="30">
        <v>4</v>
      </c>
      <c r="G227" s="30">
        <v>0</v>
      </c>
      <c r="H227" s="47">
        <v>4.9000000000000004</v>
      </c>
      <c r="I227" s="63">
        <v>0</v>
      </c>
      <c r="J227" s="31" t="s">
        <v>8</v>
      </c>
      <c r="K227" s="31" t="s">
        <v>907</v>
      </c>
      <c r="L227" s="32">
        <v>1150</v>
      </c>
      <c r="M227" s="32">
        <v>102</v>
      </c>
      <c r="N227" s="32">
        <v>131.5</v>
      </c>
    </row>
    <row r="228" spans="2:14" x14ac:dyDescent="0.25">
      <c r="B228" s="42" t="s">
        <v>2616</v>
      </c>
      <c r="C228" s="30">
        <v>135</v>
      </c>
      <c r="D228" s="30">
        <v>135</v>
      </c>
      <c r="E228" s="30">
        <v>1.8</v>
      </c>
      <c r="F228" s="30">
        <v>1.8</v>
      </c>
      <c r="G228" s="30">
        <v>82</v>
      </c>
      <c r="H228" s="47">
        <v>5</v>
      </c>
      <c r="I228" s="63">
        <v>0</v>
      </c>
      <c r="J228" s="31" t="s">
        <v>8</v>
      </c>
      <c r="K228" s="31" t="s">
        <v>907</v>
      </c>
      <c r="L228" s="32">
        <v>1130</v>
      </c>
      <c r="M228" s="32">
        <v>91.4</v>
      </c>
      <c r="N228" s="32">
        <v>114.9</v>
      </c>
    </row>
    <row r="229" spans="2:14" x14ac:dyDescent="0.25">
      <c r="B229" s="42" t="s">
        <v>2725</v>
      </c>
      <c r="C229" s="30">
        <v>14</v>
      </c>
      <c r="D229" s="30">
        <v>14</v>
      </c>
      <c r="E229" s="30">
        <v>1.8</v>
      </c>
      <c r="F229" s="30">
        <v>1.8</v>
      </c>
      <c r="G229" s="30">
        <v>0</v>
      </c>
      <c r="H229" s="47">
        <v>9.8000000000000007</v>
      </c>
      <c r="I229" s="63">
        <v>0</v>
      </c>
      <c r="J229" s="31" t="s">
        <v>8</v>
      </c>
      <c r="K229" s="31" t="s">
        <v>907</v>
      </c>
      <c r="L229" s="32">
        <v>1170</v>
      </c>
      <c r="M229" s="32">
        <v>95.4</v>
      </c>
      <c r="N229" s="32">
        <v>126</v>
      </c>
    </row>
    <row r="230" spans="2:14" x14ac:dyDescent="0.25">
      <c r="B230" s="42" t="s">
        <v>4480</v>
      </c>
      <c r="C230" s="30">
        <v>18</v>
      </c>
      <c r="D230" s="30">
        <v>35</v>
      </c>
      <c r="E230" s="30">
        <v>1.8</v>
      </c>
      <c r="F230" s="30">
        <v>1.8</v>
      </c>
      <c r="G230" s="30">
        <v>72</v>
      </c>
      <c r="H230" s="47">
        <v>4.3</v>
      </c>
      <c r="I230" s="63">
        <v>0</v>
      </c>
      <c r="J230" s="31" t="s">
        <v>8</v>
      </c>
      <c r="K230" s="31" t="s">
        <v>898</v>
      </c>
      <c r="L230" s="32">
        <v>810</v>
      </c>
      <c r="M230" s="32">
        <v>78</v>
      </c>
      <c r="N230" s="32">
        <v>121</v>
      </c>
    </row>
    <row r="231" spans="2:14" x14ac:dyDescent="0.25">
      <c r="B231" s="42" t="s">
        <v>2633</v>
      </c>
      <c r="C231" s="30">
        <v>20</v>
      </c>
      <c r="D231" s="30">
        <v>20</v>
      </c>
      <c r="E231" s="30">
        <v>1.4</v>
      </c>
      <c r="F231" s="30">
        <v>1.4</v>
      </c>
      <c r="G231" s="30">
        <v>0</v>
      </c>
      <c r="H231" s="47">
        <v>7.1</v>
      </c>
      <c r="I231" s="63">
        <v>0</v>
      </c>
      <c r="J231" s="31" t="s">
        <v>8</v>
      </c>
      <c r="K231" s="31" t="s">
        <v>907</v>
      </c>
      <c r="L231" s="32">
        <v>950</v>
      </c>
      <c r="M231" s="32">
        <v>90.7</v>
      </c>
      <c r="N231" s="32">
        <v>129.80000000000001</v>
      </c>
    </row>
    <row r="232" spans="2:14" x14ac:dyDescent="0.25">
      <c r="B232" s="42" t="s">
        <v>2684</v>
      </c>
      <c r="C232" s="30">
        <v>24</v>
      </c>
      <c r="D232" s="30">
        <v>105</v>
      </c>
      <c r="E232" s="30">
        <v>4</v>
      </c>
      <c r="F232" s="30">
        <v>4</v>
      </c>
      <c r="G232" s="30">
        <v>82</v>
      </c>
      <c r="H232" s="47">
        <v>4.5999999999999996</v>
      </c>
      <c r="I232" s="63">
        <v>0</v>
      </c>
      <c r="J232" s="31" t="s">
        <v>8</v>
      </c>
      <c r="K232" s="31" t="s">
        <v>907</v>
      </c>
      <c r="L232" s="32">
        <v>885</v>
      </c>
      <c r="M232" s="32">
        <v>88.6</v>
      </c>
      <c r="N232" s="32">
        <v>109.4</v>
      </c>
    </row>
    <row r="233" spans="2:14" x14ac:dyDescent="0.25">
      <c r="B233" s="42" t="s">
        <v>1173</v>
      </c>
      <c r="C233" s="30">
        <v>24</v>
      </c>
      <c r="D233" s="30">
        <v>35</v>
      </c>
      <c r="E233" s="30">
        <v>2</v>
      </c>
      <c r="F233" s="30">
        <v>2</v>
      </c>
      <c r="G233" s="30">
        <v>82</v>
      </c>
      <c r="H233" s="47">
        <v>4.4000000000000004</v>
      </c>
      <c r="I233" s="63">
        <v>0</v>
      </c>
      <c r="J233" s="31" t="s">
        <v>8</v>
      </c>
      <c r="K233" s="31" t="s">
        <v>907</v>
      </c>
      <c r="L233" s="32">
        <v>940</v>
      </c>
      <c r="M233" s="32">
        <v>87.6</v>
      </c>
      <c r="N233" s="32">
        <v>122.7</v>
      </c>
    </row>
    <row r="234" spans="2:14" x14ac:dyDescent="0.25">
      <c r="B234" s="42" t="s">
        <v>2597</v>
      </c>
      <c r="C234" s="30">
        <v>24</v>
      </c>
      <c r="D234" s="30">
        <v>70</v>
      </c>
      <c r="E234" s="30">
        <v>2.8</v>
      </c>
      <c r="F234" s="30">
        <v>2.8</v>
      </c>
      <c r="G234" s="30">
        <v>82</v>
      </c>
      <c r="H234" s="47">
        <v>4.76</v>
      </c>
      <c r="I234" s="63">
        <v>0</v>
      </c>
      <c r="J234" s="31" t="s">
        <v>8</v>
      </c>
      <c r="K234" s="31" t="s">
        <v>907</v>
      </c>
      <c r="L234" s="32">
        <v>1020</v>
      </c>
      <c r="M234" s="32">
        <v>88</v>
      </c>
      <c r="N234" s="32">
        <v>107.6</v>
      </c>
    </row>
    <row r="235" spans="2:14" x14ac:dyDescent="0.25">
      <c r="B235" s="42" t="s">
        <v>4307</v>
      </c>
      <c r="C235" s="30">
        <v>24</v>
      </c>
      <c r="D235" s="30">
        <v>24</v>
      </c>
      <c r="E235" s="30">
        <v>1.4</v>
      </c>
      <c r="F235" s="30">
        <v>1.4</v>
      </c>
      <c r="G235" s="30">
        <v>77</v>
      </c>
      <c r="H235" s="47">
        <v>5.3</v>
      </c>
      <c r="I235" s="63">
        <v>0</v>
      </c>
      <c r="J235" s="31" t="s">
        <v>8</v>
      </c>
      <c r="K235" s="31" t="s">
        <v>907</v>
      </c>
      <c r="L235" s="32">
        <v>665</v>
      </c>
      <c r="M235" s="32">
        <v>85</v>
      </c>
      <c r="N235" s="32">
        <v>90.2</v>
      </c>
    </row>
    <row r="236" spans="2:14" x14ac:dyDescent="0.25">
      <c r="B236" s="42" t="s">
        <v>4306</v>
      </c>
      <c r="C236" s="30">
        <v>30</v>
      </c>
      <c r="D236" s="30">
        <v>30</v>
      </c>
      <c r="E236" s="30">
        <v>1.4</v>
      </c>
      <c r="F236" s="30">
        <v>1.4</v>
      </c>
      <c r="G236" s="30">
        <v>62</v>
      </c>
      <c r="H236" s="47">
        <v>6.8</v>
      </c>
      <c r="I236" s="63">
        <v>0</v>
      </c>
      <c r="J236" s="31" t="s">
        <v>8</v>
      </c>
      <c r="K236" s="31" t="s">
        <v>898</v>
      </c>
      <c r="L236" s="32">
        <v>435</v>
      </c>
      <c r="M236" s="32">
        <v>74.2</v>
      </c>
      <c r="N236" s="32">
        <v>63.3</v>
      </c>
    </row>
    <row r="237" spans="2:14" x14ac:dyDescent="0.25">
      <c r="B237" s="42" t="s">
        <v>2578</v>
      </c>
      <c r="C237" s="30">
        <v>35</v>
      </c>
      <c r="D237" s="30">
        <v>35</v>
      </c>
      <c r="E237" s="30">
        <v>1.4</v>
      </c>
      <c r="F237" s="30">
        <v>1.4</v>
      </c>
      <c r="G237" s="30">
        <v>67</v>
      </c>
      <c r="H237" s="47">
        <v>5.2</v>
      </c>
      <c r="I237" s="63">
        <v>0</v>
      </c>
      <c r="J237" s="31" t="s">
        <v>8</v>
      </c>
      <c r="K237" s="31" t="s">
        <v>907</v>
      </c>
      <c r="L237" s="32">
        <v>665</v>
      </c>
      <c r="M237" s="32">
        <v>77</v>
      </c>
      <c r="N237" s="32">
        <v>94</v>
      </c>
    </row>
    <row r="238" spans="2:14" x14ac:dyDescent="0.25">
      <c r="B238" s="42" t="s">
        <v>2619</v>
      </c>
      <c r="C238" s="30">
        <v>50</v>
      </c>
      <c r="D238" s="30">
        <v>100</v>
      </c>
      <c r="E238" s="30">
        <v>1.8</v>
      </c>
      <c r="F238" s="30">
        <v>1.8</v>
      </c>
      <c r="G238" s="30">
        <v>82</v>
      </c>
      <c r="H238" s="47">
        <v>6.7</v>
      </c>
      <c r="I238" s="63">
        <v>0</v>
      </c>
      <c r="J238" s="31" t="s">
        <v>8</v>
      </c>
      <c r="K238" s="31" t="s">
        <v>898</v>
      </c>
      <c r="L238" s="32">
        <v>1490</v>
      </c>
      <c r="M238" s="32">
        <v>93.5</v>
      </c>
      <c r="N238" s="32">
        <v>170.7</v>
      </c>
    </row>
    <row r="239" spans="2:14" x14ac:dyDescent="0.25">
      <c r="B239" s="42" t="s">
        <v>4396</v>
      </c>
      <c r="C239" s="30">
        <v>50</v>
      </c>
      <c r="D239" s="30">
        <v>50</v>
      </c>
      <c r="E239" s="30">
        <v>1.4</v>
      </c>
      <c r="F239" s="30">
        <v>1.4</v>
      </c>
      <c r="G239" s="30">
        <v>77</v>
      </c>
      <c r="H239" s="47">
        <v>5.6</v>
      </c>
      <c r="I239" s="63">
        <v>0</v>
      </c>
      <c r="J239" s="31" t="s">
        <v>8</v>
      </c>
      <c r="K239" s="31" t="s">
        <v>907</v>
      </c>
      <c r="L239" s="32">
        <v>815</v>
      </c>
      <c r="M239" s="32">
        <v>85</v>
      </c>
      <c r="N239" s="32">
        <v>100</v>
      </c>
    </row>
    <row r="240" spans="2:14" x14ac:dyDescent="0.25">
      <c r="B240" s="42" t="s">
        <v>2617</v>
      </c>
      <c r="C240" s="30">
        <v>85</v>
      </c>
      <c r="D240" s="30">
        <v>85</v>
      </c>
      <c r="E240" s="30">
        <v>1.4</v>
      </c>
      <c r="F240" s="30">
        <v>1.4</v>
      </c>
      <c r="G240" s="30">
        <v>86</v>
      </c>
      <c r="H240" s="47">
        <v>8.5</v>
      </c>
      <c r="I240" s="63">
        <v>0</v>
      </c>
      <c r="J240" s="31" t="s">
        <v>8</v>
      </c>
      <c r="K240" s="31" t="s">
        <v>907</v>
      </c>
      <c r="L240" s="32">
        <v>1130</v>
      </c>
      <c r="M240" s="32">
        <v>94.7</v>
      </c>
      <c r="N240" s="32">
        <v>126.2</v>
      </c>
    </row>
    <row r="241" spans="2:14" x14ac:dyDescent="0.25">
      <c r="B241" s="42" t="s">
        <v>1158</v>
      </c>
      <c r="C241" s="30">
        <v>100</v>
      </c>
      <c r="D241" s="30">
        <v>400</v>
      </c>
      <c r="E241" s="30">
        <v>5</v>
      </c>
      <c r="F241" s="30">
        <v>6.3</v>
      </c>
      <c r="G241" s="30">
        <v>67</v>
      </c>
      <c r="H241" s="47">
        <v>3.85</v>
      </c>
      <c r="I241" s="63">
        <v>0</v>
      </c>
      <c r="J241" s="31" t="s">
        <v>8</v>
      </c>
      <c r="K241" s="31" t="s">
        <v>907</v>
      </c>
      <c r="L241" s="32">
        <v>1160</v>
      </c>
      <c r="M241" s="32">
        <v>86.4</v>
      </c>
      <c r="N241" s="32">
        <v>182.3</v>
      </c>
    </row>
    <row r="242" spans="2:14" x14ac:dyDescent="0.25">
      <c r="B242" s="42" t="s">
        <v>2596</v>
      </c>
      <c r="C242" s="30">
        <v>150</v>
      </c>
      <c r="D242" s="30">
        <v>600</v>
      </c>
      <c r="E242" s="30">
        <v>5</v>
      </c>
      <c r="F242" s="30">
        <v>6.3</v>
      </c>
      <c r="G242" s="30">
        <v>95</v>
      </c>
      <c r="H242" s="47">
        <v>5</v>
      </c>
      <c r="I242" s="63">
        <v>0</v>
      </c>
      <c r="J242" s="31" t="s">
        <v>8</v>
      </c>
      <c r="K242" s="31" t="s">
        <v>907</v>
      </c>
      <c r="L242" s="32">
        <v>1930</v>
      </c>
      <c r="M242" s="32">
        <v>105</v>
      </c>
      <c r="N242" s="32">
        <v>260.10000000000002</v>
      </c>
    </row>
    <row r="243" spans="2:14" x14ac:dyDescent="0.25">
      <c r="B243" s="42" t="s">
        <v>919</v>
      </c>
      <c r="C243" s="30">
        <v>150</v>
      </c>
      <c r="D243" s="30">
        <v>600</v>
      </c>
      <c r="E243" s="30">
        <v>5</v>
      </c>
      <c r="F243" s="30">
        <v>6.3</v>
      </c>
      <c r="G243" s="30">
        <v>95</v>
      </c>
      <c r="H243" s="47">
        <v>5</v>
      </c>
      <c r="I243" s="63">
        <v>0</v>
      </c>
      <c r="J243" s="31" t="s">
        <v>8</v>
      </c>
      <c r="K243" s="31" t="s">
        <v>907</v>
      </c>
      <c r="L243" s="32">
        <v>1930</v>
      </c>
      <c r="M243" s="32">
        <v>105</v>
      </c>
      <c r="N243" s="32">
        <v>260.10000000000002</v>
      </c>
    </row>
    <row r="244" spans="2:14" x14ac:dyDescent="0.25">
      <c r="B244" s="42" t="s">
        <v>2565</v>
      </c>
      <c r="C244" s="30">
        <v>17</v>
      </c>
      <c r="D244" s="30">
        <v>70</v>
      </c>
      <c r="E244" s="30">
        <v>2.8</v>
      </c>
      <c r="F244" s="30">
        <v>4</v>
      </c>
      <c r="G244" s="30">
        <v>72</v>
      </c>
      <c r="H244" s="47">
        <v>2.9</v>
      </c>
      <c r="I244" s="63">
        <v>0</v>
      </c>
      <c r="J244" s="31" t="s">
        <v>8</v>
      </c>
      <c r="K244" s="31" t="s">
        <v>898</v>
      </c>
      <c r="L244" s="32">
        <v>470</v>
      </c>
      <c r="M244" s="32">
        <v>79</v>
      </c>
      <c r="N244" s="32">
        <v>82</v>
      </c>
    </row>
    <row r="245" spans="2:14" x14ac:dyDescent="0.25">
      <c r="B245" s="42" t="s">
        <v>4394</v>
      </c>
      <c r="C245" s="30">
        <v>18</v>
      </c>
      <c r="D245" s="30">
        <v>200</v>
      </c>
      <c r="E245" s="30">
        <v>3.5</v>
      </c>
      <c r="F245" s="30">
        <v>6.3</v>
      </c>
      <c r="G245" s="30">
        <v>62</v>
      </c>
      <c r="H245" s="47">
        <v>3</v>
      </c>
      <c r="I245" s="63">
        <v>0</v>
      </c>
      <c r="J245" s="31" t="s">
        <v>8</v>
      </c>
      <c r="K245" s="31" t="s">
        <v>898</v>
      </c>
      <c r="L245" s="32">
        <v>430</v>
      </c>
      <c r="M245" s="32">
        <v>71</v>
      </c>
      <c r="N245" s="32">
        <v>86</v>
      </c>
    </row>
    <row r="246" spans="2:14" x14ac:dyDescent="0.25">
      <c r="B246" s="42" t="s">
        <v>2629</v>
      </c>
      <c r="C246" s="30">
        <v>18</v>
      </c>
      <c r="D246" s="30">
        <v>300</v>
      </c>
      <c r="E246" s="30">
        <v>3.5</v>
      </c>
      <c r="F246" s="30">
        <v>6.3</v>
      </c>
      <c r="G246" s="30">
        <v>72</v>
      </c>
      <c r="H246" s="47">
        <v>3</v>
      </c>
      <c r="I246" s="63">
        <v>0</v>
      </c>
      <c r="J246" s="31" t="s">
        <v>8</v>
      </c>
      <c r="K246" s="31" t="s">
        <v>898</v>
      </c>
      <c r="L246" s="32">
        <v>585</v>
      </c>
      <c r="M246" s="32">
        <v>79</v>
      </c>
      <c r="N246" s="32">
        <v>101.5</v>
      </c>
    </row>
    <row r="247" spans="2:14" x14ac:dyDescent="0.25">
      <c r="B247" s="42" t="s">
        <v>2719</v>
      </c>
      <c r="C247" s="30">
        <v>120</v>
      </c>
      <c r="D247" s="30">
        <v>300</v>
      </c>
      <c r="E247" s="30">
        <v>2.8</v>
      </c>
      <c r="F247" s="30">
        <v>2.8</v>
      </c>
      <c r="G247" s="30">
        <v>105</v>
      </c>
      <c r="H247" s="47">
        <v>8.1</v>
      </c>
      <c r="I247" s="63">
        <v>0</v>
      </c>
      <c r="J247" s="31" t="s">
        <v>8</v>
      </c>
      <c r="K247" s="31" t="s">
        <v>907</v>
      </c>
      <c r="L247" s="32">
        <v>3390</v>
      </c>
      <c r="M247" s="32">
        <v>124.4</v>
      </c>
      <c r="N247" s="32">
        <v>291</v>
      </c>
    </row>
    <row r="248" spans="2:14" x14ac:dyDescent="0.25">
      <c r="B248" s="42" t="s">
        <v>2627</v>
      </c>
      <c r="C248" s="30">
        <v>150</v>
      </c>
      <c r="D248" s="30">
        <v>600</v>
      </c>
      <c r="E248" s="30">
        <v>5</v>
      </c>
      <c r="F248" s="30">
        <v>6.3</v>
      </c>
      <c r="G248" s="30">
        <v>105</v>
      </c>
      <c r="H248" s="47">
        <v>5</v>
      </c>
      <c r="I248" s="63">
        <v>0</v>
      </c>
      <c r="J248" s="31" t="s">
        <v>8</v>
      </c>
      <c r="K248" s="31" t="s">
        <v>907</v>
      </c>
      <c r="L248" s="32">
        <v>2860</v>
      </c>
      <c r="M248" s="32">
        <v>121</v>
      </c>
      <c r="N248" s="32">
        <v>290.2</v>
      </c>
    </row>
    <row r="249" spans="2:14" x14ac:dyDescent="0.25">
      <c r="B249" s="42" t="s">
        <v>926</v>
      </c>
      <c r="C249" s="30">
        <v>150</v>
      </c>
      <c r="D249" s="30">
        <v>600</v>
      </c>
      <c r="E249" s="30">
        <v>5</v>
      </c>
      <c r="F249" s="30">
        <v>6.3</v>
      </c>
      <c r="G249" s="30">
        <v>105</v>
      </c>
      <c r="H249" s="47">
        <v>5</v>
      </c>
      <c r="I249" s="63">
        <v>0</v>
      </c>
      <c r="J249" s="31" t="s">
        <v>8</v>
      </c>
      <c r="K249" s="31" t="s">
        <v>907</v>
      </c>
      <c r="L249" s="32">
        <v>2860</v>
      </c>
      <c r="M249" s="32">
        <v>121</v>
      </c>
      <c r="N249" s="32">
        <v>290.2</v>
      </c>
    </row>
    <row r="250" spans="2:14" x14ac:dyDescent="0.25">
      <c r="B250" s="42" t="s">
        <v>2681</v>
      </c>
      <c r="C250" s="30">
        <v>500</v>
      </c>
      <c r="D250" s="30">
        <v>500</v>
      </c>
      <c r="E250" s="30">
        <v>4</v>
      </c>
      <c r="F250" s="30">
        <v>4</v>
      </c>
      <c r="G250" s="30">
        <v>46</v>
      </c>
      <c r="H250" s="47">
        <v>6.5</v>
      </c>
      <c r="I250" s="63">
        <v>0</v>
      </c>
      <c r="J250" s="31" t="s">
        <v>8</v>
      </c>
      <c r="K250" s="31" t="s">
        <v>907</v>
      </c>
      <c r="L250" s="32">
        <v>3310</v>
      </c>
      <c r="M250" s="32">
        <v>144.80000000000001</v>
      </c>
      <c r="N250" s="32">
        <v>380.3</v>
      </c>
    </row>
    <row r="251" spans="2:14" x14ac:dyDescent="0.25">
      <c r="B251" s="42" t="s">
        <v>2717</v>
      </c>
      <c r="C251" s="30">
        <v>10</v>
      </c>
      <c r="D251" s="30">
        <v>24</v>
      </c>
      <c r="E251" s="30">
        <v>3.5</v>
      </c>
      <c r="F251" s="30">
        <v>4.5</v>
      </c>
      <c r="G251" s="30">
        <v>77</v>
      </c>
      <c r="H251" s="47">
        <v>5.3</v>
      </c>
      <c r="I251" s="63">
        <v>0</v>
      </c>
      <c r="J251" s="31" t="s">
        <v>8</v>
      </c>
      <c r="K251" s="31" t="s">
        <v>898</v>
      </c>
      <c r="L251" s="32">
        <v>440</v>
      </c>
      <c r="M251" s="32">
        <v>83.6</v>
      </c>
      <c r="N251" s="32">
        <v>82.1</v>
      </c>
    </row>
    <row r="252" spans="2:14" x14ac:dyDescent="0.25">
      <c r="B252" s="42" t="s">
        <v>2716</v>
      </c>
      <c r="C252" s="30">
        <v>16</v>
      </c>
      <c r="D252" s="30">
        <v>300</v>
      </c>
      <c r="E252" s="30">
        <v>3.5</v>
      </c>
      <c r="F252" s="30">
        <v>6.3</v>
      </c>
      <c r="G252" s="30">
        <v>67</v>
      </c>
      <c r="H252" s="47">
        <v>2.94</v>
      </c>
      <c r="I252" s="63">
        <v>0</v>
      </c>
      <c r="J252" s="31" t="s">
        <v>8</v>
      </c>
      <c r="K252" s="31" t="s">
        <v>898</v>
      </c>
      <c r="L252" s="32">
        <v>540</v>
      </c>
      <c r="M252" s="32">
        <v>75</v>
      </c>
      <c r="N252" s="32">
        <v>100</v>
      </c>
    </row>
    <row r="253" spans="2:14" x14ac:dyDescent="0.25">
      <c r="B253" s="42" t="s">
        <v>3023</v>
      </c>
      <c r="C253" s="30">
        <v>18</v>
      </c>
      <c r="D253" s="30">
        <v>200</v>
      </c>
      <c r="E253" s="30">
        <v>3.5</v>
      </c>
      <c r="F253" s="30">
        <v>6.3</v>
      </c>
      <c r="G253" s="30">
        <v>62</v>
      </c>
      <c r="H253" s="47">
        <v>4</v>
      </c>
      <c r="I253" s="63">
        <v>0</v>
      </c>
      <c r="J253" s="31" t="s">
        <v>8</v>
      </c>
      <c r="K253" s="31" t="s">
        <v>898</v>
      </c>
      <c r="L253" s="32">
        <v>400</v>
      </c>
      <c r="M253" s="32">
        <v>75</v>
      </c>
      <c r="N253" s="32">
        <v>96.6</v>
      </c>
    </row>
    <row r="254" spans="2:14" x14ac:dyDescent="0.25">
      <c r="B254" s="42" t="s">
        <v>2594</v>
      </c>
      <c r="C254" s="30">
        <v>18</v>
      </c>
      <c r="D254" s="30">
        <v>400</v>
      </c>
      <c r="E254" s="30">
        <v>3.5</v>
      </c>
      <c r="F254" s="30">
        <v>6.3</v>
      </c>
      <c r="G254" s="30">
        <v>72</v>
      </c>
      <c r="H254" s="47">
        <v>2.9</v>
      </c>
      <c r="I254" s="63">
        <v>0</v>
      </c>
      <c r="J254" s="31" t="s">
        <v>8</v>
      </c>
      <c r="K254" s="31" t="s">
        <v>898</v>
      </c>
      <c r="L254" s="32">
        <v>705</v>
      </c>
      <c r="M254" s="32">
        <v>79</v>
      </c>
      <c r="N254" s="32">
        <v>121.4</v>
      </c>
    </row>
    <row r="255" spans="2:14" x14ac:dyDescent="0.25">
      <c r="B255" s="42" t="s">
        <v>4390</v>
      </c>
      <c r="C255" s="30">
        <v>28</v>
      </c>
      <c r="D255" s="30">
        <v>300</v>
      </c>
      <c r="E255" s="30">
        <v>3.5</v>
      </c>
      <c r="F255" s="30">
        <v>6.3</v>
      </c>
      <c r="G255" s="30">
        <v>67</v>
      </c>
      <c r="H255" s="47">
        <v>2.8</v>
      </c>
      <c r="I255" s="63">
        <v>0</v>
      </c>
      <c r="J255" s="31" t="s">
        <v>8</v>
      </c>
      <c r="K255" s="31" t="s">
        <v>907</v>
      </c>
      <c r="L255" s="32">
        <v>540</v>
      </c>
      <c r="M255" s="32">
        <v>75</v>
      </c>
      <c r="N255" s="32">
        <v>99.5</v>
      </c>
    </row>
    <row r="256" spans="2:14" x14ac:dyDescent="0.25">
      <c r="B256" s="42" t="s">
        <v>2850</v>
      </c>
      <c r="C256" s="30">
        <v>18</v>
      </c>
      <c r="D256" s="30">
        <v>200</v>
      </c>
      <c r="E256" s="30">
        <v>3.5</v>
      </c>
      <c r="F256" s="30">
        <v>6.3</v>
      </c>
      <c r="G256" s="30">
        <v>62</v>
      </c>
      <c r="H256" s="47">
        <v>3.7</v>
      </c>
      <c r="I256" s="63">
        <v>0</v>
      </c>
      <c r="J256" s="31" t="s">
        <v>8</v>
      </c>
      <c r="K256" s="31" t="s">
        <v>898</v>
      </c>
      <c r="L256" s="32">
        <v>398</v>
      </c>
      <c r="M256" s="32">
        <v>73.8</v>
      </c>
      <c r="N256" s="32">
        <v>83.7</v>
      </c>
    </row>
    <row r="257" spans="2:14" x14ac:dyDescent="0.25">
      <c r="B257" s="42" t="s">
        <v>3786</v>
      </c>
      <c r="C257" s="30">
        <v>18</v>
      </c>
      <c r="D257" s="30">
        <v>250</v>
      </c>
      <c r="E257" s="30">
        <v>3.5</v>
      </c>
      <c r="F257" s="30">
        <v>6.3</v>
      </c>
      <c r="G257" s="30">
        <v>62</v>
      </c>
      <c r="H257" s="47">
        <v>3.5</v>
      </c>
      <c r="I257" s="63">
        <v>0</v>
      </c>
      <c r="J257" s="31" t="s">
        <v>8</v>
      </c>
      <c r="K257" s="31" t="s">
        <v>898</v>
      </c>
      <c r="L257" s="32">
        <v>430</v>
      </c>
      <c r="M257" s="32">
        <v>74.400000000000006</v>
      </c>
      <c r="N257" s="32">
        <v>84.3</v>
      </c>
    </row>
    <row r="258" spans="2:14" x14ac:dyDescent="0.25">
      <c r="B258" s="42" t="s">
        <v>2849</v>
      </c>
      <c r="C258" s="30">
        <v>18</v>
      </c>
      <c r="D258" s="30">
        <v>250</v>
      </c>
      <c r="E258" s="30">
        <v>3.5</v>
      </c>
      <c r="F258" s="30">
        <v>6.3</v>
      </c>
      <c r="G258" s="30">
        <v>62</v>
      </c>
      <c r="H258" s="47">
        <v>3.5</v>
      </c>
      <c r="I258" s="63">
        <v>0</v>
      </c>
      <c r="J258" s="31" t="s">
        <v>8</v>
      </c>
      <c r="K258" s="31" t="s">
        <v>898</v>
      </c>
      <c r="L258" s="32">
        <v>430</v>
      </c>
      <c r="M258" s="32">
        <v>74.400000000000006</v>
      </c>
      <c r="N258" s="32">
        <v>84.3</v>
      </c>
    </row>
    <row r="259" spans="2:14" x14ac:dyDescent="0.25">
      <c r="B259" s="42" t="s">
        <v>1163</v>
      </c>
      <c r="C259" s="30">
        <v>18</v>
      </c>
      <c r="D259" s="30">
        <v>270</v>
      </c>
      <c r="E259" s="30">
        <v>3.5</v>
      </c>
      <c r="F259" s="30">
        <v>6.3</v>
      </c>
      <c r="G259" s="30">
        <v>62</v>
      </c>
      <c r="H259" s="47">
        <v>3.8</v>
      </c>
      <c r="I259" s="63">
        <v>0</v>
      </c>
      <c r="J259" s="31" t="s">
        <v>8</v>
      </c>
      <c r="K259" s="31" t="s">
        <v>898</v>
      </c>
      <c r="L259" s="32">
        <v>450</v>
      </c>
      <c r="M259" s="32">
        <v>74.400000000000006</v>
      </c>
      <c r="N259" s="32">
        <v>96.4</v>
      </c>
    </row>
    <row r="260" spans="2:14" x14ac:dyDescent="0.25">
      <c r="B260" s="42" t="s">
        <v>4092</v>
      </c>
      <c r="C260" s="30">
        <v>28</v>
      </c>
      <c r="D260" s="30">
        <v>300</v>
      </c>
      <c r="E260" s="30">
        <v>3.5</v>
      </c>
      <c r="F260" s="30">
        <v>6.3</v>
      </c>
      <c r="G260" s="30">
        <v>67</v>
      </c>
      <c r="H260" s="47">
        <v>3</v>
      </c>
      <c r="I260" s="63">
        <v>0</v>
      </c>
      <c r="J260" s="31" t="s">
        <v>8</v>
      </c>
      <c r="K260" s="31" t="s">
        <v>907</v>
      </c>
      <c r="L260" s="32">
        <v>550</v>
      </c>
      <c r="M260" s="32">
        <v>78</v>
      </c>
      <c r="N260" s="32">
        <v>99</v>
      </c>
    </row>
    <row r="261" spans="2:14" x14ac:dyDescent="0.25">
      <c r="B261" s="42" t="s">
        <v>3784</v>
      </c>
      <c r="C261" s="30">
        <v>55</v>
      </c>
      <c r="D261" s="30">
        <v>200</v>
      </c>
      <c r="E261" s="30">
        <v>4</v>
      </c>
      <c r="F261" s="30">
        <v>5.6</v>
      </c>
      <c r="G261" s="30">
        <v>52</v>
      </c>
      <c r="H261" s="47">
        <v>3.5</v>
      </c>
      <c r="I261" s="63">
        <v>0</v>
      </c>
      <c r="J261" s="31" t="s">
        <v>8</v>
      </c>
      <c r="K261" s="31" t="s">
        <v>898</v>
      </c>
      <c r="L261" s="32">
        <v>295</v>
      </c>
      <c r="M261" s="32">
        <v>71.599999999999994</v>
      </c>
      <c r="N261" s="32">
        <v>83</v>
      </c>
    </row>
    <row r="262" spans="2:14" x14ac:dyDescent="0.25">
      <c r="B262" s="42" t="s">
        <v>2848</v>
      </c>
      <c r="C262" s="30">
        <v>70</v>
      </c>
      <c r="D262" s="30">
        <v>300</v>
      </c>
      <c r="E262" s="30">
        <v>4</v>
      </c>
      <c r="F262" s="30">
        <v>5.6</v>
      </c>
      <c r="G262" s="30">
        <v>62</v>
      </c>
      <c r="H262" s="47">
        <v>2</v>
      </c>
      <c r="I262" s="63">
        <v>0</v>
      </c>
      <c r="J262" s="31" t="s">
        <v>8</v>
      </c>
      <c r="K262" s="31" t="s">
        <v>907</v>
      </c>
      <c r="L262" s="32">
        <v>435</v>
      </c>
      <c r="M262" s="32">
        <v>76.599999999999994</v>
      </c>
      <c r="N262" s="32">
        <v>116.5</v>
      </c>
    </row>
    <row r="263" spans="2:14" x14ac:dyDescent="0.25">
      <c r="B263" s="42" t="s">
        <v>4413</v>
      </c>
      <c r="C263" s="30">
        <v>70</v>
      </c>
      <c r="D263" s="30">
        <v>300</v>
      </c>
      <c r="E263" s="30">
        <v>4</v>
      </c>
      <c r="F263" s="30">
        <v>5.6</v>
      </c>
      <c r="G263" s="30">
        <v>62</v>
      </c>
      <c r="H263" s="47">
        <v>2</v>
      </c>
      <c r="I263" s="63">
        <v>0</v>
      </c>
      <c r="J263" s="31" t="s">
        <v>8</v>
      </c>
      <c r="K263" s="31" t="s">
        <v>907</v>
      </c>
      <c r="L263" s="32">
        <v>458</v>
      </c>
      <c r="M263" s="32">
        <v>76.599999999999994</v>
      </c>
      <c r="N263" s="32">
        <v>116.5</v>
      </c>
    </row>
    <row r="264" spans="2:14" x14ac:dyDescent="0.25">
      <c r="B264" s="42" t="s">
        <v>4389</v>
      </c>
      <c r="C264" s="30">
        <v>10</v>
      </c>
      <c r="D264" s="30">
        <v>24</v>
      </c>
      <c r="E264" s="30">
        <v>3.5</v>
      </c>
      <c r="F264" s="30">
        <v>4.5</v>
      </c>
      <c r="G264" s="30">
        <v>77</v>
      </c>
      <c r="H264" s="47">
        <v>5.0999999999999996</v>
      </c>
      <c r="I264" s="63">
        <v>0</v>
      </c>
      <c r="J264" s="31" t="s">
        <v>8</v>
      </c>
      <c r="K264" s="31" t="s">
        <v>898</v>
      </c>
      <c r="L264" s="32">
        <v>370</v>
      </c>
      <c r="M264" s="32">
        <v>83.2</v>
      </c>
      <c r="N264" s="32">
        <v>86.5</v>
      </c>
    </row>
    <row r="265" spans="2:14" x14ac:dyDescent="0.25">
      <c r="B265" s="42" t="s">
        <v>3779</v>
      </c>
      <c r="C265" s="30">
        <v>11</v>
      </c>
      <c r="D265" s="30">
        <v>18</v>
      </c>
      <c r="E265" s="30">
        <v>4.5</v>
      </c>
      <c r="F265" s="30">
        <v>5.6</v>
      </c>
      <c r="G265" s="30">
        <v>77</v>
      </c>
      <c r="H265" s="47">
        <v>0</v>
      </c>
      <c r="I265" s="63">
        <v>0</v>
      </c>
      <c r="J265" s="31" t="s">
        <v>8</v>
      </c>
      <c r="K265" s="31" t="s">
        <v>898</v>
      </c>
      <c r="L265" s="32">
        <v>345</v>
      </c>
      <c r="M265" s="32">
        <v>83.2</v>
      </c>
      <c r="N265" s="32">
        <v>78.599999999999994</v>
      </c>
    </row>
    <row r="266" spans="2:14" x14ac:dyDescent="0.25">
      <c r="B266" s="42" t="s">
        <v>4085</v>
      </c>
      <c r="C266" s="30">
        <v>150</v>
      </c>
      <c r="D266" s="30">
        <v>600</v>
      </c>
      <c r="E266" s="30">
        <v>5</v>
      </c>
      <c r="F266" s="30">
        <v>6.3</v>
      </c>
      <c r="G266" s="30">
        <v>95</v>
      </c>
      <c r="H266" s="47">
        <v>5</v>
      </c>
      <c r="I266" s="63">
        <v>0</v>
      </c>
      <c r="J266" s="31" t="s">
        <v>8</v>
      </c>
      <c r="K266" s="31" t="s">
        <v>907</v>
      </c>
      <c r="L266" s="32">
        <v>1950</v>
      </c>
      <c r="M266" s="32">
        <v>105.6</v>
      </c>
      <c r="N266" s="32">
        <v>257.8</v>
      </c>
    </row>
    <row r="267" spans="2:14" x14ac:dyDescent="0.25">
      <c r="B267" s="42" t="s">
        <v>2604</v>
      </c>
      <c r="C267" s="30">
        <v>150</v>
      </c>
      <c r="D267" s="30">
        <v>600</v>
      </c>
      <c r="E267" s="30">
        <v>5</v>
      </c>
      <c r="F267" s="30">
        <v>6.3</v>
      </c>
      <c r="G267" s="30">
        <v>95</v>
      </c>
      <c r="H267" s="47">
        <v>3.9</v>
      </c>
      <c r="I267" s="63">
        <v>0</v>
      </c>
      <c r="J267" s="31" t="s">
        <v>8</v>
      </c>
      <c r="K267" s="31" t="s">
        <v>907</v>
      </c>
      <c r="L267" s="32">
        <v>2009</v>
      </c>
      <c r="M267" s="32">
        <v>108.4</v>
      </c>
      <c r="N267" s="32">
        <v>260.2</v>
      </c>
    </row>
    <row r="268" spans="2:14" x14ac:dyDescent="0.25">
      <c r="B268" s="42" t="s">
        <v>4463</v>
      </c>
      <c r="C268" s="30">
        <v>15</v>
      </c>
      <c r="D268" s="30">
        <v>30</v>
      </c>
      <c r="E268" s="30">
        <v>2.8</v>
      </c>
      <c r="F268" s="30">
        <v>2.8</v>
      </c>
      <c r="G268" s="30">
        <v>0</v>
      </c>
      <c r="H268" s="47">
        <v>5</v>
      </c>
      <c r="I268" s="63">
        <v>0</v>
      </c>
      <c r="J268" s="31" t="s">
        <v>8</v>
      </c>
      <c r="K268" s="31" t="s">
        <v>907</v>
      </c>
      <c r="L268" s="32">
        <v>1100</v>
      </c>
      <c r="M268" s="32">
        <v>98.4</v>
      </c>
      <c r="N268" s="32">
        <v>145</v>
      </c>
    </row>
    <row r="269" spans="2:14" x14ac:dyDescent="0.25">
      <c r="B269" s="42" t="s">
        <v>4235</v>
      </c>
      <c r="C269" s="30">
        <v>17</v>
      </c>
      <c r="D269" s="30">
        <v>50</v>
      </c>
      <c r="E269" s="30">
        <v>2.8</v>
      </c>
      <c r="F269" s="30">
        <v>2.8</v>
      </c>
      <c r="G269" s="30">
        <v>67</v>
      </c>
      <c r="H269" s="47">
        <v>4.5</v>
      </c>
      <c r="I269" s="63">
        <v>0</v>
      </c>
      <c r="J269" s="31" t="s">
        <v>8</v>
      </c>
      <c r="K269" s="31" t="s">
        <v>898</v>
      </c>
      <c r="L269" s="32">
        <v>430</v>
      </c>
      <c r="M269" s="32">
        <v>73.8</v>
      </c>
      <c r="N269" s="32">
        <v>83.2</v>
      </c>
    </row>
    <row r="270" spans="2:14" x14ac:dyDescent="0.25">
      <c r="B270" s="42" t="s">
        <v>4343</v>
      </c>
      <c r="C270" s="30">
        <v>17</v>
      </c>
      <c r="D270" s="30">
        <v>50</v>
      </c>
      <c r="E270" s="30">
        <v>2.8</v>
      </c>
      <c r="F270" s="30">
        <v>2.8</v>
      </c>
      <c r="G270" s="30">
        <v>67</v>
      </c>
      <c r="H270" s="47">
        <v>4.5</v>
      </c>
      <c r="I270" s="63">
        <v>0</v>
      </c>
      <c r="J270" s="31" t="s">
        <v>8</v>
      </c>
      <c r="K270" s="31" t="s">
        <v>898</v>
      </c>
      <c r="L270" s="32">
        <v>430</v>
      </c>
      <c r="M270" s="32">
        <v>73.8</v>
      </c>
      <c r="N270" s="32">
        <v>83.2</v>
      </c>
    </row>
    <row r="271" spans="2:14" x14ac:dyDescent="0.25">
      <c r="B271" s="42" t="s">
        <v>4341</v>
      </c>
      <c r="C271" s="30">
        <v>17</v>
      </c>
      <c r="D271" s="30">
        <v>50</v>
      </c>
      <c r="E271" s="30">
        <v>2.8</v>
      </c>
      <c r="F271" s="30">
        <v>2.8</v>
      </c>
      <c r="G271" s="30">
        <v>72</v>
      </c>
      <c r="H271" s="47">
        <v>4.8</v>
      </c>
      <c r="I271" s="63">
        <v>0</v>
      </c>
      <c r="J271" s="31" t="s">
        <v>8</v>
      </c>
      <c r="K271" s="31" t="s">
        <v>898</v>
      </c>
      <c r="L271" s="32">
        <v>570</v>
      </c>
      <c r="M271" s="32">
        <v>79.599999999999994</v>
      </c>
      <c r="N271" s="32">
        <v>94.5</v>
      </c>
    </row>
    <row r="272" spans="2:14" x14ac:dyDescent="0.25">
      <c r="B272" s="42" t="s">
        <v>3773</v>
      </c>
      <c r="C272" s="30">
        <v>180</v>
      </c>
      <c r="D272" s="30">
        <v>180</v>
      </c>
      <c r="E272" s="30">
        <v>3.5</v>
      </c>
      <c r="F272" s="30">
        <v>3.5</v>
      </c>
      <c r="G272" s="30">
        <v>72</v>
      </c>
      <c r="H272" s="47">
        <v>1</v>
      </c>
      <c r="I272" s="63">
        <v>0</v>
      </c>
      <c r="J272" s="31" t="s">
        <v>8</v>
      </c>
      <c r="K272" s="31" t="s">
        <v>907</v>
      </c>
      <c r="L272" s="32">
        <v>920</v>
      </c>
      <c r="M272" s="32">
        <v>84.8</v>
      </c>
      <c r="N272" s="32">
        <v>165.7</v>
      </c>
    </row>
    <row r="273" spans="2:14" x14ac:dyDescent="0.25">
      <c r="B273" s="42" t="s">
        <v>3420</v>
      </c>
      <c r="C273" s="30">
        <v>200</v>
      </c>
      <c r="D273" s="30">
        <v>500</v>
      </c>
      <c r="E273" s="30">
        <v>5</v>
      </c>
      <c r="F273" s="30">
        <v>6.3</v>
      </c>
      <c r="G273" s="30">
        <v>86</v>
      </c>
      <c r="H273" s="47">
        <v>5</v>
      </c>
      <c r="I273" s="63">
        <v>0</v>
      </c>
      <c r="J273" s="31" t="s">
        <v>8</v>
      </c>
      <c r="K273" s="31" t="s">
        <v>907</v>
      </c>
      <c r="L273" s="32">
        <v>1240</v>
      </c>
      <c r="M273" s="32">
        <v>93.5</v>
      </c>
      <c r="N273" s="32">
        <v>227</v>
      </c>
    </row>
    <row r="274" spans="2:14" x14ac:dyDescent="0.25">
      <c r="B274" s="42" t="s">
        <v>2677</v>
      </c>
      <c r="C274" s="30">
        <v>24</v>
      </c>
      <c r="D274" s="30">
        <v>70</v>
      </c>
      <c r="E274" s="30">
        <v>2.8</v>
      </c>
      <c r="F274" s="30">
        <v>2.8</v>
      </c>
      <c r="G274" s="30">
        <v>82</v>
      </c>
      <c r="H274" s="47">
        <v>5</v>
      </c>
      <c r="I274" s="63">
        <v>0</v>
      </c>
      <c r="J274" s="31" t="s">
        <v>8</v>
      </c>
      <c r="K274" s="31" t="s">
        <v>907</v>
      </c>
      <c r="L274" s="32">
        <v>825</v>
      </c>
      <c r="M274" s="32">
        <v>88.2</v>
      </c>
      <c r="N274" s="32">
        <v>116.9</v>
      </c>
    </row>
    <row r="275" spans="2:14" x14ac:dyDescent="0.25">
      <c r="B275" s="42" t="s">
        <v>2532</v>
      </c>
      <c r="C275" s="30">
        <v>24</v>
      </c>
      <c r="D275" s="30">
        <v>70</v>
      </c>
      <c r="E275" s="30">
        <v>2.8</v>
      </c>
      <c r="F275" s="30">
        <v>2.8</v>
      </c>
      <c r="G275" s="30">
        <v>82</v>
      </c>
      <c r="H275" s="47">
        <v>5</v>
      </c>
      <c r="I275" s="63">
        <v>0</v>
      </c>
      <c r="J275" s="31" t="s">
        <v>8</v>
      </c>
      <c r="K275" s="31" t="s">
        <v>907</v>
      </c>
      <c r="L275" s="32">
        <v>900</v>
      </c>
      <c r="M275" s="32">
        <v>88.4</v>
      </c>
      <c r="N275" s="32">
        <v>108.5</v>
      </c>
    </row>
    <row r="276" spans="2:14" x14ac:dyDescent="0.25">
      <c r="B276" s="42" t="s">
        <v>4411</v>
      </c>
      <c r="C276" s="30">
        <v>28</v>
      </c>
      <c r="D276" s="30">
        <v>75</v>
      </c>
      <c r="E276" s="30">
        <v>2.8</v>
      </c>
      <c r="F276" s="30">
        <v>2.8</v>
      </c>
      <c r="G276" s="30">
        <v>67</v>
      </c>
      <c r="H276" s="47">
        <v>3.9</v>
      </c>
      <c r="I276" s="63">
        <v>0</v>
      </c>
      <c r="J276" s="31" t="s">
        <v>8</v>
      </c>
      <c r="K276" s="31" t="s">
        <v>907</v>
      </c>
      <c r="L276" s="32">
        <v>510</v>
      </c>
      <c r="M276" s="32">
        <v>73</v>
      </c>
      <c r="N276" s="32">
        <v>92</v>
      </c>
    </row>
    <row r="277" spans="2:14" x14ac:dyDescent="0.25">
      <c r="B277" s="42" t="s">
        <v>2606</v>
      </c>
      <c r="C277" s="30">
        <v>35</v>
      </c>
      <c r="D277" s="30">
        <v>35</v>
      </c>
      <c r="E277" s="30">
        <v>1.8</v>
      </c>
      <c r="F277" s="30">
        <v>1.8</v>
      </c>
      <c r="G277" s="30">
        <v>67</v>
      </c>
      <c r="H277" s="47">
        <v>2.5</v>
      </c>
      <c r="I277" s="63">
        <v>0</v>
      </c>
      <c r="J277" s="31" t="s">
        <v>8</v>
      </c>
      <c r="K277" s="31" t="s">
        <v>907</v>
      </c>
      <c r="L277" s="32">
        <v>450</v>
      </c>
      <c r="M277" s="32">
        <v>80.400000000000006</v>
      </c>
      <c r="N277" s="32">
        <v>78.3</v>
      </c>
    </row>
    <row r="278" spans="2:14" x14ac:dyDescent="0.25">
      <c r="B278" s="42" t="s">
        <v>2675</v>
      </c>
      <c r="C278" s="30">
        <v>45</v>
      </c>
      <c r="D278" s="30">
        <v>45</v>
      </c>
      <c r="E278" s="30">
        <v>1.8</v>
      </c>
      <c r="F278" s="30">
        <v>1.8</v>
      </c>
      <c r="G278" s="30">
        <v>67</v>
      </c>
      <c r="H278" s="47">
        <v>3.4</v>
      </c>
      <c r="I278" s="63">
        <v>0</v>
      </c>
      <c r="J278" s="31" t="s">
        <v>8</v>
      </c>
      <c r="K278" s="31" t="s">
        <v>907</v>
      </c>
      <c r="L278" s="32">
        <v>520</v>
      </c>
      <c r="M278" s="32">
        <v>80.400000000000006</v>
      </c>
      <c r="N278" s="32">
        <v>89.2</v>
      </c>
    </row>
    <row r="279" spans="2:14" x14ac:dyDescent="0.25">
      <c r="B279" s="42" t="s">
        <v>4339</v>
      </c>
      <c r="C279" s="30">
        <v>60</v>
      </c>
      <c r="D279" s="30">
        <v>60</v>
      </c>
      <c r="E279" s="30">
        <v>2</v>
      </c>
      <c r="F279" s="30">
        <v>2</v>
      </c>
      <c r="G279" s="30">
        <v>55</v>
      </c>
      <c r="H279" s="47">
        <v>1</v>
      </c>
      <c r="I279" s="63">
        <v>0</v>
      </c>
      <c r="J279" s="31" t="s">
        <v>8</v>
      </c>
      <c r="K279" s="31" t="s">
        <v>898</v>
      </c>
      <c r="L279" s="32">
        <v>400</v>
      </c>
      <c r="M279" s="32">
        <v>73</v>
      </c>
      <c r="N279" s="32">
        <v>80</v>
      </c>
    </row>
    <row r="280" spans="2:14" x14ac:dyDescent="0.25">
      <c r="B280" s="42" t="s">
        <v>2762</v>
      </c>
      <c r="C280" s="30">
        <v>70</v>
      </c>
      <c r="D280" s="30">
        <v>200</v>
      </c>
      <c r="E280" s="30">
        <v>2.8</v>
      </c>
      <c r="F280" s="30">
        <v>2.8</v>
      </c>
      <c r="G280" s="30">
        <v>77</v>
      </c>
      <c r="H280" s="47">
        <v>3.1</v>
      </c>
      <c r="I280" s="63">
        <v>0</v>
      </c>
      <c r="J280" s="31" t="s">
        <v>8</v>
      </c>
      <c r="K280" s="31" t="s">
        <v>907</v>
      </c>
      <c r="L280" s="32">
        <v>1150</v>
      </c>
      <c r="M280" s="32">
        <v>89.5</v>
      </c>
      <c r="N280" s="32">
        <v>194.3</v>
      </c>
    </row>
    <row r="281" spans="2:14" x14ac:dyDescent="0.25">
      <c r="B281" s="42" t="s">
        <v>3776</v>
      </c>
      <c r="C281" s="30">
        <v>70</v>
      </c>
      <c r="D281" s="30">
        <v>200</v>
      </c>
      <c r="E281" s="30">
        <v>2.8</v>
      </c>
      <c r="F281" s="30">
        <v>2.8</v>
      </c>
      <c r="G281" s="30">
        <v>77</v>
      </c>
      <c r="H281" s="47">
        <v>8</v>
      </c>
      <c r="I281" s="63">
        <v>0</v>
      </c>
      <c r="J281" s="31" t="s">
        <v>8</v>
      </c>
      <c r="K281" s="31" t="s">
        <v>907</v>
      </c>
      <c r="L281" s="32">
        <v>1470</v>
      </c>
      <c r="M281" s="32">
        <v>85.8</v>
      </c>
      <c r="N281" s="32">
        <v>188.3</v>
      </c>
    </row>
    <row r="282" spans="2:14" x14ac:dyDescent="0.25">
      <c r="B282" s="42" t="s">
        <v>4493</v>
      </c>
      <c r="C282" s="30">
        <v>70</v>
      </c>
      <c r="D282" s="30">
        <v>200</v>
      </c>
      <c r="E282" s="30">
        <v>2.8</v>
      </c>
      <c r="F282" s="30">
        <v>2.8</v>
      </c>
      <c r="G282" s="30">
        <v>77</v>
      </c>
      <c r="H282" s="47">
        <v>6.1</v>
      </c>
      <c r="I282" s="63">
        <v>0</v>
      </c>
      <c r="J282" s="31" t="s">
        <v>8</v>
      </c>
      <c r="K282" s="31" t="s">
        <v>907</v>
      </c>
      <c r="L282" s="32">
        <v>1490</v>
      </c>
      <c r="M282" s="32">
        <v>88</v>
      </c>
      <c r="N282" s="32">
        <v>191.3</v>
      </c>
    </row>
    <row r="283" spans="2:14" x14ac:dyDescent="0.25">
      <c r="B283" s="42" t="s">
        <v>4409</v>
      </c>
      <c r="C283" s="30">
        <v>70</v>
      </c>
      <c r="D283" s="30">
        <v>300</v>
      </c>
      <c r="E283" s="30">
        <v>4</v>
      </c>
      <c r="F283" s="30">
        <v>5.6</v>
      </c>
      <c r="G283" s="30">
        <v>62</v>
      </c>
      <c r="H283" s="47">
        <v>4</v>
      </c>
      <c r="I283" s="63">
        <v>0</v>
      </c>
      <c r="J283" s="31" t="s">
        <v>8</v>
      </c>
      <c r="K283" s="31" t="s">
        <v>907</v>
      </c>
      <c r="L283" s="32">
        <v>765</v>
      </c>
      <c r="M283" s="32">
        <v>81.5</v>
      </c>
      <c r="N283" s="32">
        <v>142.69999999999999</v>
      </c>
    </row>
    <row r="284" spans="2:14" x14ac:dyDescent="0.25">
      <c r="B284" s="42" t="s">
        <v>4408</v>
      </c>
      <c r="C284" s="30">
        <v>85</v>
      </c>
      <c r="D284" s="30">
        <v>85</v>
      </c>
      <c r="E284" s="30">
        <v>1.8</v>
      </c>
      <c r="F284" s="30">
        <v>1.8</v>
      </c>
      <c r="G284" s="30">
        <v>67</v>
      </c>
      <c r="H284" s="47">
        <v>7.2</v>
      </c>
      <c r="I284" s="63">
        <v>0</v>
      </c>
      <c r="J284" s="31" t="s">
        <v>8</v>
      </c>
      <c r="K284" s="31" t="s">
        <v>907</v>
      </c>
      <c r="L284" s="32">
        <v>700</v>
      </c>
      <c r="M284" s="32">
        <v>84.8</v>
      </c>
      <c r="N284" s="32">
        <v>91.3</v>
      </c>
    </row>
    <row r="285" spans="2:14" x14ac:dyDescent="0.25">
      <c r="B285" s="42" t="s">
        <v>4087</v>
      </c>
      <c r="C285" s="30">
        <v>90</v>
      </c>
      <c r="D285" s="30">
        <v>90</v>
      </c>
      <c r="E285" s="30">
        <v>2.8</v>
      </c>
      <c r="F285" s="30">
        <v>2.8</v>
      </c>
      <c r="G285" s="30">
        <v>55</v>
      </c>
      <c r="H285" s="47">
        <v>1</v>
      </c>
      <c r="I285" s="63">
        <v>0</v>
      </c>
      <c r="J285" s="31" t="s">
        <v>8</v>
      </c>
      <c r="K285" s="31" t="s">
        <v>907</v>
      </c>
      <c r="L285" s="32">
        <v>405</v>
      </c>
      <c r="M285" s="32">
        <v>71.5</v>
      </c>
      <c r="N285" s="32">
        <v>97</v>
      </c>
    </row>
    <row r="286" spans="2:14" x14ac:dyDescent="0.25">
      <c r="B286" s="42" t="s">
        <v>4229</v>
      </c>
      <c r="C286" s="30">
        <v>90</v>
      </c>
      <c r="D286" s="30">
        <v>90</v>
      </c>
      <c r="E286" s="30">
        <v>2.8</v>
      </c>
      <c r="F286" s="30">
        <v>2.8</v>
      </c>
      <c r="G286" s="30">
        <v>55</v>
      </c>
      <c r="H286" s="47">
        <v>1</v>
      </c>
      <c r="I286" s="63">
        <v>0</v>
      </c>
      <c r="J286" s="31" t="s">
        <v>8</v>
      </c>
      <c r="K286" s="31" t="s">
        <v>907</v>
      </c>
      <c r="L286" s="32">
        <v>405</v>
      </c>
      <c r="M286" s="32">
        <v>71.5</v>
      </c>
      <c r="N286" s="32">
        <v>97</v>
      </c>
    </row>
    <row r="287" spans="2:14" x14ac:dyDescent="0.25">
      <c r="B287" s="42" t="s">
        <v>961</v>
      </c>
      <c r="C287" s="30">
        <v>90</v>
      </c>
      <c r="D287" s="30">
        <v>90</v>
      </c>
      <c r="E287" s="30">
        <v>2.8</v>
      </c>
      <c r="F287" s="30">
        <v>2.8</v>
      </c>
      <c r="G287" s="30">
        <v>58</v>
      </c>
      <c r="H287" s="47">
        <v>1</v>
      </c>
      <c r="I287" s="63">
        <v>0</v>
      </c>
      <c r="J287" s="31" t="s">
        <v>8</v>
      </c>
      <c r="K287" s="31" t="s">
        <v>907</v>
      </c>
      <c r="L287" s="32">
        <v>550</v>
      </c>
      <c r="M287" s="32">
        <v>76.400000000000006</v>
      </c>
      <c r="N287" s="32">
        <v>114.5</v>
      </c>
    </row>
    <row r="288" spans="2:14" x14ac:dyDescent="0.25">
      <c r="B288" s="42" t="s">
        <v>1162</v>
      </c>
      <c r="C288" s="30">
        <v>90</v>
      </c>
      <c r="D288" s="30">
        <v>90</v>
      </c>
      <c r="E288" s="30">
        <v>2.8</v>
      </c>
      <c r="F288" s="30">
        <v>2.8</v>
      </c>
      <c r="G288" s="30">
        <v>62</v>
      </c>
      <c r="H288" s="47">
        <v>1</v>
      </c>
      <c r="I288" s="63">
        <v>0</v>
      </c>
      <c r="J288" s="31" t="s">
        <v>8</v>
      </c>
      <c r="K288" s="31" t="s">
        <v>907</v>
      </c>
      <c r="L288" s="32">
        <v>610</v>
      </c>
      <c r="M288" s="32">
        <v>79</v>
      </c>
      <c r="N288" s="32">
        <v>117.1</v>
      </c>
    </row>
    <row r="289" spans="2:14" x14ac:dyDescent="0.25">
      <c r="B289" s="42" t="s">
        <v>3057</v>
      </c>
      <c r="C289" s="30">
        <v>10</v>
      </c>
      <c r="D289" s="30">
        <v>17</v>
      </c>
      <c r="E289" s="30">
        <v>3.5</v>
      </c>
      <c r="F289" s="30">
        <v>4.5</v>
      </c>
      <c r="G289" s="30">
        <v>0</v>
      </c>
      <c r="H289" s="47">
        <v>2.56</v>
      </c>
      <c r="I289" s="63">
        <v>0</v>
      </c>
      <c r="J289" s="31" t="s">
        <v>8</v>
      </c>
      <c r="K289" s="31" t="s">
        <v>898</v>
      </c>
      <c r="L289" s="32">
        <v>350</v>
      </c>
      <c r="M289" s="32">
        <v>70</v>
      </c>
      <c r="N289" s="32">
        <v>71.099999999999994</v>
      </c>
    </row>
    <row r="290" spans="2:14" x14ac:dyDescent="0.25">
      <c r="B290" s="42" t="s">
        <v>3055</v>
      </c>
      <c r="C290" s="30">
        <v>10</v>
      </c>
      <c r="D290" s="30">
        <v>17</v>
      </c>
      <c r="E290" s="30">
        <v>3.5</v>
      </c>
      <c r="F290" s="30">
        <v>4.5</v>
      </c>
      <c r="G290" s="30">
        <v>0</v>
      </c>
      <c r="H290" s="47">
        <v>2.56</v>
      </c>
      <c r="I290" s="63">
        <v>0</v>
      </c>
      <c r="J290" s="31" t="s">
        <v>8</v>
      </c>
      <c r="K290" s="31" t="s">
        <v>907</v>
      </c>
      <c r="L290" s="32">
        <v>350</v>
      </c>
      <c r="M290" s="32">
        <v>69.900000000000006</v>
      </c>
      <c r="N290" s="32">
        <v>70.900000000000006</v>
      </c>
    </row>
    <row r="291" spans="2:14" x14ac:dyDescent="0.25">
      <c r="B291" s="42" t="s">
        <v>1106</v>
      </c>
      <c r="C291" s="30">
        <v>16.5</v>
      </c>
      <c r="D291" s="30">
        <v>135</v>
      </c>
      <c r="E291" s="30">
        <v>3.5</v>
      </c>
      <c r="F291" s="30">
        <v>5.6</v>
      </c>
      <c r="G291" s="30">
        <v>77</v>
      </c>
      <c r="H291" s="47">
        <v>5.43</v>
      </c>
      <c r="I291" s="63">
        <v>0</v>
      </c>
      <c r="J291" s="31" t="s">
        <v>8</v>
      </c>
      <c r="K291" s="31" t="s">
        <v>898</v>
      </c>
      <c r="L291" s="32">
        <v>610</v>
      </c>
      <c r="M291" s="32">
        <v>84</v>
      </c>
      <c r="N291" s="32">
        <v>78</v>
      </c>
    </row>
    <row r="292" spans="2:14" x14ac:dyDescent="0.25">
      <c r="B292" s="42" t="s">
        <v>1052</v>
      </c>
      <c r="C292" s="30">
        <v>17</v>
      </c>
      <c r="D292" s="30">
        <v>35</v>
      </c>
      <c r="E292" s="30">
        <v>4</v>
      </c>
      <c r="F292" s="30">
        <v>4</v>
      </c>
      <c r="G292" s="30">
        <v>0</v>
      </c>
      <c r="H292" s="47">
        <v>4.82</v>
      </c>
      <c r="I292" s="63">
        <v>0</v>
      </c>
      <c r="J292" s="31" t="s">
        <v>8</v>
      </c>
      <c r="K292" s="31" t="s">
        <v>907</v>
      </c>
      <c r="L292" s="32">
        <v>600</v>
      </c>
      <c r="M292" s="32">
        <v>89</v>
      </c>
      <c r="N292" s="32">
        <v>94</v>
      </c>
    </row>
    <row r="293" spans="2:14" x14ac:dyDescent="0.25">
      <c r="B293" s="42" t="s">
        <v>2880</v>
      </c>
      <c r="C293" s="30">
        <v>100</v>
      </c>
      <c r="D293" s="30">
        <v>100</v>
      </c>
      <c r="E293" s="30">
        <v>2.8</v>
      </c>
      <c r="F293" s="30">
        <v>2.8</v>
      </c>
      <c r="G293" s="30">
        <v>55</v>
      </c>
      <c r="H293" s="47">
        <v>1</v>
      </c>
      <c r="I293" s="63">
        <v>0</v>
      </c>
      <c r="J293" s="31" t="s">
        <v>8</v>
      </c>
      <c r="K293" s="31" t="s">
        <v>907</v>
      </c>
      <c r="L293" s="32">
        <v>540</v>
      </c>
      <c r="M293" s="32">
        <v>73</v>
      </c>
      <c r="N293" s="32">
        <v>95.1</v>
      </c>
    </row>
    <row r="294" spans="2:14" x14ac:dyDescent="0.25">
      <c r="B294" s="42" t="s">
        <v>4227</v>
      </c>
      <c r="C294" s="30">
        <v>11</v>
      </c>
      <c r="D294" s="30">
        <v>16</v>
      </c>
      <c r="E294" s="30">
        <v>2.8</v>
      </c>
      <c r="F294" s="30">
        <v>2.8</v>
      </c>
      <c r="G294" s="30">
        <v>77</v>
      </c>
      <c r="H294" s="47">
        <v>11.6</v>
      </c>
      <c r="I294" s="63">
        <v>0</v>
      </c>
      <c r="J294" s="31" t="s">
        <v>8</v>
      </c>
      <c r="K294" s="31" t="s">
        <v>898</v>
      </c>
      <c r="L294" s="32">
        <v>560</v>
      </c>
      <c r="M294" s="32">
        <v>84</v>
      </c>
      <c r="N294" s="32">
        <v>96</v>
      </c>
    </row>
    <row r="295" spans="2:14" x14ac:dyDescent="0.25">
      <c r="B295" s="42" t="s">
        <v>1160</v>
      </c>
      <c r="C295" s="30">
        <v>11</v>
      </c>
      <c r="D295" s="30">
        <v>16</v>
      </c>
      <c r="E295" s="30">
        <v>2.8</v>
      </c>
      <c r="F295" s="30">
        <v>2.8</v>
      </c>
      <c r="G295" s="30">
        <v>77</v>
      </c>
      <c r="H295" s="47">
        <v>11.6</v>
      </c>
      <c r="I295" s="63">
        <v>0</v>
      </c>
      <c r="J295" s="31" t="s">
        <v>8</v>
      </c>
      <c r="K295" s="31" t="s">
        <v>898</v>
      </c>
      <c r="L295" s="32">
        <v>550</v>
      </c>
      <c r="M295" s="32">
        <v>84</v>
      </c>
      <c r="N295" s="32">
        <v>89</v>
      </c>
    </row>
    <row r="296" spans="2:14" x14ac:dyDescent="0.25">
      <c r="B296" s="42" t="s">
        <v>1165</v>
      </c>
      <c r="C296" s="30">
        <v>11</v>
      </c>
      <c r="D296" s="30">
        <v>20</v>
      </c>
      <c r="E296" s="30">
        <v>2.8</v>
      </c>
      <c r="F296" s="30">
        <v>2.8</v>
      </c>
      <c r="G296" s="30">
        <v>82</v>
      </c>
      <c r="H296" s="47">
        <v>8.6199999999999992</v>
      </c>
      <c r="I296" s="63">
        <v>0</v>
      </c>
      <c r="J296" s="31" t="s">
        <v>8</v>
      </c>
      <c r="K296" s="31" t="s">
        <v>898</v>
      </c>
      <c r="L296" s="32">
        <v>560</v>
      </c>
      <c r="M296" s="32">
        <v>89</v>
      </c>
      <c r="N296" s="32">
        <v>92</v>
      </c>
    </row>
    <row r="297" spans="2:14" x14ac:dyDescent="0.25">
      <c r="B297" s="42" t="s">
        <v>4301</v>
      </c>
      <c r="C297" s="30">
        <v>12</v>
      </c>
      <c r="D297" s="30">
        <v>24</v>
      </c>
      <c r="E297" s="30">
        <v>4</v>
      </c>
      <c r="F297" s="30">
        <v>4</v>
      </c>
      <c r="G297" s="30">
        <v>77</v>
      </c>
      <c r="H297" s="47">
        <v>8</v>
      </c>
      <c r="I297" s="63">
        <v>0</v>
      </c>
      <c r="J297" s="31" t="s">
        <v>8</v>
      </c>
      <c r="K297" s="31" t="s">
        <v>898</v>
      </c>
      <c r="L297" s="32">
        <v>540</v>
      </c>
      <c r="M297" s="32">
        <v>84</v>
      </c>
      <c r="N297" s="32">
        <v>89.5</v>
      </c>
    </row>
    <row r="298" spans="2:14" x14ac:dyDescent="0.25">
      <c r="B298" s="42" t="s">
        <v>4338</v>
      </c>
      <c r="C298" s="30">
        <v>12</v>
      </c>
      <c r="D298" s="30">
        <v>28</v>
      </c>
      <c r="E298" s="30">
        <v>4</v>
      </c>
      <c r="F298" s="30">
        <v>4</v>
      </c>
      <c r="G298" s="30">
        <v>77</v>
      </c>
      <c r="H298" s="47">
        <v>4.9400000000000004</v>
      </c>
      <c r="I298" s="63">
        <v>0</v>
      </c>
      <c r="J298" s="31" t="s">
        <v>8</v>
      </c>
      <c r="K298" s="31" t="s">
        <v>898</v>
      </c>
      <c r="L298" s="32">
        <v>600</v>
      </c>
      <c r="M298" s="32">
        <v>84</v>
      </c>
      <c r="N298" s="32">
        <v>90.2</v>
      </c>
    </row>
    <row r="299" spans="2:14" x14ac:dyDescent="0.25">
      <c r="B299" s="42" t="s">
        <v>1093</v>
      </c>
      <c r="C299" s="30">
        <v>14</v>
      </c>
      <c r="D299" s="30">
        <v>20</v>
      </c>
      <c r="E299" s="30">
        <v>2</v>
      </c>
      <c r="F299" s="30">
        <v>2</v>
      </c>
      <c r="G299" s="30">
        <v>82</v>
      </c>
      <c r="H299" s="47">
        <v>8.36</v>
      </c>
      <c r="I299" s="63">
        <v>0</v>
      </c>
      <c r="J299" s="31" t="s">
        <v>8</v>
      </c>
      <c r="K299" s="31" t="s">
        <v>898</v>
      </c>
      <c r="L299" s="32">
        <v>725</v>
      </c>
      <c r="M299" s="32">
        <v>89</v>
      </c>
      <c r="N299" s="32">
        <v>106</v>
      </c>
    </row>
    <row r="300" spans="2:14" x14ac:dyDescent="0.25">
      <c r="B300" s="42" t="s">
        <v>4337</v>
      </c>
      <c r="C300" s="30">
        <v>16</v>
      </c>
      <c r="D300" s="30">
        <v>28</v>
      </c>
      <c r="E300" s="30">
        <v>2.8</v>
      </c>
      <c r="F300" s="30">
        <v>2.8</v>
      </c>
      <c r="G300" s="30">
        <v>0</v>
      </c>
      <c r="H300" s="47">
        <v>5.62</v>
      </c>
      <c r="I300" s="63">
        <v>0</v>
      </c>
      <c r="J300" s="31" t="s">
        <v>8</v>
      </c>
      <c r="K300" s="31" t="s">
        <v>907</v>
      </c>
      <c r="L300" s="32">
        <v>950</v>
      </c>
      <c r="M300" s="32">
        <v>90</v>
      </c>
      <c r="N300" s="32">
        <v>133.30000000000001</v>
      </c>
    </row>
    <row r="301" spans="2:14" x14ac:dyDescent="0.25">
      <c r="B301" s="42" t="s">
        <v>1142</v>
      </c>
      <c r="C301" s="30">
        <v>24</v>
      </c>
      <c r="D301" s="30">
        <v>70</v>
      </c>
      <c r="E301" s="30">
        <v>2.8</v>
      </c>
      <c r="F301" s="30">
        <v>2.8</v>
      </c>
      <c r="G301" s="30">
        <v>82</v>
      </c>
      <c r="H301" s="47">
        <v>4.7300000000000004</v>
      </c>
      <c r="I301" s="63">
        <v>0</v>
      </c>
      <c r="J301" s="31" t="s">
        <v>8</v>
      </c>
      <c r="K301" s="31" t="s">
        <v>907</v>
      </c>
      <c r="L301" s="32">
        <v>1010</v>
      </c>
      <c r="M301" s="32">
        <v>89.6</v>
      </c>
      <c r="N301" s="32">
        <v>107.5</v>
      </c>
    </row>
    <row r="302" spans="2:14" x14ac:dyDescent="0.25">
      <c r="B302" s="42" t="s">
        <v>1172</v>
      </c>
      <c r="C302" s="30">
        <v>70</v>
      </c>
      <c r="D302" s="30">
        <v>200</v>
      </c>
      <c r="E302" s="30">
        <v>4</v>
      </c>
      <c r="F302" s="30">
        <v>4</v>
      </c>
      <c r="G302" s="30">
        <v>67</v>
      </c>
      <c r="H302" s="47">
        <v>3.57</v>
      </c>
      <c r="I302" s="63">
        <v>0</v>
      </c>
      <c r="J302" s="31" t="s">
        <v>8</v>
      </c>
      <c r="K302" s="31" t="s">
        <v>907</v>
      </c>
      <c r="L302" s="32">
        <v>980</v>
      </c>
      <c r="M302" s="32">
        <v>82</v>
      </c>
      <c r="N302" s="32">
        <v>167.5</v>
      </c>
    </row>
    <row r="303" spans="2:14" x14ac:dyDescent="0.25">
      <c r="B303" s="42" t="s">
        <v>3436</v>
      </c>
      <c r="C303" s="30">
        <v>58</v>
      </c>
      <c r="D303" s="30">
        <v>58</v>
      </c>
      <c r="E303" s="30">
        <v>1.4</v>
      </c>
      <c r="F303" s="30">
        <v>1.4</v>
      </c>
      <c r="G303" s="30">
        <v>58</v>
      </c>
      <c r="H303" s="47">
        <v>0</v>
      </c>
      <c r="I303" s="63">
        <v>0</v>
      </c>
      <c r="J303" s="31" t="s">
        <v>8</v>
      </c>
      <c r="K303" s="31" t="s">
        <v>907</v>
      </c>
      <c r="L303" s="32">
        <v>320</v>
      </c>
      <c r="M303" s="32">
        <v>64.400000000000006</v>
      </c>
      <c r="N303" s="32">
        <v>47.5</v>
      </c>
    </row>
    <row r="304" spans="2:14" x14ac:dyDescent="0.25">
      <c r="B304" s="42" t="s">
        <v>3042</v>
      </c>
      <c r="C304" s="30">
        <v>58</v>
      </c>
      <c r="D304" s="30">
        <v>58</v>
      </c>
      <c r="E304" s="30">
        <v>1.4</v>
      </c>
      <c r="F304" s="30">
        <v>1.4</v>
      </c>
      <c r="G304" s="30">
        <v>52</v>
      </c>
      <c r="H304" s="47">
        <v>0</v>
      </c>
      <c r="I304" s="63">
        <v>0</v>
      </c>
      <c r="J304" s="31" t="s">
        <v>8</v>
      </c>
      <c r="K304" s="31" t="s">
        <v>907</v>
      </c>
      <c r="L304" s="32">
        <v>320</v>
      </c>
      <c r="M304" s="32">
        <v>67.599999999999994</v>
      </c>
      <c r="N304" s="32">
        <v>45.5</v>
      </c>
    </row>
    <row r="305" spans="2:14" x14ac:dyDescent="0.25">
      <c r="B305" s="42" t="s">
        <v>3041</v>
      </c>
      <c r="C305" s="30">
        <v>40</v>
      </c>
      <c r="D305" s="30">
        <v>40</v>
      </c>
      <c r="E305" s="30">
        <v>2</v>
      </c>
      <c r="F305" s="30">
        <v>2</v>
      </c>
      <c r="G305" s="30">
        <v>52</v>
      </c>
      <c r="H305" s="47">
        <v>7</v>
      </c>
      <c r="I305" s="63">
        <v>0</v>
      </c>
      <c r="J305" s="31" t="s">
        <v>8</v>
      </c>
      <c r="K305" s="31" t="s">
        <v>907</v>
      </c>
      <c r="L305" s="32">
        <v>200</v>
      </c>
      <c r="M305" s="32">
        <v>63</v>
      </c>
      <c r="N305" s="32">
        <v>24.5</v>
      </c>
    </row>
    <row r="306" spans="2:14" x14ac:dyDescent="0.25">
      <c r="B306" s="42" t="s">
        <v>3430</v>
      </c>
      <c r="C306" s="30">
        <v>8</v>
      </c>
      <c r="D306" s="30">
        <v>8</v>
      </c>
      <c r="E306" s="30">
        <v>3.5</v>
      </c>
      <c r="F306" s="30">
        <v>3.5</v>
      </c>
      <c r="G306" s="30">
        <v>0</v>
      </c>
      <c r="H306" s="47">
        <v>0</v>
      </c>
      <c r="I306" s="63">
        <v>0</v>
      </c>
      <c r="J306" s="31" t="s">
        <v>8</v>
      </c>
      <c r="K306" s="31" t="s">
        <v>898</v>
      </c>
      <c r="L306" s="32">
        <v>570</v>
      </c>
      <c r="M306" s="32">
        <v>0</v>
      </c>
      <c r="N306" s="32">
        <v>0</v>
      </c>
    </row>
    <row r="307" spans="2:14" x14ac:dyDescent="0.25">
      <c r="B307" s="42" t="s">
        <v>4059</v>
      </c>
      <c r="C307" s="30">
        <v>100</v>
      </c>
      <c r="D307" s="30">
        <v>100</v>
      </c>
      <c r="E307" s="30">
        <v>2.8</v>
      </c>
      <c r="F307" s="30">
        <v>2.8</v>
      </c>
      <c r="G307" s="30">
        <v>67</v>
      </c>
      <c r="H307" s="47">
        <v>1</v>
      </c>
      <c r="I307" s="63">
        <v>0</v>
      </c>
      <c r="J307" s="31" t="s">
        <v>8</v>
      </c>
      <c r="K307" s="31" t="s">
        <v>907</v>
      </c>
      <c r="L307" s="32">
        <v>770</v>
      </c>
      <c r="M307" s="32">
        <v>72.5</v>
      </c>
      <c r="N307" s="32">
        <v>149</v>
      </c>
    </row>
    <row r="308" spans="2:14" x14ac:dyDescent="0.25">
      <c r="B308" s="42" t="s">
        <v>3539</v>
      </c>
      <c r="C308" s="30">
        <v>100</v>
      </c>
      <c r="D308" s="30">
        <v>100</v>
      </c>
      <c r="E308" s="30">
        <v>3.1</v>
      </c>
      <c r="F308" s="30">
        <v>3.1</v>
      </c>
      <c r="G308" s="30">
        <v>67</v>
      </c>
      <c r="H308" s="47">
        <v>1</v>
      </c>
      <c r="I308" s="63">
        <v>0</v>
      </c>
      <c r="J308" s="31" t="s">
        <v>8</v>
      </c>
      <c r="K308" s="31" t="s">
        <v>907</v>
      </c>
      <c r="L308" s="32">
        <v>775</v>
      </c>
      <c r="M308" s="32">
        <v>82</v>
      </c>
      <c r="N308" s="32">
        <v>149</v>
      </c>
    </row>
    <row r="309" spans="2:14" x14ac:dyDescent="0.25">
      <c r="B309" s="42" t="s">
        <v>3072</v>
      </c>
      <c r="C309" s="30">
        <v>10</v>
      </c>
      <c r="D309" s="30">
        <v>10</v>
      </c>
      <c r="E309" s="30">
        <v>2.8</v>
      </c>
      <c r="F309" s="30">
        <v>2.8</v>
      </c>
      <c r="G309" s="30">
        <v>0</v>
      </c>
      <c r="H309" s="47">
        <v>0</v>
      </c>
      <c r="I309" s="63">
        <v>0</v>
      </c>
      <c r="J309" s="31" t="s">
        <v>8</v>
      </c>
      <c r="K309" s="31" t="s">
        <v>898</v>
      </c>
      <c r="L309" s="32">
        <v>625</v>
      </c>
      <c r="M309" s="32">
        <v>87</v>
      </c>
      <c r="N309" s="32">
        <v>132</v>
      </c>
    </row>
    <row r="310" spans="2:14" x14ac:dyDescent="0.25">
      <c r="B310" s="42" t="s">
        <v>3071</v>
      </c>
      <c r="C310" s="30">
        <v>10</v>
      </c>
      <c r="D310" s="30">
        <v>10</v>
      </c>
      <c r="E310" s="30">
        <v>3.1</v>
      </c>
      <c r="F310" s="30">
        <v>3.1</v>
      </c>
      <c r="G310" s="30">
        <v>0</v>
      </c>
      <c r="H310" s="47">
        <v>0</v>
      </c>
      <c r="I310" s="63">
        <v>0</v>
      </c>
      <c r="J310" s="31" t="s">
        <v>8</v>
      </c>
      <c r="K310" s="31" t="s">
        <v>898</v>
      </c>
      <c r="L310" s="32">
        <v>590</v>
      </c>
      <c r="M310" s="32">
        <v>87</v>
      </c>
      <c r="N310" s="32">
        <v>103.6</v>
      </c>
    </row>
    <row r="311" spans="2:14" x14ac:dyDescent="0.25">
      <c r="B311" s="42" t="s">
        <v>3716</v>
      </c>
      <c r="C311" s="30">
        <v>12</v>
      </c>
      <c r="D311" s="30">
        <v>12</v>
      </c>
      <c r="E311" s="30">
        <v>2.8</v>
      </c>
      <c r="F311" s="30">
        <v>2.8</v>
      </c>
      <c r="G311" s="30">
        <v>0</v>
      </c>
      <c r="H311" s="47">
        <v>0</v>
      </c>
      <c r="I311" s="63">
        <v>0</v>
      </c>
      <c r="J311" s="31" t="s">
        <v>8</v>
      </c>
      <c r="K311" s="31" t="s">
        <v>907</v>
      </c>
      <c r="L311" s="32">
        <v>565</v>
      </c>
      <c r="M311" s="32">
        <v>72</v>
      </c>
      <c r="N311" s="32">
        <v>98</v>
      </c>
    </row>
    <row r="312" spans="2:14" x14ac:dyDescent="0.25">
      <c r="B312" s="42" t="s">
        <v>3489</v>
      </c>
      <c r="C312" s="30">
        <v>12</v>
      </c>
      <c r="D312" s="30">
        <v>12</v>
      </c>
      <c r="E312" s="30">
        <v>3.1</v>
      </c>
      <c r="F312" s="30">
        <v>3.1</v>
      </c>
      <c r="G312" s="30">
        <v>0</v>
      </c>
      <c r="H312" s="47">
        <v>0</v>
      </c>
      <c r="I312" s="63">
        <v>0</v>
      </c>
      <c r="J312" s="31" t="s">
        <v>8</v>
      </c>
      <c r="K312" s="31" t="s">
        <v>898</v>
      </c>
      <c r="L312" s="32">
        <v>565</v>
      </c>
      <c r="M312" s="32">
        <v>72</v>
      </c>
      <c r="N312" s="32">
        <v>98</v>
      </c>
    </row>
    <row r="313" spans="2:14" x14ac:dyDescent="0.25">
      <c r="B313" s="42" t="s">
        <v>3537</v>
      </c>
      <c r="C313" s="30">
        <v>135</v>
      </c>
      <c r="D313" s="30">
        <v>135</v>
      </c>
      <c r="E313" s="30">
        <v>2</v>
      </c>
      <c r="F313" s="30">
        <v>2</v>
      </c>
      <c r="G313" s="30">
        <v>77</v>
      </c>
      <c r="H313" s="47">
        <v>0</v>
      </c>
      <c r="I313" s="63">
        <v>0</v>
      </c>
      <c r="J313" s="31" t="s">
        <v>8</v>
      </c>
      <c r="K313" s="31" t="s">
        <v>907</v>
      </c>
      <c r="L313" s="32">
        <v>880</v>
      </c>
      <c r="M313" s="32">
        <v>82</v>
      </c>
      <c r="N313" s="32">
        <v>120</v>
      </c>
    </row>
    <row r="314" spans="2:14" x14ac:dyDescent="0.25">
      <c r="B314" s="42" t="s">
        <v>3660</v>
      </c>
      <c r="C314" s="30">
        <v>135</v>
      </c>
      <c r="D314" s="30">
        <v>135</v>
      </c>
      <c r="E314" s="30">
        <v>2.2000000000000002</v>
      </c>
      <c r="F314" s="30">
        <v>2.2000000000000002</v>
      </c>
      <c r="G314" s="30">
        <v>77</v>
      </c>
      <c r="H314" s="47">
        <v>0</v>
      </c>
      <c r="I314" s="63">
        <v>0</v>
      </c>
      <c r="J314" s="31" t="s">
        <v>8</v>
      </c>
      <c r="K314" s="31" t="s">
        <v>907</v>
      </c>
      <c r="L314" s="32">
        <v>882</v>
      </c>
      <c r="M314" s="32">
        <v>82</v>
      </c>
      <c r="N314" s="32">
        <v>120</v>
      </c>
    </row>
    <row r="315" spans="2:14" x14ac:dyDescent="0.25">
      <c r="B315" s="42" t="s">
        <v>3064</v>
      </c>
      <c r="C315" s="30">
        <v>14</v>
      </c>
      <c r="D315" s="30">
        <v>14</v>
      </c>
      <c r="E315" s="30">
        <v>2.8</v>
      </c>
      <c r="F315" s="30">
        <v>2.8</v>
      </c>
      <c r="G315" s="30">
        <v>0</v>
      </c>
      <c r="H315" s="47">
        <v>0</v>
      </c>
      <c r="I315" s="63">
        <v>0</v>
      </c>
      <c r="J315" s="31" t="s">
        <v>8</v>
      </c>
      <c r="K315" s="31" t="s">
        <v>907</v>
      </c>
      <c r="L315" s="32">
        <v>550</v>
      </c>
      <c r="M315" s="32">
        <v>86.5</v>
      </c>
      <c r="N315" s="32">
        <v>100</v>
      </c>
    </row>
    <row r="316" spans="2:14" x14ac:dyDescent="0.25">
      <c r="B316" s="42" t="s">
        <v>3062</v>
      </c>
      <c r="C316" s="30">
        <v>14</v>
      </c>
      <c r="D316" s="30">
        <v>14</v>
      </c>
      <c r="E316" s="30">
        <v>3.1</v>
      </c>
      <c r="F316" s="30">
        <v>3.1</v>
      </c>
      <c r="G316" s="30">
        <v>0</v>
      </c>
      <c r="H316" s="47">
        <v>0</v>
      </c>
      <c r="I316" s="63">
        <v>0</v>
      </c>
      <c r="J316" s="31" t="s">
        <v>8</v>
      </c>
      <c r="K316" s="31" t="s">
        <v>907</v>
      </c>
      <c r="L316" s="32">
        <v>605</v>
      </c>
      <c r="M316" s="32">
        <v>87</v>
      </c>
      <c r="N316" s="32">
        <v>93.6</v>
      </c>
    </row>
    <row r="317" spans="2:14" x14ac:dyDescent="0.25">
      <c r="B317" s="42" t="s">
        <v>3709</v>
      </c>
      <c r="C317" s="30">
        <v>16</v>
      </c>
      <c r="D317" s="30">
        <v>16</v>
      </c>
      <c r="E317" s="30">
        <v>2</v>
      </c>
      <c r="F317" s="30">
        <v>2</v>
      </c>
      <c r="G317" s="30">
        <v>77</v>
      </c>
      <c r="H317" s="47">
        <v>0</v>
      </c>
      <c r="I317" s="63">
        <v>0</v>
      </c>
      <c r="J317" s="31" t="s">
        <v>8</v>
      </c>
      <c r="K317" s="31" t="s">
        <v>898</v>
      </c>
      <c r="L317" s="32">
        <v>571</v>
      </c>
      <c r="M317" s="32">
        <v>83</v>
      </c>
      <c r="N317" s="32">
        <v>87</v>
      </c>
    </row>
    <row r="318" spans="2:14" x14ac:dyDescent="0.25">
      <c r="B318" s="42" t="s">
        <v>3698</v>
      </c>
      <c r="C318" s="30">
        <v>16</v>
      </c>
      <c r="D318" s="30">
        <v>16</v>
      </c>
      <c r="E318" s="30">
        <v>2.2000000000000002</v>
      </c>
      <c r="F318" s="30">
        <v>2.2000000000000002</v>
      </c>
      <c r="G318" s="30">
        <v>77</v>
      </c>
      <c r="H318" s="47">
        <v>0</v>
      </c>
      <c r="I318" s="63">
        <v>0</v>
      </c>
      <c r="J318" s="31" t="s">
        <v>8</v>
      </c>
      <c r="K318" s="31" t="s">
        <v>898</v>
      </c>
      <c r="L318" s="32">
        <v>580</v>
      </c>
      <c r="M318" s="32">
        <v>83</v>
      </c>
      <c r="N318" s="32">
        <v>86.9</v>
      </c>
    </row>
    <row r="319" spans="2:14" x14ac:dyDescent="0.25">
      <c r="B319" s="42" t="s">
        <v>3497</v>
      </c>
      <c r="C319" s="30">
        <v>24</v>
      </c>
      <c r="D319" s="30">
        <v>24</v>
      </c>
      <c r="E319" s="30">
        <v>1.4</v>
      </c>
      <c r="F319" s="30">
        <v>1.4</v>
      </c>
      <c r="G319" s="30">
        <v>77</v>
      </c>
      <c r="H319" s="47">
        <v>0</v>
      </c>
      <c r="I319" s="63">
        <v>0</v>
      </c>
      <c r="J319" s="31" t="s">
        <v>8</v>
      </c>
      <c r="K319" s="31" t="s">
        <v>907</v>
      </c>
      <c r="L319" s="32">
        <v>610</v>
      </c>
      <c r="M319" s="32">
        <v>83</v>
      </c>
      <c r="N319" s="32">
        <v>95</v>
      </c>
    </row>
    <row r="320" spans="2:14" x14ac:dyDescent="0.25">
      <c r="B320" s="42" t="s">
        <v>3691</v>
      </c>
      <c r="C320" s="30">
        <v>24</v>
      </c>
      <c r="D320" s="30">
        <v>24</v>
      </c>
      <c r="E320" s="30">
        <v>1.5</v>
      </c>
      <c r="F320" s="30">
        <v>1.5</v>
      </c>
      <c r="G320" s="30">
        <v>77</v>
      </c>
      <c r="H320" s="47">
        <v>0</v>
      </c>
      <c r="I320" s="63">
        <v>0</v>
      </c>
      <c r="J320" s="31" t="s">
        <v>8</v>
      </c>
      <c r="K320" s="31" t="s">
        <v>907</v>
      </c>
      <c r="L320" s="32">
        <v>600</v>
      </c>
      <c r="M320" s="32">
        <v>83</v>
      </c>
      <c r="N320" s="32">
        <v>95</v>
      </c>
    </row>
    <row r="321" spans="2:14" x14ac:dyDescent="0.25">
      <c r="B321" s="42" t="s">
        <v>3654</v>
      </c>
      <c r="C321" s="30">
        <v>300</v>
      </c>
      <c r="D321" s="30">
        <v>300</v>
      </c>
      <c r="E321" s="30">
        <v>6.3</v>
      </c>
      <c r="F321" s="30">
        <v>6.3</v>
      </c>
      <c r="G321" s="30">
        <v>0</v>
      </c>
      <c r="H321" s="47">
        <v>0</v>
      </c>
      <c r="I321" s="63">
        <v>0</v>
      </c>
      <c r="J321" s="31" t="s">
        <v>8</v>
      </c>
      <c r="K321" s="31" t="s">
        <v>898</v>
      </c>
      <c r="L321" s="32">
        <v>270</v>
      </c>
      <c r="M321" s="32">
        <v>64.5</v>
      </c>
      <c r="N321" s="32">
        <v>76.099999999999994</v>
      </c>
    </row>
    <row r="322" spans="2:14" x14ac:dyDescent="0.25">
      <c r="B322" s="42" t="s">
        <v>4067</v>
      </c>
      <c r="C322" s="30">
        <v>35</v>
      </c>
      <c r="D322" s="30">
        <v>35</v>
      </c>
      <c r="E322" s="30">
        <v>1.4</v>
      </c>
      <c r="F322" s="30">
        <v>1.4</v>
      </c>
      <c r="G322" s="30">
        <v>77</v>
      </c>
      <c r="H322" s="47">
        <v>0</v>
      </c>
      <c r="I322" s="63">
        <v>0</v>
      </c>
      <c r="J322" s="31" t="s">
        <v>8</v>
      </c>
      <c r="K322" s="31" t="s">
        <v>907</v>
      </c>
      <c r="L322" s="32">
        <v>734</v>
      </c>
      <c r="M322" s="32">
        <v>83</v>
      </c>
      <c r="N322" s="32">
        <v>111.5</v>
      </c>
    </row>
    <row r="323" spans="2:14" x14ac:dyDescent="0.25">
      <c r="B323" s="42" t="s">
        <v>3520</v>
      </c>
      <c r="C323" s="30">
        <v>35</v>
      </c>
      <c r="D323" s="30">
        <v>35</v>
      </c>
      <c r="E323" s="30">
        <v>1.5</v>
      </c>
      <c r="F323" s="30">
        <v>1.5</v>
      </c>
      <c r="G323" s="30">
        <v>77</v>
      </c>
      <c r="H323" s="47">
        <v>0</v>
      </c>
      <c r="I323" s="63">
        <v>0</v>
      </c>
      <c r="J323" s="31" t="s">
        <v>8</v>
      </c>
      <c r="K323" s="31" t="s">
        <v>907</v>
      </c>
      <c r="L323" s="32">
        <v>685</v>
      </c>
      <c r="M323" s="32">
        <v>83</v>
      </c>
      <c r="N323" s="32">
        <v>109</v>
      </c>
    </row>
    <row r="324" spans="2:14" x14ac:dyDescent="0.25">
      <c r="B324" s="42" t="s">
        <v>4056</v>
      </c>
      <c r="C324" s="30">
        <v>500</v>
      </c>
      <c r="D324" s="30">
        <v>500</v>
      </c>
      <c r="E324" s="30">
        <v>6.3</v>
      </c>
      <c r="F324" s="30">
        <v>6.3</v>
      </c>
      <c r="G324" s="30">
        <v>34</v>
      </c>
      <c r="H324" s="47">
        <v>0</v>
      </c>
      <c r="I324" s="63">
        <v>0</v>
      </c>
      <c r="J324" s="31" t="s">
        <v>8</v>
      </c>
      <c r="K324" s="31" t="s">
        <v>907</v>
      </c>
      <c r="L324" s="32">
        <v>705</v>
      </c>
      <c r="M324" s="32">
        <v>95</v>
      </c>
      <c r="N324" s="32">
        <v>120</v>
      </c>
    </row>
    <row r="325" spans="2:14" x14ac:dyDescent="0.25">
      <c r="B325" s="42" t="s">
        <v>3676</v>
      </c>
      <c r="C325" s="30">
        <v>50</v>
      </c>
      <c r="D325" s="30">
        <v>50</v>
      </c>
      <c r="E325" s="30">
        <v>1.5</v>
      </c>
      <c r="F325" s="30">
        <v>1.5</v>
      </c>
      <c r="G325" s="30">
        <v>77</v>
      </c>
      <c r="H325" s="47">
        <v>0</v>
      </c>
      <c r="I325" s="63">
        <v>0</v>
      </c>
      <c r="J325" s="31" t="s">
        <v>8</v>
      </c>
      <c r="K325" s="31" t="s">
        <v>907</v>
      </c>
      <c r="L325" s="32">
        <v>550</v>
      </c>
      <c r="M325" s="32">
        <v>82</v>
      </c>
      <c r="N325" s="32">
        <v>74.7</v>
      </c>
    </row>
    <row r="326" spans="2:14" x14ac:dyDescent="0.25">
      <c r="B326" s="42" t="s">
        <v>4053</v>
      </c>
      <c r="C326" s="30">
        <v>650</v>
      </c>
      <c r="D326" s="30">
        <v>1300</v>
      </c>
      <c r="E326" s="30">
        <v>8</v>
      </c>
      <c r="F326" s="30">
        <v>16</v>
      </c>
      <c r="G326" s="30">
        <v>95</v>
      </c>
      <c r="H326" s="47">
        <v>0</v>
      </c>
      <c r="I326" s="63">
        <v>0</v>
      </c>
      <c r="J326" s="31" t="s">
        <v>8</v>
      </c>
      <c r="K326" s="31" t="s">
        <v>898</v>
      </c>
      <c r="L326" s="32">
        <v>2000</v>
      </c>
      <c r="M326" s="32">
        <v>105</v>
      </c>
      <c r="N326" s="32">
        <v>463</v>
      </c>
    </row>
    <row r="327" spans="2:14" x14ac:dyDescent="0.25">
      <c r="B327" s="42" t="s">
        <v>3649</v>
      </c>
      <c r="C327" s="30">
        <v>800</v>
      </c>
      <c r="D327" s="30">
        <v>800</v>
      </c>
      <c r="E327" s="30">
        <v>8</v>
      </c>
      <c r="F327" s="30">
        <v>8</v>
      </c>
      <c r="G327" s="30">
        <v>35</v>
      </c>
      <c r="H327" s="47">
        <v>0</v>
      </c>
      <c r="I327" s="63">
        <v>0</v>
      </c>
      <c r="J327" s="31" t="s">
        <v>8</v>
      </c>
      <c r="K327" s="31" t="s">
        <v>907</v>
      </c>
      <c r="L327" s="32">
        <v>946</v>
      </c>
      <c r="M327" s="32">
        <v>111</v>
      </c>
      <c r="N327" s="32">
        <v>113</v>
      </c>
    </row>
    <row r="328" spans="2:14" x14ac:dyDescent="0.25">
      <c r="B328" s="42" t="s">
        <v>2870</v>
      </c>
      <c r="C328" s="30">
        <v>85</v>
      </c>
      <c r="D328" s="30">
        <v>85</v>
      </c>
      <c r="E328" s="30">
        <v>1.4</v>
      </c>
      <c r="F328" s="30">
        <v>1.4</v>
      </c>
      <c r="G328" s="30">
        <v>72</v>
      </c>
      <c r="H328" s="47">
        <v>0</v>
      </c>
      <c r="I328" s="63">
        <v>0</v>
      </c>
      <c r="J328" s="31" t="s">
        <v>8</v>
      </c>
      <c r="K328" s="31" t="s">
        <v>907</v>
      </c>
      <c r="L328" s="32">
        <v>510</v>
      </c>
      <c r="M328" s="32">
        <v>78</v>
      </c>
      <c r="N328" s="32">
        <v>72.2</v>
      </c>
    </row>
    <row r="329" spans="2:14" x14ac:dyDescent="0.25">
      <c r="B329" s="42" t="s">
        <v>4297</v>
      </c>
      <c r="C329" s="30">
        <v>85</v>
      </c>
      <c r="D329" s="30">
        <v>85</v>
      </c>
      <c r="E329" s="30">
        <v>1.5</v>
      </c>
      <c r="F329" s="30">
        <v>1.5</v>
      </c>
      <c r="G329" s="30">
        <v>72</v>
      </c>
      <c r="H329" s="47">
        <v>0</v>
      </c>
      <c r="I329" s="63">
        <v>0</v>
      </c>
      <c r="J329" s="31" t="s">
        <v>8</v>
      </c>
      <c r="K329" s="31" t="s">
        <v>907</v>
      </c>
      <c r="L329" s="32">
        <v>550</v>
      </c>
      <c r="M329" s="32">
        <v>78</v>
      </c>
      <c r="N329" s="32">
        <v>80</v>
      </c>
    </row>
    <row r="330" spans="2:14" x14ac:dyDescent="0.25">
      <c r="B330" s="42" t="s">
        <v>3449</v>
      </c>
      <c r="C330" s="30">
        <v>8</v>
      </c>
      <c r="D330" s="30">
        <v>8</v>
      </c>
      <c r="E330" s="30">
        <v>3.5</v>
      </c>
      <c r="F330" s="30">
        <v>3.5</v>
      </c>
      <c r="G330" s="30">
        <v>0</v>
      </c>
      <c r="H330" s="47">
        <v>0</v>
      </c>
      <c r="I330" s="63">
        <v>0</v>
      </c>
      <c r="J330" s="31" t="s">
        <v>8</v>
      </c>
      <c r="K330" s="31" t="s">
        <v>898</v>
      </c>
      <c r="L330" s="32">
        <v>400</v>
      </c>
      <c r="M330" s="32">
        <v>75</v>
      </c>
      <c r="N330" s="32">
        <v>100</v>
      </c>
    </row>
    <row r="331" spans="2:14" x14ac:dyDescent="0.25">
      <c r="B331" s="42" t="s">
        <v>3441</v>
      </c>
      <c r="C331" s="30">
        <v>8</v>
      </c>
      <c r="D331" s="30">
        <v>8</v>
      </c>
      <c r="E331" s="30">
        <v>3.5</v>
      </c>
      <c r="F331" s="30">
        <v>3.5</v>
      </c>
      <c r="G331" s="30">
        <v>0</v>
      </c>
      <c r="H331" s="47">
        <v>0</v>
      </c>
      <c r="I331" s="63">
        <v>0</v>
      </c>
      <c r="J331" s="31" t="s">
        <v>8</v>
      </c>
      <c r="K331" s="31" t="s">
        <v>898</v>
      </c>
      <c r="L331" s="32">
        <v>400</v>
      </c>
      <c r="M331" s="32">
        <v>75</v>
      </c>
      <c r="N331" s="32">
        <v>100</v>
      </c>
    </row>
    <row r="332" spans="2:14" x14ac:dyDescent="0.25">
      <c r="B332" s="42" t="s">
        <v>3738</v>
      </c>
      <c r="C332" s="30">
        <v>8</v>
      </c>
      <c r="D332" s="30">
        <v>8</v>
      </c>
      <c r="E332" s="30">
        <v>3.8</v>
      </c>
      <c r="F332" s="30">
        <v>3.8</v>
      </c>
      <c r="G332" s="30">
        <v>0</v>
      </c>
      <c r="H332" s="47">
        <v>0</v>
      </c>
      <c r="I332" s="63">
        <v>0</v>
      </c>
      <c r="J332" s="31" t="s">
        <v>8</v>
      </c>
      <c r="K332" s="31" t="s">
        <v>898</v>
      </c>
      <c r="L332" s="32">
        <v>395</v>
      </c>
      <c r="M332" s="32">
        <v>75</v>
      </c>
      <c r="N332" s="32">
        <v>74.8</v>
      </c>
    </row>
    <row r="333" spans="2:14" x14ac:dyDescent="0.25">
      <c r="B333" s="42" t="s">
        <v>3733</v>
      </c>
      <c r="C333" s="30">
        <v>8</v>
      </c>
      <c r="D333" s="30">
        <v>8</v>
      </c>
      <c r="E333" s="30">
        <v>3.8</v>
      </c>
      <c r="F333" s="30">
        <v>3.8</v>
      </c>
      <c r="G333" s="30">
        <v>0</v>
      </c>
      <c r="H333" s="47">
        <v>0</v>
      </c>
      <c r="I333" s="63">
        <v>0</v>
      </c>
      <c r="J333" s="31" t="s">
        <v>8</v>
      </c>
      <c r="K333" s="31" t="s">
        <v>898</v>
      </c>
      <c r="L333" s="32">
        <v>395</v>
      </c>
      <c r="M333" s="32">
        <v>75</v>
      </c>
      <c r="N333" s="32">
        <v>74.8</v>
      </c>
    </row>
    <row r="334" spans="2:14" x14ac:dyDescent="0.25">
      <c r="B334" s="42" t="s">
        <v>3644</v>
      </c>
      <c r="C334" s="30">
        <v>0</v>
      </c>
      <c r="D334" s="30">
        <v>0</v>
      </c>
      <c r="E334" s="30">
        <v>0</v>
      </c>
      <c r="F334" s="30">
        <v>0</v>
      </c>
      <c r="G334" s="30">
        <v>0</v>
      </c>
      <c r="H334" s="47">
        <v>0</v>
      </c>
      <c r="I334" s="63">
        <v>0</v>
      </c>
      <c r="J334" s="31" t="s">
        <v>8</v>
      </c>
      <c r="K334" s="31" t="s">
        <v>4513</v>
      </c>
      <c r="L334" s="32">
        <v>0</v>
      </c>
      <c r="M334" s="32">
        <v>0</v>
      </c>
      <c r="N334" s="32">
        <v>0</v>
      </c>
    </row>
    <row r="335" spans="2:14" x14ac:dyDescent="0.25">
      <c r="B335" s="42" t="s">
        <v>3093</v>
      </c>
      <c r="C335" s="30">
        <v>0</v>
      </c>
      <c r="D335" s="30">
        <v>0</v>
      </c>
      <c r="E335" s="30">
        <v>0</v>
      </c>
      <c r="F335" s="30">
        <v>0</v>
      </c>
      <c r="G335" s="30">
        <v>0</v>
      </c>
      <c r="H335" s="47">
        <v>0</v>
      </c>
      <c r="I335" s="63">
        <v>0</v>
      </c>
      <c r="J335" s="31" t="s">
        <v>8</v>
      </c>
      <c r="K335" s="31" t="s">
        <v>4513</v>
      </c>
      <c r="L335" s="32">
        <v>0</v>
      </c>
      <c r="M335" s="32">
        <v>0</v>
      </c>
      <c r="N335" s="32">
        <v>0</v>
      </c>
    </row>
    <row r="336" spans="2:14" x14ac:dyDescent="0.25">
      <c r="B336" s="42" t="s">
        <v>3643</v>
      </c>
      <c r="C336" s="30">
        <v>0</v>
      </c>
      <c r="D336" s="30">
        <v>0</v>
      </c>
      <c r="E336" s="30">
        <v>0</v>
      </c>
      <c r="F336" s="30">
        <v>0</v>
      </c>
      <c r="G336" s="30">
        <v>0</v>
      </c>
      <c r="H336" s="47">
        <v>0</v>
      </c>
      <c r="I336" s="63">
        <v>0</v>
      </c>
      <c r="J336" s="31" t="s">
        <v>8</v>
      </c>
      <c r="K336" s="31" t="s">
        <v>4513</v>
      </c>
      <c r="L336" s="32">
        <v>0</v>
      </c>
      <c r="M336" s="32">
        <v>0</v>
      </c>
      <c r="N336" s="32">
        <v>0</v>
      </c>
    </row>
    <row r="337" spans="2:14" x14ac:dyDescent="0.25">
      <c r="B337" s="42" t="s">
        <v>3641</v>
      </c>
      <c r="C337" s="30">
        <v>0</v>
      </c>
      <c r="D337" s="30">
        <v>0</v>
      </c>
      <c r="E337" s="30">
        <v>0</v>
      </c>
      <c r="F337" s="30">
        <v>0</v>
      </c>
      <c r="G337" s="30">
        <v>0</v>
      </c>
      <c r="H337" s="47">
        <v>0</v>
      </c>
      <c r="I337" s="63">
        <v>0</v>
      </c>
      <c r="J337" s="31" t="s">
        <v>8</v>
      </c>
      <c r="K337" s="31" t="s">
        <v>4513</v>
      </c>
      <c r="L337" s="32">
        <v>0</v>
      </c>
      <c r="M337" s="32">
        <v>0</v>
      </c>
      <c r="N337" s="32">
        <v>0</v>
      </c>
    </row>
    <row r="338" spans="2:14" x14ac:dyDescent="0.25">
      <c r="B338" s="42" t="s">
        <v>3640</v>
      </c>
      <c r="C338" s="30">
        <v>0</v>
      </c>
      <c r="D338" s="30">
        <v>0</v>
      </c>
      <c r="E338" s="30">
        <v>0</v>
      </c>
      <c r="F338" s="30">
        <v>0</v>
      </c>
      <c r="G338" s="30">
        <v>0</v>
      </c>
      <c r="H338" s="47">
        <v>0</v>
      </c>
      <c r="I338" s="63">
        <v>0</v>
      </c>
      <c r="J338" s="31" t="s">
        <v>8</v>
      </c>
      <c r="K338" s="31" t="s">
        <v>4513</v>
      </c>
      <c r="L338" s="32">
        <v>0</v>
      </c>
      <c r="M338" s="32">
        <v>0</v>
      </c>
      <c r="N338" s="32">
        <v>0</v>
      </c>
    </row>
    <row r="339" spans="2:14" x14ac:dyDescent="0.25">
      <c r="B339" s="42" t="s">
        <v>3638</v>
      </c>
      <c r="C339" s="30">
        <v>0</v>
      </c>
      <c r="D339" s="30">
        <v>0</v>
      </c>
      <c r="E339" s="30">
        <v>0</v>
      </c>
      <c r="F339" s="30">
        <v>0</v>
      </c>
      <c r="G339" s="30">
        <v>0</v>
      </c>
      <c r="H339" s="47">
        <v>0</v>
      </c>
      <c r="I339" s="63">
        <v>0</v>
      </c>
      <c r="J339" s="31" t="s">
        <v>8</v>
      </c>
      <c r="K339" s="31" t="s">
        <v>4513</v>
      </c>
      <c r="L339" s="32">
        <v>0</v>
      </c>
      <c r="M339" s="32">
        <v>0</v>
      </c>
      <c r="N339" s="32">
        <v>0</v>
      </c>
    </row>
    <row r="340" spans="2:14" x14ac:dyDescent="0.25">
      <c r="B340" s="42" t="s">
        <v>3089</v>
      </c>
      <c r="C340" s="30">
        <v>24</v>
      </c>
      <c r="D340" s="30">
        <v>24</v>
      </c>
      <c r="E340" s="30">
        <v>3.5</v>
      </c>
      <c r="F340" s="30">
        <v>3.5</v>
      </c>
      <c r="G340" s="30">
        <v>82</v>
      </c>
      <c r="H340" s="47">
        <v>0</v>
      </c>
      <c r="I340" s="63">
        <v>0</v>
      </c>
      <c r="J340" s="31" t="s">
        <v>8</v>
      </c>
      <c r="K340" s="31" t="s">
        <v>907</v>
      </c>
      <c r="L340" s="32">
        <v>670</v>
      </c>
      <c r="M340" s="32">
        <v>86</v>
      </c>
      <c r="N340" s="32">
        <v>111</v>
      </c>
    </row>
    <row r="341" spans="2:14" x14ac:dyDescent="0.25">
      <c r="B341" s="42" t="s">
        <v>3620</v>
      </c>
      <c r="C341" s="30">
        <v>15</v>
      </c>
      <c r="D341" s="30">
        <v>15</v>
      </c>
      <c r="E341" s="30">
        <v>2.8</v>
      </c>
      <c r="F341" s="30">
        <v>2.8</v>
      </c>
      <c r="G341" s="30">
        <v>95</v>
      </c>
      <c r="H341" s="47">
        <v>18.18</v>
      </c>
      <c r="I341" s="63">
        <v>0</v>
      </c>
      <c r="J341" s="31" t="s">
        <v>8</v>
      </c>
      <c r="K341" s="31" t="s">
        <v>907</v>
      </c>
      <c r="L341" s="32">
        <v>730</v>
      </c>
      <c r="M341" s="32">
        <v>103</v>
      </c>
      <c r="N341" s="32">
        <v>132</v>
      </c>
    </row>
    <row r="342" spans="2:14" x14ac:dyDescent="0.25">
      <c r="B342" s="42" t="s">
        <v>4221</v>
      </c>
      <c r="C342" s="30">
        <v>50</v>
      </c>
      <c r="D342" s="30">
        <v>50</v>
      </c>
      <c r="E342" s="30">
        <v>2</v>
      </c>
      <c r="F342" s="30">
        <v>2</v>
      </c>
      <c r="G342" s="30">
        <v>67</v>
      </c>
      <c r="H342" s="47">
        <v>0</v>
      </c>
      <c r="I342" s="63">
        <v>0</v>
      </c>
      <c r="J342" s="31" t="s">
        <v>8</v>
      </c>
      <c r="K342" s="31" t="s">
        <v>907</v>
      </c>
      <c r="L342" s="32">
        <v>530</v>
      </c>
      <c r="M342" s="32">
        <v>72</v>
      </c>
      <c r="N342" s="32">
        <v>65</v>
      </c>
    </row>
    <row r="343" spans="2:14" x14ac:dyDescent="0.25">
      <c r="B343" s="42" t="s">
        <v>3619</v>
      </c>
      <c r="C343" s="30">
        <v>85</v>
      </c>
      <c r="D343" s="30">
        <v>85</v>
      </c>
      <c r="E343" s="30">
        <v>1.4</v>
      </c>
      <c r="F343" s="30">
        <v>1.4</v>
      </c>
      <c r="G343" s="30">
        <v>72</v>
      </c>
      <c r="H343" s="47">
        <v>0</v>
      </c>
      <c r="I343" s="63">
        <v>0</v>
      </c>
      <c r="J343" s="31" t="s">
        <v>8</v>
      </c>
      <c r="K343" s="31" t="s">
        <v>907</v>
      </c>
      <c r="L343" s="32">
        <v>570</v>
      </c>
      <c r="M343" s="32">
        <v>77</v>
      </c>
      <c r="N343" s="32">
        <v>62</v>
      </c>
    </row>
    <row r="344" spans="2:14" x14ac:dyDescent="0.25">
      <c r="B344" s="42" t="s">
        <v>4219</v>
      </c>
      <c r="C344" s="30">
        <v>135</v>
      </c>
      <c r="D344" s="30">
        <v>135</v>
      </c>
      <c r="E344" s="30">
        <v>2</v>
      </c>
      <c r="F344" s="30">
        <v>2</v>
      </c>
      <c r="G344" s="30">
        <v>77</v>
      </c>
      <c r="H344" s="47">
        <v>4</v>
      </c>
      <c r="I344" s="63">
        <v>0</v>
      </c>
      <c r="J344" s="31" t="s">
        <v>8</v>
      </c>
      <c r="K344" s="31" t="s">
        <v>907</v>
      </c>
      <c r="L344" s="32">
        <v>920</v>
      </c>
      <c r="M344" s="32">
        <v>84</v>
      </c>
      <c r="N344" s="32">
        <v>105</v>
      </c>
    </row>
    <row r="345" spans="2:14" x14ac:dyDescent="0.25">
      <c r="B345" s="42" t="s">
        <v>3618</v>
      </c>
      <c r="C345" s="30">
        <v>18</v>
      </c>
      <c r="D345" s="30">
        <v>18</v>
      </c>
      <c r="E345" s="30">
        <v>3.5</v>
      </c>
      <c r="F345" s="30">
        <v>3.5</v>
      </c>
      <c r="G345" s="30">
        <v>82</v>
      </c>
      <c r="H345" s="47">
        <v>12.05</v>
      </c>
      <c r="I345" s="63">
        <v>0</v>
      </c>
      <c r="J345" s="31" t="s">
        <v>8</v>
      </c>
      <c r="K345" s="31" t="s">
        <v>907</v>
      </c>
      <c r="L345" s="32">
        <v>470</v>
      </c>
      <c r="M345" s="32">
        <v>87</v>
      </c>
      <c r="N345" s="32">
        <v>84</v>
      </c>
    </row>
    <row r="346" spans="2:14" x14ac:dyDescent="0.25">
      <c r="B346" s="42" t="s">
        <v>4051</v>
      </c>
      <c r="C346" s="30">
        <v>21</v>
      </c>
      <c r="D346" s="30">
        <v>21</v>
      </c>
      <c r="E346" s="30">
        <v>2.8</v>
      </c>
      <c r="F346" s="30">
        <v>2.8</v>
      </c>
      <c r="G346" s="30">
        <v>82</v>
      </c>
      <c r="H346" s="47">
        <v>0</v>
      </c>
      <c r="I346" s="63">
        <v>0</v>
      </c>
      <c r="J346" s="31" t="s">
        <v>8</v>
      </c>
      <c r="K346" s="31" t="s">
        <v>907</v>
      </c>
      <c r="L346" s="32">
        <v>600</v>
      </c>
      <c r="M346" s="32">
        <v>87</v>
      </c>
      <c r="N346" s="32">
        <v>109</v>
      </c>
    </row>
    <row r="347" spans="2:14" x14ac:dyDescent="0.25">
      <c r="B347" s="42" t="s">
        <v>4050</v>
      </c>
      <c r="C347" s="30">
        <v>25</v>
      </c>
      <c r="D347" s="30">
        <v>25</v>
      </c>
      <c r="E347" s="30">
        <v>2</v>
      </c>
      <c r="F347" s="30">
        <v>2</v>
      </c>
      <c r="G347" s="30">
        <v>67</v>
      </c>
      <c r="H347" s="47">
        <v>5.88</v>
      </c>
      <c r="I347" s="63">
        <v>0</v>
      </c>
      <c r="J347" s="31" t="s">
        <v>8</v>
      </c>
      <c r="K347" s="31" t="s">
        <v>907</v>
      </c>
      <c r="L347" s="32">
        <v>570</v>
      </c>
      <c r="M347" s="32">
        <v>71</v>
      </c>
      <c r="N347" s="32">
        <v>95</v>
      </c>
    </row>
    <row r="348" spans="2:14" x14ac:dyDescent="0.25">
      <c r="B348" s="42" t="s">
        <v>4049</v>
      </c>
      <c r="C348" s="30">
        <v>25</v>
      </c>
      <c r="D348" s="30">
        <v>25</v>
      </c>
      <c r="E348" s="30">
        <v>2.8</v>
      </c>
      <c r="F348" s="30">
        <v>2.8</v>
      </c>
      <c r="G348" s="30">
        <v>58</v>
      </c>
      <c r="H348" s="47">
        <v>0</v>
      </c>
      <c r="I348" s="63">
        <v>0</v>
      </c>
      <c r="J348" s="31" t="s">
        <v>8</v>
      </c>
      <c r="K348" s="31" t="s">
        <v>907</v>
      </c>
      <c r="L348" s="32">
        <v>480</v>
      </c>
      <c r="M348" s="32">
        <v>65</v>
      </c>
      <c r="N348" s="32">
        <v>66</v>
      </c>
    </row>
    <row r="349" spans="2:14" x14ac:dyDescent="0.25">
      <c r="B349" s="42" t="s">
        <v>3617</v>
      </c>
      <c r="C349" s="30">
        <v>28</v>
      </c>
      <c r="D349" s="30">
        <v>28</v>
      </c>
      <c r="E349" s="30">
        <v>2</v>
      </c>
      <c r="F349" s="30">
        <v>2</v>
      </c>
      <c r="G349" s="30">
        <v>0</v>
      </c>
      <c r="H349" s="47">
        <v>4</v>
      </c>
      <c r="I349" s="63">
        <v>0</v>
      </c>
      <c r="J349" s="31" t="s">
        <v>8</v>
      </c>
      <c r="K349" s="31" t="s">
        <v>907</v>
      </c>
      <c r="L349" s="32">
        <v>530</v>
      </c>
      <c r="M349" s="32">
        <v>65</v>
      </c>
      <c r="N349" s="32">
        <v>94</v>
      </c>
    </row>
    <row r="350" spans="2:14" x14ac:dyDescent="0.25">
      <c r="B350" s="42" t="s">
        <v>4048</v>
      </c>
      <c r="C350" s="30">
        <v>35</v>
      </c>
      <c r="D350" s="30">
        <v>35</v>
      </c>
      <c r="E350" s="30">
        <v>1.4</v>
      </c>
      <c r="F350" s="30">
        <v>1.4</v>
      </c>
      <c r="G350" s="30">
        <v>72</v>
      </c>
      <c r="H350" s="47">
        <v>5</v>
      </c>
      <c r="I350" s="63">
        <v>0</v>
      </c>
      <c r="J350" s="31" t="s">
        <v>8</v>
      </c>
      <c r="K350" s="31" t="s">
        <v>907</v>
      </c>
      <c r="L350" s="32">
        <v>830</v>
      </c>
      <c r="M350" s="32">
        <v>72.7</v>
      </c>
      <c r="N350" s="32">
        <v>120</v>
      </c>
    </row>
    <row r="351" spans="2:14" x14ac:dyDescent="0.25">
      <c r="B351" s="42" t="s">
        <v>3616</v>
      </c>
      <c r="C351" s="30">
        <v>35</v>
      </c>
      <c r="D351" s="30">
        <v>35</v>
      </c>
      <c r="E351" s="30">
        <v>2</v>
      </c>
      <c r="F351" s="30">
        <v>2</v>
      </c>
      <c r="G351" s="30">
        <v>58</v>
      </c>
      <c r="H351" s="47">
        <v>0</v>
      </c>
      <c r="I351" s="63">
        <v>0</v>
      </c>
      <c r="J351" s="31" t="s">
        <v>8</v>
      </c>
      <c r="K351" s="31" t="s">
        <v>907</v>
      </c>
      <c r="L351" s="32">
        <v>530</v>
      </c>
      <c r="M351" s="32">
        <v>65</v>
      </c>
      <c r="N351" s="32">
        <v>73</v>
      </c>
    </row>
    <row r="352" spans="2:14" x14ac:dyDescent="0.25">
      <c r="B352" s="42" t="s">
        <v>3615</v>
      </c>
      <c r="C352" s="30">
        <v>100</v>
      </c>
      <c r="D352" s="30">
        <v>100</v>
      </c>
      <c r="E352" s="30">
        <v>2</v>
      </c>
      <c r="F352" s="30">
        <v>2</v>
      </c>
      <c r="G352" s="30">
        <v>67</v>
      </c>
      <c r="H352" s="47">
        <v>2</v>
      </c>
      <c r="I352" s="63">
        <v>0</v>
      </c>
      <c r="J352" s="31" t="s">
        <v>8</v>
      </c>
      <c r="K352" s="31" t="s">
        <v>907</v>
      </c>
      <c r="L352" s="32">
        <v>680</v>
      </c>
      <c r="M352" s="32">
        <v>76</v>
      </c>
      <c r="N352" s="32">
        <v>89</v>
      </c>
    </row>
    <row r="353" spans="2:14" x14ac:dyDescent="0.25">
      <c r="B353" s="42" t="s">
        <v>4045</v>
      </c>
      <c r="C353" s="30">
        <v>100</v>
      </c>
      <c r="D353" s="30">
        <v>100</v>
      </c>
      <c r="E353" s="30">
        <v>2</v>
      </c>
      <c r="F353" s="30">
        <v>2</v>
      </c>
      <c r="G353" s="30">
        <v>67</v>
      </c>
      <c r="H353" s="47">
        <v>2</v>
      </c>
      <c r="I353" s="63">
        <v>0</v>
      </c>
      <c r="J353" s="31" t="s">
        <v>8</v>
      </c>
      <c r="K353" s="31" t="s">
        <v>907</v>
      </c>
      <c r="L353" s="32">
        <v>807</v>
      </c>
      <c r="M353" s="32">
        <v>80.5</v>
      </c>
      <c r="N353" s="32">
        <v>103</v>
      </c>
    </row>
    <row r="354" spans="2:14" x14ac:dyDescent="0.25">
      <c r="B354" s="42" t="s">
        <v>4044</v>
      </c>
      <c r="C354" s="30">
        <v>135</v>
      </c>
      <c r="D354" s="30">
        <v>135</v>
      </c>
      <c r="E354" s="30">
        <v>2</v>
      </c>
      <c r="F354" s="30">
        <v>2</v>
      </c>
      <c r="G354" s="30">
        <v>77</v>
      </c>
      <c r="H354" s="47">
        <v>4</v>
      </c>
      <c r="I354" s="63">
        <v>0</v>
      </c>
      <c r="J354" s="31" t="s">
        <v>8</v>
      </c>
      <c r="K354" s="31" t="s">
        <v>907</v>
      </c>
      <c r="L354" s="32">
        <v>1060</v>
      </c>
      <c r="M354" s="32">
        <v>89.7</v>
      </c>
      <c r="N354" s="32">
        <v>114</v>
      </c>
    </row>
    <row r="355" spans="2:14" x14ac:dyDescent="0.25">
      <c r="B355" s="42" t="s">
        <v>4047</v>
      </c>
      <c r="C355" s="30">
        <v>15</v>
      </c>
      <c r="D355" s="30">
        <v>15</v>
      </c>
      <c r="E355" s="30">
        <v>2.8</v>
      </c>
      <c r="F355" s="30">
        <v>2.8</v>
      </c>
      <c r="G355" s="30">
        <v>95</v>
      </c>
      <c r="H355" s="47">
        <v>9</v>
      </c>
      <c r="I355" s="63">
        <v>0</v>
      </c>
      <c r="J355" s="31" t="s">
        <v>8</v>
      </c>
      <c r="K355" s="31" t="s">
        <v>907</v>
      </c>
      <c r="L355" s="32">
        <v>880</v>
      </c>
      <c r="M355" s="32">
        <v>102.3</v>
      </c>
      <c r="N355" s="32">
        <v>99</v>
      </c>
    </row>
    <row r="356" spans="2:14" x14ac:dyDescent="0.25">
      <c r="B356" s="42" t="s">
        <v>4218</v>
      </c>
      <c r="C356" s="30">
        <v>18</v>
      </c>
      <c r="D356" s="30">
        <v>18</v>
      </c>
      <c r="E356" s="30">
        <v>2.8</v>
      </c>
      <c r="F356" s="30">
        <v>2.8</v>
      </c>
      <c r="G356" s="30">
        <v>77</v>
      </c>
      <c r="H356" s="47">
        <v>7.4</v>
      </c>
      <c r="I356" s="63">
        <v>0</v>
      </c>
      <c r="J356" s="31" t="s">
        <v>8</v>
      </c>
      <c r="K356" s="31" t="s">
        <v>907</v>
      </c>
      <c r="L356" s="32">
        <v>675</v>
      </c>
      <c r="M356" s="32">
        <v>90</v>
      </c>
      <c r="N356" s="32">
        <v>92</v>
      </c>
    </row>
    <row r="357" spans="2:14" x14ac:dyDescent="0.25">
      <c r="B357" s="42" t="s">
        <v>3612</v>
      </c>
      <c r="C357" s="30">
        <v>21</v>
      </c>
      <c r="D357" s="30">
        <v>21</v>
      </c>
      <c r="E357" s="30">
        <v>2.8</v>
      </c>
      <c r="F357" s="30">
        <v>2.8</v>
      </c>
      <c r="G357" s="30">
        <v>82</v>
      </c>
      <c r="H357" s="47">
        <v>5</v>
      </c>
      <c r="I357" s="63">
        <v>0</v>
      </c>
      <c r="J357" s="31" t="s">
        <v>8</v>
      </c>
      <c r="K357" s="31" t="s">
        <v>907</v>
      </c>
      <c r="L357" s="32">
        <v>735</v>
      </c>
      <c r="M357" s="32">
        <v>95.3</v>
      </c>
      <c r="N357" s="32">
        <v>92.5</v>
      </c>
    </row>
    <row r="358" spans="2:14" x14ac:dyDescent="0.25">
      <c r="B358" s="42" t="s">
        <v>2786</v>
      </c>
      <c r="C358" s="30">
        <v>25</v>
      </c>
      <c r="D358" s="30">
        <v>25</v>
      </c>
      <c r="E358" s="30">
        <v>1.4</v>
      </c>
      <c r="F358" s="30">
        <v>1.4</v>
      </c>
      <c r="G358" s="30">
        <v>82</v>
      </c>
      <c r="H358" s="47">
        <v>4.5999999999999996</v>
      </c>
      <c r="I358" s="63">
        <v>0</v>
      </c>
      <c r="J358" s="31" t="s">
        <v>8</v>
      </c>
      <c r="K358" s="31" t="s">
        <v>907</v>
      </c>
      <c r="L358" s="32">
        <v>1170</v>
      </c>
      <c r="M358" s="32">
        <v>95.2</v>
      </c>
      <c r="N358" s="32">
        <v>123.3</v>
      </c>
    </row>
    <row r="359" spans="2:14" x14ac:dyDescent="0.25">
      <c r="B359" s="42" t="s">
        <v>2785</v>
      </c>
      <c r="C359" s="30">
        <v>35</v>
      </c>
      <c r="D359" s="30">
        <v>35</v>
      </c>
      <c r="E359" s="30">
        <v>1.4</v>
      </c>
      <c r="F359" s="30">
        <v>1.4</v>
      </c>
      <c r="G359" s="30">
        <v>72</v>
      </c>
      <c r="H359" s="47">
        <v>4.5999999999999996</v>
      </c>
      <c r="I359" s="63">
        <v>0</v>
      </c>
      <c r="J359" s="31" t="s">
        <v>8</v>
      </c>
      <c r="K359" s="31" t="s">
        <v>907</v>
      </c>
      <c r="L359" s="32">
        <v>1130</v>
      </c>
      <c r="M359" s="32">
        <v>84.8</v>
      </c>
      <c r="N359" s="32">
        <v>124.8</v>
      </c>
    </row>
    <row r="360" spans="2:14" x14ac:dyDescent="0.25">
      <c r="B360" s="42" t="s">
        <v>3611</v>
      </c>
      <c r="C360" s="30">
        <v>35</v>
      </c>
      <c r="D360" s="30">
        <v>35</v>
      </c>
      <c r="E360" s="30">
        <v>2</v>
      </c>
      <c r="F360" s="30">
        <v>2</v>
      </c>
      <c r="G360" s="30">
        <v>58</v>
      </c>
      <c r="H360" s="47">
        <v>5.3</v>
      </c>
      <c r="I360" s="63">
        <v>0</v>
      </c>
      <c r="J360" s="31" t="s">
        <v>8</v>
      </c>
      <c r="K360" s="31" t="s">
        <v>907</v>
      </c>
      <c r="L360" s="32">
        <v>649</v>
      </c>
      <c r="M360" s="32">
        <v>77</v>
      </c>
      <c r="N360" s="32">
        <v>81.3</v>
      </c>
    </row>
    <row r="361" spans="2:14" x14ac:dyDescent="0.25">
      <c r="B361" s="42" t="s">
        <v>4046</v>
      </c>
      <c r="C361" s="30">
        <v>50</v>
      </c>
      <c r="D361" s="30">
        <v>50</v>
      </c>
      <c r="E361" s="30">
        <v>1.4</v>
      </c>
      <c r="F361" s="30">
        <v>1.4</v>
      </c>
      <c r="G361" s="30">
        <v>67</v>
      </c>
      <c r="H361" s="47">
        <v>6.7</v>
      </c>
      <c r="I361" s="63">
        <v>0</v>
      </c>
      <c r="J361" s="31" t="s">
        <v>8</v>
      </c>
      <c r="K361" s="31" t="s">
        <v>907</v>
      </c>
      <c r="L361" s="32">
        <v>875</v>
      </c>
      <c r="M361" s="32">
        <v>82.9</v>
      </c>
      <c r="N361" s="32">
        <v>94</v>
      </c>
    </row>
    <row r="362" spans="2:14" x14ac:dyDescent="0.25">
      <c r="B362" s="42" t="s">
        <v>3610</v>
      </c>
      <c r="C362" s="30">
        <v>50</v>
      </c>
      <c r="D362" s="30">
        <v>50</v>
      </c>
      <c r="E362" s="30">
        <v>2</v>
      </c>
      <c r="F362" s="30">
        <v>2</v>
      </c>
      <c r="G362" s="30">
        <v>67</v>
      </c>
      <c r="H362" s="47">
        <v>2</v>
      </c>
      <c r="I362" s="63">
        <v>0</v>
      </c>
      <c r="J362" s="31" t="s">
        <v>8</v>
      </c>
      <c r="K362" s="31" t="s">
        <v>907</v>
      </c>
      <c r="L362" s="32">
        <v>660</v>
      </c>
      <c r="M362" s="32">
        <v>80.7</v>
      </c>
      <c r="N362" s="32">
        <v>72.8</v>
      </c>
    </row>
    <row r="363" spans="2:14" x14ac:dyDescent="0.25">
      <c r="B363" s="42" t="s">
        <v>3609</v>
      </c>
      <c r="C363" s="30">
        <v>85</v>
      </c>
      <c r="D363" s="30">
        <v>85</v>
      </c>
      <c r="E363" s="30">
        <v>1.4</v>
      </c>
      <c r="F363" s="30">
        <v>1.4</v>
      </c>
      <c r="G363" s="30">
        <v>77</v>
      </c>
      <c r="H363" s="47">
        <v>8.3000000000000007</v>
      </c>
      <c r="I363" s="63">
        <v>0</v>
      </c>
      <c r="J363" s="31" t="s">
        <v>8</v>
      </c>
      <c r="K363" s="31" t="s">
        <v>907</v>
      </c>
      <c r="L363" s="32">
        <v>1210</v>
      </c>
      <c r="M363" s="32">
        <v>90</v>
      </c>
      <c r="N363" s="32">
        <v>110</v>
      </c>
    </row>
    <row r="364" spans="2:14" x14ac:dyDescent="0.25">
      <c r="B364" s="42" t="s">
        <v>4043</v>
      </c>
      <c r="C364" s="30">
        <v>28</v>
      </c>
      <c r="D364" s="30">
        <v>28</v>
      </c>
      <c r="E364" s="30">
        <v>1.4</v>
      </c>
      <c r="F364" s="30">
        <v>1.4</v>
      </c>
      <c r="G364" s="30">
        <v>95</v>
      </c>
      <c r="H364" s="47">
        <v>6.25</v>
      </c>
      <c r="I364" s="63">
        <v>0</v>
      </c>
      <c r="J364" s="31" t="s">
        <v>8</v>
      </c>
      <c r="K364" s="31" t="s">
        <v>907</v>
      </c>
      <c r="L364" s="32">
        <v>1350</v>
      </c>
      <c r="M364" s="32">
        <v>108.9</v>
      </c>
      <c r="N364" s="32">
        <v>127</v>
      </c>
    </row>
    <row r="365" spans="2:14" x14ac:dyDescent="0.25">
      <c r="B365" s="42" t="s">
        <v>4042</v>
      </c>
      <c r="C365" s="30">
        <v>55</v>
      </c>
      <c r="D365" s="30">
        <v>55</v>
      </c>
      <c r="E365" s="30">
        <v>1.4</v>
      </c>
      <c r="F365" s="30">
        <v>1.4</v>
      </c>
      <c r="G365" s="30">
        <v>77</v>
      </c>
      <c r="H365" s="47">
        <v>6.8</v>
      </c>
      <c r="I365" s="63">
        <v>0</v>
      </c>
      <c r="J365" s="31" t="s">
        <v>8</v>
      </c>
      <c r="K365" s="31" t="s">
        <v>907</v>
      </c>
      <c r="L365" s="32">
        <v>970</v>
      </c>
      <c r="M365" s="32">
        <v>83</v>
      </c>
      <c r="N365" s="32">
        <v>117.5</v>
      </c>
    </row>
    <row r="366" spans="2:14" x14ac:dyDescent="0.25">
      <c r="B366" s="42" t="s">
        <v>4041</v>
      </c>
      <c r="C366" s="30">
        <v>85</v>
      </c>
      <c r="D366" s="30">
        <v>85</v>
      </c>
      <c r="E366" s="30">
        <v>1.4</v>
      </c>
      <c r="F366" s="30">
        <v>1.4</v>
      </c>
      <c r="G366" s="30">
        <v>86</v>
      </c>
      <c r="H366" s="47">
        <v>7.7</v>
      </c>
      <c r="I366" s="63">
        <v>0</v>
      </c>
      <c r="J366" s="31" t="s">
        <v>8</v>
      </c>
      <c r="K366" s="31" t="s">
        <v>907</v>
      </c>
      <c r="L366" s="32">
        <v>1140</v>
      </c>
      <c r="M366" s="32">
        <v>101</v>
      </c>
      <c r="N366" s="32">
        <v>113.5</v>
      </c>
    </row>
    <row r="367" spans="2:14" x14ac:dyDescent="0.25">
      <c r="B367" s="42" t="s">
        <v>3607</v>
      </c>
      <c r="C367" s="30">
        <v>50</v>
      </c>
      <c r="D367" s="30">
        <v>50</v>
      </c>
      <c r="E367" s="30">
        <v>1.4</v>
      </c>
      <c r="F367" s="30">
        <v>1.4</v>
      </c>
      <c r="G367" s="30">
        <v>58</v>
      </c>
      <c r="H367" s="47">
        <v>0</v>
      </c>
      <c r="I367" s="63">
        <v>0</v>
      </c>
      <c r="J367" s="31" t="s">
        <v>8</v>
      </c>
      <c r="K367" s="31" t="s">
        <v>907</v>
      </c>
      <c r="L367" s="32">
        <v>350</v>
      </c>
      <c r="M367" s="32">
        <v>66</v>
      </c>
      <c r="N367" s="32">
        <v>69</v>
      </c>
    </row>
    <row r="368" spans="2:14" x14ac:dyDescent="0.25">
      <c r="B368" s="42" t="s">
        <v>3606</v>
      </c>
      <c r="C368" s="30">
        <v>85</v>
      </c>
      <c r="D368" s="30">
        <v>85</v>
      </c>
      <c r="E368" s="30">
        <v>1.4</v>
      </c>
      <c r="F368" s="30">
        <v>1.4</v>
      </c>
      <c r="G368" s="30">
        <v>72</v>
      </c>
      <c r="H368" s="47">
        <v>0</v>
      </c>
      <c r="I368" s="63">
        <v>0</v>
      </c>
      <c r="J368" s="31" t="s">
        <v>8</v>
      </c>
      <c r="K368" s="31" t="s">
        <v>907</v>
      </c>
      <c r="L368" s="32">
        <v>570</v>
      </c>
      <c r="M368" s="32">
        <v>77</v>
      </c>
      <c r="N368" s="32">
        <v>62</v>
      </c>
    </row>
    <row r="369" spans="2:14" x14ac:dyDescent="0.25">
      <c r="B369" s="42"/>
      <c r="C369" s="30"/>
      <c r="D369" s="30"/>
      <c r="E369" s="30"/>
      <c r="F369" s="30"/>
      <c r="G369" s="30"/>
      <c r="H369" s="47"/>
      <c r="I369" s="63"/>
      <c r="J369" s="31"/>
      <c r="K369" s="31"/>
      <c r="L369" s="32"/>
      <c r="M369" s="32"/>
      <c r="N369" s="32"/>
    </row>
    <row r="370" spans="2:14" x14ac:dyDescent="0.25">
      <c r="B370" s="42"/>
      <c r="C370" s="30"/>
      <c r="D370" s="30"/>
      <c r="E370" s="30"/>
      <c r="F370" s="30"/>
      <c r="G370" s="30"/>
      <c r="H370" s="47"/>
      <c r="I370" s="63"/>
      <c r="J370" s="31"/>
      <c r="K370" s="31"/>
      <c r="L370" s="32"/>
      <c r="M370" s="32"/>
      <c r="N370" s="32"/>
    </row>
    <row r="371" spans="2:14" x14ac:dyDescent="0.25">
      <c r="B371" s="42"/>
      <c r="C371" s="30"/>
      <c r="D371" s="30"/>
      <c r="E371" s="30"/>
      <c r="F371" s="30"/>
      <c r="G371" s="30"/>
      <c r="H371" s="47"/>
      <c r="I371" s="63"/>
      <c r="J371" s="31"/>
      <c r="K371" s="31"/>
      <c r="L371" s="32"/>
      <c r="M371" s="32"/>
      <c r="N371" s="32"/>
    </row>
    <row r="372" spans="2:14" x14ac:dyDescent="0.25">
      <c r="B372" s="42"/>
      <c r="C372" s="30"/>
      <c r="D372" s="30"/>
      <c r="E372" s="30"/>
      <c r="F372" s="30"/>
      <c r="G372" s="30"/>
      <c r="H372" s="47"/>
      <c r="I372" s="63"/>
      <c r="J372" s="31"/>
      <c r="K372" s="31"/>
      <c r="L372" s="32"/>
      <c r="M372" s="32"/>
      <c r="N372" s="32"/>
    </row>
    <row r="373" spans="2:14" x14ac:dyDescent="0.25">
      <c r="B373" s="42"/>
      <c r="C373" s="30"/>
      <c r="D373" s="30"/>
      <c r="E373" s="30"/>
      <c r="F373" s="30"/>
      <c r="G373" s="30"/>
      <c r="H373" s="47"/>
      <c r="I373" s="63"/>
      <c r="J373" s="31"/>
      <c r="K373" s="31"/>
      <c r="L373" s="32"/>
      <c r="M373" s="32"/>
      <c r="N373" s="32"/>
    </row>
    <row r="374" spans="2:14" x14ac:dyDescent="0.25">
      <c r="B374" s="42"/>
      <c r="C374" s="30"/>
      <c r="D374" s="30"/>
      <c r="E374" s="30"/>
      <c r="F374" s="30"/>
      <c r="G374" s="30"/>
      <c r="H374" s="47"/>
      <c r="I374" s="63"/>
      <c r="J374" s="31"/>
      <c r="K374" s="31"/>
      <c r="L374" s="32"/>
      <c r="M374" s="32"/>
      <c r="N374" s="32"/>
    </row>
    <row r="375" spans="2:14" x14ac:dyDescent="0.25">
      <c r="B375" s="42"/>
      <c r="C375" s="30"/>
      <c r="D375" s="30"/>
      <c r="E375" s="30"/>
      <c r="F375" s="30"/>
      <c r="G375" s="30"/>
      <c r="H375" s="47"/>
      <c r="I375" s="63"/>
      <c r="J375" s="31"/>
      <c r="K375" s="31"/>
      <c r="L375" s="32"/>
      <c r="M375" s="32"/>
      <c r="N375" s="32"/>
    </row>
    <row r="376" spans="2:14" x14ac:dyDescent="0.25">
      <c r="B376" s="42"/>
      <c r="C376" s="30"/>
      <c r="D376" s="30"/>
      <c r="E376" s="30"/>
      <c r="F376" s="30"/>
      <c r="G376" s="30"/>
      <c r="H376" s="47"/>
      <c r="I376" s="63"/>
      <c r="J376" s="31"/>
      <c r="K376" s="31"/>
      <c r="L376" s="32"/>
      <c r="M376" s="32"/>
      <c r="N376" s="32"/>
    </row>
    <row r="377" spans="2:14" x14ac:dyDescent="0.25">
      <c r="B377" s="42"/>
      <c r="C377" s="30"/>
      <c r="D377" s="30"/>
      <c r="E377" s="30"/>
      <c r="F377" s="30"/>
      <c r="G377" s="30"/>
      <c r="H377" s="47"/>
      <c r="I377" s="63"/>
      <c r="J377" s="31"/>
      <c r="K377" s="31"/>
      <c r="L377" s="32"/>
      <c r="M377" s="32"/>
      <c r="N377" s="32"/>
    </row>
    <row r="378" spans="2:14" x14ac:dyDescent="0.25">
      <c r="B378" s="42"/>
      <c r="C378" s="30"/>
      <c r="D378" s="30"/>
      <c r="E378" s="30"/>
      <c r="F378" s="30"/>
      <c r="G378" s="30"/>
      <c r="H378" s="47"/>
      <c r="I378" s="63"/>
      <c r="J378" s="31"/>
      <c r="K378" s="31"/>
      <c r="L378" s="32"/>
      <c r="M378" s="32"/>
      <c r="N378" s="32"/>
    </row>
    <row r="379" spans="2:14" x14ac:dyDescent="0.25">
      <c r="B379" s="42"/>
      <c r="C379" s="30"/>
      <c r="D379" s="30"/>
      <c r="E379" s="30"/>
      <c r="F379" s="30"/>
      <c r="G379" s="30"/>
      <c r="H379" s="47"/>
      <c r="I379" s="63"/>
      <c r="J379" s="31"/>
      <c r="K379" s="31"/>
      <c r="L379" s="32"/>
      <c r="M379" s="32"/>
      <c r="N379" s="32"/>
    </row>
    <row r="380" spans="2:14" x14ac:dyDescent="0.25">
      <c r="B380" s="42"/>
      <c r="C380" s="30"/>
      <c r="D380" s="30"/>
      <c r="E380" s="30"/>
      <c r="F380" s="30"/>
      <c r="G380" s="30"/>
      <c r="H380" s="47"/>
      <c r="I380" s="63"/>
      <c r="J380" s="31"/>
      <c r="K380" s="31"/>
      <c r="L380" s="32"/>
      <c r="M380" s="32"/>
      <c r="N380" s="32"/>
    </row>
    <row r="381" spans="2:14" x14ac:dyDescent="0.25">
      <c r="B381" s="42"/>
      <c r="C381" s="30"/>
      <c r="D381" s="30"/>
      <c r="E381" s="30"/>
      <c r="F381" s="30"/>
      <c r="G381" s="30"/>
      <c r="H381" s="47"/>
      <c r="I381" s="63"/>
      <c r="J381" s="31"/>
      <c r="K381" s="31"/>
      <c r="L381" s="32"/>
      <c r="M381" s="32"/>
      <c r="N381" s="32"/>
    </row>
    <row r="382" spans="2:14" x14ac:dyDescent="0.25">
      <c r="B382" s="42"/>
      <c r="C382" s="30"/>
      <c r="D382" s="30"/>
      <c r="E382" s="30"/>
      <c r="F382" s="30"/>
      <c r="G382" s="30"/>
      <c r="H382" s="47"/>
      <c r="I382" s="63"/>
      <c r="J382" s="31"/>
      <c r="K382" s="31"/>
      <c r="L382" s="32"/>
      <c r="M382" s="32"/>
      <c r="N382" s="32"/>
    </row>
    <row r="383" spans="2:14" x14ac:dyDescent="0.25">
      <c r="B383" s="42"/>
      <c r="C383" s="30"/>
      <c r="D383" s="30"/>
      <c r="E383" s="30"/>
      <c r="F383" s="30"/>
      <c r="G383" s="30"/>
      <c r="H383" s="47"/>
      <c r="I383" s="63"/>
      <c r="J383" s="31"/>
      <c r="K383" s="31"/>
      <c r="L383" s="32"/>
      <c r="M383" s="32"/>
      <c r="N383" s="32"/>
    </row>
    <row r="384" spans="2:14" x14ac:dyDescent="0.25">
      <c r="B384" s="42"/>
      <c r="C384" s="30"/>
      <c r="D384" s="30"/>
      <c r="E384" s="30"/>
      <c r="F384" s="30"/>
      <c r="G384" s="30"/>
      <c r="H384" s="47"/>
      <c r="I384" s="63"/>
      <c r="J384" s="31"/>
      <c r="K384" s="31"/>
      <c r="L384" s="32"/>
      <c r="M384" s="32"/>
      <c r="N384" s="32"/>
    </row>
    <row r="385" spans="2:14" x14ac:dyDescent="0.25">
      <c r="B385" s="42"/>
      <c r="C385" s="30"/>
      <c r="D385" s="30"/>
      <c r="E385" s="30"/>
      <c r="F385" s="30"/>
      <c r="G385" s="30"/>
      <c r="H385" s="47"/>
      <c r="I385" s="63"/>
      <c r="J385" s="31"/>
      <c r="K385" s="31"/>
      <c r="L385" s="32"/>
      <c r="M385" s="32"/>
      <c r="N385" s="32"/>
    </row>
    <row r="386" spans="2:14" x14ac:dyDescent="0.25">
      <c r="B386" s="42"/>
      <c r="C386" s="30"/>
      <c r="D386" s="30"/>
      <c r="E386" s="30"/>
      <c r="F386" s="30"/>
      <c r="G386" s="30"/>
      <c r="H386" s="47"/>
      <c r="I386" s="63"/>
      <c r="J386" s="31"/>
      <c r="K386" s="31"/>
      <c r="L386" s="32"/>
      <c r="M386" s="32"/>
      <c r="N386" s="32"/>
    </row>
    <row r="387" spans="2:14" x14ac:dyDescent="0.25">
      <c r="B387" s="42"/>
      <c r="C387" s="30"/>
      <c r="D387" s="30"/>
      <c r="E387" s="30"/>
      <c r="F387" s="30"/>
      <c r="G387" s="30"/>
      <c r="H387" s="47"/>
      <c r="I387" s="63"/>
      <c r="J387" s="31"/>
      <c r="K387" s="31"/>
      <c r="L387" s="32"/>
      <c r="M387" s="32"/>
      <c r="N387" s="32"/>
    </row>
    <row r="388" spans="2:14" x14ac:dyDescent="0.25">
      <c r="B388" s="42"/>
      <c r="C388" s="30"/>
      <c r="D388" s="30"/>
      <c r="E388" s="30"/>
      <c r="F388" s="30"/>
      <c r="G388" s="30"/>
      <c r="H388" s="47"/>
      <c r="I388" s="63"/>
      <c r="J388" s="31"/>
      <c r="K388" s="31"/>
      <c r="L388" s="32"/>
      <c r="M388" s="32"/>
      <c r="N388" s="32"/>
    </row>
    <row r="389" spans="2:14" x14ac:dyDescent="0.25">
      <c r="B389" s="42"/>
      <c r="C389" s="30"/>
      <c r="D389" s="30"/>
      <c r="E389" s="30"/>
      <c r="F389" s="30"/>
      <c r="G389" s="30"/>
      <c r="H389" s="47"/>
      <c r="I389" s="63"/>
      <c r="J389" s="31"/>
      <c r="K389" s="31"/>
      <c r="L389" s="32"/>
      <c r="M389" s="32"/>
      <c r="N389" s="32"/>
    </row>
    <row r="390" spans="2:14" x14ac:dyDescent="0.25">
      <c r="B390" s="42"/>
      <c r="C390" s="30"/>
      <c r="D390" s="30"/>
      <c r="E390" s="30"/>
      <c r="F390" s="30"/>
      <c r="G390" s="30"/>
      <c r="H390" s="47"/>
      <c r="I390" s="63"/>
      <c r="J390" s="31"/>
      <c r="K390" s="31"/>
      <c r="L390" s="32"/>
      <c r="M390" s="32"/>
      <c r="N390" s="32"/>
    </row>
    <row r="391" spans="2:14" x14ac:dyDescent="0.25">
      <c r="B391" s="42"/>
      <c r="C391" s="30"/>
      <c r="D391" s="30"/>
      <c r="E391" s="30"/>
      <c r="F391" s="30"/>
      <c r="G391" s="30"/>
      <c r="H391" s="47"/>
      <c r="I391" s="63"/>
      <c r="J391" s="31"/>
      <c r="K391" s="31"/>
      <c r="L391" s="32"/>
      <c r="M391" s="32"/>
      <c r="N391" s="32"/>
    </row>
    <row r="392" spans="2:14" x14ac:dyDescent="0.25">
      <c r="B392" s="42"/>
      <c r="C392" s="30"/>
      <c r="D392" s="30"/>
      <c r="E392" s="30"/>
      <c r="F392" s="30"/>
      <c r="G392" s="30"/>
      <c r="H392" s="47"/>
      <c r="I392" s="63"/>
      <c r="J392" s="31"/>
      <c r="K392" s="31"/>
      <c r="L392" s="32"/>
      <c r="M392" s="32"/>
      <c r="N392" s="32"/>
    </row>
    <row r="393" spans="2:14" x14ac:dyDescent="0.25">
      <c r="B393" s="42"/>
      <c r="C393" s="30"/>
      <c r="D393" s="30"/>
      <c r="E393" s="30"/>
      <c r="F393" s="30"/>
      <c r="G393" s="30"/>
      <c r="H393" s="47"/>
      <c r="I393" s="63"/>
      <c r="J393" s="31"/>
      <c r="K393" s="31"/>
      <c r="L393" s="32"/>
      <c r="M393" s="32"/>
      <c r="N393" s="32"/>
    </row>
    <row r="394" spans="2:14" x14ac:dyDescent="0.25">
      <c r="B394" s="42"/>
      <c r="C394" s="30"/>
      <c r="D394" s="30"/>
      <c r="E394" s="30"/>
      <c r="F394" s="30"/>
      <c r="G394" s="30"/>
      <c r="H394" s="47"/>
      <c r="I394" s="63"/>
      <c r="J394" s="31"/>
      <c r="K394" s="31"/>
      <c r="L394" s="32"/>
      <c r="M394" s="32"/>
      <c r="N394" s="32"/>
    </row>
    <row r="395" spans="2:14" x14ac:dyDescent="0.25">
      <c r="B395" s="42"/>
      <c r="C395" s="30"/>
      <c r="D395" s="30"/>
      <c r="E395" s="30"/>
      <c r="F395" s="30"/>
      <c r="G395" s="30"/>
      <c r="H395" s="47"/>
      <c r="I395" s="63"/>
      <c r="J395" s="31"/>
      <c r="K395" s="31"/>
      <c r="L395" s="32"/>
      <c r="M395" s="32"/>
      <c r="N395" s="32"/>
    </row>
    <row r="396" spans="2:14" x14ac:dyDescent="0.25">
      <c r="B396" s="42"/>
      <c r="C396" s="30"/>
      <c r="D396" s="30"/>
      <c r="E396" s="30"/>
      <c r="F396" s="30"/>
      <c r="G396" s="30"/>
      <c r="H396" s="47"/>
      <c r="I396" s="63"/>
      <c r="J396" s="31"/>
      <c r="K396" s="31"/>
      <c r="L396" s="32"/>
      <c r="M396" s="32"/>
      <c r="N396" s="32"/>
    </row>
    <row r="397" spans="2:14" x14ac:dyDescent="0.25">
      <c r="B397" s="42"/>
      <c r="C397" s="30"/>
      <c r="D397" s="30"/>
      <c r="E397" s="30"/>
      <c r="F397" s="30"/>
      <c r="G397" s="30"/>
      <c r="H397" s="47"/>
      <c r="I397" s="63"/>
      <c r="J397" s="31"/>
      <c r="K397" s="31"/>
      <c r="L397" s="32"/>
      <c r="M397" s="32"/>
      <c r="N397" s="32"/>
    </row>
    <row r="398" spans="2:14" x14ac:dyDescent="0.25">
      <c r="B398" s="42"/>
      <c r="C398" s="30"/>
      <c r="D398" s="30"/>
      <c r="E398" s="30"/>
      <c r="F398" s="30"/>
      <c r="G398" s="30"/>
      <c r="H398" s="47"/>
      <c r="I398" s="63"/>
      <c r="J398" s="31"/>
      <c r="K398" s="31"/>
      <c r="L398" s="32"/>
      <c r="M398" s="32"/>
      <c r="N398" s="32"/>
    </row>
    <row r="399" spans="2:14" x14ac:dyDescent="0.25">
      <c r="B399" s="42"/>
      <c r="C399" s="30"/>
      <c r="D399" s="30"/>
      <c r="E399" s="30"/>
      <c r="F399" s="30"/>
      <c r="G399" s="30"/>
      <c r="H399" s="47"/>
      <c r="I399" s="63"/>
      <c r="J399" s="31"/>
      <c r="K399" s="31"/>
      <c r="L399" s="32"/>
      <c r="M399" s="32"/>
      <c r="N399" s="32"/>
    </row>
    <row r="400" spans="2:14" x14ac:dyDescent="0.25">
      <c r="B400" s="42"/>
      <c r="C400" s="30"/>
      <c r="D400" s="30"/>
      <c r="E400" s="30"/>
      <c r="F400" s="30"/>
      <c r="G400" s="30"/>
      <c r="H400" s="47"/>
      <c r="I400" s="63"/>
      <c r="J400" s="31"/>
      <c r="K400" s="31"/>
      <c r="L400" s="32"/>
      <c r="M400" s="32"/>
      <c r="N400" s="32"/>
    </row>
    <row r="401" spans="2:14" x14ac:dyDescent="0.25">
      <c r="B401" s="42"/>
      <c r="C401" s="30"/>
      <c r="D401" s="30"/>
      <c r="E401" s="30"/>
      <c r="F401" s="30"/>
      <c r="G401" s="30"/>
      <c r="H401" s="47"/>
      <c r="I401" s="63"/>
      <c r="J401" s="31"/>
      <c r="K401" s="31"/>
      <c r="L401" s="32"/>
      <c r="M401" s="32"/>
      <c r="N401" s="32"/>
    </row>
    <row r="402" spans="2:14" x14ac:dyDescent="0.25">
      <c r="B402" s="42"/>
      <c r="C402" s="30"/>
      <c r="D402" s="30"/>
      <c r="E402" s="30"/>
      <c r="F402" s="30"/>
      <c r="G402" s="30"/>
      <c r="H402" s="47"/>
      <c r="I402" s="63"/>
      <c r="J402" s="31"/>
      <c r="K402" s="31"/>
      <c r="L402" s="32"/>
      <c r="M402" s="32"/>
      <c r="N402" s="32"/>
    </row>
    <row r="403" spans="2:14" x14ac:dyDescent="0.25">
      <c r="B403" s="42"/>
      <c r="C403" s="30"/>
      <c r="D403" s="30"/>
      <c r="E403" s="30"/>
      <c r="F403" s="30"/>
      <c r="G403" s="30"/>
      <c r="H403" s="47"/>
      <c r="I403" s="63"/>
      <c r="J403" s="31"/>
      <c r="K403" s="31"/>
      <c r="L403" s="32"/>
      <c r="M403" s="32"/>
      <c r="N403" s="32"/>
    </row>
    <row r="404" spans="2:14" x14ac:dyDescent="0.25">
      <c r="B404" s="42"/>
      <c r="C404" s="30"/>
      <c r="D404" s="30"/>
      <c r="E404" s="30"/>
      <c r="F404" s="30"/>
      <c r="G404" s="30"/>
      <c r="H404" s="47"/>
      <c r="I404" s="63"/>
      <c r="J404" s="31"/>
      <c r="K404" s="31"/>
      <c r="L404" s="32"/>
      <c r="M404" s="32"/>
      <c r="N404" s="32"/>
    </row>
    <row r="405" spans="2:14" x14ac:dyDescent="0.25">
      <c r="B405" s="42"/>
      <c r="C405" s="30"/>
      <c r="D405" s="30"/>
      <c r="E405" s="30"/>
      <c r="F405" s="30"/>
      <c r="G405" s="30"/>
      <c r="H405" s="47"/>
      <c r="I405" s="63"/>
      <c r="J405" s="31"/>
      <c r="K405" s="31"/>
      <c r="L405" s="32"/>
      <c r="M405" s="32"/>
      <c r="N405" s="32"/>
    </row>
    <row r="406" spans="2:14" x14ac:dyDescent="0.25">
      <c r="B406" s="42"/>
      <c r="C406" s="30"/>
      <c r="D406" s="30"/>
      <c r="E406" s="30"/>
      <c r="F406" s="30"/>
      <c r="G406" s="30"/>
      <c r="H406" s="47"/>
      <c r="I406" s="63"/>
      <c r="J406" s="31"/>
      <c r="K406" s="31"/>
      <c r="L406" s="32"/>
      <c r="M406" s="32"/>
      <c r="N406" s="32"/>
    </row>
    <row r="407" spans="2:14" x14ac:dyDescent="0.25">
      <c r="B407" s="42"/>
      <c r="C407" s="30"/>
      <c r="D407" s="30"/>
      <c r="E407" s="30"/>
      <c r="F407" s="30"/>
      <c r="G407" s="30"/>
      <c r="H407" s="47"/>
      <c r="I407" s="63"/>
      <c r="J407" s="31"/>
      <c r="K407" s="31"/>
      <c r="L407" s="32"/>
      <c r="M407" s="32"/>
      <c r="N407" s="32"/>
    </row>
    <row r="408" spans="2:14" x14ac:dyDescent="0.25">
      <c r="B408" s="42"/>
      <c r="C408" s="30"/>
      <c r="D408" s="30"/>
      <c r="E408" s="30"/>
      <c r="F408" s="30"/>
      <c r="G408" s="30"/>
      <c r="H408" s="47"/>
      <c r="I408" s="63"/>
      <c r="J408" s="31"/>
      <c r="K408" s="31"/>
      <c r="L408" s="32"/>
      <c r="M408" s="32"/>
      <c r="N408" s="32"/>
    </row>
    <row r="409" spans="2:14" x14ac:dyDescent="0.25">
      <c r="B409" s="42"/>
      <c r="C409" s="30"/>
      <c r="D409" s="30"/>
      <c r="E409" s="30"/>
      <c r="F409" s="30"/>
      <c r="G409" s="30"/>
      <c r="H409" s="47"/>
      <c r="I409" s="63"/>
      <c r="J409" s="31"/>
      <c r="K409" s="31"/>
      <c r="L409" s="32"/>
      <c r="M409" s="32"/>
      <c r="N409" s="32"/>
    </row>
    <row r="410" spans="2:14" x14ac:dyDescent="0.25">
      <c r="B410" s="42"/>
      <c r="C410" s="30"/>
      <c r="D410" s="30"/>
      <c r="E410" s="30"/>
      <c r="F410" s="30"/>
      <c r="G410" s="30"/>
      <c r="H410" s="47"/>
      <c r="I410" s="63"/>
      <c r="J410" s="31"/>
      <c r="K410" s="31"/>
      <c r="L410" s="32"/>
      <c r="M410" s="32"/>
      <c r="N410" s="32"/>
    </row>
    <row r="411" spans="2:14" x14ac:dyDescent="0.25">
      <c r="B411" s="42"/>
      <c r="C411" s="30"/>
      <c r="D411" s="30"/>
      <c r="E411" s="30"/>
      <c r="F411" s="30"/>
      <c r="G411" s="30"/>
      <c r="H411" s="47"/>
      <c r="I411" s="63"/>
      <c r="J411" s="31"/>
      <c r="K411" s="31"/>
      <c r="L411" s="32"/>
      <c r="M411" s="32"/>
      <c r="N411" s="32"/>
    </row>
    <row r="412" spans="2:14" x14ac:dyDescent="0.25">
      <c r="B412" s="42"/>
      <c r="C412" s="30"/>
      <c r="D412" s="30"/>
      <c r="E412" s="30"/>
      <c r="F412" s="30"/>
      <c r="G412" s="30"/>
      <c r="H412" s="47"/>
      <c r="I412" s="63"/>
      <c r="J412" s="31"/>
      <c r="K412" s="31"/>
      <c r="L412" s="32"/>
      <c r="M412" s="32"/>
      <c r="N412" s="32"/>
    </row>
    <row r="413" spans="2:14" x14ac:dyDescent="0.25">
      <c r="B413" s="42"/>
      <c r="C413" s="30"/>
      <c r="D413" s="30"/>
      <c r="E413" s="30"/>
      <c r="F413" s="30"/>
      <c r="G413" s="30"/>
      <c r="H413" s="47"/>
      <c r="I413" s="63"/>
      <c r="J413" s="31"/>
      <c r="K413" s="31"/>
      <c r="L413" s="32"/>
      <c r="M413" s="32"/>
      <c r="N413" s="32"/>
    </row>
    <row r="414" spans="2:14" x14ac:dyDescent="0.25">
      <c r="B414" s="42"/>
      <c r="C414" s="30"/>
      <c r="D414" s="30"/>
      <c r="E414" s="30"/>
      <c r="F414" s="30"/>
      <c r="G414" s="30"/>
      <c r="H414" s="47"/>
      <c r="I414" s="63"/>
      <c r="J414" s="31"/>
      <c r="K414" s="31"/>
      <c r="L414" s="32"/>
      <c r="M414" s="32"/>
      <c r="N414" s="32"/>
    </row>
    <row r="415" spans="2:14" x14ac:dyDescent="0.25">
      <c r="B415" s="42"/>
      <c r="C415" s="30"/>
      <c r="D415" s="30"/>
      <c r="E415" s="30"/>
      <c r="F415" s="30"/>
      <c r="G415" s="30"/>
      <c r="H415" s="47"/>
      <c r="I415" s="63"/>
      <c r="J415" s="31"/>
      <c r="K415" s="31"/>
      <c r="L415" s="32"/>
      <c r="M415" s="32"/>
      <c r="N415" s="32"/>
    </row>
    <row r="416" spans="2:14" x14ac:dyDescent="0.25">
      <c r="B416" s="42"/>
      <c r="C416" s="30"/>
      <c r="D416" s="30"/>
      <c r="E416" s="30"/>
      <c r="F416" s="30"/>
      <c r="G416" s="30"/>
      <c r="H416" s="47"/>
      <c r="I416" s="63"/>
      <c r="J416" s="31"/>
      <c r="K416" s="31"/>
      <c r="L416" s="32"/>
      <c r="M416" s="32"/>
      <c r="N416" s="32"/>
    </row>
    <row r="417" spans="2:14" x14ac:dyDescent="0.25">
      <c r="B417" s="42"/>
      <c r="C417" s="30"/>
      <c r="D417" s="30"/>
      <c r="E417" s="30"/>
      <c r="F417" s="30"/>
      <c r="G417" s="30"/>
      <c r="H417" s="47"/>
      <c r="I417" s="63"/>
      <c r="J417" s="31"/>
      <c r="K417" s="31"/>
      <c r="L417" s="32"/>
      <c r="M417" s="32"/>
      <c r="N417" s="32"/>
    </row>
    <row r="418" spans="2:14" x14ac:dyDescent="0.25">
      <c r="B418" s="42"/>
      <c r="C418" s="30"/>
      <c r="D418" s="30"/>
      <c r="E418" s="30"/>
      <c r="F418" s="30"/>
      <c r="G418" s="30"/>
      <c r="H418" s="47"/>
      <c r="I418" s="63"/>
      <c r="J418" s="31"/>
      <c r="K418" s="31"/>
      <c r="L418" s="32"/>
      <c r="M418" s="32"/>
      <c r="N418" s="32"/>
    </row>
    <row r="419" spans="2:14" x14ac:dyDescent="0.25">
      <c r="B419" s="42"/>
      <c r="C419" s="30"/>
      <c r="D419" s="30"/>
      <c r="E419" s="30"/>
      <c r="F419" s="30"/>
      <c r="G419" s="30"/>
      <c r="H419" s="47"/>
      <c r="I419" s="63"/>
      <c r="J419" s="31"/>
      <c r="K419" s="31"/>
      <c r="L419" s="32"/>
      <c r="M419" s="32"/>
      <c r="N419" s="32"/>
    </row>
    <row r="420" spans="2:14" x14ac:dyDescent="0.25">
      <c r="B420" s="42"/>
      <c r="C420" s="30"/>
      <c r="D420" s="30"/>
      <c r="E420" s="30"/>
      <c r="F420" s="30"/>
      <c r="G420" s="30"/>
      <c r="H420" s="47"/>
      <c r="I420" s="63"/>
      <c r="J420" s="31"/>
      <c r="K420" s="31"/>
      <c r="L420" s="32"/>
      <c r="M420" s="32"/>
      <c r="N420" s="32"/>
    </row>
    <row r="421" spans="2:14" x14ac:dyDescent="0.25">
      <c r="B421" s="42"/>
      <c r="C421" s="30"/>
      <c r="D421" s="30"/>
      <c r="E421" s="30"/>
      <c r="F421" s="30"/>
      <c r="G421" s="30"/>
      <c r="H421" s="47"/>
      <c r="I421" s="63"/>
      <c r="J421" s="31"/>
      <c r="K421" s="31"/>
      <c r="L421" s="32"/>
      <c r="M421" s="32"/>
      <c r="N421" s="32"/>
    </row>
    <row r="422" spans="2:14" x14ac:dyDescent="0.25">
      <c r="B422" s="42"/>
      <c r="C422" s="30"/>
      <c r="D422" s="30"/>
      <c r="E422" s="30"/>
      <c r="F422" s="30"/>
      <c r="G422" s="30"/>
      <c r="H422" s="47"/>
      <c r="I422" s="63"/>
      <c r="J422" s="31"/>
      <c r="K422" s="31"/>
      <c r="L422" s="32"/>
      <c r="M422" s="32"/>
      <c r="N422" s="32"/>
    </row>
    <row r="423" spans="2:14" x14ac:dyDescent="0.25">
      <c r="B423" s="42"/>
      <c r="C423" s="30"/>
      <c r="D423" s="30"/>
      <c r="E423" s="30"/>
      <c r="F423" s="30"/>
      <c r="G423" s="30"/>
      <c r="H423" s="47"/>
      <c r="I423" s="63"/>
      <c r="J423" s="31"/>
      <c r="K423" s="31"/>
      <c r="L423" s="32"/>
      <c r="M423" s="32"/>
      <c r="N423" s="32"/>
    </row>
    <row r="424" spans="2:14" x14ac:dyDescent="0.25">
      <c r="B424" s="42"/>
      <c r="C424" s="30"/>
      <c r="D424" s="30"/>
      <c r="E424" s="30"/>
      <c r="F424" s="30"/>
      <c r="G424" s="30"/>
      <c r="H424" s="47"/>
      <c r="I424" s="63"/>
      <c r="J424" s="31"/>
      <c r="K424" s="31"/>
      <c r="L424" s="32"/>
      <c r="M424" s="32"/>
      <c r="N424" s="32"/>
    </row>
    <row r="425" spans="2:14" x14ac:dyDescent="0.25">
      <c r="B425" s="42"/>
      <c r="C425" s="30"/>
      <c r="D425" s="30"/>
      <c r="E425" s="30"/>
      <c r="F425" s="30"/>
      <c r="G425" s="30"/>
      <c r="H425" s="47"/>
      <c r="I425" s="63"/>
      <c r="J425" s="31"/>
      <c r="K425" s="31"/>
      <c r="L425" s="32"/>
      <c r="M425" s="32"/>
      <c r="N425" s="32"/>
    </row>
    <row r="426" spans="2:14" x14ac:dyDescent="0.25">
      <c r="B426" s="42"/>
      <c r="C426" s="30"/>
      <c r="D426" s="30"/>
      <c r="E426" s="30"/>
      <c r="F426" s="30"/>
      <c r="G426" s="30"/>
      <c r="H426" s="47"/>
      <c r="I426" s="63"/>
      <c r="J426" s="31"/>
      <c r="K426" s="31"/>
      <c r="L426" s="32"/>
      <c r="M426" s="32"/>
      <c r="N426" s="32"/>
    </row>
    <row r="427" spans="2:14" x14ac:dyDescent="0.25">
      <c r="B427" s="42"/>
      <c r="C427" s="30"/>
      <c r="D427" s="30"/>
      <c r="E427" s="30"/>
      <c r="F427" s="30"/>
      <c r="G427" s="30"/>
      <c r="H427" s="47"/>
      <c r="I427" s="63"/>
      <c r="J427" s="31"/>
      <c r="K427" s="31"/>
      <c r="L427" s="32"/>
      <c r="M427" s="32"/>
      <c r="N427" s="32"/>
    </row>
    <row r="428" spans="2:14" x14ac:dyDescent="0.25">
      <c r="B428" s="42"/>
      <c r="C428" s="30"/>
      <c r="D428" s="30"/>
      <c r="E428" s="30"/>
      <c r="F428" s="30"/>
      <c r="G428" s="30"/>
      <c r="H428" s="47"/>
      <c r="I428" s="63"/>
      <c r="J428" s="31"/>
      <c r="K428" s="31"/>
      <c r="L428" s="32"/>
      <c r="M428" s="32"/>
      <c r="N428" s="32"/>
    </row>
    <row r="429" spans="2:14" x14ac:dyDescent="0.25">
      <c r="B429" s="42"/>
      <c r="C429" s="30"/>
      <c r="D429" s="30"/>
      <c r="E429" s="30"/>
      <c r="F429" s="30"/>
      <c r="G429" s="30"/>
      <c r="H429" s="47"/>
      <c r="I429" s="63"/>
      <c r="J429" s="31"/>
      <c r="K429" s="31"/>
      <c r="L429" s="32"/>
      <c r="M429" s="32"/>
      <c r="N429" s="32"/>
    </row>
    <row r="430" spans="2:14" x14ac:dyDescent="0.25">
      <c r="B430" s="42"/>
      <c r="C430" s="30"/>
      <c r="D430" s="30"/>
      <c r="E430" s="30"/>
      <c r="F430" s="30"/>
      <c r="G430" s="30"/>
      <c r="H430" s="47"/>
      <c r="I430" s="63"/>
      <c r="J430" s="31"/>
      <c r="K430" s="31"/>
      <c r="L430" s="32"/>
      <c r="M430" s="32"/>
      <c r="N430" s="32"/>
    </row>
    <row r="431" spans="2:14" x14ac:dyDescent="0.25">
      <c r="B431" s="42"/>
      <c r="C431" s="30"/>
      <c r="D431" s="30"/>
      <c r="E431" s="30"/>
      <c r="F431" s="30"/>
      <c r="G431" s="30"/>
      <c r="H431" s="47"/>
      <c r="I431" s="63"/>
      <c r="J431" s="31"/>
      <c r="K431" s="31"/>
      <c r="L431" s="32"/>
      <c r="M431" s="32"/>
      <c r="N431" s="32"/>
    </row>
    <row r="432" spans="2:14" x14ac:dyDescent="0.25">
      <c r="B432" s="42"/>
      <c r="C432" s="30"/>
      <c r="D432" s="30"/>
      <c r="E432" s="30"/>
      <c r="F432" s="30"/>
      <c r="G432" s="30"/>
      <c r="H432" s="47"/>
      <c r="I432" s="63"/>
      <c r="J432" s="31"/>
      <c r="K432" s="31"/>
      <c r="L432" s="32"/>
      <c r="M432" s="32"/>
      <c r="N432" s="32"/>
    </row>
    <row r="433" spans="2:14" x14ac:dyDescent="0.25">
      <c r="B433" s="42"/>
      <c r="C433" s="30"/>
      <c r="D433" s="30"/>
      <c r="E433" s="30"/>
      <c r="F433" s="30"/>
      <c r="G433" s="30"/>
      <c r="H433" s="47"/>
      <c r="I433" s="63"/>
      <c r="J433" s="31"/>
      <c r="K433" s="31"/>
      <c r="L433" s="32"/>
      <c r="M433" s="32"/>
      <c r="N433" s="32"/>
    </row>
    <row r="434" spans="2:14" x14ac:dyDescent="0.25">
      <c r="B434" s="42"/>
      <c r="C434" s="30"/>
      <c r="D434" s="30"/>
      <c r="E434" s="30"/>
      <c r="F434" s="30"/>
      <c r="G434" s="30"/>
      <c r="H434" s="47"/>
      <c r="I434" s="63"/>
      <c r="J434" s="31"/>
      <c r="K434" s="31"/>
      <c r="L434" s="32"/>
      <c r="M434" s="32"/>
      <c r="N434" s="32"/>
    </row>
    <row r="435" spans="2:14" x14ac:dyDescent="0.25">
      <c r="B435" s="42"/>
      <c r="C435" s="30"/>
      <c r="D435" s="30"/>
      <c r="E435" s="30"/>
      <c r="F435" s="30"/>
      <c r="G435" s="30"/>
      <c r="H435" s="47"/>
      <c r="I435" s="63"/>
      <c r="J435" s="31"/>
      <c r="K435" s="31"/>
      <c r="L435" s="32"/>
      <c r="M435" s="32"/>
      <c r="N435" s="32"/>
    </row>
    <row r="436" spans="2:14" x14ac:dyDescent="0.25">
      <c r="B436" s="42"/>
      <c r="C436" s="30"/>
      <c r="D436" s="30"/>
      <c r="E436" s="30"/>
      <c r="F436" s="30"/>
      <c r="G436" s="30"/>
      <c r="H436" s="47"/>
      <c r="I436" s="63"/>
      <c r="J436" s="31"/>
      <c r="K436" s="31"/>
      <c r="L436" s="32"/>
      <c r="M436" s="32"/>
      <c r="N436" s="32"/>
    </row>
    <row r="437" spans="2:14" x14ac:dyDescent="0.25">
      <c r="B437" s="42"/>
      <c r="C437" s="30"/>
      <c r="D437" s="30"/>
      <c r="E437" s="30"/>
      <c r="F437" s="30"/>
      <c r="G437" s="30"/>
      <c r="H437" s="47"/>
      <c r="I437" s="63"/>
      <c r="J437" s="31"/>
      <c r="K437" s="31"/>
      <c r="L437" s="32"/>
      <c r="M437" s="32"/>
      <c r="N437" s="32"/>
    </row>
    <row r="438" spans="2:14" x14ac:dyDescent="0.25">
      <c r="B438" s="42"/>
      <c r="C438" s="30"/>
      <c r="D438" s="30"/>
      <c r="E438" s="30"/>
      <c r="F438" s="30"/>
      <c r="G438" s="30"/>
      <c r="H438" s="47"/>
      <c r="I438" s="63"/>
      <c r="J438" s="31"/>
      <c r="K438" s="31"/>
      <c r="L438" s="32"/>
      <c r="M438" s="32"/>
      <c r="N438" s="32"/>
    </row>
    <row r="439" spans="2:14" x14ac:dyDescent="0.25">
      <c r="B439" s="42"/>
      <c r="C439" s="30"/>
      <c r="D439" s="30"/>
      <c r="E439" s="30"/>
      <c r="F439" s="30"/>
      <c r="G439" s="30"/>
      <c r="H439" s="47"/>
      <c r="I439" s="63"/>
      <c r="J439" s="31"/>
      <c r="K439" s="31"/>
      <c r="L439" s="32"/>
      <c r="M439" s="32"/>
      <c r="N439" s="32"/>
    </row>
    <row r="440" spans="2:14" x14ac:dyDescent="0.25">
      <c r="B440" s="42"/>
      <c r="C440" s="30"/>
      <c r="D440" s="30"/>
      <c r="E440" s="30"/>
      <c r="F440" s="30"/>
      <c r="G440" s="30"/>
      <c r="H440" s="47"/>
      <c r="I440" s="63"/>
      <c r="J440" s="31"/>
      <c r="K440" s="31"/>
      <c r="L440" s="32"/>
      <c r="M440" s="32"/>
      <c r="N440" s="32"/>
    </row>
    <row r="441" spans="2:14" x14ac:dyDescent="0.25">
      <c r="B441" s="42"/>
      <c r="C441" s="30"/>
      <c r="D441" s="30"/>
      <c r="E441" s="30"/>
      <c r="F441" s="30"/>
      <c r="G441" s="30"/>
      <c r="H441" s="47"/>
      <c r="I441" s="63"/>
      <c r="J441" s="31"/>
      <c r="K441" s="31"/>
      <c r="L441" s="32"/>
      <c r="M441" s="32"/>
      <c r="N441" s="32"/>
    </row>
    <row r="442" spans="2:14" x14ac:dyDescent="0.25">
      <c r="B442" s="42"/>
      <c r="C442" s="30"/>
      <c r="D442" s="30"/>
      <c r="E442" s="30"/>
      <c r="F442" s="30"/>
      <c r="G442" s="30"/>
      <c r="H442" s="47"/>
      <c r="I442" s="63"/>
      <c r="J442" s="31"/>
      <c r="K442" s="31"/>
      <c r="L442" s="32"/>
      <c r="M442" s="32"/>
      <c r="N442" s="32"/>
    </row>
    <row r="443" spans="2:14" x14ac:dyDescent="0.25">
      <c r="B443" s="42"/>
      <c r="C443" s="30"/>
      <c r="D443" s="30"/>
      <c r="E443" s="30"/>
      <c r="F443" s="30"/>
      <c r="G443" s="30"/>
      <c r="H443" s="47"/>
      <c r="I443" s="63"/>
      <c r="J443" s="31"/>
      <c r="K443" s="31"/>
      <c r="L443" s="32"/>
      <c r="M443" s="32"/>
      <c r="N443" s="32"/>
    </row>
    <row r="444" spans="2:14" x14ac:dyDescent="0.25">
      <c r="B444" s="42"/>
      <c r="C444" s="30"/>
      <c r="D444" s="30"/>
      <c r="E444" s="30"/>
      <c r="F444" s="30"/>
      <c r="G444" s="30"/>
      <c r="H444" s="47"/>
      <c r="I444" s="63"/>
      <c r="J444" s="31"/>
      <c r="K444" s="31"/>
      <c r="L444" s="32"/>
      <c r="M444" s="32"/>
      <c r="N444" s="32"/>
    </row>
    <row r="445" spans="2:14" x14ac:dyDescent="0.25">
      <c r="B445" s="42"/>
      <c r="C445" s="30"/>
      <c r="D445" s="30"/>
      <c r="E445" s="30"/>
      <c r="F445" s="30"/>
      <c r="G445" s="30"/>
      <c r="H445" s="47"/>
      <c r="I445" s="63"/>
      <c r="J445" s="31"/>
      <c r="K445" s="31"/>
      <c r="L445" s="32"/>
      <c r="M445" s="32"/>
      <c r="N445" s="32"/>
    </row>
    <row r="446" spans="2:14" x14ac:dyDescent="0.25">
      <c r="B446" s="42"/>
      <c r="C446" s="30"/>
      <c r="D446" s="30"/>
      <c r="E446" s="30"/>
      <c r="F446" s="30"/>
      <c r="G446" s="30"/>
      <c r="H446" s="47"/>
      <c r="I446" s="63"/>
      <c r="J446" s="31"/>
      <c r="K446" s="31"/>
      <c r="L446" s="32"/>
      <c r="M446" s="32"/>
      <c r="N446" s="32"/>
    </row>
    <row r="447" spans="2:14" x14ac:dyDescent="0.25">
      <c r="B447" s="42"/>
      <c r="C447" s="30"/>
      <c r="D447" s="30"/>
      <c r="E447" s="30"/>
      <c r="F447" s="30"/>
      <c r="G447" s="30"/>
      <c r="H447" s="47"/>
      <c r="I447" s="63"/>
      <c r="J447" s="31"/>
      <c r="K447" s="31"/>
      <c r="L447" s="32"/>
      <c r="M447" s="32"/>
      <c r="N447" s="32"/>
    </row>
    <row r="448" spans="2:14" x14ac:dyDescent="0.25">
      <c r="B448" s="42"/>
      <c r="C448" s="30"/>
      <c r="D448" s="30"/>
      <c r="E448" s="30"/>
      <c r="F448" s="30"/>
      <c r="G448" s="30"/>
      <c r="H448" s="47"/>
      <c r="I448" s="63"/>
      <c r="J448" s="31"/>
      <c r="K448" s="31"/>
      <c r="L448" s="32"/>
      <c r="M448" s="32"/>
      <c r="N448" s="32"/>
    </row>
    <row r="449" spans="2:14" x14ac:dyDescent="0.25">
      <c r="B449" s="42"/>
      <c r="C449" s="30"/>
      <c r="D449" s="30"/>
      <c r="E449" s="30"/>
      <c r="F449" s="30"/>
      <c r="G449" s="30"/>
      <c r="H449" s="47"/>
      <c r="I449" s="63"/>
      <c r="J449" s="31"/>
      <c r="K449" s="31"/>
      <c r="L449" s="32"/>
      <c r="M449" s="32"/>
      <c r="N449" s="32"/>
    </row>
    <row r="450" spans="2:14" x14ac:dyDescent="0.25">
      <c r="B450" s="42"/>
      <c r="C450" s="30"/>
      <c r="D450" s="30"/>
      <c r="E450" s="30"/>
      <c r="F450" s="30"/>
      <c r="G450" s="30"/>
      <c r="H450" s="47"/>
      <c r="I450" s="63"/>
      <c r="J450" s="31"/>
      <c r="K450" s="31"/>
      <c r="L450" s="32"/>
      <c r="M450" s="32"/>
      <c r="N450" s="32"/>
    </row>
    <row r="451" spans="2:14" x14ac:dyDescent="0.25">
      <c r="B451" s="42"/>
      <c r="C451" s="30"/>
      <c r="D451" s="30"/>
      <c r="E451" s="30"/>
      <c r="F451" s="30"/>
      <c r="G451" s="30"/>
      <c r="H451" s="47"/>
      <c r="I451" s="63"/>
      <c r="J451" s="31"/>
      <c r="K451" s="31"/>
      <c r="L451" s="32"/>
      <c r="M451" s="32"/>
      <c r="N451" s="32"/>
    </row>
    <row r="452" spans="2:14" x14ac:dyDescent="0.25">
      <c r="B452" s="42"/>
      <c r="C452" s="30"/>
      <c r="D452" s="30"/>
      <c r="E452" s="30"/>
      <c r="F452" s="30"/>
      <c r="G452" s="30"/>
      <c r="H452" s="47"/>
      <c r="I452" s="63"/>
      <c r="J452" s="31"/>
      <c r="K452" s="31"/>
      <c r="L452" s="32"/>
      <c r="M452" s="32"/>
      <c r="N452" s="32"/>
    </row>
    <row r="453" spans="2:14" x14ac:dyDescent="0.25">
      <c r="B453" s="42"/>
      <c r="C453" s="30"/>
      <c r="D453" s="30"/>
      <c r="E453" s="30"/>
      <c r="F453" s="30"/>
      <c r="G453" s="30"/>
      <c r="H453" s="47"/>
      <c r="I453" s="63"/>
      <c r="J453" s="31"/>
      <c r="K453" s="31"/>
      <c r="L453" s="32"/>
      <c r="M453" s="32"/>
      <c r="N453" s="32"/>
    </row>
    <row r="454" spans="2:14" x14ac:dyDescent="0.25">
      <c r="B454" s="42"/>
      <c r="C454" s="30"/>
      <c r="D454" s="30"/>
      <c r="E454" s="30"/>
      <c r="F454" s="30"/>
      <c r="G454" s="30"/>
      <c r="H454" s="47"/>
      <c r="I454" s="63"/>
      <c r="J454" s="31"/>
      <c r="K454" s="31"/>
      <c r="L454" s="32"/>
      <c r="M454" s="32"/>
      <c r="N454" s="32"/>
    </row>
    <row r="455" spans="2:14" x14ac:dyDescent="0.25">
      <c r="B455" s="42"/>
      <c r="C455" s="30"/>
      <c r="D455" s="30"/>
      <c r="E455" s="30"/>
      <c r="F455" s="30"/>
      <c r="G455" s="30"/>
      <c r="H455" s="47"/>
      <c r="I455" s="63"/>
      <c r="J455" s="31"/>
      <c r="K455" s="31"/>
      <c r="L455" s="32"/>
      <c r="M455" s="32"/>
      <c r="N455" s="32"/>
    </row>
    <row r="456" spans="2:14" x14ac:dyDescent="0.25">
      <c r="B456" s="42"/>
      <c r="C456" s="30"/>
      <c r="D456" s="30"/>
      <c r="E456" s="30"/>
      <c r="F456" s="30"/>
      <c r="G456" s="30"/>
      <c r="H456" s="47"/>
      <c r="I456" s="63"/>
      <c r="J456" s="31"/>
      <c r="K456" s="31"/>
      <c r="L456" s="32"/>
      <c r="M456" s="32"/>
      <c r="N456" s="32"/>
    </row>
    <row r="457" spans="2:14" x14ac:dyDescent="0.25">
      <c r="B457" s="42"/>
      <c r="C457" s="30"/>
      <c r="D457" s="30"/>
      <c r="E457" s="30"/>
      <c r="F457" s="30"/>
      <c r="G457" s="30"/>
      <c r="H457" s="47"/>
      <c r="I457" s="63"/>
      <c r="J457" s="31"/>
      <c r="K457" s="31"/>
      <c r="L457" s="32"/>
      <c r="M457" s="32"/>
      <c r="N457" s="32"/>
    </row>
    <row r="458" spans="2:14" x14ac:dyDescent="0.25">
      <c r="B458" s="42"/>
      <c r="C458" s="30"/>
      <c r="D458" s="30"/>
      <c r="E458" s="30"/>
      <c r="F458" s="30"/>
      <c r="G458" s="30"/>
      <c r="H458" s="47"/>
      <c r="I458" s="63"/>
      <c r="J458" s="31"/>
      <c r="K458" s="31"/>
      <c r="L458" s="32"/>
      <c r="M458" s="32"/>
      <c r="N458" s="32"/>
    </row>
    <row r="459" spans="2:14" x14ac:dyDescent="0.25">
      <c r="B459" s="42"/>
      <c r="C459" s="30"/>
      <c r="D459" s="30"/>
      <c r="E459" s="30"/>
      <c r="F459" s="30"/>
      <c r="G459" s="30"/>
      <c r="H459" s="47"/>
      <c r="I459" s="63"/>
      <c r="J459" s="31"/>
      <c r="K459" s="31"/>
      <c r="L459" s="32"/>
      <c r="M459" s="32"/>
      <c r="N459" s="32"/>
    </row>
    <row r="460" spans="2:14" x14ac:dyDescent="0.25">
      <c r="B460" s="42"/>
      <c r="C460" s="30"/>
      <c r="D460" s="30"/>
      <c r="E460" s="30"/>
      <c r="F460" s="30"/>
      <c r="G460" s="30"/>
      <c r="H460" s="47"/>
      <c r="I460" s="63"/>
      <c r="J460" s="31"/>
      <c r="K460" s="31"/>
      <c r="L460" s="32"/>
      <c r="M460" s="32"/>
      <c r="N460" s="32"/>
    </row>
    <row r="461" spans="2:14" x14ac:dyDescent="0.25">
      <c r="B461" s="42"/>
      <c r="C461" s="30"/>
      <c r="D461" s="30"/>
      <c r="E461" s="30"/>
      <c r="F461" s="30"/>
      <c r="G461" s="30"/>
      <c r="H461" s="47"/>
      <c r="I461" s="63"/>
      <c r="J461" s="31"/>
      <c r="K461" s="31"/>
      <c r="L461" s="32"/>
      <c r="M461" s="32"/>
      <c r="N461" s="32"/>
    </row>
    <row r="462" spans="2:14" x14ac:dyDescent="0.25">
      <c r="B462" s="42"/>
      <c r="C462" s="30"/>
      <c r="D462" s="30"/>
      <c r="E462" s="30"/>
      <c r="F462" s="30"/>
      <c r="G462" s="30"/>
      <c r="H462" s="47"/>
      <c r="I462" s="63"/>
      <c r="J462" s="31"/>
      <c r="K462" s="31"/>
      <c r="L462" s="32"/>
      <c r="M462" s="32"/>
      <c r="N462" s="32"/>
    </row>
    <row r="463" spans="2:14" x14ac:dyDescent="0.25">
      <c r="B463" s="42"/>
      <c r="C463" s="30"/>
      <c r="D463" s="30"/>
      <c r="E463" s="30"/>
      <c r="F463" s="30"/>
      <c r="G463" s="30"/>
      <c r="H463" s="47"/>
      <c r="I463" s="63"/>
      <c r="J463" s="31"/>
      <c r="K463" s="31"/>
      <c r="L463" s="32"/>
      <c r="M463" s="32"/>
      <c r="N463" s="32"/>
    </row>
    <row r="464" spans="2:14" x14ac:dyDescent="0.25">
      <c r="B464" s="42"/>
      <c r="C464" s="30"/>
      <c r="D464" s="30"/>
      <c r="E464" s="30"/>
      <c r="F464" s="30"/>
      <c r="G464" s="30"/>
      <c r="H464" s="47"/>
      <c r="I464" s="63"/>
      <c r="J464" s="31"/>
      <c r="K464" s="31"/>
      <c r="L464" s="32"/>
      <c r="M464" s="32"/>
      <c r="N464" s="32"/>
    </row>
    <row r="465" spans="2:14" x14ac:dyDescent="0.25">
      <c r="B465" s="42"/>
      <c r="C465" s="30"/>
      <c r="D465" s="30"/>
      <c r="E465" s="30"/>
      <c r="F465" s="30"/>
      <c r="G465" s="30"/>
      <c r="H465" s="47"/>
      <c r="I465" s="63"/>
      <c r="J465" s="31"/>
      <c r="K465" s="31"/>
      <c r="L465" s="32"/>
      <c r="M465" s="32"/>
      <c r="N465" s="32"/>
    </row>
    <row r="466" spans="2:14" x14ac:dyDescent="0.25">
      <c r="B466" s="42"/>
      <c r="C466" s="30"/>
      <c r="D466" s="30"/>
      <c r="E466" s="30"/>
      <c r="F466" s="30"/>
      <c r="G466" s="30"/>
      <c r="H466" s="47"/>
      <c r="I466" s="63"/>
      <c r="J466" s="31"/>
      <c r="K466" s="31"/>
      <c r="L466" s="32"/>
      <c r="M466" s="32"/>
      <c r="N466" s="32"/>
    </row>
    <row r="467" spans="2:14" x14ac:dyDescent="0.25">
      <c r="B467" s="42"/>
      <c r="C467" s="30"/>
      <c r="D467" s="30"/>
      <c r="E467" s="30"/>
      <c r="F467" s="30"/>
      <c r="G467" s="30"/>
      <c r="H467" s="47"/>
      <c r="I467" s="63"/>
      <c r="J467" s="31"/>
      <c r="K467" s="31"/>
      <c r="L467" s="32"/>
      <c r="M467" s="32"/>
      <c r="N467" s="32"/>
    </row>
    <row r="468" spans="2:14" x14ac:dyDescent="0.25">
      <c r="B468" s="42"/>
      <c r="C468" s="30"/>
      <c r="D468" s="30"/>
      <c r="E468" s="30"/>
      <c r="F468" s="30"/>
      <c r="G468" s="30"/>
      <c r="H468" s="47"/>
      <c r="I468" s="63"/>
      <c r="J468" s="31"/>
      <c r="K468" s="31"/>
      <c r="L468" s="32"/>
      <c r="M468" s="32"/>
      <c r="N468" s="32"/>
    </row>
    <row r="469" spans="2:14" x14ac:dyDescent="0.25">
      <c r="B469" s="42"/>
      <c r="C469" s="30"/>
      <c r="D469" s="30"/>
      <c r="E469" s="30"/>
      <c r="F469" s="30"/>
      <c r="G469" s="30"/>
      <c r="H469" s="47"/>
      <c r="I469" s="63"/>
      <c r="J469" s="31"/>
      <c r="K469" s="31"/>
      <c r="L469" s="32"/>
      <c r="M469" s="32"/>
      <c r="N469" s="32"/>
    </row>
    <row r="470" spans="2:14" x14ac:dyDescent="0.25">
      <c r="B470" s="42"/>
      <c r="C470" s="30"/>
      <c r="D470" s="30"/>
      <c r="E470" s="30"/>
      <c r="F470" s="30"/>
      <c r="G470" s="30"/>
      <c r="H470" s="47"/>
      <c r="I470" s="63"/>
      <c r="J470" s="31"/>
      <c r="K470" s="31"/>
      <c r="L470" s="32"/>
      <c r="M470" s="32"/>
      <c r="N470" s="32"/>
    </row>
    <row r="471" spans="2:14" x14ac:dyDescent="0.25">
      <c r="B471" s="42"/>
      <c r="C471" s="30"/>
      <c r="D471" s="30"/>
      <c r="E471" s="30"/>
      <c r="F471" s="30"/>
      <c r="G471" s="30"/>
      <c r="H471" s="47"/>
      <c r="I471" s="63"/>
      <c r="J471" s="31"/>
      <c r="K471" s="31"/>
      <c r="L471" s="32"/>
      <c r="M471" s="32"/>
      <c r="N471" s="32"/>
    </row>
    <row r="472" spans="2:14" x14ac:dyDescent="0.25">
      <c r="B472" s="42"/>
      <c r="C472" s="30"/>
      <c r="D472" s="30"/>
      <c r="E472" s="30"/>
      <c r="F472" s="30"/>
      <c r="G472" s="30"/>
      <c r="H472" s="47"/>
      <c r="I472" s="63"/>
      <c r="J472" s="31"/>
      <c r="K472" s="31"/>
      <c r="L472" s="32"/>
      <c r="M472" s="32"/>
      <c r="N472" s="32"/>
    </row>
    <row r="473" spans="2:14" x14ac:dyDescent="0.25">
      <c r="B473" s="42"/>
      <c r="C473" s="30"/>
      <c r="D473" s="30"/>
      <c r="E473" s="30"/>
      <c r="F473" s="30"/>
      <c r="G473" s="30"/>
      <c r="H473" s="47"/>
      <c r="I473" s="63"/>
      <c r="J473" s="31"/>
      <c r="K473" s="31"/>
      <c r="L473" s="32"/>
      <c r="M473" s="32"/>
      <c r="N473" s="32"/>
    </row>
    <row r="474" spans="2:14" x14ac:dyDescent="0.25">
      <c r="B474" s="42"/>
      <c r="C474" s="30"/>
      <c r="D474" s="30"/>
      <c r="E474" s="30"/>
      <c r="F474" s="30"/>
      <c r="G474" s="30"/>
      <c r="H474" s="47"/>
      <c r="I474" s="63"/>
      <c r="J474" s="31"/>
      <c r="K474" s="31"/>
      <c r="L474" s="32"/>
      <c r="M474" s="32"/>
      <c r="N474" s="32"/>
    </row>
    <row r="475" spans="2:14" x14ac:dyDescent="0.25">
      <c r="B475" s="42"/>
      <c r="C475" s="30"/>
      <c r="D475" s="30"/>
      <c r="E475" s="30"/>
      <c r="F475" s="30"/>
      <c r="G475" s="30"/>
      <c r="H475" s="47"/>
      <c r="I475" s="63"/>
      <c r="J475" s="31"/>
      <c r="K475" s="31"/>
      <c r="L475" s="32"/>
      <c r="M475" s="32"/>
      <c r="N475" s="32"/>
    </row>
    <row r="476" spans="2:14" x14ac:dyDescent="0.25">
      <c r="B476" s="42"/>
      <c r="C476" s="30"/>
      <c r="D476" s="30"/>
      <c r="E476" s="30"/>
      <c r="F476" s="30"/>
      <c r="G476" s="30"/>
      <c r="H476" s="47"/>
      <c r="I476" s="63"/>
      <c r="J476" s="31"/>
      <c r="K476" s="31"/>
      <c r="L476" s="32"/>
      <c r="M476" s="32"/>
      <c r="N476" s="32"/>
    </row>
    <row r="477" spans="2:14" x14ac:dyDescent="0.25">
      <c r="B477" s="42"/>
      <c r="C477" s="30"/>
      <c r="D477" s="30"/>
      <c r="E477" s="30"/>
      <c r="F477" s="30"/>
      <c r="G477" s="30"/>
      <c r="H477" s="47"/>
      <c r="I477" s="63"/>
      <c r="J477" s="31"/>
      <c r="K477" s="31"/>
      <c r="L477" s="32"/>
      <c r="M477" s="32"/>
      <c r="N477" s="32"/>
    </row>
    <row r="478" spans="2:14" x14ac:dyDescent="0.25">
      <c r="B478" s="42"/>
      <c r="C478" s="30"/>
      <c r="D478" s="30"/>
      <c r="E478" s="30"/>
      <c r="F478" s="30"/>
      <c r="G478" s="30"/>
      <c r="H478" s="47"/>
      <c r="I478" s="63"/>
      <c r="J478" s="31"/>
      <c r="K478" s="31"/>
      <c r="L478" s="32"/>
      <c r="M478" s="32"/>
      <c r="N478" s="32"/>
    </row>
    <row r="479" spans="2:14" x14ac:dyDescent="0.25">
      <c r="B479" s="42"/>
      <c r="C479" s="30"/>
      <c r="D479" s="30"/>
      <c r="E479" s="30"/>
      <c r="F479" s="30"/>
      <c r="G479" s="30"/>
      <c r="H479" s="47"/>
      <c r="I479" s="63"/>
      <c r="J479" s="31"/>
      <c r="K479" s="31"/>
      <c r="L479" s="32"/>
      <c r="M479" s="32"/>
      <c r="N479" s="32"/>
    </row>
    <row r="480" spans="2:14" x14ac:dyDescent="0.25">
      <c r="B480" s="42"/>
      <c r="C480" s="30"/>
      <c r="D480" s="30"/>
      <c r="E480" s="30"/>
      <c r="F480" s="30"/>
      <c r="G480" s="30"/>
      <c r="H480" s="47"/>
      <c r="I480" s="63"/>
      <c r="J480" s="31"/>
      <c r="K480" s="31"/>
      <c r="L480" s="32"/>
      <c r="M480" s="32"/>
      <c r="N480" s="32"/>
    </row>
    <row r="481" spans="2:14" x14ac:dyDescent="0.25">
      <c r="B481" s="42"/>
      <c r="C481" s="30"/>
      <c r="D481" s="30"/>
      <c r="E481" s="30"/>
      <c r="F481" s="30"/>
      <c r="G481" s="30"/>
      <c r="H481" s="47"/>
      <c r="I481" s="63"/>
      <c r="J481" s="31"/>
      <c r="K481" s="31"/>
      <c r="L481" s="32"/>
      <c r="M481" s="32"/>
      <c r="N481" s="32"/>
    </row>
    <row r="482" spans="2:14" x14ac:dyDescent="0.25">
      <c r="B482" s="42"/>
      <c r="C482" s="30"/>
      <c r="D482" s="30"/>
      <c r="E482" s="30"/>
      <c r="F482" s="30"/>
      <c r="G482" s="30"/>
      <c r="H482" s="47"/>
      <c r="I482" s="63"/>
      <c r="J482" s="31"/>
      <c r="K482" s="31"/>
      <c r="L482" s="32"/>
      <c r="M482" s="32"/>
      <c r="N482" s="32"/>
    </row>
    <row r="483" spans="2:14" x14ac:dyDescent="0.25">
      <c r="B483" s="42"/>
      <c r="C483" s="30"/>
      <c r="D483" s="30"/>
      <c r="E483" s="30"/>
      <c r="F483" s="30"/>
      <c r="G483" s="30"/>
      <c r="H483" s="47"/>
      <c r="I483" s="63"/>
      <c r="J483" s="31"/>
      <c r="K483" s="31"/>
      <c r="L483" s="32"/>
      <c r="M483" s="32"/>
      <c r="N483" s="32"/>
    </row>
    <row r="484" spans="2:14" x14ac:dyDescent="0.25">
      <c r="B484" s="42"/>
      <c r="C484" s="30"/>
      <c r="D484" s="30"/>
      <c r="E484" s="30"/>
      <c r="F484" s="30"/>
      <c r="G484" s="30"/>
      <c r="H484" s="47"/>
      <c r="I484" s="63"/>
      <c r="J484" s="31"/>
      <c r="K484" s="31"/>
      <c r="L484" s="32"/>
      <c r="M484" s="32"/>
      <c r="N484" s="32"/>
    </row>
    <row r="485" spans="2:14" x14ac:dyDescent="0.25">
      <c r="B485" s="42"/>
      <c r="C485" s="30"/>
      <c r="D485" s="30"/>
      <c r="E485" s="30"/>
      <c r="F485" s="30"/>
      <c r="G485" s="30"/>
      <c r="H485" s="47"/>
      <c r="I485" s="63"/>
      <c r="J485" s="31"/>
      <c r="K485" s="31"/>
      <c r="L485" s="32"/>
      <c r="M485" s="32"/>
      <c r="N485" s="32"/>
    </row>
    <row r="486" spans="2:14" x14ac:dyDescent="0.25">
      <c r="B486" s="42"/>
      <c r="C486" s="30"/>
      <c r="D486" s="30"/>
      <c r="E486" s="30"/>
      <c r="F486" s="30"/>
      <c r="G486" s="30"/>
      <c r="H486" s="47"/>
      <c r="I486" s="63"/>
      <c r="J486" s="31"/>
      <c r="K486" s="31"/>
      <c r="L486" s="32"/>
      <c r="M486" s="32"/>
      <c r="N486" s="32"/>
    </row>
    <row r="487" spans="2:14" x14ac:dyDescent="0.25">
      <c r="B487" s="42"/>
      <c r="C487" s="30"/>
      <c r="D487" s="30"/>
      <c r="E487" s="30"/>
      <c r="F487" s="30"/>
      <c r="G487" s="30"/>
      <c r="H487" s="47"/>
      <c r="I487" s="63"/>
      <c r="J487" s="31"/>
      <c r="K487" s="31"/>
      <c r="L487" s="32"/>
      <c r="M487" s="32"/>
      <c r="N487" s="32"/>
    </row>
    <row r="488" spans="2:14" x14ac:dyDescent="0.25">
      <c r="B488" s="42"/>
      <c r="C488" s="30"/>
      <c r="D488" s="30"/>
      <c r="E488" s="30"/>
      <c r="F488" s="30"/>
      <c r="G488" s="30"/>
      <c r="H488" s="47"/>
      <c r="I488" s="63"/>
      <c r="J488" s="31"/>
      <c r="K488" s="31"/>
      <c r="L488" s="32"/>
      <c r="M488" s="32"/>
      <c r="N488" s="32"/>
    </row>
    <row r="489" spans="2:14" x14ac:dyDescent="0.25">
      <c r="B489" s="42"/>
      <c r="C489" s="30"/>
      <c r="D489" s="30"/>
      <c r="E489" s="30"/>
      <c r="F489" s="30"/>
      <c r="G489" s="30"/>
      <c r="H489" s="47"/>
      <c r="I489" s="63"/>
      <c r="J489" s="31"/>
      <c r="K489" s="31"/>
      <c r="L489" s="32"/>
      <c r="M489" s="32"/>
      <c r="N489" s="32"/>
    </row>
    <row r="490" spans="2:14" x14ac:dyDescent="0.25">
      <c r="B490" s="42"/>
      <c r="C490" s="30"/>
      <c r="D490" s="30"/>
      <c r="E490" s="30"/>
      <c r="F490" s="30"/>
      <c r="G490" s="30"/>
      <c r="H490" s="47"/>
      <c r="I490" s="63"/>
      <c r="J490" s="31"/>
      <c r="K490" s="31"/>
      <c r="L490" s="32"/>
      <c r="M490" s="32"/>
      <c r="N490" s="32"/>
    </row>
    <row r="491" spans="2:14" x14ac:dyDescent="0.25">
      <c r="B491" s="42"/>
      <c r="C491" s="30"/>
      <c r="D491" s="30"/>
      <c r="E491" s="30"/>
      <c r="F491" s="30"/>
      <c r="G491" s="30"/>
      <c r="H491" s="47"/>
      <c r="I491" s="63"/>
      <c r="J491" s="31"/>
      <c r="K491" s="31"/>
      <c r="L491" s="32"/>
      <c r="M491" s="32"/>
      <c r="N491" s="32"/>
    </row>
    <row r="492" spans="2:14" x14ac:dyDescent="0.25">
      <c r="B492" s="42"/>
      <c r="C492" s="30"/>
      <c r="D492" s="30"/>
      <c r="E492" s="30"/>
      <c r="F492" s="30"/>
      <c r="G492" s="30"/>
      <c r="H492" s="47"/>
      <c r="I492" s="63"/>
      <c r="J492" s="31"/>
      <c r="K492" s="31"/>
      <c r="L492" s="32"/>
      <c r="M492" s="32"/>
      <c r="N492" s="32"/>
    </row>
    <row r="493" spans="2:14" x14ac:dyDescent="0.25">
      <c r="B493" s="42"/>
      <c r="C493" s="30"/>
      <c r="D493" s="30"/>
      <c r="E493" s="30"/>
      <c r="F493" s="30"/>
      <c r="G493" s="30"/>
      <c r="H493" s="47"/>
      <c r="I493" s="63"/>
      <c r="J493" s="31"/>
      <c r="K493" s="31"/>
      <c r="L493" s="32"/>
      <c r="M493" s="32"/>
      <c r="N493" s="32"/>
    </row>
    <row r="494" spans="2:14" x14ac:dyDescent="0.25">
      <c r="B494" s="42"/>
      <c r="C494" s="30"/>
      <c r="D494" s="30"/>
      <c r="E494" s="30"/>
      <c r="F494" s="30"/>
      <c r="G494" s="30"/>
      <c r="H494" s="47"/>
      <c r="I494" s="63"/>
      <c r="J494" s="31"/>
      <c r="K494" s="31"/>
      <c r="L494" s="32"/>
      <c r="M494" s="32"/>
      <c r="N494" s="32"/>
    </row>
    <row r="495" spans="2:14" x14ac:dyDescent="0.25">
      <c r="B495" s="42"/>
      <c r="C495" s="30"/>
      <c r="D495" s="30"/>
      <c r="E495" s="30"/>
      <c r="F495" s="30"/>
      <c r="G495" s="30"/>
      <c r="H495" s="47"/>
      <c r="I495" s="63"/>
      <c r="J495" s="31"/>
      <c r="K495" s="31"/>
      <c r="L495" s="32"/>
      <c r="M495" s="32"/>
      <c r="N495" s="32"/>
    </row>
    <row r="496" spans="2:14" x14ac:dyDescent="0.25">
      <c r="B496" s="42"/>
      <c r="C496" s="30"/>
      <c r="D496" s="30"/>
      <c r="E496" s="30"/>
      <c r="F496" s="30"/>
      <c r="G496" s="30"/>
      <c r="H496" s="47"/>
      <c r="I496" s="63"/>
      <c r="J496" s="31"/>
      <c r="K496" s="31"/>
      <c r="L496" s="32"/>
      <c r="M496" s="32"/>
      <c r="N496" s="32"/>
    </row>
    <row r="497" spans="2:14" x14ac:dyDescent="0.25">
      <c r="B497" s="42"/>
      <c r="C497" s="30"/>
      <c r="D497" s="30"/>
      <c r="E497" s="30"/>
      <c r="F497" s="30"/>
      <c r="G497" s="30"/>
      <c r="H497" s="47"/>
      <c r="I497" s="63"/>
      <c r="J497" s="31"/>
      <c r="K497" s="31"/>
      <c r="L497" s="32"/>
      <c r="M497" s="32"/>
      <c r="N497" s="32"/>
    </row>
    <row r="498" spans="2:14" x14ac:dyDescent="0.25">
      <c r="B498" s="42"/>
      <c r="C498" s="30"/>
      <c r="D498" s="30"/>
      <c r="E498" s="30"/>
      <c r="F498" s="30"/>
      <c r="G498" s="30"/>
      <c r="H498" s="47"/>
      <c r="I498" s="63"/>
      <c r="J498" s="31"/>
      <c r="K498" s="31"/>
      <c r="L498" s="32"/>
      <c r="M498" s="32"/>
      <c r="N498" s="32"/>
    </row>
    <row r="499" spans="2:14" x14ac:dyDescent="0.25">
      <c r="B499" s="42"/>
      <c r="C499" s="30"/>
      <c r="D499" s="30"/>
      <c r="E499" s="30"/>
      <c r="F499" s="30"/>
      <c r="G499" s="30"/>
      <c r="H499" s="47"/>
      <c r="I499" s="63"/>
      <c r="J499" s="31"/>
      <c r="K499" s="31"/>
      <c r="L499" s="32"/>
      <c r="M499" s="32"/>
      <c r="N499" s="32"/>
    </row>
    <row r="500" spans="2:14" x14ac:dyDescent="0.25">
      <c r="B500" s="42"/>
      <c r="C500" s="30"/>
      <c r="D500" s="30"/>
      <c r="E500" s="30"/>
      <c r="F500" s="30"/>
      <c r="G500" s="30"/>
      <c r="H500" s="47"/>
      <c r="I500" s="63"/>
      <c r="J500" s="31"/>
      <c r="K500" s="31"/>
      <c r="L500" s="32"/>
      <c r="M500" s="32"/>
      <c r="N500" s="32"/>
    </row>
    <row r="501" spans="2:14" x14ac:dyDescent="0.25">
      <c r="B501" s="42"/>
      <c r="C501" s="30"/>
      <c r="D501" s="30"/>
      <c r="E501" s="30"/>
      <c r="F501" s="30"/>
      <c r="G501" s="30"/>
      <c r="H501" s="47"/>
      <c r="I501" s="63"/>
      <c r="J501" s="31"/>
      <c r="K501" s="31"/>
      <c r="L501" s="32"/>
      <c r="M501" s="32"/>
      <c r="N501" s="32"/>
    </row>
    <row r="502" spans="2:14" x14ac:dyDescent="0.25">
      <c r="B502" s="42"/>
      <c r="C502" s="30"/>
      <c r="D502" s="30"/>
      <c r="E502" s="30"/>
      <c r="F502" s="30"/>
      <c r="G502" s="30"/>
      <c r="H502" s="47"/>
      <c r="I502" s="63"/>
      <c r="J502" s="31"/>
      <c r="K502" s="31"/>
      <c r="L502" s="32"/>
      <c r="M502" s="32"/>
      <c r="N502" s="32"/>
    </row>
    <row r="503" spans="2:14" x14ac:dyDescent="0.25">
      <c r="B503" s="42"/>
      <c r="C503" s="30"/>
      <c r="D503" s="30"/>
      <c r="E503" s="30"/>
      <c r="F503" s="30"/>
      <c r="G503" s="30"/>
      <c r="H503" s="47"/>
      <c r="I503" s="63"/>
      <c r="J503" s="31"/>
      <c r="K503" s="31"/>
      <c r="L503" s="32"/>
      <c r="M503" s="32"/>
      <c r="N503" s="32"/>
    </row>
    <row r="504" spans="2:14" x14ac:dyDescent="0.25">
      <c r="B504" s="42"/>
      <c r="C504" s="30"/>
      <c r="D504" s="30"/>
      <c r="E504" s="30"/>
      <c r="F504" s="30"/>
      <c r="G504" s="30"/>
      <c r="H504" s="47"/>
      <c r="I504" s="63"/>
      <c r="J504" s="31"/>
      <c r="K504" s="31"/>
      <c r="L504" s="32"/>
      <c r="M504" s="32"/>
      <c r="N504" s="32"/>
    </row>
    <row r="505" spans="2:14" x14ac:dyDescent="0.25">
      <c r="B505" s="42"/>
      <c r="C505" s="30"/>
      <c r="D505" s="30"/>
      <c r="E505" s="30"/>
      <c r="F505" s="30"/>
      <c r="G505" s="30"/>
      <c r="H505" s="47"/>
      <c r="I505" s="63"/>
      <c r="J505" s="31"/>
      <c r="K505" s="31"/>
      <c r="L505" s="32"/>
      <c r="M505" s="32"/>
      <c r="N505" s="32"/>
    </row>
    <row r="506" spans="2:14" x14ac:dyDescent="0.25">
      <c r="B506" s="42"/>
      <c r="C506" s="30"/>
      <c r="D506" s="30"/>
      <c r="E506" s="30"/>
      <c r="F506" s="30"/>
      <c r="G506" s="30"/>
      <c r="H506" s="47"/>
      <c r="I506" s="63"/>
      <c r="J506" s="31"/>
      <c r="K506" s="31"/>
      <c r="L506" s="32"/>
      <c r="M506" s="32"/>
      <c r="N506" s="32"/>
    </row>
    <row r="507" spans="2:14" x14ac:dyDescent="0.25">
      <c r="B507" s="42"/>
      <c r="C507" s="30"/>
      <c r="D507" s="30"/>
      <c r="E507" s="30"/>
      <c r="F507" s="30"/>
      <c r="G507" s="30"/>
      <c r="H507" s="47"/>
      <c r="I507" s="63"/>
      <c r="J507" s="31"/>
      <c r="K507" s="31"/>
      <c r="L507" s="32"/>
      <c r="M507" s="32"/>
      <c r="N507" s="32"/>
    </row>
    <row r="508" spans="2:14" x14ac:dyDescent="0.25">
      <c r="B508" s="42"/>
      <c r="C508" s="30"/>
      <c r="D508" s="30"/>
      <c r="E508" s="30"/>
      <c r="F508" s="30"/>
      <c r="G508" s="30"/>
      <c r="H508" s="47"/>
      <c r="I508" s="63"/>
      <c r="J508" s="31"/>
      <c r="K508" s="31"/>
      <c r="L508" s="32"/>
      <c r="M508" s="32"/>
      <c r="N508" s="32"/>
    </row>
    <row r="509" spans="2:14" x14ac:dyDescent="0.25">
      <c r="B509" s="42"/>
      <c r="C509" s="30"/>
      <c r="D509" s="30"/>
      <c r="E509" s="30"/>
      <c r="F509" s="30"/>
      <c r="G509" s="30"/>
      <c r="H509" s="47"/>
      <c r="I509" s="63"/>
      <c r="J509" s="31"/>
      <c r="K509" s="31"/>
      <c r="L509" s="32"/>
      <c r="M509" s="32"/>
      <c r="N509" s="32"/>
    </row>
    <row r="510" spans="2:14" x14ac:dyDescent="0.25">
      <c r="B510" s="42"/>
      <c r="C510" s="30"/>
      <c r="D510" s="30"/>
      <c r="E510" s="30"/>
      <c r="F510" s="30"/>
      <c r="G510" s="30"/>
      <c r="H510" s="47"/>
      <c r="I510" s="63"/>
      <c r="J510" s="31"/>
      <c r="K510" s="31"/>
      <c r="L510" s="32"/>
      <c r="M510" s="32"/>
      <c r="N510" s="32"/>
    </row>
    <row r="511" spans="2:14" x14ac:dyDescent="0.25">
      <c r="B511" s="42"/>
      <c r="C511" s="30"/>
      <c r="D511" s="30"/>
      <c r="E511" s="30"/>
      <c r="F511" s="30"/>
      <c r="G511" s="30"/>
      <c r="H511" s="47"/>
      <c r="I511" s="63"/>
      <c r="J511" s="31"/>
      <c r="K511" s="31"/>
      <c r="L511" s="32"/>
      <c r="M511" s="32"/>
      <c r="N511" s="32"/>
    </row>
    <row r="512" spans="2:14" x14ac:dyDescent="0.25">
      <c r="B512" s="42"/>
      <c r="C512" s="30"/>
      <c r="D512" s="30"/>
      <c r="E512" s="30"/>
      <c r="F512" s="30"/>
      <c r="G512" s="30"/>
      <c r="H512" s="47"/>
      <c r="I512" s="63"/>
      <c r="J512" s="31"/>
      <c r="K512" s="31"/>
      <c r="L512" s="32"/>
      <c r="M512" s="32"/>
      <c r="N512" s="32"/>
    </row>
    <row r="513" spans="2:14" x14ac:dyDescent="0.25">
      <c r="B513" s="42"/>
      <c r="C513" s="30"/>
      <c r="D513" s="30"/>
      <c r="E513" s="30"/>
      <c r="F513" s="30"/>
      <c r="G513" s="30"/>
      <c r="H513" s="47"/>
      <c r="I513" s="63"/>
      <c r="J513" s="31"/>
      <c r="K513" s="31"/>
      <c r="L513" s="32"/>
      <c r="M513" s="32"/>
      <c r="N513" s="32"/>
    </row>
    <row r="514" spans="2:14" x14ac:dyDescent="0.25">
      <c r="B514" s="42"/>
      <c r="C514" s="30"/>
      <c r="D514" s="30"/>
      <c r="E514" s="30"/>
      <c r="F514" s="30"/>
      <c r="G514" s="30"/>
      <c r="H514" s="47"/>
      <c r="I514" s="63"/>
      <c r="J514" s="31"/>
      <c r="K514" s="31"/>
      <c r="L514" s="32"/>
      <c r="M514" s="32"/>
      <c r="N514" s="32"/>
    </row>
    <row r="515" spans="2:14" x14ac:dyDescent="0.25">
      <c r="B515" s="42"/>
      <c r="C515" s="30"/>
      <c r="D515" s="30"/>
      <c r="E515" s="30"/>
      <c r="F515" s="30"/>
      <c r="G515" s="30"/>
      <c r="H515" s="47"/>
      <c r="I515" s="63"/>
      <c r="J515" s="31"/>
      <c r="K515" s="31"/>
      <c r="L515" s="32"/>
      <c r="M515" s="32"/>
      <c r="N515" s="32"/>
    </row>
    <row r="516" spans="2:14" x14ac:dyDescent="0.25">
      <c r="B516" s="42"/>
      <c r="C516" s="30"/>
      <c r="D516" s="30"/>
      <c r="E516" s="30"/>
      <c r="F516" s="30"/>
      <c r="G516" s="30"/>
      <c r="H516" s="47"/>
      <c r="I516" s="63"/>
      <c r="J516" s="31"/>
      <c r="K516" s="31"/>
      <c r="L516" s="32"/>
      <c r="M516" s="32"/>
      <c r="N516" s="32"/>
    </row>
    <row r="517" spans="2:14" x14ac:dyDescent="0.25">
      <c r="B517" s="42"/>
      <c r="C517" s="30"/>
      <c r="D517" s="30"/>
      <c r="E517" s="30"/>
      <c r="F517" s="30"/>
      <c r="G517" s="30"/>
      <c r="H517" s="47"/>
      <c r="I517" s="63"/>
      <c r="J517" s="31"/>
      <c r="K517" s="31"/>
      <c r="L517" s="32"/>
      <c r="M517" s="32"/>
      <c r="N517" s="32"/>
    </row>
    <row r="518" spans="2:14" x14ac:dyDescent="0.25">
      <c r="B518" s="42"/>
      <c r="C518" s="30"/>
      <c r="D518" s="30"/>
      <c r="E518" s="30"/>
      <c r="F518" s="30"/>
      <c r="G518" s="30"/>
      <c r="H518" s="47"/>
      <c r="I518" s="63"/>
      <c r="J518" s="31"/>
      <c r="K518" s="31"/>
      <c r="L518" s="32"/>
      <c r="M518" s="32"/>
      <c r="N518" s="32"/>
    </row>
    <row r="519" spans="2:14" x14ac:dyDescent="0.25">
      <c r="B519" s="42"/>
      <c r="C519" s="30"/>
      <c r="D519" s="30"/>
      <c r="E519" s="30"/>
      <c r="F519" s="30"/>
      <c r="G519" s="30"/>
      <c r="H519" s="47"/>
      <c r="I519" s="63"/>
      <c r="J519" s="31"/>
      <c r="K519" s="31"/>
      <c r="L519" s="32"/>
      <c r="M519" s="32"/>
      <c r="N519" s="32"/>
    </row>
    <row r="520" spans="2:14" x14ac:dyDescent="0.25">
      <c r="B520" s="42"/>
      <c r="C520" s="30"/>
      <c r="D520" s="30"/>
      <c r="E520" s="30"/>
      <c r="F520" s="30"/>
      <c r="G520" s="30"/>
      <c r="H520" s="47"/>
      <c r="I520" s="63"/>
      <c r="J520" s="31"/>
      <c r="K520" s="31"/>
      <c r="L520" s="32"/>
      <c r="M520" s="32"/>
      <c r="N520" s="32"/>
    </row>
    <row r="521" spans="2:14" x14ac:dyDescent="0.25">
      <c r="B521" s="42"/>
      <c r="C521" s="30"/>
      <c r="D521" s="30"/>
      <c r="E521" s="30"/>
      <c r="F521" s="30"/>
      <c r="G521" s="30"/>
      <c r="H521" s="47"/>
      <c r="I521" s="63"/>
      <c r="J521" s="31"/>
      <c r="K521" s="31"/>
      <c r="L521" s="32"/>
      <c r="M521" s="32"/>
      <c r="N521" s="32"/>
    </row>
    <row r="522" spans="2:14" x14ac:dyDescent="0.25">
      <c r="B522" s="42"/>
      <c r="C522" s="30"/>
      <c r="D522" s="30"/>
      <c r="E522" s="30"/>
      <c r="F522" s="30"/>
      <c r="G522" s="30"/>
      <c r="H522" s="47"/>
      <c r="I522" s="63"/>
      <c r="J522" s="31"/>
      <c r="K522" s="31"/>
      <c r="L522" s="32"/>
      <c r="M522" s="32"/>
      <c r="N522" s="32"/>
    </row>
    <row r="523" spans="2:14" x14ac:dyDescent="0.25">
      <c r="B523" s="42"/>
      <c r="C523" s="30"/>
      <c r="D523" s="30"/>
      <c r="E523" s="30"/>
      <c r="F523" s="30"/>
      <c r="G523" s="30"/>
      <c r="H523" s="47"/>
      <c r="I523" s="63"/>
      <c r="J523" s="31"/>
      <c r="K523" s="31"/>
      <c r="L523" s="32"/>
      <c r="M523" s="32"/>
      <c r="N523" s="32"/>
    </row>
    <row r="524" spans="2:14" x14ac:dyDescent="0.25">
      <c r="B524" s="42"/>
      <c r="C524" s="30"/>
      <c r="D524" s="30"/>
      <c r="E524" s="30"/>
      <c r="F524" s="30"/>
      <c r="G524" s="30"/>
      <c r="H524" s="47"/>
      <c r="I524" s="63"/>
      <c r="J524" s="31"/>
      <c r="K524" s="31"/>
      <c r="L524" s="32"/>
      <c r="M524" s="32"/>
      <c r="N524" s="32"/>
    </row>
    <row r="525" spans="2:14" x14ac:dyDescent="0.25">
      <c r="B525" s="42"/>
      <c r="C525" s="30"/>
      <c r="D525" s="30"/>
      <c r="E525" s="30"/>
      <c r="F525" s="30"/>
      <c r="G525" s="30"/>
      <c r="H525" s="47"/>
      <c r="I525" s="63"/>
      <c r="J525" s="31"/>
      <c r="K525" s="31"/>
      <c r="L525" s="32"/>
      <c r="M525" s="32"/>
      <c r="N525" s="32"/>
    </row>
    <row r="526" spans="2:14" x14ac:dyDescent="0.25">
      <c r="B526" s="42"/>
      <c r="C526" s="30"/>
      <c r="D526" s="30"/>
      <c r="E526" s="30"/>
      <c r="F526" s="30"/>
      <c r="G526" s="30"/>
      <c r="H526" s="47"/>
      <c r="I526" s="63"/>
      <c r="J526" s="31"/>
      <c r="K526" s="31"/>
      <c r="L526" s="32"/>
      <c r="M526" s="32"/>
      <c r="N526" s="32"/>
    </row>
    <row r="527" spans="2:14" x14ac:dyDescent="0.25">
      <c r="B527" s="42"/>
      <c r="C527" s="30"/>
      <c r="D527" s="30"/>
      <c r="E527" s="30"/>
      <c r="F527" s="30"/>
      <c r="G527" s="30"/>
      <c r="H527" s="47"/>
      <c r="I527" s="63"/>
      <c r="J527" s="31"/>
      <c r="K527" s="31"/>
      <c r="L527" s="32"/>
      <c r="M527" s="32"/>
      <c r="N527" s="32"/>
    </row>
    <row r="528" spans="2:14" x14ac:dyDescent="0.25">
      <c r="B528" s="42"/>
      <c r="C528" s="30"/>
      <c r="D528" s="30"/>
      <c r="E528" s="30"/>
      <c r="F528" s="30"/>
      <c r="G528" s="30"/>
      <c r="H528" s="47"/>
      <c r="I528" s="63"/>
      <c r="J528" s="31"/>
      <c r="K528" s="31"/>
      <c r="L528" s="32"/>
      <c r="M528" s="32"/>
      <c r="N528" s="32"/>
    </row>
    <row r="529" spans="2:14" x14ac:dyDescent="0.25">
      <c r="B529" s="42"/>
      <c r="C529" s="30"/>
      <c r="D529" s="30"/>
      <c r="E529" s="30"/>
      <c r="F529" s="30"/>
      <c r="G529" s="30"/>
      <c r="H529" s="47"/>
      <c r="I529" s="63"/>
      <c r="J529" s="31"/>
      <c r="K529" s="31"/>
      <c r="L529" s="32"/>
      <c r="M529" s="32"/>
      <c r="N529" s="32"/>
    </row>
    <row r="530" spans="2:14" x14ac:dyDescent="0.25">
      <c r="B530" s="42"/>
      <c r="C530" s="30"/>
      <c r="D530" s="30"/>
      <c r="E530" s="30"/>
      <c r="F530" s="30"/>
      <c r="G530" s="30"/>
      <c r="H530" s="47"/>
      <c r="I530" s="63"/>
      <c r="J530" s="31"/>
      <c r="K530" s="31"/>
      <c r="L530" s="32"/>
      <c r="M530" s="32"/>
      <c r="N530" s="32"/>
    </row>
    <row r="531" spans="2:14" x14ac:dyDescent="0.25">
      <c r="B531" s="42"/>
      <c r="C531" s="30"/>
      <c r="D531" s="30"/>
      <c r="E531" s="30"/>
      <c r="F531" s="30"/>
      <c r="G531" s="30"/>
      <c r="H531" s="47"/>
      <c r="I531" s="63"/>
      <c r="J531" s="31"/>
      <c r="K531" s="31"/>
      <c r="L531" s="32"/>
      <c r="M531" s="32"/>
      <c r="N531" s="32"/>
    </row>
    <row r="532" spans="2:14" x14ac:dyDescent="0.25">
      <c r="B532" s="42"/>
      <c r="C532" s="30"/>
      <c r="D532" s="30"/>
      <c r="E532" s="30"/>
      <c r="F532" s="30"/>
      <c r="G532" s="30"/>
      <c r="H532" s="47"/>
      <c r="I532" s="63"/>
      <c r="J532" s="31"/>
      <c r="K532" s="31"/>
      <c r="L532" s="32"/>
      <c r="M532" s="32"/>
      <c r="N532" s="32"/>
    </row>
    <row r="533" spans="2:14" x14ac:dyDescent="0.25">
      <c r="B533" s="42"/>
      <c r="C533" s="30"/>
      <c r="D533" s="30"/>
      <c r="E533" s="30"/>
      <c r="F533" s="30"/>
      <c r="G533" s="30"/>
      <c r="H533" s="47"/>
      <c r="I533" s="63"/>
      <c r="J533" s="31"/>
      <c r="K533" s="31"/>
      <c r="L533" s="32"/>
      <c r="M533" s="32"/>
      <c r="N533" s="32"/>
    </row>
    <row r="534" spans="2:14" x14ac:dyDescent="0.25">
      <c r="B534" s="42"/>
      <c r="C534" s="30"/>
      <c r="D534" s="30"/>
      <c r="E534" s="30"/>
      <c r="F534" s="30"/>
      <c r="G534" s="30"/>
      <c r="H534" s="47"/>
      <c r="I534" s="63"/>
      <c r="J534" s="31"/>
      <c r="K534" s="31"/>
      <c r="L534" s="32"/>
      <c r="M534" s="32"/>
      <c r="N534" s="32"/>
    </row>
    <row r="535" spans="2:14" x14ac:dyDescent="0.25">
      <c r="B535" s="42"/>
      <c r="C535" s="30"/>
      <c r="D535" s="30"/>
      <c r="E535" s="30"/>
      <c r="F535" s="30"/>
      <c r="G535" s="30"/>
      <c r="H535" s="47"/>
      <c r="I535" s="63"/>
      <c r="J535" s="31"/>
      <c r="K535" s="31"/>
      <c r="L535" s="32"/>
      <c r="M535" s="32"/>
      <c r="N535" s="32"/>
    </row>
    <row r="536" spans="2:14" x14ac:dyDescent="0.25">
      <c r="B536" s="42"/>
      <c r="C536" s="30"/>
      <c r="D536" s="30"/>
      <c r="E536" s="30"/>
      <c r="F536" s="30"/>
      <c r="G536" s="30"/>
      <c r="H536" s="47"/>
      <c r="I536" s="63"/>
      <c r="J536" s="31"/>
      <c r="K536" s="31"/>
      <c r="L536" s="32"/>
      <c r="M536" s="32"/>
      <c r="N536" s="32"/>
    </row>
    <row r="537" spans="2:14" x14ac:dyDescent="0.25">
      <c r="B537" s="42"/>
      <c r="C537" s="30"/>
      <c r="D537" s="30"/>
      <c r="E537" s="30"/>
      <c r="F537" s="30"/>
      <c r="G537" s="30"/>
      <c r="H537" s="47"/>
      <c r="I537" s="63"/>
      <c r="J537" s="31"/>
      <c r="K537" s="31"/>
      <c r="L537" s="32"/>
      <c r="M537" s="32"/>
      <c r="N537" s="32"/>
    </row>
    <row r="538" spans="2:14" x14ac:dyDescent="0.25">
      <c r="B538" s="42"/>
      <c r="C538" s="30"/>
      <c r="D538" s="30"/>
      <c r="E538" s="30"/>
      <c r="F538" s="30"/>
      <c r="G538" s="30"/>
      <c r="H538" s="47"/>
      <c r="I538" s="63"/>
      <c r="J538" s="31"/>
      <c r="K538" s="31"/>
      <c r="L538" s="32"/>
      <c r="M538" s="32"/>
      <c r="N538" s="32"/>
    </row>
    <row r="539" spans="2:14" x14ac:dyDescent="0.25">
      <c r="B539" s="42"/>
      <c r="C539" s="30"/>
      <c r="D539" s="30"/>
      <c r="E539" s="30"/>
      <c r="F539" s="30"/>
      <c r="G539" s="30"/>
      <c r="H539" s="47"/>
      <c r="I539" s="63"/>
      <c r="J539" s="31"/>
      <c r="K539" s="31"/>
      <c r="L539" s="32"/>
      <c r="M539" s="32"/>
      <c r="N539" s="32"/>
    </row>
    <row r="540" spans="2:14" x14ac:dyDescent="0.25">
      <c r="B540" s="42"/>
      <c r="C540" s="30"/>
      <c r="D540" s="30"/>
      <c r="E540" s="30"/>
      <c r="F540" s="30"/>
      <c r="G540" s="30"/>
      <c r="H540" s="47"/>
      <c r="I540" s="63"/>
      <c r="J540" s="31"/>
      <c r="K540" s="31"/>
      <c r="L540" s="32"/>
      <c r="M540" s="32"/>
      <c r="N540" s="32"/>
    </row>
    <row r="541" spans="2:14" x14ac:dyDescent="0.25">
      <c r="B541" s="42"/>
      <c r="C541" s="30"/>
      <c r="D541" s="30"/>
      <c r="E541" s="30"/>
      <c r="F541" s="30"/>
      <c r="G541" s="30"/>
      <c r="H541" s="47"/>
      <c r="I541" s="63"/>
      <c r="J541" s="31"/>
      <c r="K541" s="31"/>
      <c r="L541" s="32"/>
      <c r="M541" s="32"/>
      <c r="N541" s="32"/>
    </row>
    <row r="542" spans="2:14" x14ac:dyDescent="0.25">
      <c r="B542" s="42"/>
      <c r="C542" s="30"/>
      <c r="D542" s="30"/>
      <c r="E542" s="30"/>
      <c r="F542" s="30"/>
      <c r="G542" s="30"/>
      <c r="H542" s="47"/>
      <c r="I542" s="63"/>
      <c r="J542" s="31"/>
      <c r="K542" s="31"/>
      <c r="L542" s="32"/>
      <c r="M542" s="32"/>
      <c r="N542" s="32"/>
    </row>
    <row r="543" spans="2:14" x14ac:dyDescent="0.25">
      <c r="B543" s="42"/>
      <c r="C543" s="30"/>
      <c r="D543" s="30"/>
      <c r="E543" s="30"/>
      <c r="F543" s="30"/>
      <c r="G543" s="30"/>
      <c r="H543" s="47"/>
      <c r="I543" s="63"/>
      <c r="J543" s="31"/>
      <c r="K543" s="31"/>
      <c r="L543" s="32"/>
      <c r="M543" s="32"/>
      <c r="N543" s="32"/>
    </row>
    <row r="544" spans="2:14" x14ac:dyDescent="0.25">
      <c r="B544" s="42"/>
      <c r="C544" s="30"/>
      <c r="D544" s="30"/>
      <c r="E544" s="30"/>
      <c r="F544" s="30"/>
      <c r="G544" s="30"/>
      <c r="H544" s="47"/>
      <c r="I544" s="63"/>
      <c r="J544" s="31"/>
      <c r="K544" s="31"/>
      <c r="L544" s="32"/>
      <c r="M544" s="32"/>
      <c r="N544" s="32"/>
    </row>
    <row r="545" spans="2:14" x14ac:dyDescent="0.25">
      <c r="B545" s="42"/>
      <c r="C545" s="30"/>
      <c r="D545" s="30"/>
      <c r="E545" s="30"/>
      <c r="F545" s="30"/>
      <c r="G545" s="30"/>
      <c r="H545" s="47"/>
      <c r="I545" s="63"/>
      <c r="J545" s="31"/>
      <c r="K545" s="31"/>
      <c r="L545" s="32"/>
      <c r="M545" s="32"/>
      <c r="N545" s="32"/>
    </row>
    <row r="546" spans="2:14" x14ac:dyDescent="0.25">
      <c r="B546" s="42"/>
      <c r="C546" s="30"/>
      <c r="D546" s="30"/>
      <c r="E546" s="30"/>
      <c r="F546" s="30"/>
      <c r="G546" s="30"/>
      <c r="H546" s="47"/>
      <c r="I546" s="63"/>
      <c r="J546" s="31"/>
      <c r="K546" s="31"/>
      <c r="L546" s="32"/>
      <c r="M546" s="32"/>
      <c r="N546" s="32"/>
    </row>
    <row r="547" spans="2:14" x14ac:dyDescent="0.25">
      <c r="B547" s="42"/>
      <c r="C547" s="30"/>
      <c r="D547" s="30"/>
      <c r="E547" s="30"/>
      <c r="F547" s="30"/>
      <c r="G547" s="30"/>
      <c r="H547" s="47"/>
      <c r="I547" s="63"/>
      <c r="J547" s="31"/>
      <c r="K547" s="31"/>
      <c r="L547" s="32"/>
      <c r="M547" s="32"/>
      <c r="N547" s="32"/>
    </row>
    <row r="548" spans="2:14" x14ac:dyDescent="0.25">
      <c r="B548" s="42"/>
      <c r="C548" s="30"/>
      <c r="D548" s="30"/>
      <c r="E548" s="30"/>
      <c r="F548" s="30"/>
      <c r="G548" s="30"/>
      <c r="H548" s="47"/>
      <c r="I548" s="63"/>
      <c r="J548" s="31"/>
      <c r="K548" s="31"/>
      <c r="L548" s="32"/>
      <c r="M548" s="32"/>
      <c r="N548" s="32"/>
    </row>
    <row r="549" spans="2:14" x14ac:dyDescent="0.25">
      <c r="B549" s="42"/>
      <c r="C549" s="30"/>
      <c r="D549" s="30"/>
      <c r="E549" s="30"/>
      <c r="F549" s="30"/>
      <c r="G549" s="30"/>
      <c r="H549" s="47"/>
      <c r="I549" s="63"/>
      <c r="J549" s="31"/>
      <c r="K549" s="31"/>
      <c r="L549" s="32"/>
      <c r="M549" s="32"/>
      <c r="N549" s="32"/>
    </row>
    <row r="550" spans="2:14" x14ac:dyDescent="0.25">
      <c r="B550" s="42"/>
      <c r="C550" s="30"/>
      <c r="D550" s="30"/>
      <c r="E550" s="30"/>
      <c r="F550" s="30"/>
      <c r="G550" s="30"/>
      <c r="H550" s="47"/>
      <c r="I550" s="63"/>
      <c r="J550" s="31"/>
      <c r="K550" s="31"/>
      <c r="L550" s="32"/>
      <c r="M550" s="32"/>
      <c r="N550" s="32"/>
    </row>
    <row r="551" spans="2:14" x14ac:dyDescent="0.25">
      <c r="B551" s="42"/>
      <c r="C551" s="30"/>
      <c r="D551" s="30"/>
      <c r="E551" s="30"/>
      <c r="F551" s="30"/>
      <c r="G551" s="30"/>
      <c r="H551" s="47"/>
      <c r="I551" s="63"/>
      <c r="J551" s="31"/>
      <c r="K551" s="31"/>
      <c r="L551" s="32"/>
      <c r="M551" s="32"/>
      <c r="N551" s="32"/>
    </row>
    <row r="552" spans="2:14" x14ac:dyDescent="0.25">
      <c r="B552" s="42"/>
      <c r="C552" s="30"/>
      <c r="D552" s="30"/>
      <c r="E552" s="30"/>
      <c r="F552" s="30"/>
      <c r="G552" s="30"/>
      <c r="H552" s="47"/>
      <c r="I552" s="63"/>
      <c r="J552" s="31"/>
      <c r="K552" s="31"/>
      <c r="L552" s="32"/>
      <c r="M552" s="32"/>
      <c r="N552" s="32"/>
    </row>
    <row r="553" spans="2:14" x14ac:dyDescent="0.25">
      <c r="B553" s="42"/>
      <c r="C553" s="30"/>
      <c r="D553" s="30"/>
      <c r="E553" s="30"/>
      <c r="F553" s="30"/>
      <c r="G553" s="30"/>
      <c r="H553" s="47"/>
      <c r="I553" s="63"/>
      <c r="J553" s="31"/>
      <c r="K553" s="31"/>
      <c r="L553" s="32"/>
      <c r="M553" s="32"/>
      <c r="N553" s="32"/>
    </row>
    <row r="554" spans="2:14" x14ac:dyDescent="0.25">
      <c r="B554" s="42"/>
      <c r="C554" s="30"/>
      <c r="D554" s="30"/>
      <c r="E554" s="30"/>
      <c r="F554" s="30"/>
      <c r="G554" s="30"/>
      <c r="H554" s="47"/>
      <c r="I554" s="63"/>
      <c r="J554" s="31"/>
      <c r="K554" s="31"/>
      <c r="L554" s="32"/>
      <c r="M554" s="32"/>
      <c r="N554" s="32"/>
    </row>
    <row r="555" spans="2:14" x14ac:dyDescent="0.25">
      <c r="B555" s="42"/>
      <c r="C555" s="30"/>
      <c r="D555" s="30"/>
      <c r="E555" s="30"/>
      <c r="F555" s="30"/>
      <c r="G555" s="30"/>
      <c r="H555" s="47"/>
      <c r="I555" s="63"/>
      <c r="J555" s="31"/>
      <c r="K555" s="31"/>
      <c r="L555" s="32"/>
      <c r="M555" s="32"/>
      <c r="N555" s="32"/>
    </row>
    <row r="556" spans="2:14" x14ac:dyDescent="0.25">
      <c r="B556" s="42"/>
      <c r="C556" s="30"/>
      <c r="D556" s="30"/>
      <c r="E556" s="30"/>
      <c r="F556" s="30"/>
      <c r="G556" s="30"/>
      <c r="H556" s="47"/>
      <c r="I556" s="63"/>
      <c r="J556" s="31"/>
      <c r="K556" s="31"/>
      <c r="L556" s="32"/>
      <c r="M556" s="32"/>
      <c r="N556" s="32"/>
    </row>
    <row r="557" spans="2:14" x14ac:dyDescent="0.25">
      <c r="B557" s="42"/>
      <c r="C557" s="30"/>
      <c r="D557" s="30"/>
      <c r="E557" s="30"/>
      <c r="F557" s="30"/>
      <c r="G557" s="30"/>
      <c r="H557" s="47"/>
      <c r="I557" s="63"/>
      <c r="J557" s="31"/>
      <c r="K557" s="31"/>
      <c r="L557" s="32"/>
      <c r="M557" s="32"/>
      <c r="N557" s="32"/>
    </row>
    <row r="558" spans="2:14" x14ac:dyDescent="0.25">
      <c r="B558" s="42"/>
      <c r="C558" s="30"/>
      <c r="D558" s="30"/>
      <c r="E558" s="30"/>
      <c r="F558" s="30"/>
      <c r="G558" s="30"/>
      <c r="H558" s="47"/>
      <c r="I558" s="63"/>
      <c r="J558" s="31"/>
      <c r="K558" s="31"/>
      <c r="L558" s="32"/>
      <c r="M558" s="32"/>
      <c r="N558" s="32"/>
    </row>
    <row r="559" spans="2:14" x14ac:dyDescent="0.25">
      <c r="B559" s="42"/>
      <c r="C559" s="30"/>
      <c r="D559" s="30"/>
      <c r="E559" s="30"/>
      <c r="F559" s="30"/>
      <c r="G559" s="30"/>
      <c r="H559" s="47"/>
      <c r="I559" s="63"/>
      <c r="J559" s="31"/>
      <c r="K559" s="31"/>
      <c r="L559" s="32"/>
      <c r="M559" s="32"/>
      <c r="N559" s="32"/>
    </row>
    <row r="560" spans="2:14" x14ac:dyDescent="0.25">
      <c r="B560" s="42"/>
      <c r="C560" s="30"/>
      <c r="D560" s="30"/>
      <c r="E560" s="30"/>
      <c r="F560" s="30"/>
      <c r="G560" s="30"/>
      <c r="H560" s="47"/>
      <c r="I560" s="63"/>
      <c r="J560" s="31"/>
      <c r="K560" s="31"/>
      <c r="L560" s="32"/>
      <c r="M560" s="32"/>
      <c r="N560" s="32"/>
    </row>
    <row r="561" spans="2:14" x14ac:dyDescent="0.25">
      <c r="B561" s="42"/>
      <c r="C561" s="30"/>
      <c r="D561" s="30"/>
      <c r="E561" s="30"/>
      <c r="F561" s="30"/>
      <c r="G561" s="30"/>
      <c r="H561" s="47"/>
      <c r="I561" s="63"/>
      <c r="J561" s="31"/>
      <c r="K561" s="31"/>
      <c r="L561" s="32"/>
      <c r="M561" s="32"/>
      <c r="N561" s="32"/>
    </row>
    <row r="562" spans="2:14" x14ac:dyDescent="0.25">
      <c r="B562" s="42"/>
      <c r="C562" s="30"/>
      <c r="D562" s="30"/>
      <c r="E562" s="30"/>
      <c r="F562" s="30"/>
      <c r="G562" s="30"/>
      <c r="H562" s="47"/>
      <c r="I562" s="63"/>
      <c r="J562" s="31"/>
      <c r="K562" s="31"/>
      <c r="L562" s="32"/>
      <c r="M562" s="32"/>
      <c r="N562" s="32"/>
    </row>
    <row r="563" spans="2:14" x14ac:dyDescent="0.25">
      <c r="B563" s="42"/>
      <c r="C563" s="30"/>
      <c r="D563" s="30"/>
      <c r="E563" s="30"/>
      <c r="F563" s="30"/>
      <c r="G563" s="30"/>
      <c r="H563" s="47"/>
      <c r="I563" s="63"/>
      <c r="J563" s="31"/>
      <c r="K563" s="31"/>
      <c r="L563" s="32"/>
      <c r="M563" s="32"/>
      <c r="N563" s="32"/>
    </row>
    <row r="564" spans="2:14" x14ac:dyDescent="0.25">
      <c r="B564" s="42"/>
      <c r="C564" s="30"/>
      <c r="D564" s="30"/>
      <c r="E564" s="30"/>
      <c r="F564" s="30"/>
      <c r="G564" s="30"/>
      <c r="H564" s="47"/>
      <c r="I564" s="63"/>
      <c r="J564" s="31"/>
      <c r="K564" s="31"/>
      <c r="L564" s="32"/>
      <c r="M564" s="32"/>
      <c r="N564" s="32"/>
    </row>
    <row r="565" spans="2:14" x14ac:dyDescent="0.25">
      <c r="B565" s="42"/>
      <c r="C565" s="30"/>
      <c r="D565" s="30"/>
      <c r="E565" s="30"/>
      <c r="F565" s="30"/>
      <c r="G565" s="30"/>
      <c r="H565" s="47"/>
      <c r="I565" s="63"/>
      <c r="J565" s="31"/>
      <c r="K565" s="31"/>
      <c r="L565" s="32"/>
      <c r="M565" s="32"/>
      <c r="N565" s="32"/>
    </row>
    <row r="566" spans="2:14" x14ac:dyDescent="0.25">
      <c r="B566" s="42"/>
      <c r="C566" s="30"/>
      <c r="D566" s="30"/>
      <c r="E566" s="30"/>
      <c r="F566" s="30"/>
      <c r="G566" s="30"/>
      <c r="H566" s="47"/>
      <c r="I566" s="63"/>
      <c r="J566" s="31"/>
      <c r="K566" s="31"/>
      <c r="L566" s="32"/>
      <c r="M566" s="32"/>
      <c r="N566" s="32"/>
    </row>
    <row r="567" spans="2:14" x14ac:dyDescent="0.25">
      <c r="B567" s="42"/>
      <c r="C567" s="30"/>
      <c r="D567" s="30"/>
      <c r="E567" s="30"/>
      <c r="F567" s="30"/>
      <c r="G567" s="30"/>
      <c r="H567" s="47"/>
      <c r="I567" s="63"/>
      <c r="J567" s="31"/>
      <c r="K567" s="31"/>
      <c r="L567" s="32"/>
      <c r="M567" s="32"/>
      <c r="N567" s="32"/>
    </row>
    <row r="568" spans="2:14" x14ac:dyDescent="0.25">
      <c r="B568" s="42"/>
      <c r="C568" s="30"/>
      <c r="D568" s="30"/>
      <c r="E568" s="30"/>
      <c r="F568" s="30"/>
      <c r="G568" s="30"/>
      <c r="H568" s="47"/>
      <c r="I568" s="63"/>
      <c r="J568" s="31"/>
      <c r="K568" s="31"/>
      <c r="L568" s="32"/>
      <c r="M568" s="32"/>
      <c r="N568" s="32"/>
    </row>
    <row r="569" spans="2:14" x14ac:dyDescent="0.25">
      <c r="B569" s="42"/>
      <c r="C569" s="30"/>
      <c r="D569" s="30"/>
      <c r="E569" s="30"/>
      <c r="F569" s="30"/>
      <c r="G569" s="30"/>
      <c r="H569" s="47"/>
      <c r="I569" s="63"/>
      <c r="J569" s="31"/>
      <c r="K569" s="31"/>
      <c r="L569" s="32"/>
      <c r="M569" s="32"/>
      <c r="N569" s="32"/>
    </row>
    <row r="570" spans="2:14" x14ac:dyDescent="0.25">
      <c r="B570" s="42"/>
      <c r="C570" s="30"/>
      <c r="D570" s="30"/>
      <c r="E570" s="30"/>
      <c r="F570" s="30"/>
      <c r="G570" s="30"/>
      <c r="H570" s="47"/>
      <c r="I570" s="63"/>
      <c r="J570" s="31"/>
      <c r="K570" s="31"/>
      <c r="L570" s="32"/>
      <c r="M570" s="32"/>
      <c r="N570" s="32"/>
    </row>
    <row r="571" spans="2:14" x14ac:dyDescent="0.25">
      <c r="B571" s="42"/>
      <c r="C571" s="30"/>
      <c r="D571" s="30"/>
      <c r="E571" s="30"/>
      <c r="F571" s="30"/>
      <c r="G571" s="30"/>
      <c r="H571" s="47"/>
      <c r="I571" s="63"/>
      <c r="J571" s="31"/>
      <c r="K571" s="31"/>
      <c r="L571" s="32"/>
      <c r="M571" s="32"/>
      <c r="N571" s="32"/>
    </row>
    <row r="572" spans="2:14" x14ac:dyDescent="0.25">
      <c r="B572" s="42"/>
      <c r="C572" s="30"/>
      <c r="D572" s="30"/>
      <c r="E572" s="30"/>
      <c r="F572" s="30"/>
      <c r="G572" s="30"/>
      <c r="H572" s="47"/>
      <c r="I572" s="63"/>
      <c r="J572" s="31"/>
      <c r="K572" s="31"/>
      <c r="L572" s="32"/>
      <c r="M572" s="32"/>
      <c r="N572" s="32"/>
    </row>
    <row r="573" spans="2:14" x14ac:dyDescent="0.25">
      <c r="B573" s="42"/>
      <c r="C573" s="30"/>
      <c r="D573" s="30"/>
      <c r="E573" s="30"/>
      <c r="F573" s="30"/>
      <c r="G573" s="30"/>
      <c r="H573" s="47"/>
      <c r="I573" s="63"/>
      <c r="J573" s="31"/>
      <c r="K573" s="31"/>
      <c r="L573" s="32"/>
      <c r="M573" s="32"/>
      <c r="N573" s="32"/>
    </row>
    <row r="574" spans="2:14" x14ac:dyDescent="0.25">
      <c r="B574" s="42"/>
      <c r="C574" s="30"/>
      <c r="D574" s="30"/>
      <c r="E574" s="30"/>
      <c r="F574" s="30"/>
      <c r="G574" s="30"/>
      <c r="H574" s="47"/>
      <c r="I574" s="63"/>
      <c r="J574" s="31"/>
      <c r="K574" s="31"/>
      <c r="L574" s="32"/>
      <c r="M574" s="32"/>
      <c r="N574" s="32"/>
    </row>
    <row r="575" spans="2:14" x14ac:dyDescent="0.25">
      <c r="B575" s="42"/>
      <c r="C575" s="30"/>
      <c r="D575" s="30"/>
      <c r="E575" s="30"/>
      <c r="F575" s="30"/>
      <c r="G575" s="30"/>
      <c r="H575" s="47"/>
      <c r="I575" s="63"/>
      <c r="J575" s="31"/>
      <c r="K575" s="31"/>
      <c r="L575" s="32"/>
      <c r="M575" s="32"/>
      <c r="N575" s="32"/>
    </row>
    <row r="576" spans="2:14" x14ac:dyDescent="0.25">
      <c r="B576" s="42"/>
      <c r="C576" s="30"/>
      <c r="D576" s="30"/>
      <c r="E576" s="30"/>
      <c r="F576" s="30"/>
      <c r="G576" s="30"/>
      <c r="H576" s="47"/>
      <c r="I576" s="63"/>
      <c r="J576" s="31"/>
      <c r="K576" s="31"/>
      <c r="L576" s="32"/>
      <c r="M576" s="32"/>
      <c r="N576" s="32"/>
    </row>
    <row r="577" spans="2:14" x14ac:dyDescent="0.25">
      <c r="B577" s="42"/>
      <c r="C577" s="30"/>
      <c r="D577" s="30"/>
      <c r="E577" s="30"/>
      <c r="F577" s="30"/>
      <c r="G577" s="30"/>
      <c r="H577" s="47"/>
      <c r="I577" s="63"/>
      <c r="J577" s="31"/>
      <c r="K577" s="31"/>
      <c r="L577" s="32"/>
      <c r="M577" s="32"/>
      <c r="N577" s="32"/>
    </row>
    <row r="578" spans="2:14" x14ac:dyDescent="0.25">
      <c r="B578" s="42"/>
      <c r="C578" s="30"/>
      <c r="D578" s="30"/>
      <c r="E578" s="30"/>
      <c r="F578" s="30"/>
      <c r="G578" s="30"/>
      <c r="H578" s="47"/>
      <c r="I578" s="63"/>
      <c r="J578" s="31"/>
      <c r="K578" s="31"/>
      <c r="L578" s="32"/>
      <c r="M578" s="32"/>
      <c r="N578" s="32"/>
    </row>
    <row r="579" spans="2:14" x14ac:dyDescent="0.25">
      <c r="B579" s="42"/>
      <c r="C579" s="30"/>
      <c r="D579" s="30"/>
      <c r="E579" s="30"/>
      <c r="F579" s="30"/>
      <c r="G579" s="30"/>
      <c r="H579" s="47"/>
      <c r="I579" s="63"/>
      <c r="J579" s="31"/>
      <c r="K579" s="31"/>
      <c r="L579" s="32"/>
      <c r="M579" s="32"/>
      <c r="N579" s="32"/>
    </row>
    <row r="580" spans="2:14" x14ac:dyDescent="0.25">
      <c r="B580" s="42"/>
      <c r="C580" s="30"/>
      <c r="D580" s="30"/>
      <c r="E580" s="30"/>
      <c r="F580" s="30"/>
      <c r="G580" s="30"/>
      <c r="H580" s="47"/>
      <c r="I580" s="63"/>
      <c r="J580" s="31"/>
      <c r="K580" s="31"/>
      <c r="L580" s="32"/>
      <c r="M580" s="32"/>
      <c r="N580" s="32"/>
    </row>
    <row r="581" spans="2:14" x14ac:dyDescent="0.25">
      <c r="B581" s="42"/>
      <c r="C581" s="30"/>
      <c r="D581" s="30"/>
      <c r="E581" s="30"/>
      <c r="F581" s="30"/>
      <c r="G581" s="30"/>
      <c r="H581" s="47"/>
      <c r="I581" s="63"/>
      <c r="J581" s="31"/>
      <c r="K581" s="31"/>
      <c r="L581" s="32"/>
      <c r="M581" s="32"/>
      <c r="N581" s="32"/>
    </row>
    <row r="582" spans="2:14" x14ac:dyDescent="0.25">
      <c r="B582" s="42"/>
      <c r="C582" s="30"/>
      <c r="D582" s="30"/>
      <c r="E582" s="30"/>
      <c r="F582" s="30"/>
      <c r="G582" s="30"/>
      <c r="H582" s="47"/>
      <c r="I582" s="63"/>
      <c r="J582" s="31"/>
      <c r="K582" s="31"/>
      <c r="L582" s="32"/>
      <c r="M582" s="32"/>
      <c r="N582" s="32"/>
    </row>
    <row r="583" spans="2:14" x14ac:dyDescent="0.25">
      <c r="B583" s="42"/>
      <c r="C583" s="30"/>
      <c r="D583" s="30"/>
      <c r="E583" s="30"/>
      <c r="F583" s="30"/>
      <c r="G583" s="30"/>
      <c r="H583" s="47"/>
      <c r="I583" s="63"/>
      <c r="J583" s="31"/>
      <c r="K583" s="31"/>
      <c r="L583" s="32"/>
      <c r="M583" s="32"/>
      <c r="N583" s="32"/>
    </row>
    <row r="584" spans="2:14" x14ac:dyDescent="0.25">
      <c r="B584" s="42"/>
      <c r="C584" s="30"/>
      <c r="D584" s="30"/>
      <c r="E584" s="30"/>
      <c r="F584" s="30"/>
      <c r="G584" s="30"/>
      <c r="H584" s="47"/>
      <c r="I584" s="63"/>
      <c r="J584" s="31"/>
      <c r="K584" s="31"/>
      <c r="L584" s="32"/>
      <c r="M584" s="32"/>
      <c r="N584" s="32"/>
    </row>
    <row r="585" spans="2:14" x14ac:dyDescent="0.25">
      <c r="B585" s="42"/>
      <c r="C585" s="30"/>
      <c r="D585" s="30"/>
      <c r="E585" s="30"/>
      <c r="F585" s="30"/>
      <c r="G585" s="30"/>
      <c r="H585" s="47"/>
      <c r="I585" s="63"/>
      <c r="J585" s="31"/>
      <c r="K585" s="31"/>
      <c r="L585" s="32"/>
      <c r="M585" s="32"/>
      <c r="N585" s="32"/>
    </row>
    <row r="586" spans="2:14" x14ac:dyDescent="0.25">
      <c r="B586" s="42"/>
      <c r="C586" s="30"/>
      <c r="D586" s="30"/>
      <c r="E586" s="30"/>
      <c r="F586" s="30"/>
      <c r="G586" s="30"/>
      <c r="H586" s="47"/>
      <c r="I586" s="63"/>
      <c r="J586" s="31"/>
      <c r="K586" s="31"/>
      <c r="L586" s="32"/>
      <c r="M586" s="32"/>
      <c r="N586" s="32"/>
    </row>
    <row r="587" spans="2:14" x14ac:dyDescent="0.25">
      <c r="B587" s="42"/>
      <c r="C587" s="30"/>
      <c r="D587" s="30"/>
      <c r="E587" s="30"/>
      <c r="F587" s="30"/>
      <c r="G587" s="30"/>
      <c r="H587" s="47"/>
      <c r="I587" s="63"/>
      <c r="J587" s="31"/>
      <c r="K587" s="31"/>
      <c r="L587" s="32"/>
      <c r="M587" s="32"/>
      <c r="N587" s="32"/>
    </row>
    <row r="588" spans="2:14" x14ac:dyDescent="0.25">
      <c r="B588" s="42"/>
      <c r="C588" s="30"/>
      <c r="D588" s="30"/>
      <c r="E588" s="30"/>
      <c r="F588" s="30"/>
      <c r="G588" s="30"/>
      <c r="H588" s="47"/>
      <c r="I588" s="63"/>
      <c r="J588" s="31"/>
      <c r="K588" s="31"/>
      <c r="L588" s="32"/>
      <c r="M588" s="32"/>
      <c r="N588" s="32"/>
    </row>
    <row r="589" spans="2:14" x14ac:dyDescent="0.25">
      <c r="B589" s="42"/>
      <c r="C589" s="30"/>
      <c r="D589" s="30"/>
      <c r="E589" s="30"/>
      <c r="F589" s="30"/>
      <c r="G589" s="30"/>
      <c r="H589" s="47"/>
      <c r="I589" s="63"/>
      <c r="J589" s="31"/>
      <c r="K589" s="31"/>
      <c r="L589" s="32"/>
      <c r="M589" s="32"/>
      <c r="N589" s="32"/>
    </row>
    <row r="590" spans="2:14" x14ac:dyDescent="0.25">
      <c r="B590" s="42"/>
      <c r="C590" s="30"/>
      <c r="D590" s="30"/>
      <c r="E590" s="30"/>
      <c r="F590" s="30"/>
      <c r="G590" s="30"/>
      <c r="H590" s="47"/>
      <c r="I590" s="63"/>
      <c r="J590" s="31"/>
      <c r="K590" s="31"/>
      <c r="L590" s="32"/>
      <c r="M590" s="32"/>
      <c r="N590" s="32"/>
    </row>
    <row r="591" spans="2:14" x14ac:dyDescent="0.25">
      <c r="B591" s="42"/>
      <c r="C591" s="30"/>
      <c r="D591" s="30"/>
      <c r="E591" s="30"/>
      <c r="F591" s="30"/>
      <c r="G591" s="30"/>
      <c r="H591" s="47"/>
      <c r="I591" s="63"/>
      <c r="J591" s="31"/>
      <c r="K591" s="31"/>
      <c r="L591" s="32"/>
      <c r="M591" s="32"/>
      <c r="N591" s="32"/>
    </row>
    <row r="592" spans="2:14" x14ac:dyDescent="0.25">
      <c r="B592" s="42"/>
      <c r="C592" s="30"/>
      <c r="D592" s="30"/>
      <c r="E592" s="30"/>
      <c r="F592" s="30"/>
      <c r="G592" s="30"/>
      <c r="H592" s="47"/>
      <c r="I592" s="63"/>
      <c r="J592" s="31"/>
      <c r="K592" s="31"/>
      <c r="L592" s="32"/>
      <c r="M592" s="32"/>
      <c r="N592" s="32"/>
    </row>
    <row r="593" spans="2:14" x14ac:dyDescent="0.25">
      <c r="B593" s="42"/>
      <c r="C593" s="30"/>
      <c r="D593" s="30"/>
      <c r="E593" s="30"/>
      <c r="F593" s="30"/>
      <c r="G593" s="30"/>
      <c r="H593" s="47"/>
      <c r="I593" s="63"/>
      <c r="J593" s="31"/>
      <c r="K593" s="31"/>
      <c r="L593" s="32"/>
      <c r="M593" s="32"/>
      <c r="N593" s="32"/>
    </row>
    <row r="594" spans="2:14" x14ac:dyDescent="0.25">
      <c r="B594" s="42"/>
      <c r="C594" s="30"/>
      <c r="D594" s="30"/>
      <c r="E594" s="30"/>
      <c r="F594" s="30"/>
      <c r="G594" s="30"/>
      <c r="H594" s="47"/>
      <c r="I594" s="63"/>
      <c r="J594" s="31"/>
      <c r="K594" s="31"/>
      <c r="L594" s="32"/>
      <c r="M594" s="32"/>
      <c r="N594" s="32"/>
    </row>
    <row r="595" spans="2:14" x14ac:dyDescent="0.25">
      <c r="B595" s="42"/>
      <c r="C595" s="30"/>
      <c r="D595" s="30"/>
      <c r="E595" s="30"/>
      <c r="F595" s="30"/>
      <c r="G595" s="30"/>
      <c r="H595" s="47"/>
      <c r="I595" s="63"/>
      <c r="J595" s="31"/>
      <c r="K595" s="31"/>
      <c r="L595" s="32"/>
      <c r="M595" s="32"/>
      <c r="N595" s="32"/>
    </row>
    <row r="596" spans="2:14" x14ac:dyDescent="0.25">
      <c r="B596" s="42"/>
      <c r="C596" s="30"/>
      <c r="D596" s="30"/>
      <c r="E596" s="30"/>
      <c r="F596" s="30"/>
      <c r="G596" s="30"/>
      <c r="H596" s="47"/>
      <c r="I596" s="63"/>
      <c r="J596" s="31"/>
      <c r="K596" s="31"/>
      <c r="L596" s="32"/>
      <c r="M596" s="32"/>
      <c r="N596" s="32"/>
    </row>
    <row r="597" spans="2:14" x14ac:dyDescent="0.25">
      <c r="B597" s="42"/>
      <c r="C597" s="30"/>
      <c r="D597" s="30"/>
      <c r="E597" s="30"/>
      <c r="F597" s="30"/>
      <c r="G597" s="30"/>
      <c r="H597" s="47"/>
      <c r="I597" s="63"/>
      <c r="J597" s="31"/>
      <c r="K597" s="31"/>
      <c r="L597" s="32"/>
      <c r="M597" s="32"/>
      <c r="N597" s="32"/>
    </row>
    <row r="598" spans="2:14" x14ac:dyDescent="0.25">
      <c r="B598" s="42"/>
      <c r="C598" s="30"/>
      <c r="D598" s="30"/>
      <c r="E598" s="30"/>
      <c r="F598" s="30"/>
      <c r="G598" s="30"/>
      <c r="H598" s="47"/>
      <c r="I598" s="63"/>
      <c r="J598" s="31"/>
      <c r="K598" s="31"/>
      <c r="L598" s="32"/>
      <c r="M598" s="32"/>
      <c r="N598" s="32"/>
    </row>
    <row r="599" spans="2:14" x14ac:dyDescent="0.25">
      <c r="B599" s="42"/>
      <c r="C599" s="30"/>
      <c r="D599" s="30"/>
      <c r="E599" s="30"/>
      <c r="F599" s="30"/>
      <c r="G599" s="30"/>
      <c r="H599" s="47"/>
      <c r="I599" s="63"/>
      <c r="J599" s="31"/>
      <c r="K599" s="31"/>
      <c r="L599" s="32"/>
      <c r="M599" s="32"/>
      <c r="N599" s="32"/>
    </row>
    <row r="600" spans="2:14" x14ac:dyDescent="0.25">
      <c r="B600" s="42"/>
      <c r="C600" s="30"/>
      <c r="D600" s="30"/>
      <c r="E600" s="30"/>
      <c r="F600" s="30"/>
      <c r="G600" s="30"/>
      <c r="H600" s="47"/>
      <c r="I600" s="63"/>
      <c r="J600" s="31"/>
      <c r="K600" s="31"/>
      <c r="L600" s="32"/>
      <c r="M600" s="32"/>
      <c r="N600" s="32"/>
    </row>
    <row r="601" spans="2:14" x14ac:dyDescent="0.25">
      <c r="B601" s="42"/>
      <c r="C601" s="30"/>
      <c r="D601" s="30"/>
      <c r="E601" s="30"/>
      <c r="F601" s="30"/>
      <c r="G601" s="30"/>
      <c r="H601" s="47"/>
      <c r="I601" s="63"/>
      <c r="J601" s="31"/>
      <c r="K601" s="31"/>
      <c r="L601" s="32"/>
      <c r="M601" s="32"/>
      <c r="N601" s="32"/>
    </row>
    <row r="602" spans="2:14" x14ac:dyDescent="0.25">
      <c r="B602" s="42"/>
      <c r="C602" s="30"/>
      <c r="D602" s="30"/>
      <c r="E602" s="30"/>
      <c r="F602" s="30"/>
      <c r="G602" s="30"/>
      <c r="H602" s="47"/>
      <c r="I602" s="63"/>
      <c r="J602" s="31"/>
      <c r="K602" s="31"/>
      <c r="L602" s="32"/>
      <c r="M602" s="32"/>
      <c r="N602" s="32"/>
    </row>
    <row r="603" spans="2:14" x14ac:dyDescent="0.25">
      <c r="B603" s="42"/>
      <c r="C603" s="30"/>
      <c r="D603" s="30"/>
      <c r="E603" s="30"/>
      <c r="F603" s="30"/>
      <c r="G603" s="30"/>
      <c r="H603" s="47"/>
      <c r="I603" s="63"/>
      <c r="J603" s="31"/>
      <c r="K603" s="31"/>
      <c r="L603" s="32"/>
      <c r="M603" s="32"/>
      <c r="N603" s="32"/>
    </row>
    <row r="604" spans="2:14" x14ac:dyDescent="0.25">
      <c r="B604" s="42"/>
      <c r="C604" s="30"/>
      <c r="D604" s="30"/>
      <c r="E604" s="30"/>
      <c r="F604" s="30"/>
      <c r="G604" s="30"/>
      <c r="H604" s="47"/>
      <c r="I604" s="63"/>
      <c r="J604" s="31"/>
      <c r="K604" s="31"/>
      <c r="L604" s="32"/>
      <c r="M604" s="32"/>
      <c r="N604" s="32"/>
    </row>
    <row r="605" spans="2:14" x14ac:dyDescent="0.25">
      <c r="B605" s="42"/>
      <c r="C605" s="30"/>
      <c r="D605" s="30"/>
      <c r="E605" s="30"/>
      <c r="F605" s="30"/>
      <c r="G605" s="30"/>
      <c r="H605" s="47"/>
      <c r="I605" s="63"/>
      <c r="J605" s="31"/>
      <c r="K605" s="31"/>
      <c r="L605" s="32"/>
      <c r="M605" s="32"/>
      <c r="N605" s="32"/>
    </row>
    <row r="606" spans="2:14" x14ac:dyDescent="0.25">
      <c r="B606" s="42"/>
      <c r="C606" s="30"/>
      <c r="D606" s="30"/>
      <c r="E606" s="30"/>
      <c r="F606" s="30"/>
      <c r="G606" s="30"/>
      <c r="H606" s="47"/>
      <c r="I606" s="63"/>
      <c r="J606" s="31"/>
      <c r="K606" s="31"/>
      <c r="L606" s="32"/>
      <c r="M606" s="32"/>
      <c r="N606" s="32"/>
    </row>
    <row r="607" spans="2:14" x14ac:dyDescent="0.25">
      <c r="B607" s="42"/>
      <c r="C607" s="30"/>
      <c r="D607" s="30"/>
      <c r="E607" s="30"/>
      <c r="F607" s="30"/>
      <c r="G607" s="30"/>
      <c r="H607" s="47"/>
      <c r="I607" s="63"/>
      <c r="J607" s="31"/>
      <c r="K607" s="31"/>
      <c r="L607" s="32"/>
      <c r="M607" s="32"/>
      <c r="N607" s="32"/>
    </row>
    <row r="608" spans="2:14" x14ac:dyDescent="0.25">
      <c r="B608" s="42"/>
      <c r="C608" s="30"/>
      <c r="D608" s="30"/>
      <c r="E608" s="30"/>
      <c r="F608" s="30"/>
      <c r="G608" s="30"/>
      <c r="H608" s="47"/>
      <c r="I608" s="63"/>
      <c r="J608" s="31"/>
      <c r="K608" s="31"/>
      <c r="L608" s="32"/>
      <c r="M608" s="32"/>
      <c r="N608" s="32"/>
    </row>
    <row r="609" spans="2:14" x14ac:dyDescent="0.25">
      <c r="B609" s="42"/>
      <c r="C609" s="30"/>
      <c r="D609" s="30"/>
      <c r="E609" s="30"/>
      <c r="F609" s="30"/>
      <c r="G609" s="30"/>
      <c r="H609" s="47"/>
      <c r="I609" s="63"/>
      <c r="J609" s="31"/>
      <c r="K609" s="31"/>
      <c r="L609" s="32"/>
      <c r="M609" s="32"/>
      <c r="N609" s="32"/>
    </row>
    <row r="610" spans="2:14" x14ac:dyDescent="0.25">
      <c r="B610" s="42"/>
      <c r="C610" s="30"/>
      <c r="D610" s="30"/>
      <c r="E610" s="30"/>
      <c r="F610" s="30"/>
      <c r="G610" s="30"/>
      <c r="H610" s="47"/>
      <c r="I610" s="63"/>
      <c r="J610" s="31"/>
      <c r="K610" s="31"/>
      <c r="L610" s="32"/>
      <c r="M610" s="32"/>
      <c r="N610" s="32"/>
    </row>
    <row r="611" spans="2:14" x14ac:dyDescent="0.25">
      <c r="B611" s="42"/>
      <c r="C611" s="30"/>
      <c r="D611" s="30"/>
      <c r="E611" s="30"/>
      <c r="F611" s="30"/>
      <c r="G611" s="30"/>
      <c r="H611" s="47"/>
      <c r="I611" s="63"/>
      <c r="J611" s="31"/>
      <c r="K611" s="31"/>
      <c r="L611" s="32"/>
      <c r="M611" s="32"/>
      <c r="N611" s="32"/>
    </row>
    <row r="612" spans="2:14" x14ac:dyDescent="0.25">
      <c r="B612" s="42"/>
      <c r="C612" s="30"/>
      <c r="D612" s="30"/>
      <c r="E612" s="30"/>
      <c r="F612" s="30"/>
      <c r="G612" s="30"/>
      <c r="H612" s="47"/>
      <c r="I612" s="63"/>
      <c r="J612" s="31"/>
      <c r="K612" s="31"/>
      <c r="L612" s="32"/>
      <c r="M612" s="32"/>
      <c r="N612" s="32"/>
    </row>
    <row r="613" spans="2:14" x14ac:dyDescent="0.25">
      <c r="B613" s="42"/>
      <c r="C613" s="30"/>
      <c r="D613" s="30"/>
      <c r="E613" s="30"/>
      <c r="F613" s="30"/>
      <c r="G613" s="30"/>
      <c r="H613" s="47"/>
      <c r="I613" s="63"/>
      <c r="J613" s="31"/>
      <c r="K613" s="31"/>
      <c r="L613" s="32"/>
      <c r="M613" s="32"/>
      <c r="N613" s="32"/>
    </row>
    <row r="614" spans="2:14" x14ac:dyDescent="0.25">
      <c r="B614" s="42"/>
      <c r="C614" s="30"/>
      <c r="D614" s="30"/>
      <c r="E614" s="30"/>
      <c r="F614" s="30"/>
      <c r="G614" s="30"/>
      <c r="H614" s="47"/>
      <c r="I614" s="63"/>
      <c r="J614" s="31"/>
      <c r="K614" s="31"/>
      <c r="L614" s="32"/>
      <c r="M614" s="32"/>
      <c r="N614" s="32"/>
    </row>
    <row r="615" spans="2:14" x14ac:dyDescent="0.25">
      <c r="B615" s="42"/>
      <c r="C615" s="30"/>
      <c r="D615" s="30"/>
      <c r="E615" s="30"/>
      <c r="F615" s="30"/>
      <c r="G615" s="30"/>
      <c r="H615" s="47"/>
      <c r="I615" s="63"/>
      <c r="J615" s="31"/>
      <c r="K615" s="31"/>
      <c r="L615" s="32"/>
      <c r="M615" s="32"/>
      <c r="N615" s="32"/>
    </row>
    <row r="616" spans="2:14" x14ac:dyDescent="0.25">
      <c r="B616" s="42"/>
      <c r="C616" s="30"/>
      <c r="D616" s="30"/>
      <c r="E616" s="30"/>
      <c r="F616" s="30"/>
      <c r="G616" s="30"/>
      <c r="H616" s="47"/>
      <c r="I616" s="63"/>
      <c r="J616" s="31"/>
      <c r="K616" s="31"/>
      <c r="L616" s="32"/>
      <c r="M616" s="32"/>
      <c r="N616" s="32"/>
    </row>
    <row r="617" spans="2:14" x14ac:dyDescent="0.25">
      <c r="B617" s="42"/>
      <c r="C617" s="30"/>
      <c r="D617" s="30"/>
      <c r="E617" s="30"/>
      <c r="F617" s="30"/>
      <c r="G617" s="30"/>
      <c r="H617" s="47"/>
      <c r="I617" s="63"/>
      <c r="J617" s="31"/>
      <c r="K617" s="31"/>
      <c r="L617" s="32"/>
      <c r="M617" s="32"/>
      <c r="N617" s="32"/>
    </row>
    <row r="618" spans="2:14" x14ac:dyDescent="0.25">
      <c r="B618" s="42"/>
      <c r="C618" s="30"/>
      <c r="D618" s="30"/>
      <c r="E618" s="30"/>
      <c r="F618" s="30"/>
      <c r="G618" s="30"/>
      <c r="H618" s="47"/>
      <c r="I618" s="63"/>
      <c r="J618" s="31"/>
      <c r="K618" s="31"/>
      <c r="L618" s="32"/>
      <c r="M618" s="32"/>
      <c r="N618" s="32"/>
    </row>
    <row r="619" spans="2:14" x14ac:dyDescent="0.25">
      <c r="B619" s="42"/>
      <c r="C619" s="30"/>
      <c r="D619" s="30"/>
      <c r="E619" s="30"/>
      <c r="F619" s="30"/>
      <c r="G619" s="30"/>
      <c r="H619" s="47"/>
      <c r="I619" s="63"/>
      <c r="J619" s="31"/>
      <c r="K619" s="31"/>
      <c r="L619" s="32"/>
      <c r="M619" s="32"/>
      <c r="N619" s="32"/>
    </row>
    <row r="620" spans="2:14" x14ac:dyDescent="0.25">
      <c r="B620" s="42"/>
      <c r="C620" s="30"/>
      <c r="D620" s="30"/>
      <c r="E620" s="30"/>
      <c r="F620" s="30"/>
      <c r="G620" s="30"/>
      <c r="H620" s="47"/>
      <c r="I620" s="63"/>
      <c r="J620" s="31"/>
      <c r="K620" s="31"/>
      <c r="L620" s="32"/>
      <c r="M620" s="32"/>
      <c r="N620" s="32"/>
    </row>
    <row r="621" spans="2:14" x14ac:dyDescent="0.25">
      <c r="B621" s="42"/>
      <c r="C621" s="30"/>
      <c r="D621" s="30"/>
      <c r="E621" s="30"/>
      <c r="F621" s="30"/>
      <c r="G621" s="30"/>
      <c r="H621" s="47"/>
      <c r="I621" s="63"/>
      <c r="J621" s="31"/>
      <c r="K621" s="31"/>
      <c r="L621" s="32"/>
      <c r="M621" s="32"/>
      <c r="N621" s="32"/>
    </row>
    <row r="622" spans="2:14" x14ac:dyDescent="0.25">
      <c r="B622" s="42"/>
      <c r="C622" s="30"/>
      <c r="D622" s="30"/>
      <c r="E622" s="30"/>
      <c r="F622" s="30"/>
      <c r="G622" s="30"/>
      <c r="H622" s="47"/>
      <c r="I622" s="63"/>
      <c r="J622" s="31"/>
      <c r="K622" s="31"/>
      <c r="L622" s="32"/>
      <c r="M622" s="32"/>
      <c r="N622" s="32"/>
    </row>
    <row r="623" spans="2:14" x14ac:dyDescent="0.25">
      <c r="B623" s="42"/>
      <c r="C623" s="30"/>
      <c r="D623" s="30"/>
      <c r="E623" s="30"/>
      <c r="F623" s="30"/>
      <c r="G623" s="30"/>
      <c r="H623" s="47"/>
      <c r="I623" s="63"/>
      <c r="J623" s="31"/>
      <c r="K623" s="31"/>
      <c r="L623" s="32"/>
      <c r="M623" s="32"/>
      <c r="N623" s="32"/>
    </row>
    <row r="624" spans="2:14" x14ac:dyDescent="0.25">
      <c r="B624" s="42"/>
      <c r="C624" s="30"/>
      <c r="D624" s="30"/>
      <c r="E624" s="30"/>
      <c r="F624" s="30"/>
      <c r="G624" s="30"/>
      <c r="H624" s="47"/>
      <c r="I624" s="63"/>
      <c r="J624" s="31"/>
      <c r="K624" s="31"/>
      <c r="L624" s="32"/>
      <c r="M624" s="32"/>
      <c r="N624" s="32"/>
    </row>
    <row r="625" spans="2:14" x14ac:dyDescent="0.25">
      <c r="B625" s="42"/>
      <c r="C625" s="30"/>
      <c r="D625" s="30"/>
      <c r="E625" s="30"/>
      <c r="F625" s="30"/>
      <c r="G625" s="30"/>
      <c r="H625" s="47"/>
      <c r="I625" s="63"/>
      <c r="J625" s="31"/>
      <c r="K625" s="31"/>
      <c r="L625" s="32"/>
      <c r="M625" s="32"/>
      <c r="N625" s="32"/>
    </row>
    <row r="626" spans="2:14" x14ac:dyDescent="0.25">
      <c r="B626" s="42"/>
      <c r="C626" s="30"/>
      <c r="D626" s="30"/>
      <c r="E626" s="30"/>
      <c r="F626" s="30"/>
      <c r="G626" s="30"/>
      <c r="H626" s="47"/>
      <c r="I626" s="63"/>
      <c r="J626" s="31"/>
      <c r="K626" s="31"/>
      <c r="L626" s="32"/>
      <c r="M626" s="32"/>
      <c r="N626" s="32"/>
    </row>
    <row r="627" spans="2:14" x14ac:dyDescent="0.25">
      <c r="B627" s="42"/>
      <c r="C627" s="30"/>
      <c r="D627" s="30"/>
      <c r="E627" s="30"/>
      <c r="F627" s="30"/>
      <c r="G627" s="30"/>
      <c r="H627" s="47"/>
      <c r="I627" s="63"/>
      <c r="J627" s="31"/>
      <c r="K627" s="31"/>
      <c r="L627" s="32"/>
      <c r="M627" s="32"/>
      <c r="N627" s="32"/>
    </row>
    <row r="628" spans="2:14" x14ac:dyDescent="0.25">
      <c r="B628" s="42"/>
      <c r="C628" s="30"/>
      <c r="D628" s="30"/>
      <c r="E628" s="30"/>
      <c r="F628" s="30"/>
      <c r="G628" s="30"/>
      <c r="H628" s="47"/>
      <c r="I628" s="63"/>
      <c r="J628" s="31"/>
      <c r="K628" s="31"/>
      <c r="L628" s="32"/>
      <c r="M628" s="32"/>
      <c r="N628" s="32"/>
    </row>
    <row r="629" spans="2:14" x14ac:dyDescent="0.25">
      <c r="B629" s="42"/>
      <c r="C629" s="30"/>
      <c r="D629" s="30"/>
      <c r="E629" s="30"/>
      <c r="F629" s="30"/>
      <c r="G629" s="30"/>
      <c r="H629" s="47"/>
      <c r="I629" s="63"/>
      <c r="J629" s="31"/>
      <c r="K629" s="31"/>
      <c r="L629" s="32"/>
      <c r="M629" s="32"/>
      <c r="N629" s="32"/>
    </row>
    <row r="630" spans="2:14" x14ac:dyDescent="0.25">
      <c r="B630" s="42"/>
      <c r="C630" s="30"/>
      <c r="D630" s="30"/>
      <c r="E630" s="30"/>
      <c r="F630" s="30"/>
      <c r="G630" s="30"/>
      <c r="H630" s="47"/>
      <c r="I630" s="63"/>
      <c r="J630" s="31"/>
      <c r="K630" s="31"/>
      <c r="L630" s="32"/>
      <c r="M630" s="32"/>
      <c r="N630" s="32"/>
    </row>
    <row r="631" spans="2:14" x14ac:dyDescent="0.25">
      <c r="B631" s="42"/>
      <c r="C631" s="30"/>
      <c r="D631" s="30"/>
      <c r="E631" s="30"/>
      <c r="F631" s="30"/>
      <c r="G631" s="30"/>
      <c r="H631" s="47"/>
      <c r="I631" s="63"/>
      <c r="J631" s="31"/>
      <c r="K631" s="31"/>
      <c r="L631" s="32"/>
      <c r="M631" s="32"/>
      <c r="N631" s="32"/>
    </row>
    <row r="632" spans="2:14" x14ac:dyDescent="0.25">
      <c r="B632" s="42"/>
      <c r="C632" s="30"/>
      <c r="D632" s="30"/>
      <c r="E632" s="30"/>
      <c r="F632" s="30"/>
      <c r="G632" s="30"/>
      <c r="H632" s="47"/>
      <c r="I632" s="63"/>
      <c r="J632" s="31"/>
      <c r="K632" s="31"/>
      <c r="L632" s="32"/>
      <c r="M632" s="32"/>
      <c r="N632" s="32"/>
    </row>
    <row r="633" spans="2:14" x14ac:dyDescent="0.25">
      <c r="B633" s="42"/>
      <c r="C633" s="30"/>
      <c r="D633" s="30"/>
      <c r="E633" s="30"/>
      <c r="F633" s="30"/>
      <c r="G633" s="30"/>
      <c r="H633" s="47"/>
      <c r="I633" s="63"/>
      <c r="J633" s="31"/>
      <c r="K633" s="31"/>
      <c r="L633" s="32"/>
      <c r="M633" s="32"/>
      <c r="N633" s="32"/>
    </row>
    <row r="634" spans="2:14" x14ac:dyDescent="0.25">
      <c r="B634" s="42"/>
      <c r="C634" s="30"/>
      <c r="D634" s="30"/>
      <c r="E634" s="30"/>
      <c r="F634" s="30"/>
      <c r="G634" s="30"/>
      <c r="H634" s="47"/>
      <c r="I634" s="63"/>
      <c r="J634" s="31"/>
      <c r="K634" s="31"/>
      <c r="L634" s="32"/>
      <c r="M634" s="32"/>
      <c r="N634" s="32"/>
    </row>
    <row r="635" spans="2:14" x14ac:dyDescent="0.25">
      <c r="B635" s="42"/>
      <c r="C635" s="30"/>
      <c r="D635" s="30"/>
      <c r="E635" s="30"/>
      <c r="F635" s="30"/>
      <c r="G635" s="30"/>
      <c r="H635" s="47"/>
      <c r="I635" s="63"/>
      <c r="J635" s="31"/>
      <c r="K635" s="31"/>
      <c r="L635" s="32"/>
      <c r="M635" s="32"/>
      <c r="N635" s="32"/>
    </row>
    <row r="636" spans="2:14" x14ac:dyDescent="0.25">
      <c r="B636" s="42"/>
      <c r="C636" s="30"/>
      <c r="D636" s="30"/>
      <c r="E636" s="30"/>
      <c r="F636" s="30"/>
      <c r="G636" s="30"/>
      <c r="H636" s="47"/>
      <c r="I636" s="63"/>
      <c r="J636" s="31"/>
      <c r="K636" s="31"/>
      <c r="L636" s="32"/>
      <c r="M636" s="32"/>
      <c r="N636" s="32"/>
    </row>
    <row r="637" spans="2:14" x14ac:dyDescent="0.25">
      <c r="B637" s="42"/>
      <c r="C637" s="30"/>
      <c r="D637" s="30"/>
      <c r="E637" s="30"/>
      <c r="F637" s="30"/>
      <c r="G637" s="30"/>
      <c r="H637" s="47"/>
      <c r="I637" s="63"/>
      <c r="J637" s="31"/>
      <c r="K637" s="31"/>
      <c r="L637" s="32"/>
      <c r="M637" s="32"/>
      <c r="N637" s="32"/>
    </row>
    <row r="638" spans="2:14" x14ac:dyDescent="0.25">
      <c r="B638" s="42"/>
      <c r="C638" s="30"/>
      <c r="D638" s="30"/>
      <c r="E638" s="30"/>
      <c r="F638" s="30"/>
      <c r="G638" s="30"/>
      <c r="H638" s="47"/>
      <c r="I638" s="63"/>
      <c r="J638" s="31"/>
      <c r="K638" s="31"/>
      <c r="L638" s="32"/>
      <c r="M638" s="32"/>
      <c r="N638" s="32"/>
    </row>
    <row r="639" spans="2:14" x14ac:dyDescent="0.25">
      <c r="B639" s="42"/>
      <c r="C639" s="30"/>
      <c r="D639" s="30"/>
      <c r="E639" s="30"/>
      <c r="F639" s="30"/>
      <c r="G639" s="30"/>
      <c r="H639" s="47"/>
      <c r="I639" s="63"/>
      <c r="J639" s="31"/>
      <c r="K639" s="31"/>
      <c r="L639" s="32"/>
      <c r="M639" s="32"/>
      <c r="N639" s="32"/>
    </row>
    <row r="640" spans="2:14" x14ac:dyDescent="0.25">
      <c r="B640" s="42"/>
      <c r="C640" s="30"/>
      <c r="D640" s="30"/>
      <c r="E640" s="30"/>
      <c r="F640" s="30"/>
      <c r="G640" s="30"/>
      <c r="H640" s="47"/>
      <c r="I640" s="63"/>
      <c r="J640" s="31"/>
      <c r="K640" s="31"/>
      <c r="L640" s="32"/>
      <c r="M640" s="32"/>
      <c r="N640" s="32"/>
    </row>
    <row r="641" spans="2:14" x14ac:dyDescent="0.25">
      <c r="B641" s="42"/>
      <c r="C641" s="30"/>
      <c r="D641" s="30"/>
      <c r="E641" s="30"/>
      <c r="F641" s="30"/>
      <c r="G641" s="30"/>
      <c r="H641" s="47"/>
      <c r="I641" s="63"/>
      <c r="J641" s="31"/>
      <c r="K641" s="31"/>
      <c r="L641" s="32"/>
      <c r="M641" s="32"/>
      <c r="N641" s="32"/>
    </row>
    <row r="642" spans="2:14" x14ac:dyDescent="0.25">
      <c r="B642" s="42"/>
      <c r="C642" s="30"/>
      <c r="D642" s="30"/>
      <c r="E642" s="30"/>
      <c r="F642" s="30"/>
      <c r="G642" s="30"/>
      <c r="H642" s="47"/>
      <c r="I642" s="63"/>
      <c r="J642" s="31"/>
      <c r="K642" s="31"/>
      <c r="L642" s="32"/>
      <c r="M642" s="32"/>
      <c r="N642" s="32"/>
    </row>
    <row r="643" spans="2:14" x14ac:dyDescent="0.25">
      <c r="B643" s="42"/>
      <c r="C643" s="30"/>
      <c r="D643" s="30"/>
      <c r="E643" s="30"/>
      <c r="F643" s="30"/>
      <c r="G643" s="30"/>
      <c r="H643" s="47"/>
      <c r="I643" s="63"/>
      <c r="J643" s="31"/>
      <c r="K643" s="31"/>
      <c r="L643" s="32"/>
      <c r="M643" s="32"/>
      <c r="N643" s="32"/>
    </row>
    <row r="644" spans="2:14" x14ac:dyDescent="0.25">
      <c r="B644" s="42"/>
      <c r="C644" s="30"/>
      <c r="D644" s="30"/>
      <c r="E644" s="30"/>
      <c r="F644" s="30"/>
      <c r="G644" s="30"/>
      <c r="H644" s="47"/>
      <c r="I644" s="63"/>
      <c r="J644" s="31"/>
      <c r="K644" s="31"/>
      <c r="L644" s="32"/>
      <c r="M644" s="32"/>
      <c r="N644" s="32"/>
    </row>
    <row r="645" spans="2:14" x14ac:dyDescent="0.25">
      <c r="B645" s="42"/>
      <c r="C645" s="30"/>
      <c r="D645" s="30"/>
      <c r="E645" s="30"/>
      <c r="F645" s="30"/>
      <c r="G645" s="30"/>
      <c r="H645" s="47"/>
      <c r="I645" s="63"/>
      <c r="J645" s="31"/>
      <c r="K645" s="31"/>
      <c r="L645" s="32"/>
      <c r="M645" s="32"/>
      <c r="N645" s="32"/>
    </row>
    <row r="646" spans="2:14" x14ac:dyDescent="0.25">
      <c r="B646" s="42"/>
      <c r="C646" s="30"/>
      <c r="D646" s="30"/>
      <c r="E646" s="30"/>
      <c r="F646" s="30"/>
      <c r="G646" s="30"/>
      <c r="H646" s="47"/>
      <c r="I646" s="63"/>
      <c r="J646" s="31"/>
      <c r="K646" s="31"/>
      <c r="L646" s="32"/>
      <c r="M646" s="32"/>
      <c r="N646" s="32"/>
    </row>
    <row r="647" spans="2:14" x14ac:dyDescent="0.25">
      <c r="B647" s="42"/>
      <c r="C647" s="30"/>
      <c r="D647" s="30"/>
      <c r="E647" s="30"/>
      <c r="F647" s="30"/>
      <c r="G647" s="30"/>
      <c r="H647" s="47"/>
      <c r="I647" s="63"/>
      <c r="J647" s="31"/>
      <c r="K647" s="31"/>
      <c r="L647" s="32"/>
      <c r="M647" s="32"/>
      <c r="N647" s="32"/>
    </row>
    <row r="648" spans="2:14" x14ac:dyDescent="0.25">
      <c r="B648" s="42"/>
      <c r="C648" s="30"/>
      <c r="D648" s="30"/>
      <c r="E648" s="30"/>
      <c r="F648" s="30"/>
      <c r="G648" s="30"/>
      <c r="H648" s="47"/>
      <c r="I648" s="63"/>
      <c r="J648" s="31"/>
      <c r="K648" s="31"/>
      <c r="L648" s="32"/>
      <c r="M648" s="32"/>
      <c r="N648" s="32"/>
    </row>
    <row r="649" spans="2:14" x14ac:dyDescent="0.25">
      <c r="B649" s="42"/>
      <c r="C649" s="30"/>
      <c r="D649" s="30"/>
      <c r="E649" s="30"/>
      <c r="F649" s="30"/>
      <c r="G649" s="30"/>
      <c r="H649" s="47"/>
      <c r="I649" s="63"/>
      <c r="J649" s="31"/>
      <c r="K649" s="31"/>
      <c r="L649" s="32"/>
      <c r="M649" s="32"/>
      <c r="N649" s="32"/>
    </row>
    <row r="650" spans="2:14" x14ac:dyDescent="0.25">
      <c r="B650" s="42"/>
      <c r="C650" s="30"/>
      <c r="D650" s="30"/>
      <c r="E650" s="30"/>
      <c r="F650" s="30"/>
      <c r="G650" s="30"/>
      <c r="H650" s="47"/>
      <c r="I650" s="63"/>
      <c r="J650" s="31"/>
      <c r="K650" s="31"/>
      <c r="L650" s="32"/>
      <c r="M650" s="32"/>
      <c r="N650" s="32"/>
    </row>
    <row r="651" spans="2:14" x14ac:dyDescent="0.25">
      <c r="B651" s="42"/>
      <c r="C651" s="30"/>
      <c r="D651" s="30"/>
      <c r="E651" s="30"/>
      <c r="F651" s="30"/>
      <c r="G651" s="30"/>
      <c r="H651" s="47"/>
      <c r="I651" s="63"/>
      <c r="J651" s="31"/>
      <c r="K651" s="31"/>
      <c r="L651" s="32"/>
      <c r="M651" s="32"/>
      <c r="N651" s="32"/>
    </row>
    <row r="652" spans="2:14" x14ac:dyDescent="0.25">
      <c r="B652" s="42"/>
      <c r="C652" s="30"/>
      <c r="D652" s="30"/>
      <c r="E652" s="30"/>
      <c r="F652" s="30"/>
      <c r="G652" s="30"/>
      <c r="H652" s="47"/>
      <c r="I652" s="63"/>
      <c r="J652" s="31"/>
      <c r="K652" s="31"/>
      <c r="L652" s="32"/>
      <c r="M652" s="32"/>
      <c r="N652" s="32"/>
    </row>
    <row r="653" spans="2:14" x14ac:dyDescent="0.25">
      <c r="B653" s="42"/>
      <c r="C653" s="30"/>
      <c r="D653" s="30"/>
      <c r="E653" s="30"/>
      <c r="F653" s="30"/>
      <c r="G653" s="30"/>
      <c r="H653" s="47"/>
      <c r="I653" s="63"/>
      <c r="J653" s="31"/>
      <c r="K653" s="31"/>
      <c r="L653" s="32"/>
      <c r="M653" s="32"/>
      <c r="N653" s="32"/>
    </row>
    <row r="654" spans="2:14" x14ac:dyDescent="0.25">
      <c r="B654" s="42"/>
      <c r="C654" s="30"/>
      <c r="D654" s="30"/>
      <c r="E654" s="30"/>
      <c r="F654" s="30"/>
      <c r="G654" s="30"/>
      <c r="H654" s="47"/>
      <c r="I654" s="63"/>
      <c r="J654" s="31"/>
      <c r="K654" s="31"/>
      <c r="L654" s="32"/>
      <c r="M654" s="32"/>
      <c r="N654" s="32"/>
    </row>
    <row r="655" spans="2:14" x14ac:dyDescent="0.25">
      <c r="B655" s="42"/>
      <c r="C655" s="30"/>
      <c r="D655" s="30"/>
      <c r="E655" s="30"/>
      <c r="F655" s="30"/>
      <c r="G655" s="30"/>
      <c r="H655" s="47"/>
      <c r="I655" s="63"/>
      <c r="J655" s="31"/>
      <c r="K655" s="31"/>
      <c r="L655" s="32"/>
      <c r="M655" s="32"/>
      <c r="N655" s="32"/>
    </row>
    <row r="656" spans="2:14" x14ac:dyDescent="0.25">
      <c r="B656" s="42"/>
      <c r="C656" s="30"/>
      <c r="D656" s="30"/>
      <c r="E656" s="30"/>
      <c r="F656" s="30"/>
      <c r="G656" s="30"/>
      <c r="H656" s="47"/>
      <c r="I656" s="63"/>
      <c r="J656" s="31"/>
      <c r="K656" s="31"/>
      <c r="L656" s="32"/>
      <c r="M656" s="32"/>
      <c r="N656" s="32"/>
    </row>
    <row r="657" spans="2:14" x14ac:dyDescent="0.25">
      <c r="B657" s="42"/>
      <c r="C657" s="30"/>
      <c r="D657" s="30"/>
      <c r="E657" s="30"/>
      <c r="F657" s="30"/>
      <c r="G657" s="30"/>
      <c r="H657" s="47"/>
      <c r="I657" s="63"/>
      <c r="J657" s="31"/>
      <c r="K657" s="31"/>
      <c r="L657" s="32"/>
      <c r="M657" s="32"/>
      <c r="N657" s="32"/>
    </row>
    <row r="658" spans="2:14" x14ac:dyDescent="0.25">
      <c r="B658" s="42"/>
      <c r="C658" s="30"/>
      <c r="D658" s="30"/>
      <c r="E658" s="30"/>
      <c r="F658" s="30"/>
      <c r="G658" s="30"/>
      <c r="H658" s="47"/>
      <c r="I658" s="63"/>
      <c r="J658" s="31"/>
      <c r="K658" s="31"/>
      <c r="L658" s="32"/>
      <c r="M658" s="32"/>
      <c r="N658" s="32"/>
    </row>
    <row r="659" spans="2:14" x14ac:dyDescent="0.25">
      <c r="B659" s="42"/>
      <c r="C659" s="30"/>
      <c r="D659" s="30"/>
      <c r="E659" s="30"/>
      <c r="F659" s="30"/>
      <c r="G659" s="30"/>
      <c r="H659" s="47"/>
      <c r="I659" s="63"/>
      <c r="J659" s="31"/>
      <c r="K659" s="31"/>
      <c r="L659" s="32"/>
      <c r="M659" s="32"/>
      <c r="N659" s="32"/>
    </row>
    <row r="660" spans="2:14" x14ac:dyDescent="0.25">
      <c r="B660" s="42"/>
      <c r="C660" s="30"/>
      <c r="D660" s="30"/>
      <c r="E660" s="30"/>
      <c r="F660" s="30"/>
      <c r="G660" s="30"/>
      <c r="H660" s="47"/>
      <c r="I660" s="63"/>
      <c r="J660" s="31"/>
      <c r="K660" s="31"/>
      <c r="L660" s="32"/>
      <c r="M660" s="32"/>
      <c r="N660" s="32"/>
    </row>
    <row r="661" spans="2:14" x14ac:dyDescent="0.25">
      <c r="B661" s="42"/>
      <c r="C661" s="30"/>
      <c r="D661" s="30"/>
      <c r="E661" s="30"/>
      <c r="F661" s="30"/>
      <c r="G661" s="30"/>
      <c r="H661" s="47"/>
      <c r="I661" s="63"/>
      <c r="J661" s="31"/>
      <c r="K661" s="31"/>
      <c r="L661" s="32"/>
      <c r="M661" s="32"/>
      <c r="N661" s="32"/>
    </row>
    <row r="662" spans="2:14" x14ac:dyDescent="0.25">
      <c r="B662" s="42"/>
      <c r="C662" s="30"/>
      <c r="D662" s="30"/>
      <c r="E662" s="30"/>
      <c r="F662" s="30"/>
      <c r="G662" s="30"/>
      <c r="H662" s="47"/>
      <c r="I662" s="63"/>
      <c r="J662" s="31"/>
      <c r="K662" s="31"/>
      <c r="L662" s="32"/>
      <c r="M662" s="32"/>
      <c r="N662" s="32"/>
    </row>
    <row r="663" spans="2:14" x14ac:dyDescent="0.25">
      <c r="B663" s="42"/>
      <c r="C663" s="30"/>
      <c r="D663" s="30"/>
      <c r="E663" s="30"/>
      <c r="F663" s="30"/>
      <c r="G663" s="30"/>
      <c r="H663" s="47"/>
      <c r="I663" s="63"/>
      <c r="J663" s="31"/>
      <c r="K663" s="31"/>
      <c r="L663" s="32"/>
      <c r="M663" s="32"/>
      <c r="N663" s="32"/>
    </row>
    <row r="664" spans="2:14" x14ac:dyDescent="0.25">
      <c r="B664" s="42"/>
      <c r="C664" s="30"/>
      <c r="D664" s="30"/>
      <c r="E664" s="30"/>
      <c r="F664" s="30"/>
      <c r="G664" s="30"/>
      <c r="H664" s="47"/>
      <c r="I664" s="63"/>
      <c r="J664" s="31"/>
      <c r="K664" s="31"/>
      <c r="L664" s="32"/>
      <c r="M664" s="32"/>
      <c r="N664" s="32"/>
    </row>
    <row r="665" spans="2:14" x14ac:dyDescent="0.25">
      <c r="B665" s="42"/>
      <c r="C665" s="30"/>
      <c r="D665" s="30"/>
      <c r="E665" s="30"/>
      <c r="F665" s="30"/>
      <c r="G665" s="30"/>
      <c r="H665" s="47"/>
      <c r="I665" s="63"/>
      <c r="J665" s="31"/>
      <c r="K665" s="31"/>
      <c r="L665" s="32"/>
      <c r="M665" s="32"/>
      <c r="N665" s="32"/>
    </row>
    <row r="666" spans="2:14" x14ac:dyDescent="0.25">
      <c r="B666" s="42"/>
      <c r="C666" s="30"/>
      <c r="D666" s="30"/>
      <c r="E666" s="30"/>
      <c r="F666" s="30"/>
      <c r="G666" s="30"/>
      <c r="H666" s="47"/>
      <c r="I666" s="63"/>
      <c r="J666" s="31"/>
      <c r="K666" s="31"/>
      <c r="L666" s="32"/>
      <c r="M666" s="32"/>
      <c r="N666" s="32"/>
    </row>
    <row r="667" spans="2:14" x14ac:dyDescent="0.25">
      <c r="B667" s="42"/>
      <c r="C667" s="30"/>
      <c r="D667" s="30"/>
      <c r="E667" s="30"/>
      <c r="F667" s="30"/>
      <c r="G667" s="30"/>
      <c r="H667" s="47"/>
      <c r="I667" s="63"/>
      <c r="J667" s="31"/>
      <c r="K667" s="31"/>
      <c r="L667" s="32"/>
      <c r="M667" s="32"/>
      <c r="N667" s="32"/>
    </row>
    <row r="668" spans="2:14" x14ac:dyDescent="0.25">
      <c r="B668" s="42"/>
      <c r="C668" s="30"/>
      <c r="D668" s="30"/>
      <c r="E668" s="30"/>
      <c r="F668" s="30"/>
      <c r="G668" s="30"/>
      <c r="H668" s="47"/>
      <c r="I668" s="63"/>
      <c r="J668" s="31"/>
      <c r="K668" s="31"/>
      <c r="L668" s="32"/>
      <c r="M668" s="32"/>
      <c r="N668" s="32"/>
    </row>
    <row r="669" spans="2:14" x14ac:dyDescent="0.25">
      <c r="B669" s="42"/>
      <c r="C669" s="30"/>
      <c r="D669" s="30"/>
      <c r="E669" s="30"/>
      <c r="F669" s="30"/>
      <c r="G669" s="30"/>
      <c r="H669" s="47"/>
      <c r="I669" s="63"/>
      <c r="J669" s="31"/>
      <c r="K669" s="31"/>
      <c r="L669" s="32"/>
      <c r="M669" s="32"/>
      <c r="N669" s="32"/>
    </row>
    <row r="670" spans="2:14" x14ac:dyDescent="0.25">
      <c r="B670" s="42"/>
      <c r="C670" s="30"/>
      <c r="D670" s="30"/>
      <c r="E670" s="30"/>
      <c r="F670" s="30"/>
      <c r="G670" s="30"/>
      <c r="H670" s="47"/>
      <c r="I670" s="63"/>
      <c r="J670" s="31"/>
      <c r="K670" s="31"/>
      <c r="L670" s="32"/>
      <c r="M670" s="32"/>
      <c r="N670" s="32"/>
    </row>
    <row r="671" spans="2:14" x14ac:dyDescent="0.25">
      <c r="B671" s="42"/>
      <c r="C671" s="30"/>
      <c r="D671" s="30"/>
      <c r="E671" s="30"/>
      <c r="F671" s="30"/>
      <c r="G671" s="30"/>
      <c r="H671" s="47"/>
      <c r="I671" s="63"/>
      <c r="J671" s="31"/>
      <c r="K671" s="31"/>
      <c r="L671" s="32"/>
      <c r="M671" s="32"/>
      <c r="N671" s="32"/>
    </row>
    <row r="672" spans="2:14" x14ac:dyDescent="0.25">
      <c r="B672" s="42"/>
      <c r="C672" s="30"/>
      <c r="D672" s="30"/>
      <c r="E672" s="30"/>
      <c r="F672" s="30"/>
      <c r="G672" s="30"/>
      <c r="H672" s="47"/>
      <c r="I672" s="63"/>
      <c r="J672" s="31"/>
      <c r="K672" s="31"/>
      <c r="L672" s="32"/>
      <c r="M672" s="32"/>
      <c r="N672" s="32"/>
    </row>
    <row r="673" spans="2:14" x14ac:dyDescent="0.25">
      <c r="B673" s="42"/>
      <c r="C673" s="30"/>
      <c r="D673" s="30"/>
      <c r="E673" s="30"/>
      <c r="F673" s="30"/>
      <c r="G673" s="30"/>
      <c r="H673" s="47"/>
      <c r="I673" s="63"/>
      <c r="J673" s="31"/>
      <c r="K673" s="31"/>
      <c r="L673" s="32"/>
      <c r="M673" s="32"/>
      <c r="N673" s="32"/>
    </row>
    <row r="674" spans="2:14" x14ac:dyDescent="0.25">
      <c r="B674" s="42"/>
      <c r="C674" s="30"/>
      <c r="D674" s="30"/>
      <c r="E674" s="30"/>
      <c r="F674" s="30"/>
      <c r="G674" s="30"/>
      <c r="H674" s="47"/>
      <c r="I674" s="63"/>
      <c r="J674" s="31"/>
      <c r="K674" s="31"/>
      <c r="L674" s="32"/>
      <c r="M674" s="32"/>
      <c r="N674" s="32"/>
    </row>
    <row r="675" spans="2:14" x14ac:dyDescent="0.25">
      <c r="B675" s="42"/>
      <c r="C675" s="30"/>
      <c r="D675" s="30"/>
      <c r="E675" s="30"/>
      <c r="F675" s="30"/>
      <c r="G675" s="30"/>
      <c r="H675" s="47"/>
      <c r="I675" s="63"/>
      <c r="J675" s="31"/>
      <c r="K675" s="31"/>
      <c r="L675" s="32"/>
      <c r="M675" s="32"/>
      <c r="N675" s="32"/>
    </row>
    <row r="676" spans="2:14" x14ac:dyDescent="0.25">
      <c r="B676" s="42"/>
      <c r="C676" s="30"/>
      <c r="D676" s="30"/>
      <c r="E676" s="30"/>
      <c r="F676" s="30"/>
      <c r="G676" s="30"/>
      <c r="H676" s="47"/>
      <c r="I676" s="63"/>
      <c r="J676" s="31"/>
      <c r="K676" s="31"/>
      <c r="L676" s="32"/>
      <c r="M676" s="32"/>
      <c r="N676" s="32"/>
    </row>
    <row r="677" spans="2:14" x14ac:dyDescent="0.25">
      <c r="B677" s="42"/>
      <c r="C677" s="30"/>
      <c r="D677" s="30"/>
      <c r="E677" s="30"/>
      <c r="F677" s="30"/>
      <c r="G677" s="30"/>
      <c r="H677" s="47"/>
      <c r="I677" s="63"/>
      <c r="J677" s="31"/>
      <c r="K677" s="31"/>
      <c r="L677" s="32"/>
      <c r="M677" s="32"/>
      <c r="N677" s="32"/>
    </row>
    <row r="678" spans="2:14" x14ac:dyDescent="0.25">
      <c r="B678" s="42"/>
      <c r="C678" s="30"/>
      <c r="D678" s="30"/>
      <c r="E678" s="30"/>
      <c r="F678" s="30"/>
      <c r="G678" s="30"/>
      <c r="H678" s="47"/>
      <c r="I678" s="63"/>
      <c r="J678" s="31"/>
      <c r="K678" s="31"/>
      <c r="L678" s="32"/>
      <c r="M678" s="32"/>
      <c r="N678" s="32"/>
    </row>
    <row r="679" spans="2:14" x14ac:dyDescent="0.25">
      <c r="B679" s="42"/>
      <c r="C679" s="30"/>
      <c r="D679" s="30"/>
      <c r="E679" s="30"/>
      <c r="F679" s="30"/>
      <c r="G679" s="30"/>
      <c r="H679" s="47"/>
      <c r="I679" s="63"/>
      <c r="J679" s="31"/>
      <c r="K679" s="31"/>
      <c r="L679" s="32"/>
      <c r="M679" s="32"/>
      <c r="N679" s="32"/>
    </row>
    <row r="680" spans="2:14" x14ac:dyDescent="0.25">
      <c r="B680" s="42"/>
      <c r="C680" s="30"/>
      <c r="D680" s="30"/>
      <c r="E680" s="30"/>
      <c r="F680" s="30"/>
      <c r="G680" s="30"/>
      <c r="H680" s="47"/>
      <c r="I680" s="63"/>
      <c r="J680" s="31"/>
      <c r="K680" s="31"/>
      <c r="L680" s="32"/>
      <c r="M680" s="32"/>
      <c r="N680" s="32"/>
    </row>
    <row r="681" spans="2:14" x14ac:dyDescent="0.25">
      <c r="B681" s="42"/>
      <c r="C681" s="30"/>
      <c r="D681" s="30"/>
      <c r="E681" s="30"/>
      <c r="F681" s="30"/>
      <c r="G681" s="30"/>
      <c r="H681" s="47"/>
      <c r="I681" s="63"/>
      <c r="J681" s="31"/>
      <c r="K681" s="31"/>
      <c r="L681" s="32"/>
      <c r="M681" s="32"/>
      <c r="N681" s="32"/>
    </row>
    <row r="682" spans="2:14" x14ac:dyDescent="0.25">
      <c r="B682" s="42"/>
      <c r="C682" s="30"/>
      <c r="D682" s="30"/>
      <c r="E682" s="30"/>
      <c r="F682" s="30"/>
      <c r="G682" s="30"/>
      <c r="H682" s="47"/>
      <c r="I682" s="63"/>
      <c r="J682" s="31"/>
      <c r="K682" s="31"/>
      <c r="L682" s="32"/>
      <c r="M682" s="32"/>
      <c r="N682" s="32"/>
    </row>
    <row r="683" spans="2:14" x14ac:dyDescent="0.25">
      <c r="B683" s="42"/>
      <c r="C683" s="30"/>
      <c r="D683" s="30"/>
      <c r="E683" s="30"/>
      <c r="F683" s="30"/>
      <c r="G683" s="30"/>
      <c r="H683" s="47"/>
      <c r="I683" s="63"/>
      <c r="J683" s="31"/>
      <c r="K683" s="31"/>
      <c r="L683" s="32"/>
      <c r="M683" s="32"/>
      <c r="N683" s="32"/>
    </row>
    <row r="684" spans="2:14" x14ac:dyDescent="0.25">
      <c r="B684" s="42"/>
      <c r="C684" s="30"/>
      <c r="D684" s="30"/>
      <c r="E684" s="30"/>
      <c r="F684" s="30"/>
      <c r="G684" s="30"/>
      <c r="H684" s="47"/>
      <c r="I684" s="63"/>
      <c r="J684" s="31"/>
      <c r="K684" s="31"/>
      <c r="L684" s="32"/>
      <c r="M684" s="32"/>
      <c r="N684" s="32"/>
    </row>
    <row r="685" spans="2:14" x14ac:dyDescent="0.25">
      <c r="B685" s="42"/>
      <c r="C685" s="30"/>
      <c r="D685" s="30"/>
      <c r="E685" s="30"/>
      <c r="F685" s="30"/>
      <c r="G685" s="30"/>
      <c r="H685" s="47"/>
      <c r="I685" s="63"/>
      <c r="J685" s="31"/>
      <c r="K685" s="31"/>
      <c r="L685" s="32"/>
      <c r="M685" s="32"/>
      <c r="N685" s="32"/>
    </row>
    <row r="686" spans="2:14" x14ac:dyDescent="0.25">
      <c r="B686" s="42"/>
      <c r="C686" s="30"/>
      <c r="D686" s="30"/>
      <c r="E686" s="30"/>
      <c r="F686" s="30"/>
      <c r="G686" s="30"/>
      <c r="H686" s="47"/>
      <c r="I686" s="63"/>
      <c r="J686" s="31"/>
      <c r="K686" s="31"/>
      <c r="L686" s="32"/>
      <c r="M686" s="32"/>
      <c r="N686" s="32"/>
    </row>
    <row r="687" spans="2:14" x14ac:dyDescent="0.25">
      <c r="B687" s="42"/>
      <c r="C687" s="30"/>
      <c r="D687" s="30"/>
      <c r="E687" s="30"/>
      <c r="F687" s="30"/>
      <c r="G687" s="30"/>
      <c r="H687" s="47"/>
      <c r="I687" s="63"/>
      <c r="J687" s="31"/>
      <c r="K687" s="31"/>
      <c r="L687" s="32"/>
      <c r="M687" s="32"/>
      <c r="N687" s="32"/>
    </row>
    <row r="688" spans="2:14" x14ac:dyDescent="0.25">
      <c r="B688" s="42"/>
      <c r="C688" s="30"/>
      <c r="D688" s="30"/>
      <c r="E688" s="30"/>
      <c r="F688" s="30"/>
      <c r="G688" s="30"/>
      <c r="H688" s="47"/>
      <c r="I688" s="63"/>
      <c r="J688" s="31"/>
      <c r="K688" s="31"/>
      <c r="L688" s="32"/>
      <c r="M688" s="32"/>
      <c r="N688" s="32"/>
    </row>
    <row r="689" spans="2:14" x14ac:dyDescent="0.25">
      <c r="B689" s="42"/>
      <c r="C689" s="30"/>
      <c r="D689" s="30"/>
      <c r="E689" s="30"/>
      <c r="F689" s="30"/>
      <c r="G689" s="30"/>
      <c r="H689" s="47"/>
      <c r="I689" s="63"/>
      <c r="J689" s="31"/>
      <c r="K689" s="31"/>
      <c r="L689" s="32"/>
      <c r="M689" s="32"/>
      <c r="N689" s="32"/>
    </row>
    <row r="690" spans="2:14" x14ac:dyDescent="0.25">
      <c r="B690" s="42"/>
      <c r="C690" s="30"/>
      <c r="D690" s="30"/>
      <c r="E690" s="30"/>
      <c r="F690" s="30"/>
      <c r="G690" s="30"/>
      <c r="H690" s="47"/>
      <c r="I690" s="63"/>
      <c r="J690" s="31"/>
      <c r="K690" s="31"/>
      <c r="L690" s="32"/>
      <c r="M690" s="32"/>
      <c r="N690" s="32"/>
    </row>
    <row r="691" spans="2:14" x14ac:dyDescent="0.25">
      <c r="B691" s="42"/>
      <c r="C691" s="30"/>
      <c r="D691" s="30"/>
      <c r="E691" s="30"/>
      <c r="F691" s="30"/>
      <c r="G691" s="30"/>
      <c r="H691" s="47"/>
      <c r="I691" s="63"/>
      <c r="J691" s="31"/>
      <c r="K691" s="31"/>
      <c r="L691" s="32"/>
      <c r="M691" s="32"/>
      <c r="N691" s="32"/>
    </row>
    <row r="692" spans="2:14" x14ac:dyDescent="0.25">
      <c r="B692" s="42"/>
      <c r="C692" s="30"/>
      <c r="D692" s="30"/>
      <c r="E692" s="30"/>
      <c r="F692" s="30"/>
      <c r="G692" s="30"/>
      <c r="H692" s="47"/>
      <c r="I692" s="63"/>
      <c r="J692" s="31"/>
      <c r="K692" s="31"/>
      <c r="L692" s="32"/>
      <c r="M692" s="32"/>
      <c r="N692" s="32"/>
    </row>
    <row r="693" spans="2:14" x14ac:dyDescent="0.25">
      <c r="B693" s="42"/>
      <c r="C693" s="30"/>
      <c r="D693" s="30"/>
      <c r="E693" s="30"/>
      <c r="F693" s="30"/>
      <c r="G693" s="30"/>
      <c r="H693" s="47"/>
      <c r="I693" s="63"/>
      <c r="J693" s="31"/>
      <c r="K693" s="31"/>
      <c r="L693" s="32"/>
      <c r="M693" s="32"/>
      <c r="N693" s="32"/>
    </row>
    <row r="694" spans="2:14" x14ac:dyDescent="0.25">
      <c r="B694" s="42"/>
      <c r="C694" s="30"/>
      <c r="D694" s="30"/>
      <c r="E694" s="30"/>
      <c r="F694" s="30"/>
      <c r="G694" s="30"/>
      <c r="H694" s="47"/>
      <c r="I694" s="63"/>
      <c r="J694" s="31"/>
      <c r="K694" s="31"/>
      <c r="L694" s="32"/>
      <c r="M694" s="32"/>
      <c r="N694" s="32"/>
    </row>
    <row r="695" spans="2:14" x14ac:dyDescent="0.25">
      <c r="B695" s="42"/>
      <c r="C695" s="30"/>
      <c r="D695" s="30"/>
      <c r="E695" s="30"/>
      <c r="F695" s="30"/>
      <c r="G695" s="30"/>
      <c r="H695" s="47"/>
      <c r="I695" s="63"/>
      <c r="J695" s="31"/>
      <c r="K695" s="31"/>
      <c r="L695" s="32"/>
      <c r="M695" s="32"/>
      <c r="N695" s="32"/>
    </row>
    <row r="696" spans="2:14" x14ac:dyDescent="0.25">
      <c r="B696" s="42"/>
      <c r="C696" s="30"/>
      <c r="D696" s="30"/>
      <c r="E696" s="30"/>
      <c r="F696" s="30"/>
      <c r="G696" s="30"/>
      <c r="H696" s="47"/>
      <c r="I696" s="63"/>
      <c r="J696" s="31"/>
      <c r="K696" s="31"/>
      <c r="L696" s="32"/>
      <c r="M696" s="32"/>
      <c r="N696" s="32"/>
    </row>
    <row r="697" spans="2:14" x14ac:dyDescent="0.25">
      <c r="B697" s="42"/>
      <c r="C697" s="30"/>
      <c r="D697" s="30"/>
      <c r="E697" s="30"/>
      <c r="F697" s="30"/>
      <c r="G697" s="30"/>
      <c r="H697" s="47"/>
      <c r="I697" s="63"/>
      <c r="J697" s="31"/>
      <c r="K697" s="31"/>
      <c r="L697" s="32"/>
      <c r="M697" s="32"/>
      <c r="N697" s="32"/>
    </row>
    <row r="698" spans="2:14" x14ac:dyDescent="0.25">
      <c r="B698" s="42"/>
      <c r="C698" s="30"/>
      <c r="D698" s="30"/>
      <c r="E698" s="30"/>
      <c r="F698" s="30"/>
      <c r="G698" s="30"/>
      <c r="H698" s="47"/>
      <c r="I698" s="63"/>
      <c r="J698" s="31"/>
      <c r="K698" s="31"/>
      <c r="L698" s="32"/>
      <c r="M698" s="32"/>
      <c r="N698" s="32"/>
    </row>
    <row r="699" spans="2:14" x14ac:dyDescent="0.25">
      <c r="B699" s="42"/>
      <c r="C699" s="30"/>
      <c r="D699" s="30"/>
      <c r="E699" s="30"/>
      <c r="F699" s="30"/>
      <c r="G699" s="30"/>
      <c r="H699" s="47"/>
      <c r="I699" s="63"/>
      <c r="J699" s="31"/>
      <c r="K699" s="31"/>
      <c r="L699" s="32"/>
      <c r="M699" s="32"/>
      <c r="N699" s="32"/>
    </row>
    <row r="700" spans="2:14" x14ac:dyDescent="0.25">
      <c r="B700" s="42"/>
      <c r="C700" s="30"/>
      <c r="D700" s="30"/>
      <c r="E700" s="30"/>
      <c r="F700" s="30"/>
      <c r="G700" s="30"/>
      <c r="H700" s="47"/>
      <c r="I700" s="63"/>
      <c r="J700" s="31"/>
      <c r="K700" s="31"/>
      <c r="L700" s="32"/>
      <c r="M700" s="32"/>
      <c r="N700" s="32"/>
    </row>
    <row r="701" spans="2:14" x14ac:dyDescent="0.25">
      <c r="B701" s="42"/>
      <c r="C701" s="30"/>
      <c r="D701" s="30"/>
      <c r="E701" s="30"/>
      <c r="F701" s="30"/>
      <c r="G701" s="30"/>
      <c r="H701" s="47"/>
      <c r="I701" s="63"/>
      <c r="J701" s="31"/>
      <c r="K701" s="31"/>
      <c r="L701" s="32"/>
      <c r="M701" s="32"/>
      <c r="N701" s="32"/>
    </row>
    <row r="702" spans="2:14" x14ac:dyDescent="0.25">
      <c r="B702" s="42"/>
      <c r="C702" s="30"/>
      <c r="D702" s="30"/>
      <c r="E702" s="30"/>
      <c r="F702" s="30"/>
      <c r="G702" s="30"/>
      <c r="H702" s="47"/>
      <c r="I702" s="63"/>
      <c r="J702" s="31"/>
      <c r="K702" s="31"/>
      <c r="L702" s="32"/>
      <c r="M702" s="32"/>
      <c r="N702" s="32"/>
    </row>
    <row r="703" spans="2:14" x14ac:dyDescent="0.25">
      <c r="B703" s="42"/>
      <c r="C703" s="30"/>
      <c r="D703" s="30"/>
      <c r="E703" s="30"/>
      <c r="F703" s="30"/>
      <c r="G703" s="30"/>
      <c r="H703" s="47"/>
      <c r="I703" s="63"/>
      <c r="J703" s="31"/>
      <c r="K703" s="31"/>
      <c r="L703" s="32"/>
      <c r="M703" s="32"/>
      <c r="N703" s="32"/>
    </row>
    <row r="704" spans="2:14" x14ac:dyDescent="0.25">
      <c r="B704" s="42"/>
      <c r="C704" s="30"/>
      <c r="D704" s="30"/>
      <c r="E704" s="30"/>
      <c r="F704" s="30"/>
      <c r="G704" s="30"/>
      <c r="H704" s="47"/>
      <c r="I704" s="63"/>
      <c r="J704" s="31"/>
      <c r="K704" s="31"/>
      <c r="L704" s="32"/>
      <c r="M704" s="32"/>
      <c r="N704" s="32"/>
    </row>
    <row r="705" spans="2:14" x14ac:dyDescent="0.25">
      <c r="B705" s="42"/>
      <c r="C705" s="30"/>
      <c r="D705" s="30"/>
      <c r="E705" s="30"/>
      <c r="F705" s="30"/>
      <c r="G705" s="30"/>
      <c r="H705" s="47"/>
      <c r="I705" s="63"/>
      <c r="J705" s="31"/>
      <c r="K705" s="31"/>
      <c r="L705" s="32"/>
      <c r="M705" s="32"/>
      <c r="N705" s="32"/>
    </row>
    <row r="706" spans="2:14" x14ac:dyDescent="0.25">
      <c r="B706" s="42"/>
      <c r="C706" s="30"/>
      <c r="D706" s="30"/>
      <c r="E706" s="30"/>
      <c r="F706" s="30"/>
      <c r="G706" s="30"/>
      <c r="H706" s="47"/>
      <c r="I706" s="63"/>
      <c r="J706" s="31"/>
      <c r="K706" s="31"/>
      <c r="L706" s="32"/>
      <c r="M706" s="32"/>
      <c r="N706" s="32"/>
    </row>
    <row r="707" spans="2:14" x14ac:dyDescent="0.25">
      <c r="B707" s="42"/>
      <c r="C707" s="30"/>
      <c r="D707" s="30"/>
      <c r="E707" s="30"/>
      <c r="F707" s="30"/>
      <c r="G707" s="30"/>
      <c r="H707" s="47"/>
      <c r="I707" s="63"/>
      <c r="J707" s="31"/>
      <c r="K707" s="31"/>
      <c r="L707" s="32"/>
      <c r="M707" s="32"/>
      <c r="N707" s="32"/>
    </row>
    <row r="708" spans="2:14" x14ac:dyDescent="0.25">
      <c r="B708" s="42"/>
      <c r="C708" s="30"/>
      <c r="D708" s="30"/>
      <c r="E708" s="30"/>
      <c r="F708" s="30"/>
      <c r="G708" s="30"/>
      <c r="H708" s="47"/>
      <c r="I708" s="63"/>
      <c r="J708" s="31"/>
      <c r="K708" s="31"/>
      <c r="L708" s="32"/>
      <c r="M708" s="32"/>
      <c r="N708" s="32"/>
    </row>
    <row r="709" spans="2:14" x14ac:dyDescent="0.25">
      <c r="B709" s="42"/>
      <c r="C709" s="30"/>
      <c r="D709" s="30"/>
      <c r="E709" s="30"/>
      <c r="F709" s="30"/>
      <c r="G709" s="30"/>
      <c r="H709" s="47"/>
      <c r="I709" s="63"/>
      <c r="J709" s="31"/>
      <c r="K709" s="31"/>
      <c r="L709" s="32"/>
      <c r="M709" s="32"/>
      <c r="N709" s="32"/>
    </row>
    <row r="710" spans="2:14" x14ac:dyDescent="0.25">
      <c r="B710" s="42"/>
      <c r="C710" s="30"/>
      <c r="D710" s="30"/>
      <c r="E710" s="30"/>
      <c r="F710" s="30"/>
      <c r="G710" s="30"/>
      <c r="H710" s="47"/>
      <c r="I710" s="63"/>
      <c r="J710" s="31"/>
      <c r="K710" s="31"/>
      <c r="L710" s="32"/>
      <c r="M710" s="32"/>
      <c r="N710" s="32"/>
    </row>
    <row r="711" spans="2:14" x14ac:dyDescent="0.25">
      <c r="B711" s="42"/>
      <c r="C711" s="30"/>
      <c r="D711" s="30"/>
      <c r="E711" s="30"/>
      <c r="F711" s="30"/>
      <c r="G711" s="30"/>
      <c r="H711" s="47"/>
      <c r="I711" s="63"/>
      <c r="J711" s="31"/>
      <c r="K711" s="31"/>
      <c r="L711" s="32"/>
      <c r="M711" s="32"/>
      <c r="N711" s="32"/>
    </row>
    <row r="712" spans="2:14" x14ac:dyDescent="0.25">
      <c r="B712" s="42"/>
      <c r="C712" s="30"/>
      <c r="D712" s="30"/>
      <c r="E712" s="30"/>
      <c r="F712" s="30"/>
      <c r="G712" s="30"/>
      <c r="H712" s="47"/>
      <c r="I712" s="63"/>
      <c r="J712" s="31"/>
      <c r="K712" s="31"/>
      <c r="L712" s="32"/>
      <c r="M712" s="32"/>
      <c r="N712" s="32"/>
    </row>
    <row r="713" spans="2:14" x14ac:dyDescent="0.25">
      <c r="B713" s="42"/>
      <c r="C713" s="30"/>
      <c r="D713" s="30"/>
      <c r="E713" s="30"/>
      <c r="F713" s="30"/>
      <c r="G713" s="30"/>
      <c r="H713" s="47"/>
      <c r="I713" s="63"/>
      <c r="J713" s="31"/>
      <c r="K713" s="31"/>
      <c r="L713" s="32"/>
      <c r="M713" s="32"/>
      <c r="N713" s="32"/>
    </row>
    <row r="714" spans="2:14" x14ac:dyDescent="0.25">
      <c r="B714" s="42"/>
      <c r="C714" s="30"/>
      <c r="D714" s="30"/>
      <c r="E714" s="30"/>
      <c r="F714" s="30"/>
      <c r="G714" s="30"/>
      <c r="H714" s="47"/>
      <c r="I714" s="63"/>
      <c r="J714" s="31"/>
      <c r="K714" s="31"/>
      <c r="L714" s="32"/>
      <c r="M714" s="32"/>
      <c r="N714" s="32"/>
    </row>
    <row r="715" spans="2:14" x14ac:dyDescent="0.25">
      <c r="B715" s="42"/>
      <c r="C715" s="30"/>
      <c r="D715" s="30"/>
      <c r="E715" s="30"/>
      <c r="F715" s="30"/>
      <c r="G715" s="30"/>
      <c r="H715" s="47"/>
      <c r="I715" s="63"/>
      <c r="J715" s="31"/>
      <c r="K715" s="31"/>
      <c r="L715" s="32"/>
      <c r="M715" s="32"/>
      <c r="N715" s="32"/>
    </row>
    <row r="716" spans="2:14" x14ac:dyDescent="0.25">
      <c r="B716" s="42"/>
      <c r="C716" s="30"/>
      <c r="D716" s="30"/>
      <c r="E716" s="30"/>
      <c r="F716" s="30"/>
      <c r="G716" s="30"/>
      <c r="H716" s="47"/>
      <c r="I716" s="63"/>
      <c r="J716" s="31"/>
      <c r="K716" s="31"/>
      <c r="L716" s="32"/>
      <c r="M716" s="32"/>
      <c r="N716" s="32"/>
    </row>
    <row r="717" spans="2:14" x14ac:dyDescent="0.25">
      <c r="B717" s="42"/>
      <c r="C717" s="30"/>
      <c r="D717" s="30"/>
      <c r="E717" s="30"/>
      <c r="F717" s="30"/>
      <c r="G717" s="30"/>
      <c r="H717" s="47"/>
      <c r="I717" s="63"/>
      <c r="J717" s="31"/>
      <c r="K717" s="31"/>
      <c r="L717" s="32"/>
      <c r="M717" s="32"/>
      <c r="N717" s="32"/>
    </row>
    <row r="718" spans="2:14" x14ac:dyDescent="0.25">
      <c r="B718" s="42"/>
      <c r="C718" s="30"/>
      <c r="D718" s="30"/>
      <c r="E718" s="30"/>
      <c r="F718" s="30"/>
      <c r="G718" s="30"/>
      <c r="H718" s="47"/>
      <c r="I718" s="63"/>
      <c r="J718" s="31"/>
      <c r="K718" s="31"/>
      <c r="L718" s="32"/>
      <c r="M718" s="32"/>
      <c r="N718" s="32"/>
    </row>
    <row r="719" spans="2:14" x14ac:dyDescent="0.25">
      <c r="B719" s="42"/>
      <c r="C719" s="30"/>
      <c r="D719" s="30"/>
      <c r="E719" s="30"/>
      <c r="F719" s="30"/>
      <c r="G719" s="30"/>
      <c r="H719" s="47"/>
      <c r="I719" s="63"/>
      <c r="J719" s="31"/>
      <c r="K719" s="31"/>
      <c r="L719" s="32"/>
      <c r="M719" s="32"/>
      <c r="N719" s="32"/>
    </row>
    <row r="720" spans="2:14" x14ac:dyDescent="0.25">
      <c r="B720" s="42"/>
      <c r="C720" s="30"/>
      <c r="D720" s="30"/>
      <c r="E720" s="30"/>
      <c r="F720" s="30"/>
      <c r="G720" s="30"/>
      <c r="H720" s="47"/>
      <c r="I720" s="63"/>
      <c r="J720" s="31"/>
      <c r="K720" s="31"/>
      <c r="L720" s="32"/>
      <c r="M720" s="32"/>
      <c r="N720" s="32"/>
    </row>
    <row r="721" spans="2:14" x14ac:dyDescent="0.25">
      <c r="B721" s="42"/>
      <c r="C721" s="30"/>
      <c r="D721" s="30"/>
      <c r="E721" s="30"/>
      <c r="F721" s="30"/>
      <c r="G721" s="30"/>
      <c r="H721" s="47"/>
      <c r="I721" s="63"/>
      <c r="J721" s="31"/>
      <c r="K721" s="31"/>
      <c r="L721" s="32"/>
      <c r="M721" s="32"/>
      <c r="N721" s="32"/>
    </row>
    <row r="722" spans="2:14" x14ac:dyDescent="0.25">
      <c r="B722" s="42"/>
      <c r="C722" s="30"/>
      <c r="D722" s="30"/>
      <c r="E722" s="30"/>
      <c r="F722" s="30"/>
      <c r="G722" s="30"/>
      <c r="H722" s="47"/>
      <c r="I722" s="63"/>
      <c r="J722" s="31"/>
      <c r="K722" s="31"/>
      <c r="L722" s="32"/>
      <c r="M722" s="32"/>
      <c r="N722" s="32"/>
    </row>
    <row r="723" spans="2:14" x14ac:dyDescent="0.25">
      <c r="B723" s="42"/>
      <c r="C723" s="30"/>
      <c r="D723" s="30"/>
      <c r="E723" s="30"/>
      <c r="F723" s="30"/>
      <c r="G723" s="30"/>
      <c r="H723" s="47"/>
      <c r="I723" s="63"/>
      <c r="J723" s="31"/>
      <c r="K723" s="31"/>
      <c r="L723" s="32"/>
      <c r="M723" s="32"/>
      <c r="N723" s="32"/>
    </row>
    <row r="724" spans="2:14" x14ac:dyDescent="0.25">
      <c r="B724" s="42"/>
      <c r="C724" s="30"/>
      <c r="D724" s="30"/>
      <c r="E724" s="30"/>
      <c r="F724" s="30"/>
      <c r="G724" s="30"/>
      <c r="H724" s="47"/>
      <c r="I724" s="63"/>
      <c r="J724" s="31"/>
      <c r="K724" s="31"/>
      <c r="L724" s="32"/>
      <c r="M724" s="32"/>
      <c r="N724" s="32"/>
    </row>
    <row r="725" spans="2:14" x14ac:dyDescent="0.25">
      <c r="B725" s="42"/>
      <c r="C725" s="30"/>
      <c r="D725" s="30"/>
      <c r="E725" s="30"/>
      <c r="F725" s="30"/>
      <c r="G725" s="30"/>
      <c r="H725" s="47"/>
      <c r="I725" s="63"/>
      <c r="J725" s="31"/>
      <c r="K725" s="31"/>
      <c r="L725" s="32"/>
      <c r="M725" s="32"/>
      <c r="N725" s="32"/>
    </row>
    <row r="726" spans="2:14" x14ac:dyDescent="0.25">
      <c r="B726" s="42"/>
      <c r="C726" s="30"/>
      <c r="D726" s="30"/>
      <c r="E726" s="30"/>
      <c r="F726" s="30"/>
      <c r="G726" s="30"/>
      <c r="H726" s="47"/>
      <c r="I726" s="63"/>
      <c r="J726" s="31"/>
      <c r="K726" s="31"/>
      <c r="L726" s="32"/>
      <c r="M726" s="32"/>
      <c r="N726" s="32"/>
    </row>
    <row r="727" spans="2:14" x14ac:dyDescent="0.25">
      <c r="B727" s="42"/>
      <c r="C727" s="30"/>
      <c r="D727" s="30"/>
      <c r="E727" s="30"/>
      <c r="F727" s="30"/>
      <c r="G727" s="30"/>
      <c r="H727" s="47"/>
      <c r="I727" s="63"/>
      <c r="J727" s="31"/>
      <c r="K727" s="31"/>
      <c r="L727" s="32"/>
      <c r="M727" s="32"/>
      <c r="N727" s="32"/>
    </row>
    <row r="728" spans="2:14" x14ac:dyDescent="0.25">
      <c r="B728" s="42"/>
      <c r="C728" s="30"/>
      <c r="D728" s="30"/>
      <c r="E728" s="30"/>
      <c r="F728" s="30"/>
      <c r="G728" s="30"/>
      <c r="H728" s="47"/>
      <c r="I728" s="63"/>
      <c r="J728" s="31"/>
      <c r="K728" s="31"/>
      <c r="L728" s="32"/>
      <c r="M728" s="32"/>
      <c r="N728" s="32"/>
    </row>
    <row r="729" spans="2:14" x14ac:dyDescent="0.25">
      <c r="B729" s="42"/>
      <c r="C729" s="30"/>
      <c r="D729" s="30"/>
      <c r="E729" s="30"/>
      <c r="F729" s="30"/>
      <c r="G729" s="30"/>
      <c r="H729" s="47"/>
      <c r="I729" s="63"/>
      <c r="J729" s="31"/>
      <c r="K729" s="31"/>
      <c r="L729" s="32"/>
      <c r="M729" s="32"/>
      <c r="N729" s="32"/>
    </row>
    <row r="730" spans="2:14" x14ac:dyDescent="0.25">
      <c r="B730" s="42"/>
      <c r="C730" s="30"/>
      <c r="D730" s="30"/>
      <c r="E730" s="30"/>
      <c r="F730" s="30"/>
      <c r="G730" s="30"/>
      <c r="H730" s="47"/>
      <c r="I730" s="63"/>
      <c r="J730" s="31"/>
      <c r="K730" s="31"/>
      <c r="L730" s="32"/>
      <c r="M730" s="32"/>
      <c r="N730" s="32"/>
    </row>
    <row r="731" spans="2:14" x14ac:dyDescent="0.25">
      <c r="B731" s="42"/>
      <c r="C731" s="30"/>
      <c r="D731" s="30"/>
      <c r="E731" s="30"/>
      <c r="F731" s="30"/>
      <c r="G731" s="30"/>
      <c r="H731" s="47"/>
      <c r="I731" s="63"/>
      <c r="J731" s="31"/>
      <c r="K731" s="31"/>
      <c r="L731" s="32"/>
      <c r="M731" s="32"/>
      <c r="N731" s="32"/>
    </row>
    <row r="732" spans="2:14" x14ac:dyDescent="0.25">
      <c r="B732" s="42"/>
      <c r="C732" s="30"/>
      <c r="D732" s="30"/>
      <c r="E732" s="30"/>
      <c r="F732" s="30"/>
      <c r="G732" s="30"/>
      <c r="H732" s="47"/>
      <c r="I732" s="63"/>
      <c r="J732" s="31"/>
      <c r="K732" s="31"/>
      <c r="L732" s="32"/>
      <c r="M732" s="32"/>
      <c r="N732" s="32"/>
    </row>
    <row r="733" spans="2:14" x14ac:dyDescent="0.25">
      <c r="B733" s="42"/>
      <c r="C733" s="30"/>
      <c r="D733" s="30"/>
      <c r="E733" s="30"/>
      <c r="F733" s="30"/>
      <c r="G733" s="30"/>
      <c r="H733" s="47"/>
      <c r="I733" s="63"/>
      <c r="J733" s="31"/>
      <c r="K733" s="31"/>
      <c r="L733" s="32"/>
      <c r="M733" s="32"/>
      <c r="N733" s="32"/>
    </row>
    <row r="734" spans="2:14" x14ac:dyDescent="0.25">
      <c r="B734" s="42"/>
      <c r="C734" s="30"/>
      <c r="D734" s="30"/>
      <c r="E734" s="30"/>
      <c r="F734" s="30"/>
      <c r="G734" s="30"/>
      <c r="H734" s="47"/>
      <c r="I734" s="63"/>
      <c r="J734" s="31"/>
      <c r="K734" s="31"/>
      <c r="L734" s="32"/>
      <c r="M734" s="32"/>
      <c r="N734" s="32"/>
    </row>
    <row r="735" spans="2:14" x14ac:dyDescent="0.25">
      <c r="B735" s="42"/>
      <c r="C735" s="30"/>
      <c r="D735" s="30"/>
      <c r="E735" s="30"/>
      <c r="F735" s="30"/>
      <c r="G735" s="30"/>
      <c r="H735" s="47"/>
      <c r="I735" s="63"/>
      <c r="J735" s="31"/>
      <c r="K735" s="31"/>
      <c r="L735" s="32"/>
      <c r="M735" s="32"/>
      <c r="N735" s="32"/>
    </row>
    <row r="736" spans="2:14" x14ac:dyDescent="0.25">
      <c r="B736" s="42"/>
      <c r="C736" s="30"/>
      <c r="D736" s="30"/>
      <c r="E736" s="30"/>
      <c r="F736" s="30"/>
      <c r="G736" s="30"/>
      <c r="H736" s="47"/>
      <c r="I736" s="63"/>
      <c r="J736" s="31"/>
      <c r="K736" s="31"/>
      <c r="L736" s="32"/>
      <c r="M736" s="32"/>
      <c r="N736" s="32"/>
    </row>
    <row r="737" spans="2:14" x14ac:dyDescent="0.25">
      <c r="B737" s="42"/>
      <c r="C737" s="30"/>
      <c r="D737" s="30"/>
      <c r="E737" s="30"/>
      <c r="F737" s="30"/>
      <c r="G737" s="30"/>
      <c r="H737" s="47"/>
      <c r="I737" s="63"/>
      <c r="J737" s="31"/>
      <c r="K737" s="31"/>
      <c r="L737" s="32"/>
      <c r="M737" s="32"/>
      <c r="N737" s="32"/>
    </row>
    <row r="738" spans="2:14" x14ac:dyDescent="0.25">
      <c r="B738" s="42"/>
      <c r="C738" s="30"/>
      <c r="D738" s="30"/>
      <c r="E738" s="30"/>
      <c r="F738" s="30"/>
      <c r="G738" s="30"/>
      <c r="H738" s="47"/>
      <c r="I738" s="63"/>
      <c r="J738" s="31"/>
      <c r="K738" s="31"/>
      <c r="L738" s="32"/>
      <c r="M738" s="32"/>
      <c r="N738" s="32"/>
    </row>
    <row r="739" spans="2:14" x14ac:dyDescent="0.25">
      <c r="B739" s="42"/>
      <c r="C739" s="30"/>
      <c r="D739" s="30"/>
      <c r="E739" s="30"/>
      <c r="F739" s="30"/>
      <c r="G739" s="30"/>
      <c r="H739" s="47"/>
      <c r="I739" s="63"/>
      <c r="J739" s="31"/>
      <c r="K739" s="31"/>
      <c r="L739" s="32"/>
      <c r="M739" s="32"/>
      <c r="N739" s="32"/>
    </row>
    <row r="740" spans="2:14" x14ac:dyDescent="0.25">
      <c r="B740" s="42"/>
      <c r="C740" s="30"/>
      <c r="D740" s="30"/>
      <c r="E740" s="30"/>
      <c r="F740" s="30"/>
      <c r="G740" s="30"/>
      <c r="H740" s="47"/>
      <c r="I740" s="63"/>
      <c r="J740" s="31"/>
      <c r="K740" s="31"/>
      <c r="L740" s="32"/>
      <c r="M740" s="32"/>
      <c r="N740" s="32"/>
    </row>
    <row r="741" spans="2:14" x14ac:dyDescent="0.25">
      <c r="B741" s="42"/>
      <c r="C741" s="30"/>
      <c r="D741" s="30"/>
      <c r="E741" s="30"/>
      <c r="F741" s="30"/>
      <c r="G741" s="30"/>
      <c r="H741" s="47"/>
      <c r="I741" s="63"/>
      <c r="J741" s="31"/>
      <c r="K741" s="31"/>
      <c r="L741" s="32"/>
      <c r="M741" s="32"/>
      <c r="N741" s="32"/>
    </row>
    <row r="742" spans="2:14" x14ac:dyDescent="0.25">
      <c r="B742" s="42"/>
      <c r="C742" s="30"/>
      <c r="D742" s="30"/>
      <c r="E742" s="30"/>
      <c r="F742" s="30"/>
      <c r="G742" s="30"/>
      <c r="H742" s="47"/>
      <c r="I742" s="63"/>
      <c r="J742" s="31"/>
      <c r="K742" s="31"/>
      <c r="L742" s="32"/>
      <c r="M742" s="32"/>
      <c r="N742" s="32"/>
    </row>
    <row r="743" spans="2:14" x14ac:dyDescent="0.25">
      <c r="B743" s="42"/>
      <c r="C743" s="30"/>
      <c r="D743" s="30"/>
      <c r="E743" s="30"/>
      <c r="F743" s="30"/>
      <c r="G743" s="30"/>
      <c r="H743" s="47"/>
      <c r="I743" s="63"/>
      <c r="J743" s="31"/>
      <c r="K743" s="31"/>
      <c r="L743" s="32"/>
      <c r="M743" s="32"/>
      <c r="N743" s="32"/>
    </row>
    <row r="744" spans="2:14" x14ac:dyDescent="0.25">
      <c r="B744" s="42"/>
      <c r="C744" s="30"/>
      <c r="D744" s="30"/>
      <c r="E744" s="30"/>
      <c r="F744" s="30"/>
      <c r="G744" s="30"/>
      <c r="H744" s="47"/>
      <c r="I744" s="63"/>
      <c r="J744" s="31"/>
      <c r="K744" s="31"/>
      <c r="L744" s="32"/>
      <c r="M744" s="32"/>
      <c r="N744" s="32"/>
    </row>
    <row r="745" spans="2:14" x14ac:dyDescent="0.25">
      <c r="B745" s="42"/>
      <c r="C745" s="30"/>
      <c r="D745" s="30"/>
      <c r="E745" s="30"/>
      <c r="F745" s="30"/>
      <c r="G745" s="30"/>
      <c r="H745" s="47"/>
      <c r="I745" s="63"/>
      <c r="J745" s="31"/>
      <c r="K745" s="31"/>
      <c r="L745" s="32"/>
      <c r="M745" s="32"/>
      <c r="N745" s="32"/>
    </row>
    <row r="746" spans="2:14" x14ac:dyDescent="0.25">
      <c r="B746" s="42"/>
      <c r="C746" s="30"/>
      <c r="D746" s="30"/>
      <c r="E746" s="30"/>
      <c r="F746" s="30"/>
      <c r="G746" s="30"/>
      <c r="H746" s="47"/>
      <c r="I746" s="63"/>
      <c r="J746" s="31"/>
      <c r="K746" s="31"/>
      <c r="L746" s="32"/>
      <c r="M746" s="32"/>
      <c r="N746" s="32"/>
    </row>
    <row r="747" spans="2:14" x14ac:dyDescent="0.25">
      <c r="B747" s="42"/>
      <c r="C747" s="30"/>
      <c r="D747" s="30"/>
      <c r="E747" s="30"/>
      <c r="F747" s="30"/>
      <c r="G747" s="30"/>
      <c r="H747" s="47"/>
      <c r="I747" s="63"/>
      <c r="J747" s="31"/>
      <c r="K747" s="31"/>
      <c r="L747" s="32"/>
      <c r="M747" s="32"/>
      <c r="N747" s="32"/>
    </row>
    <row r="748" spans="2:14" x14ac:dyDescent="0.25">
      <c r="B748" s="42"/>
      <c r="C748" s="30"/>
      <c r="D748" s="30"/>
      <c r="E748" s="30"/>
      <c r="F748" s="30"/>
      <c r="G748" s="30"/>
      <c r="H748" s="47"/>
      <c r="I748" s="63"/>
      <c r="J748" s="31"/>
      <c r="K748" s="31"/>
      <c r="L748" s="32"/>
      <c r="M748" s="32"/>
      <c r="N748" s="32"/>
    </row>
    <row r="749" spans="2:14" x14ac:dyDescent="0.25">
      <c r="B749" s="42"/>
      <c r="C749" s="30"/>
      <c r="D749" s="30"/>
      <c r="E749" s="30"/>
      <c r="F749" s="30"/>
      <c r="G749" s="30"/>
      <c r="H749" s="47"/>
      <c r="I749" s="63"/>
      <c r="J749" s="31"/>
      <c r="K749" s="31"/>
      <c r="L749" s="32"/>
      <c r="M749" s="32"/>
      <c r="N749" s="32"/>
    </row>
    <row r="750" spans="2:14" x14ac:dyDescent="0.25">
      <c r="B750" s="42"/>
      <c r="C750" s="30"/>
      <c r="D750" s="30"/>
      <c r="E750" s="30"/>
      <c r="F750" s="30"/>
      <c r="G750" s="30"/>
      <c r="H750" s="47"/>
      <c r="I750" s="63"/>
      <c r="J750" s="31"/>
      <c r="K750" s="31"/>
      <c r="L750" s="32"/>
      <c r="M750" s="32"/>
      <c r="N750" s="32"/>
    </row>
    <row r="751" spans="2:14" x14ac:dyDescent="0.25">
      <c r="B751" s="42"/>
      <c r="C751" s="30"/>
      <c r="D751" s="30"/>
      <c r="E751" s="30"/>
      <c r="F751" s="30"/>
      <c r="G751" s="30"/>
      <c r="H751" s="47"/>
      <c r="I751" s="63"/>
      <c r="J751" s="31"/>
      <c r="K751" s="31"/>
      <c r="L751" s="32"/>
      <c r="M751" s="32"/>
      <c r="N751" s="32"/>
    </row>
    <row r="752" spans="2:14" x14ac:dyDescent="0.25">
      <c r="B752" s="42"/>
      <c r="C752" s="30"/>
      <c r="D752" s="30"/>
      <c r="E752" s="30"/>
      <c r="F752" s="30"/>
      <c r="G752" s="30"/>
      <c r="H752" s="47"/>
      <c r="I752" s="63"/>
      <c r="J752" s="31"/>
      <c r="K752" s="31"/>
      <c r="L752" s="32"/>
      <c r="M752" s="32"/>
      <c r="N752" s="32"/>
    </row>
    <row r="753" spans="2:14" x14ac:dyDescent="0.25">
      <c r="B753" s="42"/>
      <c r="C753" s="30"/>
      <c r="D753" s="30"/>
      <c r="E753" s="30"/>
      <c r="F753" s="30"/>
      <c r="G753" s="30"/>
      <c r="H753" s="47"/>
      <c r="I753" s="63"/>
      <c r="J753" s="31"/>
      <c r="K753" s="31"/>
      <c r="L753" s="32"/>
      <c r="M753" s="32"/>
      <c r="N753" s="32"/>
    </row>
    <row r="754" spans="2:14" x14ac:dyDescent="0.25">
      <c r="B754" s="42"/>
      <c r="C754" s="30"/>
      <c r="D754" s="30"/>
      <c r="E754" s="30"/>
      <c r="F754" s="30"/>
      <c r="G754" s="30"/>
      <c r="H754" s="47"/>
      <c r="I754" s="63"/>
      <c r="J754" s="31"/>
      <c r="K754" s="31"/>
      <c r="L754" s="32"/>
      <c r="M754" s="32"/>
      <c r="N754" s="32"/>
    </row>
    <row r="755" spans="2:14" x14ac:dyDescent="0.25">
      <c r="B755" s="42"/>
      <c r="C755" s="30"/>
      <c r="D755" s="30"/>
      <c r="E755" s="30"/>
      <c r="F755" s="30"/>
      <c r="G755" s="30"/>
      <c r="H755" s="47"/>
      <c r="I755" s="63"/>
      <c r="J755" s="31"/>
      <c r="K755" s="31"/>
      <c r="L755" s="32"/>
      <c r="M755" s="32"/>
      <c r="N755" s="32"/>
    </row>
    <row r="756" spans="2:14" x14ac:dyDescent="0.25">
      <c r="B756" s="42"/>
      <c r="C756" s="30"/>
      <c r="D756" s="30"/>
      <c r="E756" s="30"/>
      <c r="F756" s="30"/>
      <c r="G756" s="30"/>
      <c r="H756" s="47"/>
      <c r="I756" s="63"/>
      <c r="J756" s="31"/>
      <c r="K756" s="31"/>
      <c r="L756" s="32"/>
      <c r="M756" s="32"/>
      <c r="N756" s="32"/>
    </row>
    <row r="757" spans="2:14" x14ac:dyDescent="0.25">
      <c r="B757" s="42"/>
      <c r="C757" s="30"/>
      <c r="D757" s="30"/>
      <c r="E757" s="30"/>
      <c r="F757" s="30"/>
      <c r="G757" s="30"/>
      <c r="H757" s="47"/>
      <c r="I757" s="63"/>
      <c r="J757" s="31"/>
      <c r="K757" s="31"/>
      <c r="L757" s="32"/>
      <c r="M757" s="32"/>
      <c r="N757" s="32"/>
    </row>
    <row r="758" spans="2:14" x14ac:dyDescent="0.25">
      <c r="B758" s="42"/>
      <c r="C758" s="30"/>
      <c r="D758" s="30"/>
      <c r="E758" s="30"/>
      <c r="F758" s="30"/>
      <c r="G758" s="30"/>
      <c r="H758" s="47"/>
      <c r="I758" s="63"/>
      <c r="J758" s="31"/>
      <c r="K758" s="31"/>
      <c r="L758" s="32"/>
      <c r="M758" s="32"/>
      <c r="N758" s="32"/>
    </row>
    <row r="759" spans="2:14" x14ac:dyDescent="0.25">
      <c r="B759" s="42"/>
      <c r="C759" s="30"/>
      <c r="D759" s="30"/>
      <c r="E759" s="30"/>
      <c r="F759" s="30"/>
      <c r="G759" s="30"/>
      <c r="H759" s="47"/>
      <c r="I759" s="63"/>
      <c r="J759" s="31"/>
      <c r="K759" s="31"/>
      <c r="L759" s="32"/>
      <c r="M759" s="32"/>
      <c r="N759" s="32"/>
    </row>
    <row r="760" spans="2:14" x14ac:dyDescent="0.25">
      <c r="B760" s="42"/>
      <c r="C760" s="30"/>
      <c r="D760" s="30"/>
      <c r="E760" s="30"/>
      <c r="F760" s="30"/>
      <c r="G760" s="30"/>
      <c r="H760" s="47"/>
      <c r="I760" s="63"/>
      <c r="J760" s="31"/>
      <c r="K760" s="31"/>
      <c r="L760" s="32"/>
      <c r="M760" s="32"/>
      <c r="N760" s="32"/>
    </row>
    <row r="761" spans="2:14" x14ac:dyDescent="0.25">
      <c r="B761" s="42"/>
      <c r="C761" s="30"/>
      <c r="D761" s="30"/>
      <c r="E761" s="30"/>
      <c r="F761" s="30"/>
      <c r="G761" s="30"/>
      <c r="H761" s="47"/>
      <c r="I761" s="63"/>
      <c r="J761" s="31"/>
      <c r="K761" s="31"/>
      <c r="L761" s="32"/>
      <c r="M761" s="32"/>
      <c r="N761" s="32"/>
    </row>
    <row r="762" spans="2:14" x14ac:dyDescent="0.25">
      <c r="B762" s="42"/>
      <c r="C762" s="30"/>
      <c r="D762" s="30"/>
      <c r="E762" s="30"/>
      <c r="F762" s="30"/>
      <c r="G762" s="30"/>
      <c r="H762" s="47"/>
      <c r="I762" s="63"/>
      <c r="J762" s="31"/>
      <c r="K762" s="31"/>
      <c r="L762" s="32"/>
      <c r="M762" s="32"/>
      <c r="N762" s="32"/>
    </row>
    <row r="763" spans="2:14" x14ac:dyDescent="0.25">
      <c r="B763" s="42"/>
      <c r="C763" s="30"/>
      <c r="D763" s="30"/>
      <c r="E763" s="30"/>
      <c r="F763" s="30"/>
      <c r="G763" s="30"/>
      <c r="H763" s="47"/>
      <c r="I763" s="63"/>
      <c r="J763" s="31"/>
      <c r="K763" s="31"/>
      <c r="L763" s="32"/>
      <c r="M763" s="32"/>
      <c r="N763" s="32"/>
    </row>
    <row r="764" spans="2:14" x14ac:dyDescent="0.25">
      <c r="B764" s="42"/>
      <c r="C764" s="30"/>
      <c r="D764" s="30"/>
      <c r="E764" s="30"/>
      <c r="F764" s="30"/>
      <c r="G764" s="30"/>
      <c r="H764" s="47"/>
      <c r="I764" s="63"/>
      <c r="J764" s="31"/>
      <c r="K764" s="31"/>
      <c r="L764" s="32"/>
      <c r="M764" s="32"/>
      <c r="N764" s="32"/>
    </row>
    <row r="765" spans="2:14" x14ac:dyDescent="0.25">
      <c r="B765" s="42"/>
      <c r="C765" s="30"/>
      <c r="D765" s="30"/>
      <c r="E765" s="30"/>
      <c r="F765" s="30"/>
      <c r="G765" s="30"/>
      <c r="H765" s="47"/>
      <c r="I765" s="63"/>
      <c r="J765" s="31"/>
      <c r="K765" s="31"/>
      <c r="L765" s="32"/>
      <c r="M765" s="32"/>
      <c r="N765" s="32"/>
    </row>
    <row r="766" spans="2:14" x14ac:dyDescent="0.25">
      <c r="B766" s="42"/>
      <c r="C766" s="30"/>
      <c r="D766" s="30"/>
      <c r="E766" s="30"/>
      <c r="F766" s="30"/>
      <c r="G766" s="30"/>
      <c r="H766" s="47"/>
      <c r="I766" s="63"/>
      <c r="J766" s="31"/>
      <c r="K766" s="31"/>
      <c r="L766" s="32"/>
      <c r="M766" s="32"/>
      <c r="N766" s="32"/>
    </row>
    <row r="767" spans="2:14" x14ac:dyDescent="0.25">
      <c r="B767" s="42"/>
      <c r="C767" s="30"/>
      <c r="D767" s="30"/>
      <c r="E767" s="30"/>
      <c r="F767" s="30"/>
      <c r="G767" s="30"/>
      <c r="H767" s="47"/>
      <c r="I767" s="63"/>
      <c r="J767" s="31"/>
      <c r="K767" s="31"/>
      <c r="L767" s="32"/>
      <c r="M767" s="32"/>
      <c r="N767" s="32"/>
    </row>
    <row r="768" spans="2:14" x14ac:dyDescent="0.25">
      <c r="B768" s="42"/>
      <c r="C768" s="30"/>
      <c r="D768" s="30"/>
      <c r="E768" s="30"/>
      <c r="F768" s="30"/>
      <c r="G768" s="30"/>
      <c r="H768" s="47"/>
      <c r="I768" s="63"/>
      <c r="J768" s="31"/>
      <c r="K768" s="31"/>
      <c r="L768" s="32"/>
      <c r="M768" s="32"/>
      <c r="N768" s="32"/>
    </row>
    <row r="769" spans="2:14" x14ac:dyDescent="0.25">
      <c r="B769" s="42"/>
      <c r="C769" s="30"/>
      <c r="D769" s="30"/>
      <c r="E769" s="30"/>
      <c r="F769" s="30"/>
      <c r="G769" s="30"/>
      <c r="H769" s="47"/>
      <c r="I769" s="63"/>
      <c r="J769" s="31"/>
      <c r="K769" s="31"/>
      <c r="L769" s="32"/>
      <c r="M769" s="32"/>
      <c r="N769" s="32"/>
    </row>
    <row r="770" spans="2:14" x14ac:dyDescent="0.25">
      <c r="B770" s="42"/>
      <c r="C770" s="30"/>
      <c r="D770" s="30"/>
      <c r="E770" s="30"/>
      <c r="F770" s="30"/>
      <c r="G770" s="30"/>
      <c r="H770" s="47"/>
      <c r="I770" s="63"/>
      <c r="J770" s="31"/>
      <c r="K770" s="31"/>
      <c r="L770" s="32"/>
      <c r="M770" s="32"/>
      <c r="N770" s="32"/>
    </row>
    <row r="771" spans="2:14" x14ac:dyDescent="0.25">
      <c r="B771" s="42"/>
      <c r="C771" s="30"/>
      <c r="D771" s="30"/>
      <c r="E771" s="30"/>
      <c r="F771" s="30"/>
      <c r="G771" s="30"/>
      <c r="H771" s="47"/>
      <c r="I771" s="63"/>
      <c r="J771" s="31"/>
      <c r="K771" s="31"/>
      <c r="L771" s="32"/>
      <c r="M771" s="32"/>
      <c r="N771" s="32"/>
    </row>
    <row r="772" spans="2:14" x14ac:dyDescent="0.25">
      <c r="B772" s="42"/>
      <c r="C772" s="30"/>
      <c r="D772" s="30"/>
      <c r="E772" s="30"/>
      <c r="F772" s="30"/>
      <c r="G772" s="30"/>
      <c r="H772" s="47"/>
      <c r="I772" s="63"/>
      <c r="J772" s="31"/>
      <c r="K772" s="31"/>
      <c r="L772" s="32"/>
      <c r="M772" s="32"/>
      <c r="N772" s="32"/>
    </row>
    <row r="773" spans="2:14" x14ac:dyDescent="0.25">
      <c r="B773" s="42"/>
      <c r="C773" s="30"/>
      <c r="D773" s="30"/>
      <c r="E773" s="30"/>
      <c r="F773" s="30"/>
      <c r="G773" s="30"/>
      <c r="H773" s="47"/>
      <c r="I773" s="63"/>
      <c r="J773" s="31"/>
      <c r="K773" s="31"/>
      <c r="L773" s="32"/>
      <c r="M773" s="32"/>
      <c r="N773" s="32"/>
    </row>
    <row r="774" spans="2:14" x14ac:dyDescent="0.25">
      <c r="B774" s="42"/>
      <c r="C774" s="30"/>
      <c r="D774" s="30"/>
      <c r="E774" s="30"/>
      <c r="F774" s="30"/>
      <c r="G774" s="30"/>
      <c r="H774" s="47"/>
      <c r="I774" s="63"/>
      <c r="J774" s="31"/>
      <c r="K774" s="31"/>
      <c r="L774" s="32"/>
      <c r="M774" s="32"/>
      <c r="N774" s="32"/>
    </row>
    <row r="775" spans="2:14" x14ac:dyDescent="0.25">
      <c r="B775" s="42"/>
      <c r="C775" s="30"/>
      <c r="D775" s="30"/>
      <c r="E775" s="30"/>
      <c r="F775" s="30"/>
      <c r="G775" s="30"/>
      <c r="H775" s="47"/>
      <c r="I775" s="63"/>
      <c r="J775" s="31"/>
      <c r="K775" s="31"/>
      <c r="L775" s="32"/>
      <c r="M775" s="32"/>
      <c r="N775" s="32"/>
    </row>
    <row r="776" spans="2:14" x14ac:dyDescent="0.25">
      <c r="B776" s="42"/>
      <c r="C776" s="30"/>
      <c r="D776" s="30"/>
      <c r="E776" s="30"/>
      <c r="F776" s="30"/>
      <c r="G776" s="30"/>
      <c r="H776" s="47"/>
      <c r="I776" s="63"/>
      <c r="J776" s="31"/>
      <c r="K776" s="31"/>
      <c r="L776" s="32"/>
      <c r="M776" s="32"/>
      <c r="N776" s="32"/>
    </row>
    <row r="777" spans="2:14" x14ac:dyDescent="0.25">
      <c r="B777" s="42"/>
      <c r="C777" s="30"/>
      <c r="D777" s="30"/>
      <c r="E777" s="30"/>
      <c r="F777" s="30"/>
      <c r="G777" s="30"/>
      <c r="H777" s="47"/>
      <c r="I777" s="63"/>
      <c r="J777" s="31"/>
      <c r="K777" s="31"/>
      <c r="L777" s="32"/>
      <c r="M777" s="32"/>
      <c r="N777" s="32"/>
    </row>
    <row r="778" spans="2:14" x14ac:dyDescent="0.25">
      <c r="B778" s="42"/>
      <c r="C778" s="30"/>
      <c r="D778" s="30"/>
      <c r="E778" s="30"/>
      <c r="F778" s="30"/>
      <c r="G778" s="30"/>
      <c r="H778" s="47"/>
      <c r="I778" s="63"/>
      <c r="J778" s="31"/>
      <c r="K778" s="31"/>
      <c r="L778" s="32"/>
      <c r="M778" s="32"/>
      <c r="N778" s="32"/>
    </row>
    <row r="779" spans="2:14" x14ac:dyDescent="0.25">
      <c r="B779" s="42"/>
      <c r="C779" s="30"/>
      <c r="D779" s="30"/>
      <c r="E779" s="30"/>
      <c r="F779" s="30"/>
      <c r="G779" s="30"/>
      <c r="H779" s="47"/>
      <c r="I779" s="63"/>
      <c r="J779" s="31"/>
      <c r="K779" s="31"/>
      <c r="L779" s="32"/>
      <c r="M779" s="32"/>
      <c r="N779" s="32"/>
    </row>
    <row r="780" spans="2:14" x14ac:dyDescent="0.25">
      <c r="B780" s="42"/>
      <c r="C780" s="30"/>
      <c r="D780" s="30"/>
      <c r="E780" s="30"/>
      <c r="F780" s="30"/>
      <c r="G780" s="30"/>
      <c r="H780" s="47"/>
      <c r="I780" s="63"/>
      <c r="J780" s="31"/>
      <c r="K780" s="31"/>
      <c r="L780" s="32"/>
      <c r="M780" s="32"/>
      <c r="N780" s="32"/>
    </row>
    <row r="781" spans="2:14" x14ac:dyDescent="0.25">
      <c r="B781" s="42"/>
      <c r="C781" s="30"/>
      <c r="D781" s="30"/>
      <c r="E781" s="30"/>
      <c r="F781" s="30"/>
      <c r="G781" s="30"/>
      <c r="H781" s="47"/>
      <c r="I781" s="63"/>
      <c r="J781" s="31"/>
      <c r="K781" s="31"/>
      <c r="L781" s="32"/>
      <c r="M781" s="32"/>
      <c r="N781" s="32"/>
    </row>
    <row r="782" spans="2:14" x14ac:dyDescent="0.25">
      <c r="B782" s="42"/>
      <c r="C782" s="30"/>
      <c r="D782" s="30"/>
      <c r="E782" s="30"/>
      <c r="F782" s="30"/>
      <c r="G782" s="30"/>
      <c r="H782" s="47"/>
      <c r="I782" s="63"/>
      <c r="J782" s="31"/>
      <c r="K782" s="31"/>
      <c r="L782" s="32"/>
      <c r="M782" s="32"/>
      <c r="N782" s="32"/>
    </row>
    <row r="783" spans="2:14" x14ac:dyDescent="0.25">
      <c r="B783" s="42"/>
      <c r="C783" s="30"/>
      <c r="D783" s="30"/>
      <c r="E783" s="30"/>
      <c r="F783" s="30"/>
      <c r="G783" s="30"/>
      <c r="H783" s="47"/>
      <c r="I783" s="63"/>
      <c r="J783" s="31"/>
      <c r="K783" s="31"/>
      <c r="L783" s="32"/>
      <c r="M783" s="32"/>
      <c r="N783" s="32"/>
    </row>
    <row r="784" spans="2:14" x14ac:dyDescent="0.25">
      <c r="B784" s="42"/>
      <c r="C784" s="30"/>
      <c r="D784" s="30"/>
      <c r="E784" s="30"/>
      <c r="F784" s="30"/>
      <c r="G784" s="30"/>
      <c r="H784" s="47"/>
      <c r="I784" s="63"/>
      <c r="J784" s="31"/>
      <c r="K784" s="31"/>
      <c r="L784" s="32"/>
      <c r="M784" s="32"/>
      <c r="N784" s="32"/>
    </row>
    <row r="785" spans="2:14" x14ac:dyDescent="0.25">
      <c r="B785" s="42"/>
      <c r="C785" s="30"/>
      <c r="D785" s="30"/>
      <c r="E785" s="30"/>
      <c r="F785" s="30"/>
      <c r="G785" s="30"/>
      <c r="H785" s="47"/>
      <c r="I785" s="63"/>
      <c r="J785" s="31"/>
      <c r="K785" s="31"/>
      <c r="L785" s="32"/>
      <c r="M785" s="32"/>
      <c r="N785" s="32"/>
    </row>
    <row r="786" spans="2:14" x14ac:dyDescent="0.25">
      <c r="B786" s="42"/>
      <c r="C786" s="30"/>
      <c r="D786" s="30"/>
      <c r="E786" s="30"/>
      <c r="F786" s="30"/>
      <c r="G786" s="30"/>
      <c r="H786" s="47"/>
      <c r="I786" s="63"/>
      <c r="J786" s="31"/>
      <c r="K786" s="31"/>
      <c r="L786" s="32"/>
      <c r="M786" s="32"/>
      <c r="N786" s="32"/>
    </row>
    <row r="787" spans="2:14" x14ac:dyDescent="0.25">
      <c r="B787" s="42"/>
      <c r="C787" s="30"/>
      <c r="D787" s="30"/>
      <c r="E787" s="30"/>
      <c r="F787" s="30"/>
      <c r="G787" s="30"/>
      <c r="H787" s="47"/>
      <c r="I787" s="63"/>
      <c r="J787" s="31"/>
      <c r="K787" s="31"/>
      <c r="L787" s="32"/>
      <c r="M787" s="32"/>
      <c r="N787" s="32"/>
    </row>
    <row r="788" spans="2:14" x14ac:dyDescent="0.25">
      <c r="B788" s="42"/>
      <c r="C788" s="30"/>
      <c r="D788" s="30"/>
      <c r="E788" s="30"/>
      <c r="F788" s="30"/>
      <c r="G788" s="30"/>
      <c r="H788" s="47"/>
      <c r="I788" s="63"/>
      <c r="J788" s="31"/>
      <c r="K788" s="31"/>
      <c r="L788" s="32"/>
      <c r="M788" s="32"/>
      <c r="N788" s="32"/>
    </row>
    <row r="789" spans="2:14" x14ac:dyDescent="0.25">
      <c r="B789" s="42"/>
      <c r="C789" s="30"/>
      <c r="D789" s="30"/>
      <c r="E789" s="30"/>
      <c r="F789" s="30"/>
      <c r="G789" s="30"/>
      <c r="H789" s="47"/>
      <c r="I789" s="63"/>
      <c r="J789" s="31"/>
      <c r="K789" s="31"/>
      <c r="L789" s="32"/>
      <c r="M789" s="32"/>
      <c r="N789" s="32"/>
    </row>
    <row r="790" spans="2:14" x14ac:dyDescent="0.25">
      <c r="B790" s="42"/>
      <c r="C790" s="30"/>
      <c r="D790" s="30"/>
      <c r="E790" s="30"/>
      <c r="F790" s="30"/>
      <c r="G790" s="30"/>
      <c r="H790" s="47"/>
      <c r="I790" s="63"/>
      <c r="J790" s="31"/>
      <c r="K790" s="31"/>
      <c r="L790" s="32"/>
      <c r="M790" s="32"/>
      <c r="N790" s="32"/>
    </row>
    <row r="791" spans="2:14" x14ac:dyDescent="0.25">
      <c r="B791" s="42"/>
      <c r="C791" s="30"/>
      <c r="D791" s="30"/>
      <c r="E791" s="30"/>
      <c r="F791" s="30"/>
      <c r="G791" s="30"/>
      <c r="H791" s="47"/>
      <c r="I791" s="63"/>
      <c r="J791" s="31"/>
      <c r="K791" s="31"/>
      <c r="L791" s="32"/>
      <c r="M791" s="32"/>
      <c r="N791" s="32"/>
    </row>
    <row r="792" spans="2:14" x14ac:dyDescent="0.25">
      <c r="B792" s="42"/>
      <c r="C792" s="30"/>
      <c r="D792" s="30"/>
      <c r="E792" s="30"/>
      <c r="F792" s="30"/>
      <c r="G792" s="30"/>
      <c r="H792" s="47"/>
      <c r="I792" s="63"/>
      <c r="J792" s="31"/>
      <c r="K792" s="31"/>
      <c r="L792" s="32"/>
      <c r="M792" s="32"/>
      <c r="N792" s="32"/>
    </row>
    <row r="793" spans="2:14" x14ac:dyDescent="0.25">
      <c r="B793" s="42"/>
      <c r="C793" s="30"/>
      <c r="D793" s="30"/>
      <c r="E793" s="30"/>
      <c r="F793" s="30"/>
      <c r="G793" s="30"/>
      <c r="H793" s="47"/>
      <c r="I793" s="63"/>
      <c r="J793" s="31"/>
      <c r="K793" s="31"/>
      <c r="L793" s="32"/>
      <c r="M793" s="32"/>
      <c r="N793" s="32"/>
    </row>
    <row r="794" spans="2:14" x14ac:dyDescent="0.25">
      <c r="B794" s="42"/>
      <c r="C794" s="30"/>
      <c r="D794" s="30"/>
      <c r="E794" s="30"/>
      <c r="F794" s="30"/>
      <c r="G794" s="30"/>
      <c r="H794" s="47"/>
      <c r="I794" s="63"/>
      <c r="J794" s="31"/>
      <c r="K794" s="31"/>
      <c r="L794" s="32"/>
      <c r="M794" s="32"/>
      <c r="N794" s="32"/>
    </row>
    <row r="795" spans="2:14" x14ac:dyDescent="0.25">
      <c r="B795" s="42"/>
      <c r="C795" s="30"/>
      <c r="D795" s="30"/>
      <c r="E795" s="30"/>
      <c r="F795" s="30"/>
      <c r="G795" s="30"/>
      <c r="H795" s="47"/>
      <c r="I795" s="63"/>
      <c r="J795" s="31"/>
      <c r="K795" s="31"/>
      <c r="L795" s="32"/>
      <c r="M795" s="32"/>
      <c r="N795" s="32"/>
    </row>
    <row r="796" spans="2:14" x14ac:dyDescent="0.25">
      <c r="B796" s="42"/>
      <c r="C796" s="30"/>
      <c r="D796" s="30"/>
      <c r="E796" s="30"/>
      <c r="F796" s="30"/>
      <c r="G796" s="30"/>
      <c r="H796" s="47"/>
      <c r="I796" s="63"/>
      <c r="J796" s="31"/>
      <c r="K796" s="31"/>
      <c r="L796" s="32"/>
      <c r="M796" s="32"/>
      <c r="N796" s="32"/>
    </row>
    <row r="797" spans="2:14" x14ac:dyDescent="0.25">
      <c r="B797" s="42"/>
      <c r="C797" s="30"/>
      <c r="D797" s="30"/>
      <c r="E797" s="30"/>
      <c r="F797" s="30"/>
      <c r="G797" s="30"/>
      <c r="H797" s="47"/>
      <c r="I797" s="63"/>
      <c r="J797" s="31"/>
      <c r="K797" s="31"/>
      <c r="L797" s="32"/>
      <c r="M797" s="32"/>
      <c r="N797" s="32"/>
    </row>
    <row r="798" spans="2:14" x14ac:dyDescent="0.25">
      <c r="B798" s="42"/>
      <c r="C798" s="30"/>
      <c r="D798" s="30"/>
      <c r="E798" s="30"/>
      <c r="F798" s="30"/>
      <c r="G798" s="30"/>
      <c r="H798" s="47"/>
      <c r="I798" s="63"/>
      <c r="J798" s="31"/>
      <c r="K798" s="31"/>
      <c r="L798" s="32"/>
      <c r="M798" s="32"/>
      <c r="N798" s="32"/>
    </row>
    <row r="799" spans="2:14" x14ac:dyDescent="0.25">
      <c r="B799" s="42"/>
      <c r="C799" s="30"/>
      <c r="D799" s="30"/>
      <c r="E799" s="30"/>
      <c r="F799" s="30"/>
      <c r="G799" s="30"/>
      <c r="H799" s="47"/>
      <c r="I799" s="63"/>
      <c r="J799" s="31"/>
      <c r="K799" s="31"/>
      <c r="L799" s="32"/>
      <c r="M799" s="32"/>
      <c r="N799" s="32"/>
    </row>
    <row r="800" spans="2:14" x14ac:dyDescent="0.25">
      <c r="B800" s="42"/>
      <c r="C800" s="30"/>
      <c r="D800" s="30"/>
      <c r="E800" s="30"/>
      <c r="F800" s="30"/>
      <c r="G800" s="30"/>
      <c r="H800" s="47"/>
      <c r="I800" s="63"/>
      <c r="J800" s="31"/>
      <c r="K800" s="31"/>
      <c r="L800" s="32"/>
      <c r="M800" s="32"/>
      <c r="N800" s="32"/>
    </row>
    <row r="801" spans="2:14" x14ac:dyDescent="0.25">
      <c r="B801" s="42"/>
      <c r="C801" s="30"/>
      <c r="D801" s="30"/>
      <c r="E801" s="30"/>
      <c r="F801" s="30"/>
      <c r="G801" s="30"/>
      <c r="H801" s="47"/>
      <c r="I801" s="63"/>
      <c r="J801" s="31"/>
      <c r="K801" s="31"/>
      <c r="L801" s="32"/>
      <c r="M801" s="32"/>
      <c r="N801" s="32"/>
    </row>
    <row r="802" spans="2:14" x14ac:dyDescent="0.25">
      <c r="B802" s="42"/>
      <c r="C802" s="30"/>
      <c r="D802" s="30"/>
      <c r="E802" s="30"/>
      <c r="F802" s="30"/>
      <c r="G802" s="30"/>
      <c r="H802" s="47"/>
      <c r="I802" s="63"/>
      <c r="J802" s="31"/>
      <c r="K802" s="31"/>
      <c r="L802" s="32"/>
      <c r="M802" s="32"/>
      <c r="N802" s="32"/>
    </row>
    <row r="803" spans="2:14" x14ac:dyDescent="0.25">
      <c r="B803" s="42"/>
      <c r="C803" s="30"/>
      <c r="D803" s="30"/>
      <c r="E803" s="30"/>
      <c r="F803" s="30"/>
      <c r="G803" s="30"/>
      <c r="H803" s="47"/>
      <c r="I803" s="63"/>
      <c r="J803" s="31"/>
      <c r="K803" s="31"/>
      <c r="L803" s="32"/>
      <c r="M803" s="32"/>
      <c r="N803" s="32"/>
    </row>
    <row r="804" spans="2:14" x14ac:dyDescent="0.25">
      <c r="B804" s="42"/>
      <c r="C804" s="30"/>
      <c r="D804" s="30"/>
      <c r="E804" s="30"/>
      <c r="F804" s="30"/>
      <c r="G804" s="30"/>
      <c r="H804" s="47"/>
      <c r="I804" s="63"/>
      <c r="J804" s="31"/>
      <c r="K804" s="31"/>
      <c r="L804" s="32"/>
      <c r="M804" s="32"/>
      <c r="N804" s="32"/>
    </row>
    <row r="805" spans="2:14" x14ac:dyDescent="0.25">
      <c r="B805" s="42"/>
      <c r="C805" s="30"/>
      <c r="D805" s="30"/>
      <c r="E805" s="30"/>
      <c r="F805" s="30"/>
      <c r="G805" s="30"/>
      <c r="H805" s="47"/>
      <c r="I805" s="63"/>
      <c r="J805" s="31"/>
      <c r="K805" s="31"/>
      <c r="L805" s="32"/>
      <c r="M805" s="32"/>
      <c r="N805" s="32"/>
    </row>
    <row r="806" spans="2:14" x14ac:dyDescent="0.25">
      <c r="B806" s="42"/>
      <c r="C806" s="30"/>
      <c r="D806" s="30"/>
      <c r="E806" s="30"/>
      <c r="F806" s="30"/>
      <c r="G806" s="30"/>
      <c r="H806" s="47"/>
      <c r="I806" s="63"/>
      <c r="J806" s="31"/>
      <c r="K806" s="31"/>
      <c r="L806" s="32"/>
      <c r="M806" s="32"/>
      <c r="N806" s="32"/>
    </row>
    <row r="807" spans="2:14" x14ac:dyDescent="0.25">
      <c r="B807" s="42"/>
      <c r="C807" s="30"/>
      <c r="D807" s="30"/>
      <c r="E807" s="30"/>
      <c r="F807" s="30"/>
      <c r="G807" s="30"/>
      <c r="H807" s="47"/>
      <c r="I807" s="63"/>
      <c r="J807" s="31"/>
      <c r="K807" s="31"/>
      <c r="L807" s="32"/>
      <c r="M807" s="32"/>
      <c r="N807" s="32"/>
    </row>
    <row r="808" spans="2:14" x14ac:dyDescent="0.25">
      <c r="B808" s="42"/>
      <c r="C808" s="30"/>
      <c r="D808" s="30"/>
      <c r="E808" s="30"/>
      <c r="F808" s="30"/>
      <c r="G808" s="30"/>
      <c r="H808" s="47"/>
      <c r="I808" s="63"/>
      <c r="J808" s="31"/>
      <c r="K808" s="31"/>
      <c r="L808" s="32"/>
      <c r="M808" s="32"/>
      <c r="N808" s="32"/>
    </row>
    <row r="809" spans="2:14" x14ac:dyDescent="0.25">
      <c r="B809" s="42"/>
      <c r="C809" s="30"/>
      <c r="D809" s="30"/>
      <c r="E809" s="30"/>
      <c r="F809" s="30"/>
      <c r="G809" s="30"/>
      <c r="H809" s="47"/>
      <c r="I809" s="63"/>
      <c r="J809" s="31"/>
      <c r="K809" s="31"/>
      <c r="L809" s="32"/>
      <c r="M809" s="32"/>
      <c r="N809" s="32"/>
    </row>
    <row r="810" spans="2:14" x14ac:dyDescent="0.25">
      <c r="B810" s="42"/>
      <c r="C810" s="30"/>
      <c r="D810" s="30"/>
      <c r="E810" s="30"/>
      <c r="F810" s="30"/>
      <c r="G810" s="30"/>
      <c r="H810" s="47"/>
      <c r="I810" s="63"/>
      <c r="J810" s="31"/>
      <c r="K810" s="31"/>
      <c r="L810" s="32"/>
      <c r="M810" s="32"/>
      <c r="N810" s="32"/>
    </row>
    <row r="811" spans="2:14" x14ac:dyDescent="0.25">
      <c r="B811" s="42"/>
      <c r="C811" s="30"/>
      <c r="D811" s="30"/>
      <c r="E811" s="30"/>
      <c r="F811" s="30"/>
      <c r="G811" s="30"/>
      <c r="H811" s="47"/>
      <c r="I811" s="63"/>
      <c r="J811" s="31"/>
      <c r="K811" s="31"/>
      <c r="L811" s="32"/>
      <c r="M811" s="32"/>
      <c r="N811" s="32"/>
    </row>
    <row r="812" spans="2:14" x14ac:dyDescent="0.25">
      <c r="B812" s="42"/>
      <c r="C812" s="30"/>
      <c r="D812" s="30"/>
      <c r="E812" s="30"/>
      <c r="F812" s="30"/>
      <c r="G812" s="30"/>
      <c r="H812" s="47"/>
      <c r="I812" s="63"/>
      <c r="J812" s="31"/>
      <c r="K812" s="31"/>
      <c r="L812" s="32"/>
      <c r="M812" s="32"/>
      <c r="N812" s="32"/>
    </row>
    <row r="813" spans="2:14" x14ac:dyDescent="0.25">
      <c r="B813" s="42"/>
      <c r="C813" s="30"/>
      <c r="D813" s="30"/>
      <c r="E813" s="30"/>
      <c r="F813" s="30"/>
      <c r="G813" s="30"/>
      <c r="H813" s="47"/>
      <c r="I813" s="63"/>
      <c r="J813" s="31"/>
      <c r="K813" s="31"/>
      <c r="L813" s="32"/>
      <c r="M813" s="32"/>
      <c r="N813" s="32"/>
    </row>
    <row r="814" spans="2:14" x14ac:dyDescent="0.25">
      <c r="B814" s="42"/>
      <c r="C814" s="30"/>
      <c r="D814" s="30"/>
      <c r="E814" s="30"/>
      <c r="F814" s="30"/>
      <c r="G814" s="30"/>
      <c r="H814" s="47"/>
      <c r="I814" s="63"/>
      <c r="J814" s="31"/>
      <c r="K814" s="31"/>
      <c r="L814" s="32"/>
      <c r="M814" s="32"/>
      <c r="N814" s="32"/>
    </row>
    <row r="815" spans="2:14" x14ac:dyDescent="0.25">
      <c r="B815" s="42"/>
      <c r="C815" s="30"/>
      <c r="D815" s="30"/>
      <c r="E815" s="30"/>
      <c r="F815" s="30"/>
      <c r="G815" s="30"/>
      <c r="H815" s="47"/>
      <c r="I815" s="63"/>
      <c r="J815" s="31"/>
      <c r="K815" s="31"/>
      <c r="L815" s="32"/>
      <c r="M815" s="32"/>
      <c r="N815" s="32"/>
    </row>
    <row r="816" spans="2:14" x14ac:dyDescent="0.25">
      <c r="B816" s="42"/>
      <c r="C816" s="30"/>
      <c r="D816" s="30"/>
      <c r="E816" s="30"/>
      <c r="F816" s="30"/>
      <c r="G816" s="30"/>
      <c r="H816" s="47"/>
      <c r="I816" s="63"/>
      <c r="J816" s="31"/>
      <c r="K816" s="31"/>
      <c r="L816" s="32"/>
      <c r="M816" s="32"/>
      <c r="N816" s="32"/>
    </row>
    <row r="817" spans="2:14" x14ac:dyDescent="0.25">
      <c r="B817" s="42"/>
      <c r="C817" s="30"/>
      <c r="D817" s="30"/>
      <c r="E817" s="30"/>
      <c r="F817" s="30"/>
      <c r="G817" s="30"/>
      <c r="H817" s="47"/>
      <c r="I817" s="63"/>
      <c r="J817" s="31"/>
      <c r="K817" s="31"/>
      <c r="L817" s="32"/>
      <c r="M817" s="32"/>
      <c r="N817" s="32"/>
    </row>
    <row r="818" spans="2:14" x14ac:dyDescent="0.25">
      <c r="B818" s="42"/>
      <c r="C818" s="30"/>
      <c r="D818" s="30"/>
      <c r="E818" s="30"/>
      <c r="F818" s="30"/>
      <c r="G818" s="30"/>
      <c r="H818" s="47"/>
      <c r="I818" s="63"/>
      <c r="J818" s="31"/>
      <c r="K818" s="31"/>
      <c r="L818" s="32"/>
      <c r="M818" s="32"/>
      <c r="N818" s="32"/>
    </row>
    <row r="819" spans="2:14" x14ac:dyDescent="0.25">
      <c r="B819" s="42"/>
      <c r="C819" s="30"/>
      <c r="D819" s="30"/>
      <c r="E819" s="30"/>
      <c r="F819" s="30"/>
      <c r="G819" s="30"/>
      <c r="H819" s="47"/>
      <c r="I819" s="63"/>
      <c r="J819" s="31"/>
      <c r="K819" s="31"/>
      <c r="L819" s="32"/>
      <c r="M819" s="32"/>
      <c r="N819" s="32"/>
    </row>
    <row r="820" spans="2:14" x14ac:dyDescent="0.25">
      <c r="B820" s="42"/>
      <c r="C820" s="30"/>
      <c r="D820" s="30"/>
      <c r="E820" s="30"/>
      <c r="F820" s="30"/>
      <c r="G820" s="30"/>
      <c r="H820" s="47"/>
      <c r="I820" s="63"/>
      <c r="J820" s="31"/>
      <c r="K820" s="31"/>
      <c r="L820" s="32"/>
      <c r="M820" s="32"/>
      <c r="N820" s="32"/>
    </row>
    <row r="821" spans="2:14" x14ac:dyDescent="0.25">
      <c r="B821" s="42"/>
      <c r="C821" s="30"/>
      <c r="D821" s="30"/>
      <c r="E821" s="30"/>
      <c r="F821" s="30"/>
      <c r="G821" s="30"/>
      <c r="H821" s="47"/>
      <c r="I821" s="63"/>
      <c r="J821" s="31"/>
      <c r="K821" s="31"/>
      <c r="L821" s="32"/>
      <c r="M821" s="32"/>
      <c r="N821" s="32"/>
    </row>
    <row r="822" spans="2:14" x14ac:dyDescent="0.25">
      <c r="B822" s="42"/>
      <c r="C822" s="30"/>
      <c r="D822" s="30"/>
      <c r="E822" s="30"/>
      <c r="F822" s="30"/>
      <c r="G822" s="30"/>
      <c r="H822" s="47"/>
      <c r="I822" s="63"/>
      <c r="J822" s="31"/>
      <c r="K822" s="31"/>
      <c r="L822" s="32"/>
      <c r="M822" s="32"/>
      <c r="N822" s="32"/>
    </row>
    <row r="823" spans="2:14" x14ac:dyDescent="0.25">
      <c r="B823" s="42"/>
      <c r="C823" s="30"/>
      <c r="D823" s="30"/>
      <c r="E823" s="30"/>
      <c r="F823" s="30"/>
      <c r="G823" s="30"/>
      <c r="H823" s="47"/>
      <c r="I823" s="63"/>
      <c r="J823" s="31"/>
      <c r="K823" s="31"/>
      <c r="L823" s="32"/>
      <c r="M823" s="32"/>
      <c r="N823" s="32"/>
    </row>
    <row r="824" spans="2:14" x14ac:dyDescent="0.25">
      <c r="B824" s="42"/>
      <c r="C824" s="30"/>
      <c r="D824" s="30"/>
      <c r="E824" s="30"/>
      <c r="F824" s="30"/>
      <c r="G824" s="30"/>
      <c r="H824" s="47"/>
      <c r="I824" s="63"/>
      <c r="J824" s="31"/>
      <c r="K824" s="31"/>
      <c r="L824" s="32"/>
      <c r="M824" s="32"/>
      <c r="N824" s="32"/>
    </row>
    <row r="825" spans="2:14" x14ac:dyDescent="0.25">
      <c r="B825" s="42"/>
      <c r="C825" s="30"/>
      <c r="D825" s="30"/>
      <c r="E825" s="30"/>
      <c r="F825" s="30"/>
      <c r="G825" s="30"/>
      <c r="H825" s="47"/>
      <c r="I825" s="63"/>
      <c r="J825" s="31"/>
      <c r="K825" s="31"/>
      <c r="L825" s="32"/>
      <c r="M825" s="32"/>
      <c r="N825" s="32"/>
    </row>
    <row r="826" spans="2:14" x14ac:dyDescent="0.25">
      <c r="B826" s="42"/>
      <c r="C826" s="30"/>
      <c r="D826" s="30"/>
      <c r="E826" s="30"/>
      <c r="F826" s="30"/>
      <c r="G826" s="30"/>
      <c r="H826" s="47"/>
      <c r="I826" s="63"/>
      <c r="J826" s="31"/>
      <c r="K826" s="31"/>
      <c r="L826" s="32"/>
      <c r="M826" s="32"/>
      <c r="N826" s="32"/>
    </row>
    <row r="827" spans="2:14" x14ac:dyDescent="0.25">
      <c r="B827" s="42"/>
      <c r="C827" s="30"/>
      <c r="D827" s="30"/>
      <c r="E827" s="30"/>
      <c r="F827" s="30"/>
      <c r="G827" s="30"/>
      <c r="H827" s="47"/>
      <c r="I827" s="63"/>
      <c r="J827" s="31"/>
      <c r="K827" s="31"/>
      <c r="L827" s="32"/>
      <c r="M827" s="32"/>
      <c r="N827" s="32"/>
    </row>
    <row r="828" spans="2:14" x14ac:dyDescent="0.25">
      <c r="B828" s="42"/>
      <c r="C828" s="30"/>
      <c r="D828" s="30"/>
      <c r="E828" s="30"/>
      <c r="F828" s="30"/>
      <c r="G828" s="30"/>
      <c r="H828" s="47"/>
      <c r="I828" s="63"/>
      <c r="J828" s="31"/>
      <c r="K828" s="31"/>
      <c r="L828" s="32"/>
      <c r="M828" s="32"/>
      <c r="N828" s="32"/>
    </row>
    <row r="829" spans="2:14" x14ac:dyDescent="0.25">
      <c r="B829" s="42"/>
      <c r="C829" s="30"/>
      <c r="D829" s="30"/>
      <c r="E829" s="30"/>
      <c r="F829" s="30"/>
      <c r="G829" s="30"/>
      <c r="H829" s="47"/>
      <c r="I829" s="63"/>
      <c r="J829" s="31"/>
      <c r="K829" s="31"/>
      <c r="L829" s="32"/>
      <c r="M829" s="32"/>
      <c r="N829" s="32"/>
    </row>
    <row r="830" spans="2:14" x14ac:dyDescent="0.25">
      <c r="B830" s="42"/>
      <c r="C830" s="30"/>
      <c r="D830" s="30"/>
      <c r="E830" s="30"/>
      <c r="F830" s="30"/>
      <c r="G830" s="30"/>
      <c r="H830" s="47"/>
      <c r="I830" s="63"/>
      <c r="J830" s="31"/>
      <c r="K830" s="31"/>
      <c r="L830" s="32"/>
      <c r="M830" s="32"/>
      <c r="N830" s="32"/>
    </row>
    <row r="831" spans="2:14" x14ac:dyDescent="0.25">
      <c r="B831" s="42"/>
      <c r="C831" s="30"/>
      <c r="D831" s="30"/>
      <c r="E831" s="30"/>
      <c r="F831" s="30"/>
      <c r="G831" s="30"/>
      <c r="H831" s="47"/>
      <c r="I831" s="63"/>
      <c r="J831" s="31"/>
      <c r="K831" s="31"/>
      <c r="L831" s="32"/>
      <c r="M831" s="32"/>
      <c r="N831" s="32"/>
    </row>
    <row r="832" spans="2:14" x14ac:dyDescent="0.25">
      <c r="B832" s="42"/>
      <c r="C832" s="30"/>
      <c r="D832" s="30"/>
      <c r="E832" s="30"/>
      <c r="F832" s="30"/>
      <c r="G832" s="30"/>
      <c r="H832" s="47"/>
      <c r="I832" s="63"/>
      <c r="J832" s="31"/>
      <c r="K832" s="31"/>
      <c r="L832" s="32"/>
      <c r="M832" s="32"/>
      <c r="N832" s="32"/>
    </row>
    <row r="833" spans="2:14" x14ac:dyDescent="0.25">
      <c r="B833" s="42"/>
      <c r="C833" s="30"/>
      <c r="D833" s="30"/>
      <c r="E833" s="30"/>
      <c r="F833" s="30"/>
      <c r="G833" s="30"/>
      <c r="H833" s="47"/>
      <c r="I833" s="63"/>
      <c r="J833" s="31"/>
      <c r="K833" s="31"/>
      <c r="L833" s="32"/>
      <c r="M833" s="32"/>
      <c r="N833" s="32"/>
    </row>
    <row r="834" spans="2:14" x14ac:dyDescent="0.25">
      <c r="B834" s="42"/>
      <c r="C834" s="30"/>
      <c r="D834" s="30"/>
      <c r="E834" s="30"/>
      <c r="F834" s="30"/>
      <c r="G834" s="30"/>
      <c r="H834" s="47"/>
      <c r="I834" s="63"/>
      <c r="J834" s="31"/>
      <c r="K834" s="31"/>
      <c r="L834" s="32"/>
      <c r="M834" s="32"/>
      <c r="N834" s="32"/>
    </row>
    <row r="835" spans="2:14" x14ac:dyDescent="0.25">
      <c r="B835" s="42"/>
      <c r="C835" s="30"/>
      <c r="D835" s="30"/>
      <c r="E835" s="30"/>
      <c r="F835" s="30"/>
      <c r="G835" s="30"/>
      <c r="H835" s="47"/>
      <c r="I835" s="63"/>
      <c r="J835" s="31"/>
      <c r="K835" s="31"/>
      <c r="L835" s="32"/>
      <c r="M835" s="32"/>
      <c r="N835" s="32"/>
    </row>
    <row r="836" spans="2:14" x14ac:dyDescent="0.25">
      <c r="B836" s="42"/>
      <c r="C836" s="30"/>
      <c r="D836" s="30"/>
      <c r="E836" s="30"/>
      <c r="F836" s="30"/>
      <c r="G836" s="30"/>
      <c r="H836" s="47"/>
      <c r="I836" s="63"/>
      <c r="J836" s="31"/>
      <c r="K836" s="31"/>
      <c r="L836" s="32"/>
      <c r="M836" s="32"/>
      <c r="N836" s="32"/>
    </row>
    <row r="837" spans="2:14" x14ac:dyDescent="0.25">
      <c r="B837" s="42"/>
      <c r="C837" s="30"/>
      <c r="D837" s="30"/>
      <c r="E837" s="30"/>
      <c r="F837" s="30"/>
      <c r="G837" s="30"/>
      <c r="H837" s="47"/>
      <c r="I837" s="63"/>
      <c r="J837" s="31"/>
      <c r="K837" s="31"/>
      <c r="L837" s="32"/>
      <c r="M837" s="32"/>
      <c r="N837" s="32"/>
    </row>
    <row r="838" spans="2:14" x14ac:dyDescent="0.25">
      <c r="B838" s="42"/>
      <c r="C838" s="30"/>
      <c r="D838" s="30"/>
      <c r="E838" s="30"/>
      <c r="F838" s="30"/>
      <c r="G838" s="30"/>
      <c r="H838" s="47"/>
      <c r="I838" s="63"/>
      <c r="J838" s="31"/>
      <c r="K838" s="31"/>
      <c r="L838" s="32"/>
      <c r="M838" s="32"/>
      <c r="N838" s="32"/>
    </row>
    <row r="839" spans="2:14" x14ac:dyDescent="0.25">
      <c r="B839" s="42"/>
      <c r="C839" s="30"/>
      <c r="D839" s="30"/>
      <c r="E839" s="30"/>
      <c r="F839" s="30"/>
      <c r="G839" s="30"/>
      <c r="H839" s="47"/>
      <c r="I839" s="63"/>
      <c r="J839" s="31"/>
      <c r="K839" s="31"/>
      <c r="L839" s="32"/>
      <c r="M839" s="32"/>
      <c r="N839" s="32"/>
    </row>
    <row r="840" spans="2:14" x14ac:dyDescent="0.25">
      <c r="B840" s="42"/>
      <c r="C840" s="30"/>
      <c r="D840" s="30"/>
      <c r="E840" s="30"/>
      <c r="F840" s="30"/>
      <c r="G840" s="30"/>
      <c r="H840" s="47"/>
      <c r="I840" s="63"/>
      <c r="J840" s="31"/>
      <c r="K840" s="31"/>
      <c r="L840" s="32"/>
      <c r="M840" s="32"/>
      <c r="N840" s="32"/>
    </row>
    <row r="841" spans="2:14" x14ac:dyDescent="0.25">
      <c r="B841" s="42"/>
      <c r="C841" s="30"/>
      <c r="D841" s="30"/>
      <c r="E841" s="30"/>
      <c r="F841" s="30"/>
      <c r="G841" s="30"/>
      <c r="H841" s="47"/>
      <c r="I841" s="63"/>
      <c r="J841" s="31"/>
      <c r="K841" s="31"/>
      <c r="L841" s="32"/>
      <c r="M841" s="32"/>
      <c r="N841" s="32"/>
    </row>
    <row r="842" spans="2:14" x14ac:dyDescent="0.25">
      <c r="B842" s="42"/>
      <c r="C842" s="30"/>
      <c r="D842" s="30"/>
      <c r="E842" s="30"/>
      <c r="F842" s="30"/>
      <c r="G842" s="30"/>
      <c r="H842" s="47"/>
      <c r="I842" s="63"/>
      <c r="J842" s="31"/>
      <c r="K842" s="31"/>
      <c r="L842" s="32"/>
      <c r="M842" s="32"/>
      <c r="N842" s="32"/>
    </row>
    <row r="843" spans="2:14" x14ac:dyDescent="0.25">
      <c r="B843" s="42"/>
      <c r="C843" s="30"/>
      <c r="D843" s="30"/>
      <c r="E843" s="30"/>
      <c r="F843" s="30"/>
      <c r="G843" s="30"/>
      <c r="H843" s="47"/>
      <c r="I843" s="63"/>
      <c r="J843" s="31"/>
      <c r="K843" s="31"/>
      <c r="L843" s="32"/>
      <c r="M843" s="32"/>
      <c r="N843" s="32"/>
    </row>
    <row r="844" spans="2:14" x14ac:dyDescent="0.25">
      <c r="B844" s="42"/>
      <c r="C844" s="30"/>
      <c r="D844" s="30"/>
      <c r="E844" s="30"/>
      <c r="F844" s="30"/>
      <c r="G844" s="30"/>
      <c r="H844" s="47"/>
      <c r="I844" s="63"/>
      <c r="J844" s="31"/>
      <c r="K844" s="31"/>
      <c r="L844" s="32"/>
      <c r="M844" s="32"/>
      <c r="N844" s="32"/>
    </row>
    <row r="845" spans="2:14" x14ac:dyDescent="0.25">
      <c r="B845" s="42"/>
      <c r="C845" s="30"/>
      <c r="D845" s="30"/>
      <c r="E845" s="30"/>
      <c r="F845" s="30"/>
      <c r="G845" s="30"/>
      <c r="H845" s="47"/>
      <c r="I845" s="63"/>
      <c r="J845" s="31"/>
      <c r="K845" s="31"/>
      <c r="L845" s="32"/>
      <c r="M845" s="32"/>
      <c r="N845" s="32"/>
    </row>
    <row r="846" spans="2:14" x14ac:dyDescent="0.25">
      <c r="B846" s="42"/>
      <c r="C846" s="30"/>
      <c r="D846" s="30"/>
      <c r="E846" s="30"/>
      <c r="F846" s="30"/>
      <c r="G846" s="30"/>
      <c r="H846" s="47"/>
      <c r="I846" s="63"/>
      <c r="J846" s="31"/>
      <c r="K846" s="31"/>
      <c r="L846" s="32"/>
      <c r="M846" s="32"/>
      <c r="N846" s="32"/>
    </row>
    <row r="847" spans="2:14" x14ac:dyDescent="0.25">
      <c r="B847" s="42"/>
      <c r="C847" s="30"/>
      <c r="D847" s="30"/>
      <c r="E847" s="30"/>
      <c r="F847" s="30"/>
      <c r="G847" s="30"/>
      <c r="H847" s="47"/>
      <c r="I847" s="63"/>
      <c r="J847" s="31"/>
      <c r="K847" s="31"/>
      <c r="L847" s="32"/>
      <c r="M847" s="32"/>
      <c r="N847" s="32"/>
    </row>
    <row r="848" spans="2:14" x14ac:dyDescent="0.25">
      <c r="B848" s="42"/>
      <c r="C848" s="30"/>
      <c r="D848" s="30"/>
      <c r="E848" s="30"/>
      <c r="F848" s="30"/>
      <c r="G848" s="30"/>
      <c r="H848" s="47"/>
      <c r="I848" s="63"/>
      <c r="J848" s="31"/>
      <c r="K848" s="31"/>
      <c r="L848" s="32"/>
      <c r="M848" s="32"/>
      <c r="N848" s="32"/>
    </row>
    <row r="849" spans="2:14" x14ac:dyDescent="0.25">
      <c r="B849" s="42"/>
      <c r="C849" s="30"/>
      <c r="D849" s="30"/>
      <c r="E849" s="30"/>
      <c r="F849" s="30"/>
      <c r="G849" s="30"/>
      <c r="H849" s="47"/>
      <c r="I849" s="63"/>
      <c r="J849" s="31"/>
      <c r="K849" s="31"/>
      <c r="L849" s="32"/>
      <c r="M849" s="32"/>
      <c r="N849" s="32"/>
    </row>
    <row r="850" spans="2:14" x14ac:dyDescent="0.25">
      <c r="B850" s="42"/>
      <c r="C850" s="30"/>
      <c r="D850" s="30"/>
      <c r="E850" s="30"/>
      <c r="F850" s="30"/>
      <c r="G850" s="30"/>
      <c r="H850" s="47"/>
      <c r="I850" s="63"/>
      <c r="J850" s="31"/>
      <c r="K850" s="31"/>
      <c r="L850" s="32"/>
      <c r="M850" s="32"/>
      <c r="N850" s="32"/>
    </row>
    <row r="851" spans="2:14" x14ac:dyDescent="0.25">
      <c r="B851" s="42"/>
      <c r="C851" s="30"/>
      <c r="D851" s="30"/>
      <c r="E851" s="30"/>
      <c r="F851" s="30"/>
      <c r="G851" s="30"/>
      <c r="H851" s="47"/>
      <c r="I851" s="63"/>
      <c r="J851" s="31"/>
      <c r="K851" s="31"/>
      <c r="L851" s="32"/>
      <c r="M851" s="32"/>
      <c r="N851" s="32"/>
    </row>
    <row r="852" spans="2:14" x14ac:dyDescent="0.25">
      <c r="B852" s="42"/>
      <c r="C852" s="30"/>
      <c r="D852" s="30"/>
      <c r="E852" s="30"/>
      <c r="F852" s="30"/>
      <c r="G852" s="30"/>
      <c r="H852" s="47"/>
      <c r="I852" s="63"/>
      <c r="J852" s="31"/>
      <c r="K852" s="31"/>
      <c r="L852" s="32"/>
      <c r="M852" s="32"/>
      <c r="N852" s="32"/>
    </row>
    <row r="853" spans="2:14" x14ac:dyDescent="0.25">
      <c r="B853" s="42"/>
      <c r="C853" s="30"/>
      <c r="D853" s="30"/>
      <c r="E853" s="30"/>
      <c r="F853" s="30"/>
      <c r="G853" s="30"/>
      <c r="H853" s="47"/>
      <c r="I853" s="63"/>
      <c r="J853" s="31"/>
      <c r="K853" s="31"/>
      <c r="L853" s="32"/>
      <c r="M853" s="32"/>
      <c r="N853" s="32"/>
    </row>
    <row r="854" spans="2:14" x14ac:dyDescent="0.25">
      <c r="B854" s="42"/>
      <c r="C854" s="30"/>
      <c r="D854" s="30"/>
      <c r="E854" s="30"/>
      <c r="F854" s="30"/>
      <c r="G854" s="30"/>
      <c r="H854" s="47"/>
      <c r="I854" s="63"/>
      <c r="J854" s="31"/>
      <c r="K854" s="31"/>
      <c r="L854" s="32"/>
      <c r="M854" s="32"/>
      <c r="N854" s="32"/>
    </row>
    <row r="855" spans="2:14" x14ac:dyDescent="0.25">
      <c r="B855" s="42"/>
      <c r="C855" s="30"/>
      <c r="D855" s="30"/>
      <c r="E855" s="30"/>
      <c r="F855" s="30"/>
      <c r="G855" s="30"/>
      <c r="H855" s="47"/>
      <c r="I855" s="63"/>
      <c r="J855" s="31"/>
      <c r="K855" s="31"/>
      <c r="L855" s="32"/>
      <c r="M855" s="32"/>
      <c r="N855" s="32"/>
    </row>
    <row r="856" spans="2:14" x14ac:dyDescent="0.25">
      <c r="B856" s="42"/>
      <c r="C856" s="30"/>
      <c r="D856" s="30"/>
      <c r="E856" s="30"/>
      <c r="F856" s="30"/>
      <c r="G856" s="30"/>
      <c r="H856" s="47"/>
      <c r="I856" s="63"/>
      <c r="J856" s="31"/>
      <c r="K856" s="31"/>
      <c r="L856" s="32"/>
      <c r="M856" s="32"/>
      <c r="N856" s="32"/>
    </row>
    <row r="857" spans="2:14" x14ac:dyDescent="0.25">
      <c r="B857" s="42"/>
      <c r="C857" s="30"/>
      <c r="D857" s="30"/>
      <c r="E857" s="30"/>
      <c r="F857" s="30"/>
      <c r="G857" s="30"/>
      <c r="H857" s="47"/>
      <c r="I857" s="63"/>
      <c r="J857" s="31"/>
      <c r="K857" s="31"/>
      <c r="L857" s="32"/>
      <c r="M857" s="32"/>
      <c r="N857" s="32"/>
    </row>
    <row r="858" spans="2:14" x14ac:dyDescent="0.25">
      <c r="B858" s="42"/>
      <c r="C858" s="30"/>
      <c r="D858" s="30"/>
      <c r="E858" s="30"/>
      <c r="F858" s="30"/>
      <c r="G858" s="30"/>
      <c r="H858" s="47"/>
      <c r="I858" s="63"/>
      <c r="J858" s="31"/>
      <c r="K858" s="31"/>
      <c r="L858" s="32"/>
      <c r="M858" s="32"/>
      <c r="N858" s="32"/>
    </row>
    <row r="859" spans="2:14" x14ac:dyDescent="0.25">
      <c r="B859" s="42"/>
      <c r="C859" s="30"/>
      <c r="D859" s="30"/>
      <c r="E859" s="30"/>
      <c r="F859" s="30"/>
      <c r="G859" s="30"/>
      <c r="H859" s="47"/>
      <c r="I859" s="63"/>
      <c r="J859" s="31"/>
      <c r="K859" s="31"/>
      <c r="L859" s="32"/>
      <c r="M859" s="32"/>
      <c r="N859" s="32"/>
    </row>
    <row r="860" spans="2:14" x14ac:dyDescent="0.25">
      <c r="B860" s="42"/>
      <c r="C860" s="30"/>
      <c r="D860" s="30"/>
      <c r="E860" s="30"/>
      <c r="F860" s="30"/>
      <c r="G860" s="30"/>
      <c r="H860" s="47"/>
      <c r="I860" s="63"/>
      <c r="J860" s="31"/>
      <c r="K860" s="31"/>
      <c r="L860" s="32"/>
      <c r="M860" s="32"/>
      <c r="N860" s="32"/>
    </row>
    <row r="861" spans="2:14" x14ac:dyDescent="0.25">
      <c r="B861" s="42"/>
      <c r="C861" s="30"/>
      <c r="D861" s="30"/>
      <c r="E861" s="30"/>
      <c r="F861" s="30"/>
      <c r="G861" s="30"/>
      <c r="H861" s="47"/>
      <c r="I861" s="63"/>
      <c r="J861" s="31"/>
      <c r="K861" s="31"/>
      <c r="L861" s="32"/>
      <c r="M861" s="32"/>
      <c r="N861" s="32"/>
    </row>
    <row r="862" spans="2:14" x14ac:dyDescent="0.25">
      <c r="B862" s="42"/>
      <c r="C862" s="30"/>
      <c r="D862" s="30"/>
      <c r="E862" s="30"/>
      <c r="F862" s="30"/>
      <c r="G862" s="30"/>
      <c r="H862" s="47"/>
      <c r="I862" s="63"/>
      <c r="J862" s="31"/>
      <c r="K862" s="31"/>
      <c r="L862" s="32"/>
      <c r="M862" s="32"/>
      <c r="N862" s="32"/>
    </row>
    <row r="863" spans="2:14" x14ac:dyDescent="0.25">
      <c r="B863" s="42"/>
      <c r="C863" s="30"/>
      <c r="D863" s="30"/>
      <c r="E863" s="30"/>
      <c r="F863" s="30"/>
      <c r="G863" s="30"/>
      <c r="H863" s="47"/>
      <c r="I863" s="63"/>
      <c r="J863" s="31"/>
      <c r="K863" s="31"/>
      <c r="L863" s="32"/>
      <c r="M863" s="32"/>
      <c r="N863" s="32"/>
    </row>
    <row r="864" spans="2:14" x14ac:dyDescent="0.25">
      <c r="B864" s="42"/>
      <c r="C864" s="30"/>
      <c r="D864" s="30"/>
      <c r="E864" s="30"/>
      <c r="F864" s="30"/>
      <c r="G864" s="30"/>
      <c r="H864" s="47"/>
      <c r="I864" s="63"/>
      <c r="J864" s="31"/>
      <c r="K864" s="31"/>
      <c r="L864" s="32"/>
      <c r="M864" s="32"/>
      <c r="N864" s="32"/>
    </row>
    <row r="865" spans="2:14" x14ac:dyDescent="0.25">
      <c r="B865" s="42"/>
      <c r="C865" s="30"/>
      <c r="D865" s="30"/>
      <c r="E865" s="30"/>
      <c r="F865" s="30"/>
      <c r="G865" s="30"/>
      <c r="H865" s="47"/>
      <c r="I865" s="63"/>
      <c r="J865" s="31"/>
      <c r="K865" s="31"/>
      <c r="L865" s="32"/>
      <c r="M865" s="32"/>
      <c r="N865" s="32"/>
    </row>
    <row r="866" spans="2:14" x14ac:dyDescent="0.25">
      <c r="B866" s="42"/>
      <c r="C866" s="30"/>
      <c r="D866" s="30"/>
      <c r="E866" s="30"/>
      <c r="F866" s="30"/>
      <c r="G866" s="30"/>
      <c r="H866" s="47"/>
      <c r="I866" s="63"/>
      <c r="J866" s="31"/>
      <c r="K866" s="31"/>
      <c r="L866" s="32"/>
      <c r="M866" s="32"/>
      <c r="N866" s="32"/>
    </row>
    <row r="867" spans="2:14" x14ac:dyDescent="0.25">
      <c r="B867" s="42"/>
      <c r="C867" s="30"/>
      <c r="D867" s="30"/>
      <c r="E867" s="30"/>
      <c r="F867" s="30"/>
      <c r="G867" s="30"/>
      <c r="H867" s="47"/>
      <c r="I867" s="63"/>
      <c r="J867" s="31"/>
      <c r="K867" s="31"/>
      <c r="L867" s="32"/>
      <c r="M867" s="32"/>
      <c r="N867" s="32"/>
    </row>
    <row r="868" spans="2:14" x14ac:dyDescent="0.25">
      <c r="B868" s="42"/>
      <c r="C868" s="30"/>
      <c r="D868" s="30"/>
      <c r="E868" s="30"/>
      <c r="F868" s="30"/>
      <c r="G868" s="30"/>
      <c r="H868" s="47"/>
      <c r="I868" s="63"/>
      <c r="J868" s="31"/>
      <c r="K868" s="31"/>
      <c r="L868" s="32"/>
      <c r="M868" s="32"/>
      <c r="N868" s="32"/>
    </row>
    <row r="869" spans="2:14" x14ac:dyDescent="0.25">
      <c r="B869" s="42"/>
      <c r="C869" s="30"/>
      <c r="D869" s="30"/>
      <c r="E869" s="30"/>
      <c r="F869" s="30"/>
      <c r="G869" s="30"/>
      <c r="H869" s="47"/>
      <c r="I869" s="63"/>
      <c r="J869" s="31"/>
      <c r="K869" s="31"/>
      <c r="L869" s="32"/>
      <c r="M869" s="32"/>
      <c r="N869" s="32"/>
    </row>
    <row r="870" spans="2:14" x14ac:dyDescent="0.25">
      <c r="B870" s="42"/>
      <c r="C870" s="30"/>
      <c r="D870" s="30"/>
      <c r="E870" s="30"/>
      <c r="F870" s="30"/>
      <c r="G870" s="30"/>
      <c r="H870" s="47"/>
      <c r="I870" s="63"/>
      <c r="J870" s="31"/>
      <c r="K870" s="31"/>
      <c r="L870" s="32"/>
      <c r="M870" s="32"/>
      <c r="N870" s="32"/>
    </row>
    <row r="871" spans="2:14" x14ac:dyDescent="0.25">
      <c r="B871" s="42"/>
      <c r="C871" s="30"/>
      <c r="D871" s="30"/>
      <c r="E871" s="30"/>
      <c r="F871" s="30"/>
      <c r="G871" s="30"/>
      <c r="H871" s="47"/>
      <c r="I871" s="63"/>
      <c r="J871" s="31"/>
      <c r="K871" s="31"/>
      <c r="L871" s="32"/>
      <c r="M871" s="32"/>
      <c r="N871" s="32"/>
    </row>
    <row r="872" spans="2:14" x14ac:dyDescent="0.25">
      <c r="B872" s="42"/>
      <c r="C872" s="30"/>
      <c r="D872" s="30"/>
      <c r="E872" s="30"/>
      <c r="F872" s="30"/>
      <c r="G872" s="30"/>
      <c r="H872" s="47"/>
      <c r="I872" s="63"/>
      <c r="J872" s="31"/>
      <c r="K872" s="31"/>
      <c r="L872" s="32"/>
      <c r="M872" s="32"/>
      <c r="N872" s="32"/>
    </row>
    <row r="873" spans="2:14" x14ac:dyDescent="0.25">
      <c r="B873" s="42"/>
      <c r="C873" s="30"/>
      <c r="D873" s="30"/>
      <c r="E873" s="30"/>
      <c r="F873" s="30"/>
      <c r="G873" s="30"/>
      <c r="H873" s="47"/>
      <c r="I873" s="63"/>
      <c r="J873" s="31"/>
      <c r="K873" s="31"/>
      <c r="L873" s="32"/>
      <c r="M873" s="32"/>
      <c r="N873" s="32"/>
    </row>
    <row r="874" spans="2:14" x14ac:dyDescent="0.25">
      <c r="B874" s="42"/>
      <c r="C874" s="30"/>
      <c r="D874" s="30"/>
      <c r="E874" s="30"/>
      <c r="F874" s="30"/>
      <c r="G874" s="30"/>
      <c r="H874" s="47"/>
      <c r="I874" s="63"/>
      <c r="J874" s="31"/>
      <c r="K874" s="31"/>
      <c r="L874" s="32"/>
      <c r="M874" s="32"/>
      <c r="N874" s="32"/>
    </row>
    <row r="875" spans="2:14" x14ac:dyDescent="0.25">
      <c r="B875" s="42"/>
      <c r="C875" s="30"/>
      <c r="D875" s="30"/>
      <c r="E875" s="30"/>
      <c r="F875" s="30"/>
      <c r="G875" s="30"/>
      <c r="H875" s="47"/>
      <c r="I875" s="63"/>
      <c r="J875" s="31"/>
      <c r="K875" s="31"/>
      <c r="L875" s="32"/>
      <c r="M875" s="32"/>
      <c r="N875" s="32"/>
    </row>
    <row r="876" spans="2:14" x14ac:dyDescent="0.25">
      <c r="B876" s="42"/>
      <c r="C876" s="30"/>
      <c r="D876" s="30"/>
      <c r="E876" s="30"/>
      <c r="F876" s="30"/>
      <c r="G876" s="30"/>
      <c r="H876" s="47"/>
      <c r="I876" s="63"/>
      <c r="J876" s="31"/>
      <c r="K876" s="31"/>
      <c r="L876" s="32"/>
      <c r="M876" s="32"/>
      <c r="N876" s="32"/>
    </row>
    <row r="877" spans="2:14" x14ac:dyDescent="0.25">
      <c r="B877" s="42"/>
      <c r="C877" s="30"/>
      <c r="D877" s="30"/>
      <c r="E877" s="30"/>
      <c r="F877" s="30"/>
      <c r="G877" s="30"/>
      <c r="H877" s="47"/>
      <c r="I877" s="63"/>
      <c r="J877" s="31"/>
      <c r="K877" s="31"/>
      <c r="L877" s="32"/>
      <c r="M877" s="32"/>
      <c r="N877" s="32"/>
    </row>
    <row r="878" spans="2:14" x14ac:dyDescent="0.25">
      <c r="B878" s="42"/>
      <c r="C878" s="30"/>
      <c r="D878" s="30"/>
      <c r="E878" s="30"/>
      <c r="F878" s="30"/>
      <c r="G878" s="30"/>
      <c r="H878" s="47"/>
      <c r="I878" s="63"/>
      <c r="J878" s="31"/>
      <c r="K878" s="31"/>
      <c r="L878" s="32"/>
      <c r="M878" s="32"/>
      <c r="N878" s="32"/>
    </row>
    <row r="879" spans="2:14" x14ac:dyDescent="0.25">
      <c r="B879" s="42"/>
      <c r="C879" s="30"/>
      <c r="D879" s="30"/>
      <c r="E879" s="30"/>
      <c r="F879" s="30"/>
      <c r="G879" s="30"/>
      <c r="H879" s="47"/>
      <c r="I879" s="63"/>
      <c r="J879" s="31"/>
      <c r="K879" s="31"/>
      <c r="L879" s="32"/>
      <c r="M879" s="32"/>
      <c r="N879" s="32"/>
    </row>
    <row r="880" spans="2:14" x14ac:dyDescent="0.25">
      <c r="B880" s="42"/>
      <c r="C880" s="30"/>
      <c r="D880" s="30"/>
      <c r="E880" s="30"/>
      <c r="F880" s="30"/>
      <c r="G880" s="30"/>
      <c r="H880" s="47"/>
      <c r="I880" s="63"/>
      <c r="J880" s="31"/>
      <c r="K880" s="31"/>
      <c r="L880" s="32"/>
      <c r="M880" s="32"/>
      <c r="N880" s="32"/>
    </row>
    <row r="881" spans="2:14" x14ac:dyDescent="0.25">
      <c r="B881" s="42"/>
      <c r="C881" s="30"/>
      <c r="D881" s="30"/>
      <c r="E881" s="30"/>
      <c r="F881" s="30"/>
      <c r="G881" s="30"/>
      <c r="H881" s="47"/>
      <c r="I881" s="63"/>
      <c r="J881" s="31"/>
      <c r="K881" s="31"/>
      <c r="L881" s="32"/>
      <c r="M881" s="32"/>
      <c r="N881" s="32"/>
    </row>
    <row r="882" spans="2:14" x14ac:dyDescent="0.25">
      <c r="B882" s="42"/>
      <c r="C882" s="30"/>
      <c r="D882" s="30"/>
      <c r="E882" s="30"/>
      <c r="F882" s="30"/>
      <c r="G882" s="30"/>
      <c r="H882" s="47"/>
      <c r="I882" s="63"/>
      <c r="J882" s="31"/>
      <c r="K882" s="31"/>
      <c r="L882" s="32"/>
      <c r="M882" s="32"/>
      <c r="N882" s="32"/>
    </row>
    <row r="883" spans="2:14" x14ac:dyDescent="0.25">
      <c r="B883" s="42"/>
      <c r="C883" s="30"/>
      <c r="D883" s="30"/>
      <c r="E883" s="30"/>
      <c r="F883" s="30"/>
      <c r="G883" s="30"/>
      <c r="H883" s="47"/>
      <c r="I883" s="63"/>
      <c r="J883" s="31"/>
      <c r="K883" s="31"/>
      <c r="L883" s="32"/>
      <c r="M883" s="32"/>
      <c r="N883" s="32"/>
    </row>
    <row r="884" spans="2:14" x14ac:dyDescent="0.25">
      <c r="B884" s="42"/>
      <c r="C884" s="30"/>
      <c r="D884" s="30"/>
      <c r="E884" s="30"/>
      <c r="F884" s="30"/>
      <c r="G884" s="30"/>
      <c r="H884" s="47"/>
      <c r="I884" s="63"/>
      <c r="J884" s="31"/>
      <c r="K884" s="31"/>
      <c r="L884" s="32"/>
      <c r="M884" s="32"/>
      <c r="N884" s="32"/>
    </row>
    <row r="885" spans="2:14" x14ac:dyDescent="0.25">
      <c r="B885" s="42"/>
      <c r="C885" s="30"/>
      <c r="D885" s="30"/>
      <c r="E885" s="30"/>
      <c r="F885" s="30"/>
      <c r="G885" s="30"/>
      <c r="H885" s="47"/>
      <c r="I885" s="63"/>
      <c r="J885" s="31"/>
      <c r="K885" s="31"/>
      <c r="L885" s="32"/>
      <c r="M885" s="32"/>
      <c r="N885" s="32"/>
    </row>
    <row r="886" spans="2:14" x14ac:dyDescent="0.25">
      <c r="B886" s="42"/>
      <c r="C886" s="30"/>
      <c r="D886" s="30"/>
      <c r="E886" s="30"/>
      <c r="F886" s="30"/>
      <c r="G886" s="30"/>
      <c r="H886" s="47"/>
      <c r="I886" s="63"/>
      <c r="J886" s="31"/>
      <c r="K886" s="31"/>
      <c r="L886" s="32"/>
      <c r="M886" s="32"/>
      <c r="N886" s="32"/>
    </row>
    <row r="887" spans="2:14" x14ac:dyDescent="0.25">
      <c r="B887" s="42"/>
      <c r="C887" s="30"/>
      <c r="D887" s="30"/>
      <c r="E887" s="30"/>
      <c r="F887" s="30"/>
      <c r="G887" s="30"/>
      <c r="H887" s="47"/>
      <c r="I887" s="63"/>
      <c r="J887" s="31"/>
      <c r="K887" s="31"/>
      <c r="L887" s="32"/>
      <c r="M887" s="32"/>
      <c r="N887" s="32"/>
    </row>
    <row r="888" spans="2:14" x14ac:dyDescent="0.25">
      <c r="B888" s="42"/>
      <c r="C888" s="30"/>
      <c r="D888" s="30"/>
      <c r="E888" s="30"/>
      <c r="F888" s="30"/>
      <c r="G888" s="30"/>
      <c r="H888" s="47"/>
      <c r="I888" s="63"/>
      <c r="J888" s="31"/>
      <c r="K888" s="31"/>
      <c r="L888" s="32"/>
      <c r="M888" s="32"/>
      <c r="N888" s="32"/>
    </row>
    <row r="889" spans="2:14" x14ac:dyDescent="0.25">
      <c r="B889" s="42"/>
      <c r="C889" s="30"/>
      <c r="D889" s="30"/>
      <c r="E889" s="30"/>
      <c r="F889" s="30"/>
      <c r="G889" s="30"/>
      <c r="H889" s="47"/>
      <c r="I889" s="63"/>
      <c r="J889" s="31"/>
      <c r="K889" s="31"/>
      <c r="L889" s="32"/>
      <c r="M889" s="32"/>
      <c r="N889" s="32"/>
    </row>
    <row r="890" spans="2:14" x14ac:dyDescent="0.25">
      <c r="B890" s="42"/>
      <c r="C890" s="30"/>
      <c r="D890" s="30"/>
      <c r="E890" s="30"/>
      <c r="F890" s="30"/>
      <c r="G890" s="30"/>
      <c r="H890" s="47"/>
      <c r="I890" s="63"/>
      <c r="J890" s="31"/>
      <c r="K890" s="31"/>
      <c r="L890" s="32"/>
      <c r="M890" s="32"/>
      <c r="N890" s="32"/>
    </row>
    <row r="891" spans="2:14" x14ac:dyDescent="0.25">
      <c r="B891" s="42"/>
      <c r="C891" s="30"/>
      <c r="D891" s="30"/>
      <c r="E891" s="30"/>
      <c r="F891" s="30"/>
      <c r="G891" s="30"/>
      <c r="H891" s="47"/>
      <c r="I891" s="63"/>
      <c r="J891" s="31"/>
      <c r="K891" s="31"/>
      <c r="L891" s="32"/>
      <c r="M891" s="32"/>
      <c r="N891" s="32"/>
    </row>
    <row r="892" spans="2:14" x14ac:dyDescent="0.25">
      <c r="B892" s="42"/>
      <c r="C892" s="30"/>
      <c r="D892" s="30"/>
      <c r="E892" s="30"/>
      <c r="F892" s="30"/>
      <c r="G892" s="30"/>
      <c r="H892" s="47"/>
      <c r="I892" s="63"/>
      <c r="J892" s="31"/>
      <c r="K892" s="31"/>
      <c r="L892" s="32"/>
      <c r="M892" s="32"/>
      <c r="N892" s="32"/>
    </row>
    <row r="893" spans="2:14" x14ac:dyDescent="0.25">
      <c r="B893" s="42"/>
      <c r="C893" s="30"/>
      <c r="D893" s="30"/>
      <c r="E893" s="30"/>
      <c r="F893" s="30"/>
      <c r="G893" s="30"/>
      <c r="H893" s="47"/>
      <c r="I893" s="63"/>
      <c r="J893" s="31"/>
      <c r="K893" s="31"/>
      <c r="L893" s="32"/>
      <c r="M893" s="32"/>
      <c r="N893" s="32"/>
    </row>
    <row r="894" spans="2:14" x14ac:dyDescent="0.25">
      <c r="B894" s="42"/>
      <c r="C894" s="30"/>
      <c r="D894" s="30"/>
      <c r="E894" s="30"/>
      <c r="F894" s="30"/>
      <c r="G894" s="30"/>
      <c r="H894" s="47"/>
      <c r="I894" s="63"/>
      <c r="J894" s="31"/>
      <c r="K894" s="31"/>
      <c r="L894" s="32"/>
      <c r="M894" s="32"/>
      <c r="N894" s="32"/>
    </row>
    <row r="895" spans="2:14" x14ac:dyDescent="0.25">
      <c r="B895" s="42"/>
      <c r="C895" s="30"/>
      <c r="D895" s="30"/>
      <c r="E895" s="30"/>
      <c r="F895" s="30"/>
      <c r="G895" s="30"/>
      <c r="H895" s="47"/>
      <c r="I895" s="63"/>
      <c r="J895" s="31"/>
      <c r="K895" s="31"/>
      <c r="L895" s="32"/>
      <c r="M895" s="32"/>
      <c r="N895" s="32"/>
    </row>
    <row r="896" spans="2:14" x14ac:dyDescent="0.25">
      <c r="B896" s="42"/>
      <c r="C896" s="30"/>
      <c r="D896" s="30"/>
      <c r="E896" s="30"/>
      <c r="F896" s="30"/>
      <c r="G896" s="30"/>
      <c r="H896" s="47"/>
      <c r="I896" s="63"/>
      <c r="J896" s="31"/>
      <c r="K896" s="31"/>
      <c r="L896" s="32"/>
      <c r="M896" s="32"/>
      <c r="N896" s="32"/>
    </row>
    <row r="897" spans="2:14" x14ac:dyDescent="0.25">
      <c r="B897" s="42"/>
      <c r="C897" s="30"/>
      <c r="D897" s="30"/>
      <c r="E897" s="30"/>
      <c r="F897" s="30"/>
      <c r="G897" s="30"/>
      <c r="H897" s="47"/>
      <c r="I897" s="63"/>
      <c r="J897" s="31"/>
      <c r="K897" s="31"/>
      <c r="L897" s="32"/>
      <c r="M897" s="32"/>
      <c r="N897" s="32"/>
    </row>
    <row r="898" spans="2:14" x14ac:dyDescent="0.25">
      <c r="B898" s="42"/>
      <c r="C898" s="30"/>
      <c r="D898" s="30"/>
      <c r="E898" s="30"/>
      <c r="F898" s="30"/>
      <c r="G898" s="30"/>
      <c r="H898" s="47"/>
      <c r="I898" s="63"/>
      <c r="J898" s="31"/>
      <c r="K898" s="31"/>
      <c r="L898" s="32"/>
      <c r="M898" s="32"/>
      <c r="N898" s="32"/>
    </row>
    <row r="899" spans="2:14" x14ac:dyDescent="0.25">
      <c r="B899" s="42"/>
      <c r="C899" s="30"/>
      <c r="D899" s="30"/>
      <c r="E899" s="30"/>
      <c r="F899" s="30"/>
      <c r="G899" s="30"/>
      <c r="H899" s="47"/>
      <c r="I899" s="63"/>
      <c r="J899" s="31"/>
      <c r="K899" s="31"/>
      <c r="L899" s="32"/>
      <c r="M899" s="32"/>
      <c r="N899" s="32"/>
    </row>
    <row r="900" spans="2:14" x14ac:dyDescent="0.25">
      <c r="B900" s="42"/>
      <c r="C900" s="30"/>
      <c r="D900" s="30"/>
      <c r="E900" s="30"/>
      <c r="F900" s="30"/>
      <c r="G900" s="30"/>
      <c r="H900" s="47"/>
      <c r="I900" s="63"/>
      <c r="J900" s="31"/>
      <c r="K900" s="31"/>
      <c r="L900" s="32"/>
      <c r="M900" s="32"/>
      <c r="N900" s="32"/>
    </row>
    <row r="901" spans="2:14" x14ac:dyDescent="0.25">
      <c r="B901" s="42"/>
      <c r="C901" s="30"/>
      <c r="D901" s="30"/>
      <c r="E901" s="30"/>
      <c r="F901" s="30"/>
      <c r="G901" s="30"/>
      <c r="H901" s="47"/>
      <c r="I901" s="63"/>
      <c r="J901" s="31"/>
      <c r="K901" s="31"/>
      <c r="L901" s="32"/>
      <c r="M901" s="32"/>
      <c r="N901" s="32"/>
    </row>
    <row r="902" spans="2:14" x14ac:dyDescent="0.25">
      <c r="B902" s="42"/>
      <c r="C902" s="30"/>
      <c r="D902" s="30"/>
      <c r="E902" s="30"/>
      <c r="F902" s="30"/>
      <c r="G902" s="30"/>
      <c r="H902" s="47"/>
      <c r="I902" s="63"/>
      <c r="J902" s="31"/>
      <c r="K902" s="31"/>
      <c r="L902" s="32"/>
      <c r="M902" s="32"/>
      <c r="N902" s="32"/>
    </row>
    <row r="903" spans="2:14" x14ac:dyDescent="0.25">
      <c r="B903" s="42"/>
      <c r="C903" s="30"/>
      <c r="D903" s="30"/>
      <c r="E903" s="30"/>
      <c r="F903" s="30"/>
      <c r="G903" s="30"/>
      <c r="H903" s="47"/>
      <c r="I903" s="63"/>
      <c r="J903" s="31"/>
      <c r="K903" s="31"/>
      <c r="L903" s="32"/>
      <c r="M903" s="32"/>
      <c r="N903" s="32"/>
    </row>
    <row r="904" spans="2:14" x14ac:dyDescent="0.25">
      <c r="B904" s="42"/>
      <c r="C904" s="30"/>
      <c r="D904" s="30"/>
      <c r="E904" s="30"/>
      <c r="F904" s="30"/>
      <c r="G904" s="30"/>
      <c r="H904" s="47"/>
      <c r="I904" s="63"/>
      <c r="J904" s="31"/>
      <c r="K904" s="31"/>
      <c r="L904" s="32"/>
      <c r="M904" s="32"/>
      <c r="N904" s="32"/>
    </row>
    <row r="905" spans="2:14" x14ac:dyDescent="0.25">
      <c r="B905" s="42"/>
      <c r="C905" s="30"/>
      <c r="D905" s="30"/>
      <c r="E905" s="30"/>
      <c r="F905" s="30"/>
      <c r="G905" s="30"/>
      <c r="H905" s="47"/>
      <c r="I905" s="63"/>
      <c r="J905" s="31"/>
      <c r="K905" s="31"/>
      <c r="L905" s="32"/>
      <c r="M905" s="32"/>
      <c r="N905" s="32"/>
    </row>
    <row r="906" spans="2:14" x14ac:dyDescent="0.25">
      <c r="B906" s="42"/>
      <c r="C906" s="30"/>
      <c r="D906" s="30"/>
      <c r="E906" s="30"/>
      <c r="F906" s="30"/>
      <c r="G906" s="30"/>
      <c r="H906" s="47"/>
      <c r="I906" s="63"/>
      <c r="J906" s="31"/>
      <c r="K906" s="31"/>
      <c r="L906" s="32"/>
      <c r="M906" s="32"/>
      <c r="N906" s="32"/>
    </row>
    <row r="907" spans="2:14" x14ac:dyDescent="0.25">
      <c r="B907" s="42"/>
      <c r="C907" s="30"/>
      <c r="D907" s="30"/>
      <c r="E907" s="30"/>
      <c r="F907" s="30"/>
      <c r="G907" s="30"/>
      <c r="H907" s="47"/>
      <c r="I907" s="63"/>
      <c r="J907" s="31"/>
      <c r="K907" s="31"/>
      <c r="L907" s="32"/>
      <c r="M907" s="32"/>
      <c r="N907" s="32"/>
    </row>
    <row r="908" spans="2:14" x14ac:dyDescent="0.25">
      <c r="B908" s="42"/>
      <c r="C908" s="30"/>
      <c r="D908" s="30"/>
      <c r="E908" s="30"/>
      <c r="F908" s="30"/>
      <c r="G908" s="30"/>
      <c r="H908" s="47"/>
      <c r="I908" s="63"/>
      <c r="J908" s="31"/>
      <c r="K908" s="31"/>
      <c r="L908" s="32"/>
      <c r="M908" s="32"/>
      <c r="N908" s="32"/>
    </row>
    <row r="909" spans="2:14" x14ac:dyDescent="0.25">
      <c r="B909" s="42"/>
      <c r="C909" s="30"/>
      <c r="D909" s="30"/>
      <c r="E909" s="30"/>
      <c r="F909" s="30"/>
      <c r="G909" s="30"/>
      <c r="H909" s="47"/>
      <c r="I909" s="63"/>
      <c r="J909" s="31"/>
      <c r="K909" s="31"/>
      <c r="L909" s="32"/>
      <c r="M909" s="32"/>
      <c r="N909" s="32"/>
    </row>
    <row r="910" spans="2:14" x14ac:dyDescent="0.25">
      <c r="B910" s="42"/>
      <c r="C910" s="30"/>
      <c r="D910" s="30"/>
      <c r="E910" s="30"/>
      <c r="F910" s="30"/>
      <c r="G910" s="30"/>
      <c r="H910" s="47"/>
      <c r="I910" s="63"/>
      <c r="J910" s="31"/>
      <c r="K910" s="31"/>
      <c r="L910" s="32"/>
      <c r="M910" s="32"/>
      <c r="N910" s="32"/>
    </row>
    <row r="911" spans="2:14" x14ac:dyDescent="0.25">
      <c r="B911" s="42"/>
      <c r="C911" s="30"/>
      <c r="D911" s="30"/>
      <c r="E911" s="30"/>
      <c r="F911" s="30"/>
      <c r="G911" s="30"/>
      <c r="H911" s="47"/>
      <c r="I911" s="63"/>
      <c r="J911" s="31"/>
      <c r="K911" s="31"/>
      <c r="L911" s="32"/>
      <c r="M911" s="32"/>
      <c r="N911" s="32"/>
    </row>
    <row r="912" spans="2:14" x14ac:dyDescent="0.25">
      <c r="B912" s="42"/>
      <c r="C912" s="30"/>
      <c r="D912" s="30"/>
      <c r="E912" s="30"/>
      <c r="F912" s="30"/>
      <c r="G912" s="30"/>
      <c r="H912" s="47"/>
      <c r="I912" s="63"/>
      <c r="J912" s="31"/>
      <c r="K912" s="31"/>
      <c r="L912" s="32"/>
      <c r="M912" s="32"/>
      <c r="N912" s="32"/>
    </row>
    <row r="913" spans="2:14" x14ac:dyDescent="0.25">
      <c r="B913" s="42"/>
      <c r="C913" s="30"/>
      <c r="D913" s="30"/>
      <c r="E913" s="30"/>
      <c r="F913" s="30"/>
      <c r="G913" s="30"/>
      <c r="H913" s="47"/>
      <c r="I913" s="63"/>
      <c r="J913" s="31"/>
      <c r="K913" s="31"/>
      <c r="L913" s="32"/>
      <c r="M913" s="32"/>
      <c r="N913" s="32"/>
    </row>
    <row r="914" spans="2:14" x14ac:dyDescent="0.25">
      <c r="B914" s="42"/>
      <c r="C914" s="30"/>
      <c r="D914" s="30"/>
      <c r="E914" s="30"/>
      <c r="F914" s="30"/>
      <c r="G914" s="30"/>
      <c r="H914" s="47"/>
      <c r="I914" s="63"/>
      <c r="J914" s="31"/>
      <c r="K914" s="31"/>
      <c r="L914" s="32"/>
      <c r="M914" s="32"/>
      <c r="N914" s="32"/>
    </row>
    <row r="915" spans="2:14" x14ac:dyDescent="0.25">
      <c r="B915" s="42"/>
      <c r="C915" s="30"/>
      <c r="D915" s="30"/>
      <c r="E915" s="30"/>
      <c r="F915" s="30"/>
      <c r="G915" s="30"/>
      <c r="H915" s="47"/>
      <c r="I915" s="63"/>
      <c r="J915" s="31"/>
      <c r="K915" s="31"/>
      <c r="L915" s="32"/>
      <c r="M915" s="32"/>
      <c r="N915" s="32"/>
    </row>
    <row r="916" spans="2:14" x14ac:dyDescent="0.25">
      <c r="B916" s="42"/>
      <c r="C916" s="30"/>
      <c r="D916" s="30"/>
      <c r="E916" s="30"/>
      <c r="F916" s="30"/>
      <c r="G916" s="30"/>
      <c r="H916" s="47"/>
      <c r="I916" s="63"/>
      <c r="J916" s="31"/>
      <c r="K916" s="31"/>
      <c r="L916" s="32"/>
      <c r="M916" s="32"/>
      <c r="N916" s="32"/>
    </row>
    <row r="917" spans="2:14" x14ac:dyDescent="0.25">
      <c r="B917" s="42"/>
      <c r="C917" s="30"/>
      <c r="D917" s="30"/>
      <c r="E917" s="30"/>
      <c r="F917" s="30"/>
      <c r="G917" s="30"/>
      <c r="H917" s="47"/>
      <c r="I917" s="63"/>
      <c r="J917" s="31"/>
      <c r="K917" s="31"/>
      <c r="L917" s="32"/>
      <c r="M917" s="32"/>
      <c r="N917" s="32"/>
    </row>
    <row r="918" spans="2:14" x14ac:dyDescent="0.25">
      <c r="B918" s="42"/>
      <c r="C918" s="30"/>
      <c r="D918" s="30"/>
      <c r="E918" s="30"/>
      <c r="F918" s="30"/>
      <c r="G918" s="30"/>
      <c r="H918" s="47"/>
      <c r="I918" s="63"/>
      <c r="J918" s="31"/>
      <c r="K918" s="31"/>
      <c r="L918" s="32"/>
      <c r="M918" s="32"/>
      <c r="N918" s="32"/>
    </row>
    <row r="919" spans="2:14" x14ac:dyDescent="0.25">
      <c r="B919" s="42"/>
      <c r="C919" s="30"/>
      <c r="D919" s="30"/>
      <c r="E919" s="30"/>
      <c r="F919" s="30"/>
      <c r="G919" s="30"/>
      <c r="H919" s="47"/>
      <c r="I919" s="63"/>
      <c r="J919" s="31"/>
      <c r="K919" s="31"/>
      <c r="L919" s="32"/>
      <c r="M919" s="32"/>
      <c r="N919" s="32"/>
    </row>
    <row r="920" spans="2:14" x14ac:dyDescent="0.25">
      <c r="B920" s="42"/>
      <c r="C920" s="30"/>
      <c r="D920" s="30"/>
      <c r="E920" s="30"/>
      <c r="F920" s="30"/>
      <c r="G920" s="30"/>
      <c r="H920" s="47"/>
      <c r="I920" s="63"/>
      <c r="J920" s="31"/>
      <c r="K920" s="31"/>
      <c r="L920" s="32"/>
      <c r="M920" s="32"/>
      <c r="N920" s="32"/>
    </row>
    <row r="921" spans="2:14" x14ac:dyDescent="0.25">
      <c r="B921" s="42"/>
      <c r="C921" s="30"/>
      <c r="D921" s="30"/>
      <c r="E921" s="30"/>
      <c r="F921" s="30"/>
      <c r="G921" s="30"/>
      <c r="H921" s="47"/>
      <c r="I921" s="63"/>
      <c r="J921" s="31"/>
      <c r="K921" s="31"/>
      <c r="L921" s="32"/>
      <c r="M921" s="32"/>
      <c r="N921" s="32"/>
    </row>
    <row r="922" spans="2:14" x14ac:dyDescent="0.25">
      <c r="B922" s="42"/>
      <c r="C922" s="30"/>
      <c r="D922" s="30"/>
      <c r="E922" s="30"/>
      <c r="F922" s="30"/>
      <c r="G922" s="30"/>
      <c r="H922" s="47"/>
      <c r="I922" s="63"/>
      <c r="J922" s="31"/>
      <c r="K922" s="31"/>
      <c r="L922" s="32"/>
      <c r="M922" s="32"/>
      <c r="N922" s="32"/>
    </row>
    <row r="923" spans="2:14" x14ac:dyDescent="0.25">
      <c r="B923" s="42"/>
      <c r="C923" s="30"/>
      <c r="D923" s="30"/>
      <c r="E923" s="30"/>
      <c r="F923" s="30"/>
      <c r="G923" s="30"/>
      <c r="H923" s="47"/>
      <c r="I923" s="63"/>
      <c r="J923" s="31"/>
      <c r="K923" s="31"/>
      <c r="L923" s="32"/>
      <c r="M923" s="32"/>
      <c r="N923" s="32"/>
    </row>
    <row r="924" spans="2:14" x14ac:dyDescent="0.25">
      <c r="B924" s="42"/>
      <c r="C924" s="30"/>
      <c r="D924" s="30"/>
      <c r="E924" s="30"/>
      <c r="F924" s="30"/>
      <c r="G924" s="30"/>
      <c r="H924" s="47"/>
      <c r="I924" s="63"/>
      <c r="J924" s="31"/>
      <c r="K924" s="31"/>
      <c r="L924" s="32"/>
      <c r="M924" s="32"/>
      <c r="N924" s="32"/>
    </row>
    <row r="925" spans="2:14" x14ac:dyDescent="0.25">
      <c r="B925" s="42"/>
      <c r="C925" s="30"/>
      <c r="D925" s="30"/>
      <c r="E925" s="30"/>
      <c r="F925" s="30"/>
      <c r="G925" s="30"/>
      <c r="H925" s="47"/>
      <c r="I925" s="63"/>
      <c r="J925" s="31"/>
      <c r="K925" s="31"/>
      <c r="L925" s="32"/>
      <c r="M925" s="32"/>
      <c r="N925" s="32"/>
    </row>
    <row r="926" spans="2:14" x14ac:dyDescent="0.25">
      <c r="B926" s="42"/>
      <c r="C926" s="30"/>
      <c r="D926" s="30"/>
      <c r="E926" s="30"/>
      <c r="F926" s="30"/>
      <c r="G926" s="30"/>
      <c r="H926" s="47"/>
      <c r="I926" s="63"/>
      <c r="J926" s="31"/>
      <c r="K926" s="31"/>
      <c r="L926" s="32"/>
      <c r="M926" s="32"/>
      <c r="N926" s="32"/>
    </row>
    <row r="927" spans="2:14" x14ac:dyDescent="0.25">
      <c r="B927" s="42"/>
      <c r="C927" s="30"/>
      <c r="D927" s="30"/>
      <c r="E927" s="30"/>
      <c r="F927" s="30"/>
      <c r="G927" s="30"/>
      <c r="H927" s="47"/>
      <c r="I927" s="63"/>
      <c r="J927" s="31"/>
      <c r="K927" s="31"/>
      <c r="L927" s="32"/>
      <c r="M927" s="32"/>
      <c r="N927" s="32"/>
    </row>
    <row r="928" spans="2:14" x14ac:dyDescent="0.25">
      <c r="B928" s="42"/>
      <c r="C928" s="30"/>
      <c r="D928" s="30"/>
      <c r="E928" s="30"/>
      <c r="F928" s="30"/>
      <c r="G928" s="30"/>
      <c r="H928" s="47"/>
      <c r="I928" s="63"/>
      <c r="J928" s="31"/>
      <c r="K928" s="31"/>
      <c r="L928" s="32"/>
      <c r="M928" s="32"/>
      <c r="N928" s="32"/>
    </row>
    <row r="929" spans="2:14" x14ac:dyDescent="0.25">
      <c r="B929" s="42"/>
      <c r="C929" s="30"/>
      <c r="D929" s="30"/>
      <c r="E929" s="30"/>
      <c r="F929" s="30"/>
      <c r="G929" s="30"/>
      <c r="H929" s="47"/>
      <c r="I929" s="63"/>
      <c r="J929" s="31"/>
      <c r="K929" s="31"/>
      <c r="L929" s="32"/>
      <c r="M929" s="32"/>
      <c r="N929" s="32"/>
    </row>
    <row r="930" spans="2:14" x14ac:dyDescent="0.25">
      <c r="B930" s="42"/>
      <c r="C930" s="30"/>
      <c r="D930" s="30"/>
      <c r="E930" s="30"/>
      <c r="F930" s="30"/>
      <c r="G930" s="30"/>
      <c r="H930" s="47"/>
      <c r="I930" s="63"/>
      <c r="J930" s="31"/>
      <c r="K930" s="31"/>
      <c r="L930" s="32"/>
      <c r="M930" s="32"/>
      <c r="N930" s="32"/>
    </row>
    <row r="931" spans="2:14" x14ac:dyDescent="0.25">
      <c r="B931" s="42"/>
      <c r="C931" s="30"/>
      <c r="D931" s="30"/>
      <c r="E931" s="30"/>
      <c r="F931" s="30"/>
      <c r="G931" s="30"/>
      <c r="H931" s="47"/>
      <c r="I931" s="63"/>
      <c r="J931" s="31"/>
      <c r="K931" s="31"/>
      <c r="L931" s="32"/>
      <c r="M931" s="32"/>
      <c r="N931" s="32"/>
    </row>
    <row r="932" spans="2:14" x14ac:dyDescent="0.25">
      <c r="B932" s="42"/>
      <c r="C932" s="30"/>
      <c r="D932" s="30"/>
      <c r="E932" s="30"/>
      <c r="F932" s="30"/>
      <c r="G932" s="30"/>
      <c r="H932" s="47"/>
      <c r="I932" s="63"/>
      <c r="J932" s="31"/>
      <c r="K932" s="31"/>
      <c r="L932" s="32"/>
      <c r="M932" s="32"/>
      <c r="N932" s="32"/>
    </row>
    <row r="933" spans="2:14" x14ac:dyDescent="0.25">
      <c r="B933" s="42"/>
      <c r="C933" s="30"/>
      <c r="D933" s="30"/>
      <c r="E933" s="30"/>
      <c r="F933" s="30"/>
      <c r="G933" s="30"/>
      <c r="H933" s="47"/>
      <c r="I933" s="63"/>
      <c r="J933" s="31"/>
      <c r="K933" s="31"/>
      <c r="L933" s="32"/>
      <c r="M933" s="32"/>
      <c r="N933" s="32"/>
    </row>
    <row r="934" spans="2:14" x14ac:dyDescent="0.25">
      <c r="B934" s="42"/>
      <c r="C934" s="30"/>
      <c r="D934" s="30"/>
      <c r="E934" s="30"/>
      <c r="F934" s="30"/>
      <c r="G934" s="30"/>
      <c r="H934" s="47"/>
      <c r="I934" s="63"/>
      <c r="J934" s="31"/>
      <c r="K934" s="31"/>
      <c r="L934" s="32"/>
      <c r="M934" s="32"/>
      <c r="N934" s="32"/>
    </row>
    <row r="935" spans="2:14" x14ac:dyDescent="0.25">
      <c r="B935" s="42"/>
      <c r="C935" s="30"/>
      <c r="D935" s="30"/>
      <c r="E935" s="30"/>
      <c r="F935" s="30"/>
      <c r="G935" s="30"/>
      <c r="H935" s="47"/>
      <c r="I935" s="63"/>
      <c r="J935" s="31"/>
      <c r="K935" s="31"/>
      <c r="L935" s="32"/>
      <c r="M935" s="32"/>
      <c r="N935" s="32"/>
    </row>
    <row r="936" spans="2:14" x14ac:dyDescent="0.25">
      <c r="B936" s="42"/>
      <c r="C936" s="30"/>
      <c r="D936" s="30"/>
      <c r="E936" s="30"/>
      <c r="F936" s="30"/>
      <c r="G936" s="30"/>
      <c r="H936" s="47"/>
      <c r="I936" s="63"/>
      <c r="J936" s="31"/>
      <c r="K936" s="31"/>
      <c r="L936" s="32"/>
      <c r="M936" s="32"/>
      <c r="N936" s="32"/>
    </row>
    <row r="937" spans="2:14" x14ac:dyDescent="0.25">
      <c r="B937" s="42"/>
      <c r="C937" s="30"/>
      <c r="D937" s="30"/>
      <c r="E937" s="30"/>
      <c r="F937" s="30"/>
      <c r="G937" s="30"/>
      <c r="H937" s="47"/>
      <c r="I937" s="63"/>
      <c r="J937" s="31"/>
      <c r="K937" s="31"/>
      <c r="L937" s="32"/>
      <c r="M937" s="32"/>
      <c r="N937" s="32"/>
    </row>
    <row r="938" spans="2:14" x14ac:dyDescent="0.25">
      <c r="B938" s="42"/>
      <c r="C938" s="30"/>
      <c r="D938" s="30"/>
      <c r="E938" s="30"/>
      <c r="F938" s="30"/>
      <c r="G938" s="30"/>
      <c r="H938" s="47"/>
      <c r="I938" s="63"/>
      <c r="J938" s="31"/>
      <c r="K938" s="31"/>
      <c r="L938" s="32"/>
      <c r="M938" s="32"/>
      <c r="N938" s="32"/>
    </row>
    <row r="939" spans="2:14" x14ac:dyDescent="0.25">
      <c r="B939" s="42"/>
      <c r="C939" s="30"/>
      <c r="D939" s="30"/>
      <c r="E939" s="30"/>
      <c r="F939" s="30"/>
      <c r="G939" s="30"/>
      <c r="H939" s="47"/>
      <c r="I939" s="63"/>
      <c r="J939" s="31"/>
      <c r="K939" s="31"/>
      <c r="L939" s="32"/>
      <c r="M939" s="32"/>
      <c r="N939" s="32"/>
    </row>
    <row r="940" spans="2:14" x14ac:dyDescent="0.25">
      <c r="B940" s="42"/>
      <c r="C940" s="30"/>
      <c r="D940" s="30"/>
      <c r="E940" s="30"/>
      <c r="F940" s="30"/>
      <c r="G940" s="30"/>
      <c r="H940" s="47"/>
      <c r="I940" s="63"/>
      <c r="J940" s="31"/>
      <c r="K940" s="31"/>
      <c r="L940" s="32"/>
      <c r="M940" s="32"/>
      <c r="N940" s="32"/>
    </row>
    <row r="941" spans="2:14" x14ac:dyDescent="0.25">
      <c r="B941" s="42"/>
      <c r="C941" s="30"/>
      <c r="D941" s="30"/>
      <c r="E941" s="30"/>
      <c r="F941" s="30"/>
      <c r="G941" s="30"/>
      <c r="H941" s="47"/>
      <c r="I941" s="63"/>
      <c r="J941" s="31"/>
      <c r="K941" s="31"/>
      <c r="L941" s="32"/>
      <c r="M941" s="32"/>
      <c r="N941" s="32"/>
    </row>
    <row r="942" spans="2:14" x14ac:dyDescent="0.25">
      <c r="B942" s="42"/>
      <c r="C942" s="30"/>
      <c r="D942" s="30"/>
      <c r="E942" s="30"/>
      <c r="F942" s="30"/>
      <c r="G942" s="30"/>
      <c r="H942" s="47"/>
      <c r="I942" s="63"/>
      <c r="J942" s="31"/>
      <c r="K942" s="31"/>
      <c r="L942" s="32"/>
      <c r="M942" s="32"/>
      <c r="N942" s="32"/>
    </row>
    <row r="943" spans="2:14" x14ac:dyDescent="0.25">
      <c r="B943" s="42"/>
      <c r="C943" s="30"/>
      <c r="D943" s="30"/>
      <c r="E943" s="30"/>
      <c r="F943" s="30"/>
      <c r="G943" s="30"/>
      <c r="H943" s="47"/>
      <c r="I943" s="63"/>
      <c r="J943" s="31"/>
      <c r="K943" s="31"/>
      <c r="L943" s="32"/>
      <c r="M943" s="32"/>
      <c r="N943" s="32"/>
    </row>
    <row r="944" spans="2:14" x14ac:dyDescent="0.25">
      <c r="B944" s="42"/>
      <c r="C944" s="30"/>
      <c r="D944" s="30"/>
      <c r="E944" s="30"/>
      <c r="F944" s="30"/>
      <c r="G944" s="30"/>
      <c r="H944" s="47"/>
      <c r="I944" s="63"/>
      <c r="J944" s="31"/>
      <c r="K944" s="31"/>
      <c r="L944" s="32"/>
      <c r="M944" s="32"/>
      <c r="N944" s="32"/>
    </row>
    <row r="945" spans="2:14" x14ac:dyDescent="0.25">
      <c r="B945" s="42"/>
      <c r="C945" s="30"/>
      <c r="D945" s="30"/>
      <c r="E945" s="30"/>
      <c r="F945" s="30"/>
      <c r="G945" s="30"/>
      <c r="H945" s="47"/>
      <c r="I945" s="63"/>
      <c r="J945" s="31"/>
      <c r="K945" s="31"/>
      <c r="L945" s="32"/>
      <c r="M945" s="32"/>
      <c r="N945" s="32"/>
    </row>
    <row r="946" spans="2:14" x14ac:dyDescent="0.25">
      <c r="B946" s="42"/>
      <c r="C946" s="30"/>
      <c r="D946" s="30"/>
      <c r="E946" s="30"/>
      <c r="F946" s="30"/>
      <c r="G946" s="30"/>
      <c r="H946" s="47"/>
      <c r="I946" s="63"/>
      <c r="J946" s="31"/>
      <c r="K946" s="31"/>
      <c r="L946" s="32"/>
      <c r="M946" s="32"/>
      <c r="N946" s="32"/>
    </row>
    <row r="947" spans="2:14" x14ac:dyDescent="0.25">
      <c r="B947" s="42"/>
      <c r="C947" s="30"/>
      <c r="D947" s="30"/>
      <c r="E947" s="30"/>
      <c r="F947" s="30"/>
      <c r="G947" s="30"/>
      <c r="H947" s="47"/>
      <c r="I947" s="63"/>
      <c r="J947" s="31"/>
      <c r="K947" s="31"/>
      <c r="L947" s="32"/>
      <c r="M947" s="32"/>
      <c r="N947" s="32"/>
    </row>
    <row r="948" spans="2:14" x14ac:dyDescent="0.25">
      <c r="B948" s="42"/>
      <c r="C948" s="30"/>
      <c r="D948" s="30"/>
      <c r="E948" s="30"/>
      <c r="F948" s="30"/>
      <c r="G948" s="30"/>
      <c r="H948" s="47"/>
      <c r="I948" s="63"/>
      <c r="J948" s="31"/>
      <c r="K948" s="31"/>
      <c r="L948" s="32"/>
      <c r="M948" s="32"/>
      <c r="N948" s="32"/>
    </row>
    <row r="949" spans="2:14" x14ac:dyDescent="0.25">
      <c r="B949" s="42"/>
      <c r="C949" s="30"/>
      <c r="D949" s="30"/>
      <c r="E949" s="30"/>
      <c r="F949" s="30"/>
      <c r="G949" s="30"/>
      <c r="H949" s="47"/>
      <c r="I949" s="63"/>
      <c r="J949" s="31"/>
      <c r="K949" s="31"/>
      <c r="L949" s="32"/>
      <c r="M949" s="32"/>
      <c r="N949" s="32"/>
    </row>
    <row r="950" spans="2:14" x14ac:dyDescent="0.25">
      <c r="B950" s="42"/>
      <c r="C950" s="30"/>
      <c r="D950" s="30"/>
      <c r="E950" s="30"/>
      <c r="F950" s="30"/>
      <c r="G950" s="30"/>
      <c r="H950" s="47"/>
      <c r="I950" s="63"/>
      <c r="J950" s="31"/>
      <c r="K950" s="31"/>
      <c r="L950" s="32"/>
      <c r="M950" s="32"/>
      <c r="N950" s="32"/>
    </row>
    <row r="951" spans="2:14" x14ac:dyDescent="0.25">
      <c r="B951" s="42"/>
      <c r="C951" s="30"/>
      <c r="D951" s="30"/>
      <c r="E951" s="30"/>
      <c r="F951" s="30"/>
      <c r="G951" s="30"/>
      <c r="H951" s="47"/>
      <c r="I951" s="63"/>
      <c r="J951" s="31"/>
      <c r="K951" s="31"/>
      <c r="L951" s="32"/>
      <c r="M951" s="32"/>
      <c r="N951" s="32"/>
    </row>
    <row r="952" spans="2:14" x14ac:dyDescent="0.25">
      <c r="B952" s="42"/>
      <c r="C952" s="30"/>
      <c r="D952" s="30"/>
      <c r="E952" s="30"/>
      <c r="F952" s="30"/>
      <c r="G952" s="30"/>
      <c r="H952" s="47"/>
      <c r="I952" s="63"/>
      <c r="J952" s="31"/>
      <c r="K952" s="31"/>
      <c r="L952" s="32"/>
      <c r="M952" s="32"/>
      <c r="N952" s="32"/>
    </row>
    <row r="953" spans="2:14" x14ac:dyDescent="0.25">
      <c r="B953" s="42"/>
      <c r="C953" s="30"/>
      <c r="D953" s="30"/>
      <c r="E953" s="30"/>
      <c r="F953" s="30"/>
      <c r="G953" s="30"/>
      <c r="H953" s="47"/>
      <c r="I953" s="63"/>
      <c r="J953" s="31"/>
      <c r="K953" s="31"/>
      <c r="L953" s="32"/>
      <c r="M953" s="32"/>
      <c r="N953" s="32"/>
    </row>
    <row r="954" spans="2:14" x14ac:dyDescent="0.25">
      <c r="B954" s="42"/>
      <c r="C954" s="30"/>
      <c r="D954" s="30"/>
      <c r="E954" s="30"/>
      <c r="F954" s="30"/>
      <c r="G954" s="30"/>
      <c r="H954" s="47"/>
      <c r="I954" s="63"/>
      <c r="J954" s="31"/>
      <c r="K954" s="31"/>
      <c r="L954" s="32"/>
      <c r="M954" s="32"/>
      <c r="N954" s="32"/>
    </row>
    <row r="955" spans="2:14" x14ac:dyDescent="0.25">
      <c r="B955" s="42"/>
      <c r="C955" s="30"/>
      <c r="D955" s="30"/>
      <c r="E955" s="30"/>
      <c r="F955" s="30"/>
      <c r="G955" s="30"/>
      <c r="H955" s="47"/>
      <c r="I955" s="63"/>
      <c r="J955" s="31"/>
      <c r="K955" s="31"/>
      <c r="L955" s="32"/>
      <c r="M955" s="32"/>
      <c r="N955" s="32"/>
    </row>
    <row r="956" spans="2:14" x14ac:dyDescent="0.25">
      <c r="B956" s="42"/>
      <c r="C956" s="30"/>
      <c r="D956" s="30"/>
      <c r="E956" s="30"/>
      <c r="F956" s="30"/>
      <c r="G956" s="30"/>
      <c r="H956" s="47"/>
      <c r="I956" s="63"/>
      <c r="J956" s="31"/>
      <c r="K956" s="31"/>
      <c r="L956" s="32"/>
      <c r="M956" s="32"/>
      <c r="N956" s="32"/>
    </row>
    <row r="957" spans="2:14" x14ac:dyDescent="0.25">
      <c r="B957" s="42"/>
      <c r="C957" s="30"/>
      <c r="D957" s="30"/>
      <c r="E957" s="30"/>
      <c r="F957" s="30"/>
      <c r="G957" s="30"/>
      <c r="H957" s="47"/>
      <c r="I957" s="63"/>
      <c r="J957" s="31"/>
      <c r="K957" s="31"/>
      <c r="L957" s="32"/>
      <c r="M957" s="32"/>
      <c r="N957" s="32"/>
    </row>
    <row r="958" spans="2:14" x14ac:dyDescent="0.25">
      <c r="B958" s="42"/>
      <c r="C958" s="30"/>
      <c r="D958" s="30"/>
      <c r="E958" s="30"/>
      <c r="F958" s="30"/>
      <c r="G958" s="30"/>
      <c r="H958" s="47"/>
      <c r="I958" s="63"/>
      <c r="J958" s="31"/>
      <c r="K958" s="31"/>
      <c r="L958" s="32"/>
      <c r="M958" s="32"/>
      <c r="N958" s="32"/>
    </row>
    <row r="959" spans="2:14" x14ac:dyDescent="0.25">
      <c r="B959" s="42"/>
      <c r="C959" s="30"/>
      <c r="D959" s="30"/>
      <c r="E959" s="30"/>
      <c r="F959" s="30"/>
      <c r="G959" s="30"/>
      <c r="H959" s="47"/>
      <c r="I959" s="63"/>
      <c r="J959" s="31"/>
      <c r="K959" s="31"/>
      <c r="L959" s="32"/>
      <c r="M959" s="32"/>
      <c r="N959" s="32"/>
    </row>
    <row r="960" spans="2:14" x14ac:dyDescent="0.25">
      <c r="B960" s="42"/>
      <c r="C960" s="30"/>
      <c r="D960" s="30"/>
      <c r="E960" s="30"/>
      <c r="F960" s="30"/>
      <c r="G960" s="30"/>
      <c r="H960" s="47"/>
      <c r="I960" s="63"/>
      <c r="J960" s="31"/>
      <c r="K960" s="31"/>
      <c r="L960" s="32"/>
      <c r="M960" s="32"/>
      <c r="N960" s="32"/>
    </row>
    <row r="961" spans="2:14" x14ac:dyDescent="0.25">
      <c r="B961" s="42"/>
      <c r="C961" s="30"/>
      <c r="D961" s="30"/>
      <c r="E961" s="30"/>
      <c r="F961" s="30"/>
      <c r="G961" s="30"/>
      <c r="H961" s="47"/>
      <c r="I961" s="63"/>
      <c r="J961" s="31"/>
      <c r="K961" s="31"/>
      <c r="L961" s="32"/>
      <c r="M961" s="32"/>
      <c r="N961" s="32"/>
    </row>
    <row r="962" spans="2:14" x14ac:dyDescent="0.25">
      <c r="B962" s="42"/>
      <c r="C962" s="30"/>
      <c r="D962" s="30"/>
      <c r="E962" s="30"/>
      <c r="F962" s="30"/>
      <c r="G962" s="30"/>
      <c r="H962" s="47"/>
      <c r="I962" s="63"/>
      <c r="J962" s="31"/>
      <c r="K962" s="31"/>
      <c r="L962" s="32"/>
      <c r="M962" s="32"/>
      <c r="N962" s="32"/>
    </row>
    <row r="963" spans="2:14" x14ac:dyDescent="0.25">
      <c r="B963" s="42"/>
      <c r="C963" s="30"/>
      <c r="D963" s="30"/>
      <c r="E963" s="30"/>
      <c r="F963" s="30"/>
      <c r="G963" s="30"/>
      <c r="H963" s="47"/>
      <c r="I963" s="63"/>
      <c r="J963" s="31"/>
      <c r="K963" s="31"/>
      <c r="L963" s="32"/>
      <c r="M963" s="32"/>
      <c r="N963" s="32"/>
    </row>
    <row r="964" spans="2:14" x14ac:dyDescent="0.25">
      <c r="B964" s="42"/>
      <c r="C964" s="30"/>
      <c r="D964" s="30"/>
      <c r="E964" s="30"/>
      <c r="F964" s="30"/>
      <c r="G964" s="30"/>
      <c r="H964" s="47"/>
      <c r="I964" s="63"/>
      <c r="J964" s="31"/>
      <c r="K964" s="31"/>
      <c r="L964" s="32"/>
      <c r="M964" s="32"/>
      <c r="N964" s="32"/>
    </row>
    <row r="965" spans="2:14" x14ac:dyDescent="0.25">
      <c r="B965" s="42"/>
      <c r="C965" s="30"/>
      <c r="D965" s="30"/>
      <c r="E965" s="30"/>
      <c r="F965" s="30"/>
      <c r="G965" s="30"/>
      <c r="H965" s="47"/>
      <c r="I965" s="63"/>
      <c r="J965" s="31"/>
      <c r="K965" s="31"/>
      <c r="L965" s="32"/>
      <c r="M965" s="32"/>
      <c r="N965" s="32"/>
    </row>
    <row r="966" spans="2:14" x14ac:dyDescent="0.25">
      <c r="B966" s="42"/>
      <c r="C966" s="30"/>
      <c r="D966" s="30"/>
      <c r="E966" s="30"/>
      <c r="F966" s="30"/>
      <c r="G966" s="30"/>
      <c r="H966" s="47"/>
      <c r="I966" s="63"/>
      <c r="J966" s="31"/>
      <c r="K966" s="31"/>
      <c r="L966" s="32"/>
      <c r="M966" s="32"/>
      <c r="N966" s="32"/>
    </row>
    <row r="967" spans="2:14" x14ac:dyDescent="0.25">
      <c r="B967" s="42"/>
      <c r="C967" s="30"/>
      <c r="D967" s="30"/>
      <c r="E967" s="30"/>
      <c r="F967" s="30"/>
      <c r="G967" s="30"/>
      <c r="H967" s="47"/>
      <c r="I967" s="63"/>
      <c r="J967" s="31"/>
      <c r="K967" s="31"/>
      <c r="L967" s="32"/>
      <c r="M967" s="32"/>
      <c r="N967" s="32"/>
    </row>
    <row r="968" spans="2:14" x14ac:dyDescent="0.25">
      <c r="B968" s="42"/>
      <c r="C968" s="30"/>
      <c r="D968" s="30"/>
      <c r="E968" s="30"/>
      <c r="F968" s="30"/>
      <c r="G968" s="30"/>
      <c r="H968" s="47"/>
      <c r="I968" s="63"/>
      <c r="J968" s="31"/>
      <c r="K968" s="31"/>
      <c r="L968" s="32"/>
      <c r="M968" s="32"/>
      <c r="N968" s="32"/>
    </row>
    <row r="969" spans="2:14" x14ac:dyDescent="0.25">
      <c r="B969" s="42"/>
      <c r="C969" s="30"/>
      <c r="D969" s="30"/>
      <c r="E969" s="30"/>
      <c r="F969" s="30"/>
      <c r="G969" s="30"/>
      <c r="H969" s="47"/>
      <c r="I969" s="63"/>
      <c r="J969" s="31"/>
      <c r="K969" s="31"/>
      <c r="L969" s="32"/>
      <c r="M969" s="32"/>
      <c r="N969" s="32"/>
    </row>
    <row r="970" spans="2:14" x14ac:dyDescent="0.25">
      <c r="B970" s="42"/>
      <c r="C970" s="30"/>
      <c r="D970" s="30"/>
      <c r="E970" s="30"/>
      <c r="F970" s="30"/>
      <c r="G970" s="30"/>
      <c r="H970" s="47"/>
      <c r="I970" s="63"/>
      <c r="J970" s="31"/>
      <c r="K970" s="31"/>
      <c r="L970" s="32"/>
      <c r="M970" s="32"/>
      <c r="N970" s="32"/>
    </row>
    <row r="971" spans="2:14" x14ac:dyDescent="0.25">
      <c r="B971" s="42"/>
      <c r="C971" s="30"/>
      <c r="D971" s="30"/>
      <c r="E971" s="30"/>
      <c r="F971" s="30"/>
      <c r="G971" s="30"/>
      <c r="H971" s="47"/>
      <c r="I971" s="63"/>
      <c r="J971" s="31"/>
      <c r="K971" s="31"/>
      <c r="L971" s="32"/>
      <c r="M971" s="32"/>
      <c r="N971" s="32"/>
    </row>
    <row r="972" spans="2:14" x14ac:dyDescent="0.25">
      <c r="B972" s="42"/>
      <c r="C972" s="30"/>
      <c r="D972" s="30"/>
      <c r="E972" s="30"/>
      <c r="F972" s="30"/>
      <c r="G972" s="30"/>
      <c r="H972" s="47"/>
      <c r="I972" s="63"/>
      <c r="J972" s="31"/>
      <c r="K972" s="31"/>
      <c r="L972" s="32"/>
      <c r="M972" s="32"/>
      <c r="N972" s="32"/>
    </row>
    <row r="973" spans="2:14" x14ac:dyDescent="0.25">
      <c r="B973" s="42"/>
      <c r="C973" s="30"/>
      <c r="D973" s="30"/>
      <c r="E973" s="30"/>
      <c r="F973" s="30"/>
      <c r="G973" s="30"/>
      <c r="H973" s="47"/>
      <c r="I973" s="63"/>
      <c r="J973" s="31"/>
      <c r="K973" s="31"/>
      <c r="L973" s="32"/>
      <c r="M973" s="32"/>
      <c r="N973" s="32"/>
    </row>
    <row r="974" spans="2:14" x14ac:dyDescent="0.25">
      <c r="B974" s="42"/>
      <c r="C974" s="30"/>
      <c r="D974" s="30"/>
      <c r="E974" s="30"/>
      <c r="F974" s="30"/>
      <c r="G974" s="30"/>
      <c r="H974" s="47"/>
      <c r="I974" s="63"/>
      <c r="J974" s="31"/>
      <c r="K974" s="31"/>
      <c r="L974" s="32"/>
      <c r="M974" s="32"/>
      <c r="N974" s="32"/>
    </row>
    <row r="975" spans="2:14" x14ac:dyDescent="0.25">
      <c r="B975" s="42"/>
      <c r="C975" s="30"/>
      <c r="D975" s="30"/>
      <c r="E975" s="30"/>
      <c r="F975" s="30"/>
      <c r="G975" s="30"/>
      <c r="H975" s="47"/>
      <c r="I975" s="63"/>
      <c r="J975" s="31"/>
      <c r="K975" s="31"/>
      <c r="L975" s="32"/>
      <c r="M975" s="32"/>
      <c r="N975" s="32"/>
    </row>
    <row r="976" spans="2:14" x14ac:dyDescent="0.25">
      <c r="B976" s="42"/>
      <c r="C976" s="30"/>
      <c r="D976" s="30"/>
      <c r="E976" s="30"/>
      <c r="F976" s="30"/>
      <c r="G976" s="30"/>
      <c r="H976" s="47"/>
      <c r="I976" s="63"/>
      <c r="J976" s="31"/>
      <c r="K976" s="31"/>
      <c r="L976" s="32"/>
      <c r="M976" s="32"/>
      <c r="N976" s="32"/>
    </row>
    <row r="977" spans="2:14" x14ac:dyDescent="0.25">
      <c r="B977" s="42"/>
      <c r="C977" s="30"/>
      <c r="D977" s="30"/>
      <c r="E977" s="30"/>
      <c r="F977" s="30"/>
      <c r="G977" s="30"/>
      <c r="H977" s="47"/>
      <c r="I977" s="63"/>
      <c r="J977" s="31"/>
      <c r="K977" s="31"/>
      <c r="L977" s="32"/>
      <c r="M977" s="32"/>
      <c r="N977" s="32"/>
    </row>
    <row r="978" spans="2:14" x14ac:dyDescent="0.25">
      <c r="B978" s="42"/>
      <c r="C978" s="30"/>
      <c r="D978" s="30"/>
      <c r="E978" s="30"/>
      <c r="F978" s="30"/>
      <c r="G978" s="30"/>
      <c r="H978" s="47"/>
      <c r="I978" s="63"/>
      <c r="J978" s="31"/>
      <c r="K978" s="31"/>
      <c r="L978" s="32"/>
      <c r="M978" s="32"/>
      <c r="N978" s="32"/>
    </row>
    <row r="979" spans="2:14" x14ac:dyDescent="0.25">
      <c r="B979" s="42"/>
      <c r="C979" s="30"/>
      <c r="D979" s="30"/>
      <c r="E979" s="30"/>
      <c r="F979" s="30"/>
      <c r="G979" s="30"/>
      <c r="H979" s="47"/>
      <c r="I979" s="63"/>
      <c r="J979" s="31"/>
      <c r="K979" s="31"/>
      <c r="L979" s="32"/>
      <c r="M979" s="32"/>
      <c r="N979" s="32"/>
    </row>
    <row r="980" spans="2:14" x14ac:dyDescent="0.25">
      <c r="B980" s="42"/>
      <c r="C980" s="30"/>
      <c r="D980" s="30"/>
      <c r="E980" s="30"/>
      <c r="F980" s="30"/>
      <c r="G980" s="30"/>
      <c r="H980" s="47"/>
      <c r="I980" s="63"/>
      <c r="J980" s="31"/>
      <c r="K980" s="31"/>
      <c r="L980" s="32"/>
      <c r="M980" s="32"/>
      <c r="N980" s="32"/>
    </row>
    <row r="981" spans="2:14" x14ac:dyDescent="0.25">
      <c r="B981" s="42"/>
      <c r="C981" s="30"/>
      <c r="D981" s="30"/>
      <c r="E981" s="30"/>
      <c r="F981" s="30"/>
      <c r="G981" s="30"/>
      <c r="H981" s="47"/>
      <c r="I981" s="63"/>
      <c r="J981" s="31"/>
      <c r="K981" s="31"/>
      <c r="L981" s="32"/>
      <c r="M981" s="32"/>
      <c r="N981" s="32"/>
    </row>
    <row r="982" spans="2:14" x14ac:dyDescent="0.25">
      <c r="B982" s="42"/>
      <c r="C982" s="30"/>
      <c r="D982" s="30"/>
      <c r="E982" s="30"/>
      <c r="F982" s="30"/>
      <c r="G982" s="30"/>
      <c r="H982" s="47"/>
      <c r="I982" s="63"/>
      <c r="J982" s="31"/>
      <c r="K982" s="31"/>
      <c r="L982" s="32"/>
      <c r="M982" s="32"/>
      <c r="N982" s="32"/>
    </row>
    <row r="983" spans="2:14" x14ac:dyDescent="0.25">
      <c r="B983" s="42"/>
      <c r="C983" s="30"/>
      <c r="D983" s="30"/>
      <c r="E983" s="30"/>
      <c r="F983" s="30"/>
      <c r="G983" s="30"/>
      <c r="H983" s="47"/>
      <c r="I983" s="63"/>
      <c r="J983" s="31"/>
      <c r="K983" s="31"/>
      <c r="L983" s="32"/>
      <c r="M983" s="32"/>
      <c r="N983" s="32"/>
    </row>
    <row r="984" spans="2:14" x14ac:dyDescent="0.25">
      <c r="B984" s="42"/>
      <c r="C984" s="30"/>
      <c r="D984" s="30"/>
      <c r="E984" s="30"/>
      <c r="F984" s="30"/>
      <c r="G984" s="30"/>
      <c r="H984" s="47"/>
      <c r="I984" s="63"/>
      <c r="J984" s="31"/>
      <c r="K984" s="31"/>
      <c r="L984" s="32"/>
      <c r="M984" s="32"/>
      <c r="N984" s="32"/>
    </row>
    <row r="985" spans="2:14" x14ac:dyDescent="0.25">
      <c r="B985" s="42"/>
      <c r="C985" s="30"/>
      <c r="D985" s="30"/>
      <c r="E985" s="30"/>
      <c r="F985" s="30"/>
      <c r="G985" s="30"/>
      <c r="H985" s="47"/>
      <c r="I985" s="63"/>
      <c r="J985" s="31"/>
      <c r="K985" s="31"/>
      <c r="L985" s="32"/>
      <c r="M985" s="32"/>
      <c r="N985" s="32"/>
    </row>
    <row r="986" spans="2:14" x14ac:dyDescent="0.25">
      <c r="B986" s="42"/>
      <c r="C986" s="30"/>
      <c r="D986" s="30"/>
      <c r="E986" s="30"/>
      <c r="F986" s="30"/>
      <c r="G986" s="30"/>
      <c r="H986" s="47"/>
      <c r="I986" s="63"/>
      <c r="J986" s="31"/>
      <c r="K986" s="31"/>
      <c r="L986" s="32"/>
      <c r="M986" s="32"/>
      <c r="N986" s="32"/>
    </row>
    <row r="987" spans="2:14" x14ac:dyDescent="0.25">
      <c r="B987" s="42"/>
      <c r="C987" s="30"/>
      <c r="D987" s="30"/>
      <c r="E987" s="30"/>
      <c r="F987" s="30"/>
      <c r="G987" s="30"/>
      <c r="H987" s="47"/>
      <c r="I987" s="63"/>
      <c r="J987" s="31"/>
      <c r="K987" s="31"/>
      <c r="L987" s="32"/>
      <c r="M987" s="32"/>
      <c r="N987" s="32"/>
    </row>
    <row r="988" spans="2:14" x14ac:dyDescent="0.25">
      <c r="B988" s="42"/>
      <c r="C988" s="30"/>
      <c r="D988" s="30"/>
      <c r="E988" s="30"/>
      <c r="F988" s="30"/>
      <c r="G988" s="30"/>
      <c r="H988" s="47"/>
      <c r="I988" s="63"/>
      <c r="J988" s="31"/>
      <c r="K988" s="31"/>
      <c r="L988" s="32"/>
      <c r="M988" s="32"/>
      <c r="N988" s="32"/>
    </row>
    <row r="989" spans="2:14" x14ac:dyDescent="0.25">
      <c r="B989" s="42"/>
      <c r="C989" s="30"/>
      <c r="D989" s="30"/>
      <c r="E989" s="30"/>
      <c r="F989" s="30"/>
      <c r="G989" s="30"/>
      <c r="H989" s="47"/>
      <c r="I989" s="63"/>
      <c r="J989" s="31"/>
      <c r="K989" s="31"/>
      <c r="L989" s="32"/>
      <c r="M989" s="32"/>
      <c r="N989" s="32"/>
    </row>
    <row r="990" spans="2:14" x14ac:dyDescent="0.25">
      <c r="B990" s="42"/>
      <c r="C990" s="30"/>
      <c r="D990" s="30"/>
      <c r="E990" s="30"/>
      <c r="F990" s="30"/>
      <c r="G990" s="30"/>
      <c r="H990" s="47"/>
      <c r="I990" s="63"/>
      <c r="J990" s="31"/>
      <c r="K990" s="31"/>
      <c r="L990" s="32"/>
      <c r="M990" s="32"/>
      <c r="N990" s="32"/>
    </row>
    <row r="991" spans="2:14" x14ac:dyDescent="0.25">
      <c r="B991" s="42"/>
      <c r="C991" s="30"/>
      <c r="D991" s="30"/>
      <c r="E991" s="30"/>
      <c r="F991" s="30"/>
      <c r="G991" s="30"/>
      <c r="H991" s="47"/>
      <c r="I991" s="63"/>
      <c r="J991" s="31"/>
      <c r="K991" s="31"/>
      <c r="L991" s="32"/>
      <c r="M991" s="32"/>
      <c r="N991" s="32"/>
    </row>
    <row r="992" spans="2:14" x14ac:dyDescent="0.25">
      <c r="B992" s="42"/>
      <c r="C992" s="30"/>
      <c r="D992" s="30"/>
      <c r="E992" s="30"/>
      <c r="F992" s="30"/>
      <c r="G992" s="30"/>
      <c r="H992" s="47"/>
      <c r="I992" s="63"/>
      <c r="J992" s="31"/>
      <c r="K992" s="31"/>
      <c r="L992" s="32"/>
      <c r="M992" s="32"/>
      <c r="N992" s="32"/>
    </row>
    <row r="993" spans="2:14" x14ac:dyDescent="0.25">
      <c r="B993" s="42"/>
      <c r="C993" s="30"/>
      <c r="D993" s="30"/>
      <c r="E993" s="30"/>
      <c r="F993" s="30"/>
      <c r="G993" s="30"/>
      <c r="H993" s="47"/>
      <c r="I993" s="63"/>
      <c r="J993" s="31"/>
      <c r="K993" s="31"/>
      <c r="L993" s="32"/>
      <c r="M993" s="32"/>
      <c r="N993" s="32"/>
    </row>
    <row r="994" spans="2:14" x14ac:dyDescent="0.25">
      <c r="B994" s="42"/>
      <c r="C994" s="30"/>
      <c r="D994" s="30"/>
      <c r="E994" s="30"/>
      <c r="F994" s="30"/>
      <c r="G994" s="30"/>
      <c r="H994" s="47"/>
      <c r="I994" s="63"/>
      <c r="J994" s="31"/>
      <c r="K994" s="31"/>
      <c r="L994" s="32"/>
      <c r="M994" s="32"/>
      <c r="N994" s="32"/>
    </row>
    <row r="995" spans="2:14" x14ac:dyDescent="0.25">
      <c r="B995" s="42"/>
      <c r="C995" s="30"/>
      <c r="D995" s="30"/>
      <c r="E995" s="30"/>
      <c r="F995" s="30"/>
      <c r="G995" s="30"/>
      <c r="H995" s="47"/>
      <c r="I995" s="63"/>
      <c r="J995" s="31"/>
      <c r="K995" s="31"/>
      <c r="L995" s="32"/>
      <c r="M995" s="32"/>
      <c r="N995" s="32"/>
    </row>
    <row r="996" spans="2:14" x14ac:dyDescent="0.25">
      <c r="B996" s="42"/>
      <c r="C996" s="30"/>
      <c r="D996" s="30"/>
      <c r="E996" s="30"/>
      <c r="F996" s="30"/>
      <c r="G996" s="30"/>
      <c r="H996" s="47"/>
      <c r="I996" s="63"/>
      <c r="J996" s="31"/>
      <c r="K996" s="31"/>
      <c r="L996" s="32"/>
      <c r="M996" s="32"/>
      <c r="N996" s="32"/>
    </row>
    <row r="997" spans="2:14" x14ac:dyDescent="0.25">
      <c r="B997" s="42"/>
      <c r="C997" s="30"/>
      <c r="D997" s="30"/>
      <c r="E997" s="30"/>
      <c r="F997" s="30"/>
      <c r="G997" s="30"/>
      <c r="H997" s="47"/>
      <c r="I997" s="63"/>
      <c r="J997" s="31"/>
      <c r="K997" s="31"/>
      <c r="L997" s="32"/>
      <c r="M997" s="32"/>
      <c r="N997" s="32"/>
    </row>
    <row r="998" spans="2:14" x14ac:dyDescent="0.25">
      <c r="B998" s="42"/>
      <c r="C998" s="30"/>
      <c r="D998" s="30"/>
      <c r="E998" s="30"/>
      <c r="F998" s="30"/>
      <c r="G998" s="30"/>
      <c r="H998" s="47"/>
      <c r="I998" s="63"/>
      <c r="J998" s="31"/>
      <c r="K998" s="31"/>
      <c r="L998" s="32"/>
      <c r="M998" s="32"/>
      <c r="N998" s="32"/>
    </row>
    <row r="999" spans="2:14" x14ac:dyDescent="0.25">
      <c r="B999" s="42"/>
      <c r="C999" s="30"/>
      <c r="D999" s="30"/>
      <c r="E999" s="30"/>
      <c r="F999" s="30"/>
      <c r="G999" s="30"/>
      <c r="H999" s="47"/>
      <c r="I999" s="63"/>
      <c r="J999" s="31"/>
      <c r="K999" s="31"/>
      <c r="L999" s="32"/>
      <c r="M999" s="32"/>
      <c r="N999" s="32"/>
    </row>
    <row r="1000" spans="2:14" x14ac:dyDescent="0.25">
      <c r="B1000" s="42"/>
      <c r="C1000" s="30"/>
      <c r="D1000" s="30"/>
      <c r="E1000" s="30"/>
      <c r="F1000" s="30"/>
      <c r="G1000" s="30"/>
      <c r="H1000" s="47"/>
      <c r="I1000" s="63"/>
      <c r="J1000" s="31"/>
      <c r="K1000" s="31"/>
      <c r="L1000" s="32"/>
      <c r="M1000" s="32"/>
      <c r="N1000" s="32"/>
    </row>
    <row r="1001" spans="2:14" x14ac:dyDescent="0.25">
      <c r="B1001" s="42"/>
      <c r="C1001" s="30"/>
      <c r="D1001" s="30"/>
      <c r="E1001" s="30"/>
      <c r="F1001" s="30"/>
      <c r="G1001" s="30"/>
      <c r="H1001" s="47"/>
      <c r="I1001" s="63"/>
      <c r="J1001" s="31"/>
      <c r="K1001" s="31"/>
      <c r="L1001" s="32"/>
      <c r="M1001" s="32"/>
      <c r="N1001" s="32"/>
    </row>
    <row r="1002" spans="2:14" x14ac:dyDescent="0.25">
      <c r="B1002" s="42"/>
      <c r="C1002" s="30"/>
      <c r="D1002" s="30"/>
      <c r="E1002" s="30"/>
      <c r="F1002" s="30"/>
      <c r="G1002" s="30"/>
      <c r="H1002" s="47"/>
      <c r="I1002" s="63"/>
      <c r="J1002" s="31"/>
      <c r="K1002" s="31"/>
      <c r="L1002" s="32"/>
      <c r="M1002" s="32"/>
      <c r="N1002" s="32"/>
    </row>
    <row r="1003" spans="2:14" x14ac:dyDescent="0.25">
      <c r="B1003" s="42"/>
      <c r="C1003" s="30"/>
      <c r="D1003" s="30"/>
      <c r="E1003" s="30"/>
      <c r="F1003" s="30"/>
      <c r="G1003" s="30"/>
      <c r="H1003" s="47"/>
      <c r="I1003" s="63"/>
      <c r="J1003" s="31"/>
      <c r="K1003" s="31"/>
      <c r="L1003" s="32"/>
      <c r="M1003" s="32"/>
      <c r="N1003" s="32"/>
    </row>
    <row r="1004" spans="2:14" x14ac:dyDescent="0.25">
      <c r="B1004" s="42"/>
      <c r="C1004" s="30"/>
      <c r="D1004" s="30"/>
      <c r="E1004" s="30"/>
      <c r="F1004" s="30"/>
      <c r="G1004" s="30"/>
      <c r="H1004" s="47"/>
      <c r="I1004" s="63"/>
      <c r="J1004" s="31"/>
      <c r="K1004" s="31"/>
      <c r="L1004" s="32"/>
      <c r="M1004" s="32"/>
      <c r="N1004" s="32"/>
    </row>
    <row r="1005" spans="2:14" x14ac:dyDescent="0.25">
      <c r="B1005" s="42"/>
      <c r="C1005" s="30"/>
      <c r="D1005" s="30"/>
      <c r="E1005" s="30"/>
      <c r="F1005" s="30"/>
      <c r="G1005" s="30"/>
      <c r="H1005" s="47"/>
      <c r="I1005" s="63"/>
      <c r="J1005" s="31"/>
      <c r="K1005" s="31"/>
      <c r="L1005" s="32"/>
      <c r="M1005" s="32"/>
      <c r="N1005" s="32"/>
    </row>
    <row r="1006" spans="2:14" x14ac:dyDescent="0.25">
      <c r="B1006" s="42"/>
      <c r="C1006" s="30"/>
      <c r="D1006" s="30"/>
      <c r="E1006" s="30"/>
      <c r="F1006" s="30"/>
      <c r="G1006" s="30"/>
      <c r="H1006" s="47"/>
      <c r="I1006" s="63"/>
      <c r="J1006" s="31"/>
      <c r="K1006" s="31"/>
      <c r="L1006" s="32"/>
      <c r="M1006" s="32"/>
      <c r="N1006" s="32"/>
    </row>
    <row r="1007" spans="2:14" x14ac:dyDescent="0.25">
      <c r="B1007" s="42"/>
      <c r="C1007" s="30"/>
      <c r="D1007" s="30"/>
      <c r="E1007" s="30"/>
      <c r="F1007" s="30"/>
      <c r="G1007" s="30"/>
      <c r="H1007" s="47"/>
      <c r="I1007" s="63"/>
      <c r="J1007" s="31"/>
      <c r="K1007" s="31"/>
      <c r="L1007" s="32"/>
      <c r="M1007" s="32"/>
      <c r="N1007" s="32"/>
    </row>
    <row r="1008" spans="2:14" x14ac:dyDescent="0.25">
      <c r="B1008" s="42"/>
      <c r="C1008" s="30"/>
      <c r="D1008" s="30"/>
      <c r="E1008" s="30"/>
      <c r="F1008" s="30"/>
      <c r="G1008" s="30"/>
      <c r="H1008" s="47"/>
      <c r="I1008" s="63"/>
      <c r="J1008" s="31"/>
      <c r="K1008" s="31"/>
      <c r="L1008" s="32"/>
      <c r="M1008" s="32"/>
      <c r="N1008" s="32"/>
    </row>
    <row r="1009" spans="2:14" x14ac:dyDescent="0.25">
      <c r="B1009" s="42"/>
      <c r="C1009" s="30"/>
      <c r="D1009" s="30"/>
      <c r="E1009" s="30"/>
      <c r="F1009" s="30"/>
      <c r="G1009" s="30"/>
      <c r="H1009" s="47"/>
      <c r="I1009" s="63"/>
      <c r="J1009" s="31"/>
      <c r="K1009" s="31"/>
      <c r="L1009" s="32"/>
      <c r="M1009" s="32"/>
      <c r="N1009" s="32"/>
    </row>
    <row r="1010" spans="2:14" x14ac:dyDescent="0.25">
      <c r="B1010" s="42"/>
      <c r="C1010" s="30"/>
      <c r="D1010" s="30"/>
      <c r="E1010" s="30"/>
      <c r="F1010" s="30"/>
      <c r="G1010" s="30"/>
      <c r="H1010" s="47"/>
      <c r="I1010" s="63"/>
      <c r="J1010" s="31"/>
      <c r="K1010" s="31"/>
      <c r="L1010" s="32"/>
      <c r="M1010" s="32"/>
      <c r="N1010" s="32"/>
    </row>
    <row r="1011" spans="2:14" x14ac:dyDescent="0.25">
      <c r="B1011" s="42"/>
      <c r="C1011" s="30"/>
      <c r="D1011" s="30"/>
      <c r="E1011" s="30"/>
      <c r="F1011" s="30"/>
      <c r="G1011" s="30"/>
      <c r="H1011" s="47"/>
      <c r="I1011" s="63"/>
      <c r="J1011" s="31"/>
      <c r="K1011" s="31"/>
      <c r="L1011" s="32"/>
      <c r="M1011" s="32"/>
      <c r="N1011" s="32"/>
    </row>
    <row r="1012" spans="2:14" x14ac:dyDescent="0.25">
      <c r="B1012" s="42"/>
      <c r="C1012" s="30"/>
      <c r="D1012" s="30"/>
      <c r="E1012" s="30"/>
      <c r="F1012" s="30"/>
      <c r="G1012" s="30"/>
      <c r="H1012" s="47"/>
      <c r="I1012" s="63"/>
      <c r="J1012" s="31"/>
      <c r="K1012" s="31"/>
      <c r="L1012" s="32"/>
      <c r="M1012" s="32"/>
      <c r="N1012" s="32"/>
    </row>
    <row r="1013" spans="2:14" x14ac:dyDescent="0.25">
      <c r="B1013" s="42"/>
      <c r="C1013" s="30"/>
      <c r="D1013" s="30"/>
      <c r="E1013" s="30"/>
      <c r="F1013" s="30"/>
      <c r="G1013" s="30"/>
      <c r="H1013" s="47"/>
      <c r="I1013" s="63"/>
      <c r="J1013" s="31"/>
      <c r="K1013" s="31"/>
      <c r="L1013" s="32"/>
      <c r="M1013" s="32"/>
      <c r="N1013" s="32"/>
    </row>
    <row r="1014" spans="2:14" x14ac:dyDescent="0.25">
      <c r="B1014" s="42"/>
      <c r="C1014" s="30"/>
      <c r="D1014" s="30"/>
      <c r="E1014" s="30"/>
      <c r="F1014" s="30"/>
      <c r="G1014" s="30"/>
      <c r="H1014" s="47"/>
      <c r="I1014" s="63"/>
      <c r="J1014" s="31"/>
      <c r="K1014" s="31"/>
      <c r="L1014" s="32"/>
      <c r="M1014" s="32"/>
      <c r="N1014" s="32"/>
    </row>
    <row r="1015" spans="2:14" x14ac:dyDescent="0.25">
      <c r="B1015" s="42"/>
      <c r="C1015" s="30"/>
      <c r="D1015" s="30"/>
      <c r="E1015" s="30"/>
      <c r="F1015" s="30"/>
      <c r="G1015" s="30"/>
      <c r="H1015" s="47"/>
      <c r="I1015" s="63"/>
      <c r="J1015" s="31"/>
      <c r="K1015" s="31"/>
      <c r="L1015" s="32"/>
      <c r="M1015" s="32"/>
      <c r="N1015" s="32"/>
    </row>
    <row r="1016" spans="2:14" x14ac:dyDescent="0.25">
      <c r="B1016" s="42"/>
      <c r="C1016" s="30"/>
      <c r="D1016" s="30"/>
      <c r="E1016" s="30"/>
      <c r="F1016" s="30"/>
      <c r="G1016" s="30"/>
      <c r="H1016" s="47"/>
      <c r="I1016" s="63"/>
      <c r="J1016" s="31"/>
      <c r="K1016" s="31"/>
      <c r="L1016" s="32"/>
      <c r="M1016" s="32"/>
      <c r="N1016" s="32"/>
    </row>
    <row r="1017" spans="2:14" x14ac:dyDescent="0.25">
      <c r="B1017" s="42"/>
      <c r="C1017" s="30"/>
      <c r="D1017" s="30"/>
      <c r="E1017" s="30"/>
      <c r="F1017" s="30"/>
      <c r="G1017" s="30"/>
      <c r="H1017" s="47"/>
      <c r="I1017" s="63"/>
      <c r="J1017" s="31"/>
      <c r="K1017" s="31"/>
      <c r="L1017" s="32"/>
      <c r="M1017" s="32"/>
      <c r="N1017" s="32"/>
    </row>
    <row r="1018" spans="2:14" x14ac:dyDescent="0.25">
      <c r="B1018" s="42"/>
      <c r="C1018" s="30"/>
      <c r="D1018" s="30"/>
      <c r="E1018" s="30"/>
      <c r="F1018" s="30"/>
      <c r="G1018" s="30"/>
      <c r="H1018" s="47"/>
      <c r="I1018" s="63"/>
      <c r="J1018" s="31"/>
      <c r="K1018" s="31"/>
      <c r="L1018" s="32"/>
      <c r="M1018" s="32"/>
      <c r="N1018" s="32"/>
    </row>
    <row r="1019" spans="2:14" x14ac:dyDescent="0.25">
      <c r="B1019" s="42"/>
      <c r="C1019" s="30"/>
      <c r="D1019" s="30"/>
      <c r="E1019" s="30"/>
      <c r="F1019" s="30"/>
      <c r="G1019" s="30"/>
      <c r="H1019" s="47"/>
      <c r="I1019" s="63"/>
      <c r="J1019" s="31"/>
      <c r="K1019" s="31"/>
      <c r="L1019" s="32"/>
      <c r="M1019" s="32"/>
      <c r="N1019" s="32"/>
    </row>
    <row r="1020" spans="2:14" x14ac:dyDescent="0.25">
      <c r="B1020" s="42"/>
      <c r="C1020" s="30"/>
      <c r="D1020" s="30"/>
      <c r="E1020" s="30"/>
      <c r="F1020" s="30"/>
      <c r="G1020" s="30"/>
      <c r="H1020" s="47"/>
      <c r="I1020" s="63"/>
      <c r="J1020" s="31"/>
      <c r="K1020" s="31"/>
      <c r="L1020" s="32"/>
      <c r="M1020" s="32"/>
      <c r="N1020" s="32"/>
    </row>
    <row r="1021" spans="2:14" x14ac:dyDescent="0.25">
      <c r="B1021" s="42"/>
      <c r="C1021" s="30"/>
      <c r="D1021" s="30"/>
      <c r="E1021" s="30"/>
      <c r="F1021" s="30"/>
      <c r="G1021" s="30"/>
      <c r="H1021" s="47"/>
      <c r="I1021" s="63"/>
      <c r="J1021" s="31"/>
      <c r="K1021" s="31"/>
      <c r="L1021" s="32"/>
      <c r="M1021" s="32"/>
      <c r="N1021" s="32"/>
    </row>
    <row r="1022" spans="2:14" x14ac:dyDescent="0.25">
      <c r="B1022" s="42"/>
      <c r="C1022" s="30"/>
      <c r="D1022" s="30"/>
      <c r="E1022" s="30"/>
      <c r="F1022" s="30"/>
      <c r="G1022" s="30"/>
      <c r="H1022" s="47"/>
      <c r="I1022" s="63"/>
      <c r="J1022" s="31"/>
      <c r="K1022" s="31"/>
      <c r="L1022" s="32"/>
      <c r="M1022" s="32"/>
      <c r="N1022" s="32"/>
    </row>
    <row r="1023" spans="2:14" x14ac:dyDescent="0.25">
      <c r="B1023" s="42"/>
      <c r="C1023" s="30"/>
      <c r="D1023" s="30"/>
      <c r="E1023" s="30"/>
      <c r="F1023" s="30"/>
      <c r="G1023" s="30"/>
      <c r="H1023" s="47"/>
      <c r="I1023" s="63"/>
      <c r="J1023" s="31"/>
      <c r="K1023" s="31"/>
      <c r="L1023" s="32"/>
      <c r="M1023" s="32"/>
      <c r="N1023" s="32"/>
    </row>
    <row r="1024" spans="2:14" x14ac:dyDescent="0.25">
      <c r="B1024" s="42"/>
      <c r="C1024" s="30"/>
      <c r="D1024" s="30"/>
      <c r="E1024" s="30"/>
      <c r="F1024" s="30"/>
      <c r="G1024" s="30"/>
      <c r="H1024" s="47"/>
      <c r="I1024" s="63"/>
      <c r="J1024" s="31"/>
      <c r="K1024" s="31"/>
      <c r="L1024" s="32"/>
      <c r="M1024" s="32"/>
      <c r="N1024" s="32"/>
    </row>
    <row r="1025" spans="2:14" x14ac:dyDescent="0.25">
      <c r="B1025" s="42"/>
      <c r="C1025" s="30"/>
      <c r="D1025" s="30"/>
      <c r="E1025" s="30"/>
      <c r="F1025" s="30"/>
      <c r="G1025" s="30"/>
      <c r="H1025" s="47"/>
      <c r="I1025" s="63"/>
      <c r="J1025" s="31"/>
      <c r="K1025" s="31"/>
      <c r="L1025" s="32"/>
      <c r="M1025" s="32"/>
      <c r="N1025" s="32"/>
    </row>
    <row r="1026" spans="2:14" x14ac:dyDescent="0.25">
      <c r="B1026" s="42"/>
      <c r="C1026" s="30"/>
      <c r="D1026" s="30"/>
      <c r="E1026" s="30"/>
      <c r="F1026" s="30"/>
      <c r="G1026" s="30"/>
      <c r="H1026" s="47"/>
      <c r="I1026" s="63"/>
      <c r="J1026" s="31"/>
      <c r="K1026" s="31"/>
      <c r="L1026" s="32"/>
      <c r="M1026" s="32"/>
      <c r="N1026" s="32"/>
    </row>
    <row r="1027" spans="2:14" x14ac:dyDescent="0.25">
      <c r="B1027" s="42"/>
      <c r="C1027" s="30"/>
      <c r="D1027" s="30"/>
      <c r="E1027" s="30"/>
      <c r="F1027" s="30"/>
      <c r="G1027" s="30"/>
      <c r="H1027" s="47"/>
      <c r="I1027" s="63"/>
      <c r="J1027" s="31"/>
      <c r="K1027" s="31"/>
      <c r="L1027" s="32"/>
      <c r="M1027" s="32"/>
      <c r="N1027" s="32"/>
    </row>
    <row r="1028" spans="2:14" x14ac:dyDescent="0.25">
      <c r="B1028" s="42"/>
      <c r="C1028" s="30"/>
      <c r="D1028" s="30"/>
      <c r="E1028" s="30"/>
      <c r="F1028" s="30"/>
      <c r="G1028" s="30"/>
      <c r="H1028" s="47"/>
      <c r="I1028" s="63"/>
      <c r="J1028" s="31"/>
      <c r="K1028" s="31"/>
      <c r="L1028" s="32"/>
      <c r="M1028" s="32"/>
      <c r="N1028" s="32"/>
    </row>
    <row r="1029" spans="2:14" x14ac:dyDescent="0.25">
      <c r="B1029" s="42"/>
      <c r="C1029" s="30"/>
      <c r="D1029" s="30"/>
      <c r="E1029" s="30"/>
      <c r="F1029" s="30"/>
      <c r="G1029" s="30"/>
      <c r="H1029" s="47"/>
      <c r="I1029" s="63"/>
      <c r="J1029" s="31"/>
      <c r="K1029" s="31"/>
      <c r="L1029" s="32"/>
      <c r="M1029" s="32"/>
      <c r="N1029" s="32"/>
    </row>
    <row r="1030" spans="2:14" x14ac:dyDescent="0.25">
      <c r="B1030" s="42"/>
      <c r="C1030" s="30"/>
      <c r="D1030" s="30"/>
      <c r="E1030" s="30"/>
      <c r="F1030" s="30"/>
      <c r="G1030" s="30"/>
      <c r="H1030" s="47"/>
      <c r="I1030" s="63"/>
      <c r="J1030" s="31"/>
      <c r="K1030" s="31"/>
      <c r="L1030" s="32"/>
      <c r="M1030" s="32"/>
      <c r="N1030" s="32"/>
    </row>
    <row r="1031" spans="2:14" x14ac:dyDescent="0.25">
      <c r="B1031" s="42"/>
      <c r="C1031" s="30"/>
      <c r="D1031" s="30"/>
      <c r="E1031" s="30"/>
      <c r="F1031" s="30"/>
      <c r="G1031" s="30"/>
      <c r="H1031" s="47"/>
      <c r="I1031" s="63"/>
      <c r="J1031" s="31"/>
      <c r="K1031" s="31"/>
      <c r="L1031" s="32"/>
      <c r="M1031" s="32"/>
      <c r="N1031" s="32"/>
    </row>
    <row r="1032" spans="2:14" x14ac:dyDescent="0.25">
      <c r="B1032" s="42"/>
      <c r="C1032" s="30"/>
      <c r="D1032" s="30"/>
      <c r="E1032" s="30"/>
      <c r="F1032" s="30"/>
      <c r="G1032" s="30"/>
      <c r="H1032" s="47"/>
      <c r="I1032" s="63"/>
      <c r="J1032" s="31"/>
      <c r="K1032" s="31"/>
      <c r="L1032" s="32"/>
      <c r="M1032" s="32"/>
      <c r="N1032" s="32"/>
    </row>
    <row r="1033" spans="2:14" x14ac:dyDescent="0.25">
      <c r="B1033" s="42"/>
      <c r="C1033" s="30"/>
      <c r="D1033" s="30"/>
      <c r="E1033" s="30"/>
      <c r="F1033" s="30"/>
      <c r="G1033" s="30"/>
      <c r="H1033" s="47"/>
      <c r="I1033" s="63"/>
      <c r="J1033" s="31"/>
      <c r="K1033" s="31"/>
      <c r="L1033" s="32"/>
      <c r="M1033" s="32"/>
      <c r="N1033" s="32"/>
    </row>
    <row r="1034" spans="2:14" x14ac:dyDescent="0.25">
      <c r="B1034" s="42"/>
      <c r="C1034" s="30"/>
      <c r="D1034" s="30"/>
      <c r="E1034" s="30"/>
      <c r="F1034" s="30"/>
      <c r="G1034" s="30"/>
      <c r="H1034" s="47"/>
      <c r="I1034" s="63"/>
      <c r="J1034" s="31"/>
      <c r="K1034" s="31"/>
      <c r="L1034" s="32"/>
      <c r="M1034" s="32"/>
      <c r="N1034" s="32"/>
    </row>
    <row r="1035" spans="2:14" x14ac:dyDescent="0.25">
      <c r="B1035" s="42"/>
      <c r="C1035" s="30"/>
      <c r="D1035" s="30"/>
      <c r="E1035" s="30"/>
      <c r="F1035" s="30"/>
      <c r="G1035" s="30"/>
      <c r="H1035" s="47"/>
      <c r="I1035" s="63"/>
      <c r="J1035" s="31"/>
      <c r="K1035" s="31"/>
      <c r="L1035" s="32"/>
      <c r="M1035" s="32"/>
      <c r="N1035" s="32"/>
    </row>
    <row r="1036" spans="2:14" x14ac:dyDescent="0.25">
      <c r="B1036" s="42"/>
      <c r="C1036" s="30"/>
      <c r="D1036" s="30"/>
      <c r="E1036" s="30"/>
      <c r="F1036" s="30"/>
      <c r="G1036" s="30"/>
      <c r="H1036" s="47"/>
      <c r="I1036" s="63"/>
      <c r="J1036" s="31"/>
      <c r="K1036" s="31"/>
      <c r="L1036" s="32"/>
      <c r="M1036" s="32"/>
      <c r="N1036" s="32"/>
    </row>
    <row r="1037" spans="2:14" x14ac:dyDescent="0.25">
      <c r="B1037" s="42"/>
      <c r="C1037" s="30"/>
      <c r="D1037" s="30"/>
      <c r="E1037" s="30"/>
      <c r="F1037" s="30"/>
      <c r="G1037" s="30"/>
      <c r="H1037" s="47"/>
      <c r="I1037" s="63"/>
      <c r="J1037" s="31"/>
      <c r="K1037" s="31"/>
      <c r="L1037" s="32"/>
      <c r="M1037" s="32"/>
      <c r="N1037" s="32"/>
    </row>
    <row r="1038" spans="2:14" x14ac:dyDescent="0.25">
      <c r="B1038" s="42"/>
      <c r="C1038" s="30"/>
      <c r="D1038" s="30"/>
      <c r="E1038" s="30"/>
      <c r="F1038" s="30"/>
      <c r="G1038" s="30"/>
      <c r="H1038" s="47"/>
      <c r="I1038" s="63"/>
      <c r="J1038" s="31"/>
      <c r="K1038" s="31"/>
      <c r="L1038" s="32"/>
      <c r="M1038" s="32"/>
      <c r="N1038" s="32"/>
    </row>
    <row r="1039" spans="2:14" x14ac:dyDescent="0.25">
      <c r="B1039" s="42"/>
      <c r="C1039" s="30"/>
      <c r="D1039" s="30"/>
      <c r="E1039" s="30"/>
      <c r="F1039" s="30"/>
      <c r="G1039" s="30"/>
      <c r="H1039" s="47"/>
      <c r="I1039" s="63"/>
      <c r="J1039" s="31"/>
      <c r="K1039" s="31"/>
      <c r="L1039" s="32"/>
      <c r="M1039" s="32"/>
      <c r="N1039" s="32"/>
    </row>
    <row r="1040" spans="2:14" x14ac:dyDescent="0.25">
      <c r="B1040" s="42"/>
      <c r="C1040" s="30"/>
      <c r="D1040" s="30"/>
      <c r="E1040" s="30"/>
      <c r="F1040" s="30"/>
      <c r="G1040" s="30"/>
      <c r="H1040" s="47"/>
      <c r="I1040" s="63"/>
      <c r="J1040" s="31"/>
      <c r="K1040" s="31"/>
      <c r="L1040" s="32"/>
      <c r="M1040" s="32"/>
      <c r="N1040" s="32"/>
    </row>
    <row r="1041" spans="2:14" x14ac:dyDescent="0.25">
      <c r="B1041" s="42"/>
      <c r="C1041" s="30"/>
      <c r="D1041" s="30"/>
      <c r="E1041" s="30"/>
      <c r="F1041" s="30"/>
      <c r="G1041" s="30"/>
      <c r="H1041" s="47"/>
      <c r="I1041" s="63"/>
      <c r="J1041" s="31"/>
      <c r="K1041" s="31"/>
      <c r="L1041" s="32"/>
      <c r="M1041" s="32"/>
      <c r="N1041" s="32"/>
    </row>
    <row r="1042" spans="2:14" x14ac:dyDescent="0.25">
      <c r="B1042" s="42"/>
      <c r="C1042" s="30"/>
      <c r="D1042" s="30"/>
      <c r="E1042" s="30"/>
      <c r="F1042" s="30"/>
      <c r="G1042" s="30"/>
      <c r="H1042" s="47"/>
      <c r="I1042" s="63"/>
      <c r="J1042" s="31"/>
      <c r="K1042" s="31"/>
      <c r="L1042" s="32"/>
      <c r="M1042" s="32"/>
      <c r="N1042" s="32"/>
    </row>
    <row r="1043" spans="2:14" x14ac:dyDescent="0.25">
      <c r="B1043" s="42"/>
      <c r="C1043" s="30"/>
      <c r="D1043" s="30"/>
      <c r="E1043" s="30"/>
      <c r="F1043" s="30"/>
      <c r="G1043" s="30"/>
      <c r="H1043" s="47"/>
      <c r="I1043" s="63"/>
      <c r="J1043" s="31"/>
      <c r="K1043" s="31"/>
      <c r="L1043" s="32"/>
      <c r="M1043" s="32"/>
      <c r="N1043" s="32"/>
    </row>
    <row r="1044" spans="2:14" x14ac:dyDescent="0.25">
      <c r="B1044" s="42"/>
      <c r="C1044" s="30"/>
      <c r="D1044" s="30"/>
      <c r="E1044" s="30"/>
      <c r="F1044" s="30"/>
      <c r="G1044" s="30"/>
      <c r="H1044" s="47"/>
      <c r="I1044" s="63"/>
      <c r="J1044" s="31"/>
      <c r="K1044" s="31"/>
      <c r="L1044" s="32"/>
      <c r="M1044" s="32"/>
      <c r="N1044" s="32"/>
    </row>
    <row r="1045" spans="2:14" x14ac:dyDescent="0.25">
      <c r="B1045" s="42"/>
      <c r="C1045" s="30"/>
      <c r="D1045" s="30"/>
      <c r="E1045" s="30"/>
      <c r="F1045" s="30"/>
      <c r="G1045" s="30"/>
      <c r="H1045" s="47"/>
      <c r="I1045" s="63"/>
      <c r="J1045" s="31"/>
      <c r="K1045" s="31"/>
      <c r="L1045" s="32"/>
      <c r="M1045" s="32"/>
      <c r="N1045" s="32"/>
    </row>
    <row r="1046" spans="2:14" x14ac:dyDescent="0.25">
      <c r="B1046" s="42"/>
      <c r="C1046" s="30"/>
      <c r="D1046" s="30"/>
      <c r="E1046" s="30"/>
      <c r="F1046" s="30"/>
      <c r="G1046" s="30"/>
      <c r="H1046" s="47"/>
      <c r="I1046" s="63"/>
      <c r="J1046" s="31"/>
      <c r="K1046" s="31"/>
      <c r="L1046" s="32"/>
      <c r="M1046" s="32"/>
      <c r="N1046" s="32"/>
    </row>
    <row r="1047" spans="2:14" x14ac:dyDescent="0.25">
      <c r="B1047" s="42"/>
      <c r="C1047" s="30"/>
      <c r="D1047" s="30"/>
      <c r="E1047" s="30"/>
      <c r="F1047" s="30"/>
      <c r="G1047" s="30"/>
      <c r="H1047" s="47"/>
      <c r="I1047" s="63"/>
      <c r="J1047" s="31"/>
      <c r="K1047" s="31"/>
      <c r="L1047" s="32"/>
      <c r="M1047" s="32"/>
      <c r="N1047" s="32"/>
    </row>
    <row r="1048" spans="2:14" x14ac:dyDescent="0.25">
      <c r="B1048" s="42"/>
      <c r="C1048" s="30"/>
      <c r="D1048" s="30"/>
      <c r="E1048" s="30"/>
      <c r="F1048" s="30"/>
      <c r="G1048" s="30"/>
      <c r="H1048" s="47"/>
      <c r="I1048" s="63"/>
      <c r="J1048" s="31"/>
      <c r="K1048" s="31"/>
      <c r="L1048" s="32"/>
      <c r="M1048" s="32"/>
      <c r="N1048" s="32"/>
    </row>
    <row r="1049" spans="2:14" x14ac:dyDescent="0.25">
      <c r="B1049" s="42"/>
      <c r="C1049" s="30"/>
      <c r="D1049" s="30"/>
      <c r="E1049" s="30"/>
      <c r="F1049" s="30"/>
      <c r="G1049" s="30"/>
      <c r="H1049" s="47"/>
      <c r="I1049" s="63"/>
      <c r="J1049" s="31"/>
      <c r="K1049" s="31"/>
      <c r="L1049" s="32"/>
      <c r="M1049" s="32"/>
      <c r="N1049" s="32"/>
    </row>
    <row r="1050" spans="2:14" x14ac:dyDescent="0.25">
      <c r="B1050" s="42"/>
      <c r="C1050" s="30"/>
      <c r="D1050" s="30"/>
      <c r="E1050" s="30"/>
      <c r="F1050" s="30"/>
      <c r="G1050" s="30"/>
      <c r="H1050" s="47"/>
      <c r="I1050" s="63"/>
      <c r="J1050" s="31"/>
      <c r="K1050" s="31"/>
      <c r="L1050" s="32"/>
      <c r="M1050" s="32"/>
      <c r="N1050" s="32"/>
    </row>
    <row r="1051" spans="2:14" x14ac:dyDescent="0.25">
      <c r="B1051" s="42"/>
      <c r="C1051" s="30"/>
      <c r="D1051" s="30"/>
      <c r="E1051" s="30"/>
      <c r="F1051" s="30"/>
      <c r="G1051" s="30"/>
      <c r="H1051" s="47"/>
      <c r="I1051" s="63"/>
      <c r="J1051" s="31"/>
      <c r="K1051" s="31"/>
      <c r="L1051" s="32"/>
      <c r="M1051" s="32"/>
      <c r="N1051" s="32"/>
    </row>
    <row r="1052" spans="2:14" x14ac:dyDescent="0.25">
      <c r="B1052" s="42"/>
      <c r="C1052" s="30"/>
      <c r="D1052" s="30"/>
      <c r="E1052" s="30"/>
      <c r="F1052" s="30"/>
      <c r="G1052" s="30"/>
      <c r="H1052" s="47"/>
      <c r="I1052" s="63"/>
      <c r="J1052" s="31"/>
      <c r="K1052" s="31"/>
      <c r="L1052" s="32"/>
      <c r="M1052" s="32"/>
      <c r="N1052" s="32"/>
    </row>
    <row r="1053" spans="2:14" x14ac:dyDescent="0.25">
      <c r="B1053" s="42"/>
      <c r="C1053" s="30"/>
      <c r="D1053" s="30"/>
      <c r="E1053" s="30"/>
      <c r="F1053" s="30"/>
      <c r="G1053" s="30"/>
      <c r="H1053" s="47"/>
      <c r="I1053" s="63"/>
      <c r="J1053" s="31"/>
      <c r="K1053" s="31"/>
      <c r="L1053" s="32"/>
      <c r="M1053" s="32"/>
      <c r="N1053" s="32"/>
    </row>
    <row r="1054" spans="2:14" x14ac:dyDescent="0.25">
      <c r="B1054" s="42"/>
      <c r="C1054" s="30"/>
      <c r="D1054" s="30"/>
      <c r="E1054" s="30"/>
      <c r="F1054" s="30"/>
      <c r="G1054" s="30"/>
      <c r="H1054" s="47"/>
      <c r="I1054" s="63"/>
      <c r="J1054" s="31"/>
      <c r="K1054" s="31"/>
      <c r="L1054" s="32"/>
      <c r="M1054" s="32"/>
      <c r="N1054" s="32"/>
    </row>
    <row r="1055" spans="2:14" x14ac:dyDescent="0.25">
      <c r="B1055" s="42"/>
      <c r="C1055" s="30"/>
      <c r="D1055" s="30"/>
      <c r="E1055" s="30"/>
      <c r="F1055" s="30"/>
      <c r="G1055" s="30"/>
      <c r="H1055" s="47"/>
      <c r="I1055" s="63"/>
      <c r="J1055" s="31"/>
      <c r="K1055" s="31"/>
      <c r="L1055" s="32"/>
      <c r="M1055" s="32"/>
      <c r="N1055" s="32"/>
    </row>
    <row r="1056" spans="2:14" x14ac:dyDescent="0.25">
      <c r="B1056" s="42"/>
      <c r="C1056" s="30"/>
      <c r="D1056" s="30"/>
      <c r="E1056" s="30"/>
      <c r="F1056" s="30"/>
      <c r="G1056" s="30"/>
      <c r="H1056" s="47"/>
      <c r="I1056" s="63"/>
      <c r="J1056" s="31"/>
      <c r="K1056" s="31"/>
      <c r="L1056" s="32"/>
      <c r="M1056" s="32"/>
      <c r="N1056" s="32"/>
    </row>
    <row r="1057" spans="2:14" x14ac:dyDescent="0.25">
      <c r="B1057" s="42"/>
      <c r="C1057" s="30"/>
      <c r="D1057" s="30"/>
      <c r="E1057" s="30"/>
      <c r="F1057" s="30"/>
      <c r="G1057" s="30"/>
      <c r="H1057" s="47"/>
      <c r="I1057" s="63"/>
      <c r="J1057" s="31"/>
      <c r="K1057" s="31"/>
      <c r="L1057" s="32"/>
      <c r="M1057" s="32"/>
      <c r="N1057" s="32"/>
    </row>
    <row r="1058" spans="2:14" x14ac:dyDescent="0.25">
      <c r="B1058" s="42"/>
      <c r="C1058" s="30"/>
      <c r="D1058" s="30"/>
      <c r="E1058" s="30"/>
      <c r="F1058" s="30"/>
      <c r="G1058" s="30"/>
      <c r="H1058" s="47"/>
      <c r="I1058" s="63"/>
      <c r="J1058" s="31"/>
      <c r="K1058" s="31"/>
      <c r="L1058" s="32"/>
      <c r="M1058" s="32"/>
      <c r="N1058" s="32"/>
    </row>
    <row r="1059" spans="2:14" x14ac:dyDescent="0.25">
      <c r="B1059" s="42"/>
      <c r="C1059" s="30"/>
      <c r="D1059" s="30"/>
      <c r="E1059" s="30"/>
      <c r="F1059" s="30"/>
      <c r="G1059" s="30"/>
      <c r="H1059" s="47"/>
      <c r="I1059" s="63"/>
      <c r="J1059" s="31"/>
      <c r="K1059" s="31"/>
      <c r="L1059" s="32"/>
      <c r="M1059" s="32"/>
      <c r="N1059" s="32"/>
    </row>
    <row r="1060" spans="2:14" x14ac:dyDescent="0.25">
      <c r="B1060" s="42"/>
      <c r="C1060" s="30"/>
      <c r="D1060" s="30"/>
      <c r="E1060" s="30"/>
      <c r="F1060" s="30"/>
      <c r="G1060" s="30"/>
      <c r="H1060" s="47"/>
      <c r="I1060" s="63"/>
      <c r="J1060" s="31"/>
      <c r="K1060" s="31"/>
      <c r="L1060" s="32"/>
      <c r="M1060" s="32"/>
      <c r="N1060" s="32"/>
    </row>
    <row r="1061" spans="2:14" x14ac:dyDescent="0.25">
      <c r="B1061" s="42"/>
      <c r="C1061" s="30"/>
      <c r="D1061" s="30"/>
      <c r="E1061" s="30"/>
      <c r="F1061" s="30"/>
      <c r="G1061" s="30"/>
      <c r="H1061" s="47"/>
      <c r="I1061" s="63"/>
      <c r="J1061" s="31"/>
      <c r="K1061" s="31"/>
      <c r="L1061" s="32"/>
      <c r="M1061" s="32"/>
      <c r="N1061" s="32"/>
    </row>
    <row r="1062" spans="2:14" x14ac:dyDescent="0.25">
      <c r="B1062" s="42"/>
      <c r="C1062" s="30"/>
      <c r="D1062" s="30"/>
      <c r="E1062" s="30"/>
      <c r="F1062" s="30"/>
      <c r="G1062" s="30"/>
      <c r="H1062" s="47"/>
      <c r="I1062" s="63"/>
      <c r="J1062" s="31"/>
      <c r="K1062" s="31"/>
      <c r="L1062" s="32"/>
      <c r="M1062" s="32"/>
      <c r="N1062" s="32"/>
    </row>
    <row r="1063" spans="2:14" x14ac:dyDescent="0.25">
      <c r="B1063" s="42"/>
      <c r="C1063" s="30"/>
      <c r="D1063" s="30"/>
      <c r="E1063" s="30"/>
      <c r="F1063" s="30"/>
      <c r="G1063" s="30"/>
      <c r="H1063" s="47"/>
      <c r="I1063" s="63"/>
      <c r="J1063" s="31"/>
      <c r="K1063" s="31"/>
      <c r="L1063" s="32"/>
      <c r="M1063" s="32"/>
      <c r="N1063" s="32"/>
    </row>
    <row r="1064" spans="2:14" x14ac:dyDescent="0.25">
      <c r="B1064" s="42"/>
      <c r="C1064" s="30"/>
      <c r="D1064" s="30"/>
      <c r="E1064" s="30"/>
      <c r="F1064" s="30"/>
      <c r="G1064" s="30"/>
      <c r="H1064" s="47"/>
      <c r="I1064" s="63"/>
      <c r="J1064" s="31"/>
      <c r="K1064" s="31"/>
      <c r="L1064" s="32"/>
      <c r="M1064" s="32"/>
      <c r="N1064" s="32"/>
    </row>
    <row r="1065" spans="2:14" x14ac:dyDescent="0.25">
      <c r="B1065" s="42"/>
      <c r="C1065" s="30"/>
      <c r="D1065" s="30"/>
      <c r="E1065" s="30"/>
      <c r="F1065" s="30"/>
      <c r="G1065" s="30"/>
      <c r="H1065" s="47"/>
      <c r="I1065" s="63"/>
      <c r="J1065" s="31"/>
      <c r="K1065" s="31"/>
      <c r="L1065" s="32"/>
      <c r="M1065" s="32"/>
      <c r="N1065" s="32"/>
    </row>
    <row r="1066" spans="2:14" x14ac:dyDescent="0.25">
      <c r="B1066" s="42"/>
      <c r="C1066" s="30"/>
      <c r="D1066" s="30"/>
      <c r="E1066" s="30"/>
      <c r="F1066" s="30"/>
      <c r="G1066" s="30"/>
      <c r="H1066" s="47"/>
      <c r="I1066" s="63"/>
      <c r="J1066" s="31"/>
      <c r="K1066" s="31"/>
      <c r="L1066" s="32"/>
      <c r="M1066" s="32"/>
      <c r="N1066" s="32"/>
    </row>
    <row r="1067" spans="2:14" x14ac:dyDescent="0.25">
      <c r="B1067" s="42"/>
      <c r="C1067" s="30"/>
      <c r="D1067" s="30"/>
      <c r="E1067" s="30"/>
      <c r="F1067" s="30"/>
      <c r="G1067" s="30"/>
      <c r="H1067" s="47"/>
      <c r="I1067" s="63"/>
      <c r="J1067" s="31"/>
      <c r="K1067" s="31"/>
      <c r="L1067" s="32"/>
      <c r="M1067" s="32"/>
      <c r="N1067" s="32"/>
    </row>
    <row r="1068" spans="2:14" x14ac:dyDescent="0.25">
      <c r="B1068" s="42"/>
      <c r="C1068" s="30"/>
      <c r="D1068" s="30"/>
      <c r="E1068" s="30"/>
      <c r="F1068" s="30"/>
      <c r="G1068" s="30"/>
      <c r="H1068" s="47"/>
      <c r="I1068" s="63"/>
      <c r="J1068" s="31"/>
      <c r="K1068" s="31"/>
      <c r="L1068" s="32"/>
      <c r="M1068" s="32"/>
      <c r="N1068" s="32"/>
    </row>
    <row r="1069" spans="2:14" x14ac:dyDescent="0.25">
      <c r="B1069" s="42"/>
      <c r="C1069" s="30"/>
      <c r="D1069" s="30"/>
      <c r="E1069" s="30"/>
      <c r="F1069" s="30"/>
      <c r="G1069" s="30"/>
      <c r="H1069" s="47"/>
      <c r="I1069" s="63"/>
      <c r="J1069" s="31"/>
      <c r="K1069" s="31"/>
      <c r="L1069" s="32"/>
      <c r="M1069" s="32"/>
      <c r="N1069" s="32"/>
    </row>
    <row r="1070" spans="2:14" x14ac:dyDescent="0.25">
      <c r="B1070" s="42"/>
      <c r="C1070" s="30"/>
      <c r="D1070" s="30"/>
      <c r="E1070" s="30"/>
      <c r="F1070" s="30"/>
      <c r="G1070" s="30"/>
      <c r="H1070" s="47"/>
      <c r="I1070" s="63"/>
      <c r="J1070" s="31"/>
      <c r="K1070" s="31"/>
      <c r="L1070" s="32"/>
      <c r="M1070" s="32"/>
      <c r="N1070" s="32"/>
    </row>
    <row r="1071" spans="2:14" x14ac:dyDescent="0.25">
      <c r="B1071" s="42"/>
      <c r="C1071" s="30"/>
      <c r="D1071" s="30"/>
      <c r="E1071" s="30"/>
      <c r="F1071" s="30"/>
      <c r="G1071" s="30"/>
      <c r="H1071" s="47"/>
      <c r="I1071" s="63"/>
      <c r="J1071" s="31"/>
      <c r="K1071" s="31"/>
      <c r="L1071" s="32"/>
      <c r="M1071" s="32"/>
      <c r="N1071" s="32"/>
    </row>
    <row r="1072" spans="2:14" x14ac:dyDescent="0.25">
      <c r="B1072" s="42"/>
      <c r="C1072" s="30"/>
      <c r="D1072" s="30"/>
      <c r="E1072" s="30"/>
      <c r="F1072" s="30"/>
      <c r="G1072" s="30"/>
      <c r="H1072" s="47"/>
      <c r="I1072" s="63"/>
      <c r="J1072" s="31"/>
      <c r="K1072" s="31"/>
      <c r="L1072" s="32"/>
      <c r="M1072" s="32"/>
      <c r="N1072" s="32"/>
    </row>
    <row r="1073" spans="2:14" x14ac:dyDescent="0.25">
      <c r="B1073" s="42"/>
      <c r="C1073" s="30"/>
      <c r="D1073" s="30"/>
      <c r="E1073" s="30"/>
      <c r="F1073" s="30"/>
      <c r="G1073" s="30"/>
      <c r="H1073" s="47"/>
      <c r="I1073" s="63"/>
      <c r="J1073" s="31"/>
      <c r="K1073" s="31"/>
      <c r="L1073" s="32"/>
      <c r="M1073" s="32"/>
      <c r="N1073" s="32"/>
    </row>
    <row r="1074" spans="2:14" x14ac:dyDescent="0.25">
      <c r="B1074" s="42"/>
      <c r="C1074" s="30"/>
      <c r="D1074" s="30"/>
      <c r="E1074" s="30"/>
      <c r="F1074" s="30"/>
      <c r="G1074" s="30"/>
      <c r="H1074" s="47"/>
      <c r="I1074" s="63"/>
      <c r="J1074" s="31"/>
      <c r="K1074" s="31"/>
      <c r="L1074" s="32"/>
      <c r="M1074" s="32"/>
      <c r="N1074" s="32"/>
    </row>
    <row r="1075" spans="2:14" x14ac:dyDescent="0.25">
      <c r="B1075" s="42"/>
      <c r="C1075" s="30"/>
      <c r="D1075" s="30"/>
      <c r="E1075" s="30"/>
      <c r="F1075" s="30"/>
      <c r="G1075" s="30"/>
      <c r="H1075" s="47"/>
      <c r="I1075" s="63"/>
      <c r="J1075" s="31"/>
      <c r="K1075" s="31"/>
      <c r="L1075" s="32"/>
      <c r="M1075" s="32"/>
      <c r="N1075" s="32"/>
    </row>
    <row r="1076" spans="2:14" x14ac:dyDescent="0.25">
      <c r="B1076" s="42"/>
      <c r="C1076" s="30"/>
      <c r="D1076" s="30"/>
      <c r="E1076" s="30"/>
      <c r="F1076" s="30"/>
      <c r="G1076" s="30"/>
      <c r="H1076" s="47"/>
      <c r="I1076" s="63"/>
      <c r="J1076" s="31"/>
      <c r="K1076" s="31"/>
      <c r="L1076" s="32"/>
      <c r="M1076" s="32"/>
      <c r="N1076" s="32"/>
    </row>
    <row r="1077" spans="2:14" x14ac:dyDescent="0.25">
      <c r="B1077" s="42"/>
      <c r="C1077" s="30"/>
      <c r="D1077" s="30"/>
      <c r="E1077" s="30"/>
      <c r="F1077" s="30"/>
      <c r="G1077" s="30"/>
      <c r="H1077" s="47"/>
      <c r="I1077" s="63"/>
      <c r="J1077" s="31"/>
      <c r="K1077" s="31"/>
      <c r="L1077" s="32"/>
      <c r="M1077" s="32"/>
      <c r="N1077" s="32"/>
    </row>
    <row r="1078" spans="2:14" x14ac:dyDescent="0.25">
      <c r="B1078" s="42"/>
      <c r="C1078" s="30"/>
      <c r="D1078" s="30"/>
      <c r="E1078" s="30"/>
      <c r="F1078" s="30"/>
      <c r="G1078" s="30"/>
      <c r="H1078" s="47"/>
      <c r="I1078" s="63"/>
      <c r="J1078" s="31"/>
      <c r="K1078" s="31"/>
      <c r="L1078" s="32"/>
      <c r="M1078" s="32"/>
      <c r="N1078" s="32"/>
    </row>
    <row r="1079" spans="2:14" x14ac:dyDescent="0.25">
      <c r="B1079" s="42"/>
      <c r="C1079" s="30"/>
      <c r="D1079" s="30"/>
      <c r="E1079" s="30"/>
      <c r="F1079" s="30"/>
      <c r="G1079" s="30"/>
      <c r="H1079" s="47"/>
      <c r="I1079" s="63"/>
      <c r="J1079" s="31"/>
      <c r="K1079" s="31"/>
      <c r="L1079" s="32"/>
      <c r="M1079" s="32"/>
      <c r="N1079" s="32"/>
    </row>
    <row r="1080" spans="2:14" x14ac:dyDescent="0.25">
      <c r="B1080" s="42"/>
      <c r="C1080" s="30"/>
      <c r="D1080" s="30"/>
      <c r="E1080" s="30"/>
      <c r="F1080" s="30"/>
      <c r="G1080" s="30"/>
      <c r="H1080" s="47"/>
      <c r="I1080" s="63"/>
      <c r="J1080" s="31"/>
      <c r="K1080" s="31"/>
      <c r="L1080" s="32"/>
      <c r="M1080" s="32"/>
      <c r="N1080" s="32"/>
    </row>
    <row r="1081" spans="2:14" x14ac:dyDescent="0.25">
      <c r="B1081" s="42"/>
      <c r="C1081" s="30"/>
      <c r="D1081" s="30"/>
      <c r="E1081" s="30"/>
      <c r="F1081" s="30"/>
      <c r="G1081" s="30"/>
      <c r="H1081" s="47"/>
      <c r="I1081" s="63"/>
      <c r="J1081" s="31"/>
      <c r="K1081" s="31"/>
      <c r="L1081" s="32"/>
      <c r="M1081" s="32"/>
      <c r="N1081" s="32"/>
    </row>
    <row r="1082" spans="2:14" x14ac:dyDescent="0.25">
      <c r="B1082" s="42"/>
      <c r="C1082" s="30"/>
      <c r="D1082" s="30"/>
      <c r="E1082" s="30"/>
      <c r="F1082" s="30"/>
      <c r="G1082" s="30"/>
      <c r="H1082" s="47"/>
      <c r="I1082" s="63"/>
      <c r="J1082" s="31"/>
      <c r="K1082" s="31"/>
      <c r="L1082" s="32"/>
      <c r="M1082" s="32"/>
      <c r="N1082" s="32"/>
    </row>
    <row r="1083" spans="2:14" x14ac:dyDescent="0.25">
      <c r="B1083" s="42"/>
      <c r="C1083" s="30"/>
      <c r="D1083" s="30"/>
      <c r="E1083" s="30"/>
      <c r="F1083" s="30"/>
      <c r="G1083" s="30"/>
      <c r="H1083" s="47"/>
      <c r="I1083" s="63"/>
      <c r="J1083" s="31"/>
      <c r="K1083" s="31"/>
      <c r="L1083" s="32"/>
      <c r="M1083" s="32"/>
      <c r="N1083" s="32"/>
    </row>
    <row r="1084" spans="2:14" x14ac:dyDescent="0.25">
      <c r="B1084" s="42"/>
      <c r="C1084" s="30"/>
      <c r="D1084" s="30"/>
      <c r="E1084" s="30"/>
      <c r="F1084" s="30"/>
      <c r="G1084" s="30"/>
      <c r="H1084" s="47"/>
      <c r="I1084" s="63"/>
      <c r="J1084" s="31"/>
      <c r="K1084" s="31"/>
      <c r="L1084" s="32"/>
      <c r="M1084" s="32"/>
      <c r="N1084" s="32"/>
    </row>
    <row r="1085" spans="2:14" x14ac:dyDescent="0.25">
      <c r="B1085" s="42"/>
      <c r="C1085" s="30"/>
      <c r="D1085" s="30"/>
      <c r="E1085" s="30"/>
      <c r="F1085" s="30"/>
      <c r="G1085" s="30"/>
      <c r="H1085" s="47"/>
      <c r="I1085" s="63"/>
      <c r="J1085" s="31"/>
      <c r="K1085" s="31"/>
      <c r="L1085" s="32"/>
      <c r="M1085" s="32"/>
      <c r="N1085" s="32"/>
    </row>
    <row r="1086" spans="2:14" x14ac:dyDescent="0.25">
      <c r="B1086" s="42"/>
      <c r="C1086" s="30"/>
      <c r="D1086" s="30"/>
      <c r="E1086" s="30"/>
      <c r="F1086" s="30"/>
      <c r="G1086" s="30"/>
      <c r="H1086" s="47"/>
      <c r="I1086" s="63"/>
      <c r="J1086" s="31"/>
      <c r="K1086" s="31"/>
      <c r="L1086" s="32"/>
      <c r="M1086" s="32"/>
      <c r="N1086" s="32"/>
    </row>
    <row r="1087" spans="2:14" x14ac:dyDescent="0.25">
      <c r="B1087" s="42"/>
      <c r="C1087" s="30"/>
      <c r="D1087" s="30"/>
      <c r="E1087" s="30"/>
      <c r="F1087" s="30"/>
      <c r="G1087" s="30"/>
      <c r="H1087" s="47"/>
      <c r="I1087" s="63"/>
      <c r="J1087" s="31"/>
      <c r="K1087" s="31"/>
      <c r="L1087" s="32"/>
      <c r="M1087" s="32"/>
      <c r="N1087" s="32"/>
    </row>
    <row r="1088" spans="2:14" x14ac:dyDescent="0.25">
      <c r="B1088" s="42"/>
      <c r="C1088" s="30"/>
      <c r="D1088" s="30"/>
      <c r="E1088" s="30"/>
      <c r="F1088" s="30"/>
      <c r="G1088" s="30"/>
      <c r="H1088" s="47"/>
      <c r="I1088" s="63"/>
      <c r="J1088" s="31"/>
      <c r="K1088" s="31"/>
      <c r="L1088" s="32"/>
      <c r="M1088" s="32"/>
      <c r="N1088" s="32"/>
    </row>
    <row r="1089" spans="2:14" x14ac:dyDescent="0.25">
      <c r="B1089" s="42"/>
      <c r="C1089" s="30"/>
      <c r="D1089" s="30"/>
      <c r="E1089" s="30"/>
      <c r="F1089" s="30"/>
      <c r="G1089" s="30"/>
      <c r="H1089" s="47"/>
      <c r="I1089" s="63"/>
      <c r="J1089" s="31"/>
      <c r="K1089" s="31"/>
      <c r="L1089" s="32"/>
      <c r="M1089" s="32"/>
      <c r="N1089" s="32"/>
    </row>
    <row r="1090" spans="2:14" x14ac:dyDescent="0.25">
      <c r="B1090" s="42"/>
      <c r="C1090" s="30"/>
      <c r="D1090" s="30"/>
      <c r="E1090" s="30"/>
      <c r="F1090" s="30"/>
      <c r="G1090" s="30"/>
      <c r="H1090" s="47"/>
      <c r="I1090" s="63"/>
      <c r="J1090" s="31"/>
      <c r="K1090" s="31"/>
      <c r="L1090" s="32"/>
      <c r="M1090" s="32"/>
      <c r="N1090" s="32"/>
    </row>
    <row r="1091" spans="2:14" x14ac:dyDescent="0.25">
      <c r="B1091" s="42"/>
      <c r="C1091" s="30"/>
      <c r="D1091" s="30"/>
      <c r="E1091" s="30"/>
      <c r="F1091" s="30"/>
      <c r="G1091" s="30"/>
      <c r="H1091" s="47"/>
      <c r="I1091" s="63"/>
      <c r="J1091" s="31"/>
      <c r="K1091" s="31"/>
      <c r="L1091" s="32"/>
      <c r="M1091" s="32"/>
      <c r="N1091" s="32"/>
    </row>
    <row r="1092" spans="2:14" x14ac:dyDescent="0.25">
      <c r="B1092" s="42"/>
      <c r="C1092" s="30"/>
      <c r="D1092" s="30"/>
      <c r="E1092" s="30"/>
      <c r="F1092" s="30"/>
      <c r="G1092" s="30"/>
      <c r="H1092" s="47"/>
      <c r="I1092" s="63"/>
      <c r="J1092" s="31"/>
      <c r="K1092" s="31"/>
      <c r="L1092" s="32"/>
      <c r="M1092" s="32"/>
      <c r="N1092" s="32"/>
    </row>
    <row r="1093" spans="2:14" x14ac:dyDescent="0.25">
      <c r="B1093" s="42"/>
      <c r="C1093" s="30"/>
      <c r="D1093" s="30"/>
      <c r="E1093" s="30"/>
      <c r="F1093" s="30"/>
      <c r="G1093" s="30"/>
      <c r="H1093" s="47"/>
      <c r="I1093" s="63"/>
      <c r="J1093" s="31"/>
      <c r="K1093" s="31"/>
      <c r="L1093" s="32"/>
      <c r="M1093" s="32"/>
      <c r="N1093" s="32"/>
    </row>
    <row r="1094" spans="2:14" x14ac:dyDescent="0.25">
      <c r="B1094" s="42"/>
      <c r="C1094" s="30"/>
      <c r="D1094" s="30"/>
      <c r="E1094" s="30"/>
      <c r="F1094" s="30"/>
      <c r="G1094" s="30"/>
      <c r="H1094" s="47"/>
      <c r="I1094" s="63"/>
      <c r="J1094" s="31"/>
      <c r="K1094" s="31"/>
      <c r="L1094" s="32"/>
      <c r="M1094" s="32"/>
      <c r="N1094" s="32"/>
    </row>
    <row r="1095" spans="2:14" x14ac:dyDescent="0.25">
      <c r="B1095" s="42"/>
      <c r="C1095" s="30"/>
      <c r="D1095" s="30"/>
      <c r="E1095" s="30"/>
      <c r="F1095" s="30"/>
      <c r="G1095" s="30"/>
      <c r="H1095" s="47"/>
      <c r="I1095" s="63"/>
      <c r="J1095" s="31"/>
      <c r="K1095" s="31"/>
      <c r="L1095" s="32"/>
      <c r="M1095" s="32"/>
      <c r="N1095" s="32"/>
    </row>
    <row r="1096" spans="2:14" x14ac:dyDescent="0.25">
      <c r="B1096" s="42"/>
      <c r="C1096" s="30"/>
      <c r="D1096" s="30"/>
      <c r="E1096" s="30"/>
      <c r="F1096" s="30"/>
      <c r="G1096" s="30"/>
      <c r="H1096" s="47"/>
      <c r="I1096" s="63"/>
      <c r="J1096" s="31"/>
      <c r="K1096" s="31"/>
      <c r="L1096" s="32"/>
      <c r="M1096" s="32"/>
      <c r="N1096" s="32"/>
    </row>
    <row r="1097" spans="2:14" x14ac:dyDescent="0.25">
      <c r="B1097" s="42"/>
      <c r="C1097" s="30"/>
      <c r="D1097" s="30"/>
      <c r="E1097" s="30"/>
      <c r="F1097" s="30"/>
      <c r="G1097" s="30"/>
      <c r="H1097" s="47"/>
      <c r="I1097" s="63"/>
      <c r="J1097" s="31"/>
      <c r="K1097" s="31"/>
      <c r="L1097" s="32"/>
      <c r="M1097" s="32"/>
      <c r="N1097" s="32"/>
    </row>
    <row r="1098" spans="2:14" x14ac:dyDescent="0.25">
      <c r="B1098" s="42"/>
      <c r="C1098" s="30"/>
      <c r="D1098" s="30"/>
      <c r="E1098" s="30"/>
      <c r="F1098" s="30"/>
      <c r="G1098" s="30"/>
      <c r="H1098" s="47"/>
      <c r="I1098" s="63"/>
      <c r="J1098" s="31"/>
      <c r="K1098" s="31"/>
      <c r="L1098" s="32"/>
      <c r="M1098" s="32"/>
      <c r="N1098" s="32"/>
    </row>
    <row r="1099" spans="2:14" x14ac:dyDescent="0.25">
      <c r="B1099" s="42"/>
      <c r="C1099" s="30"/>
      <c r="D1099" s="30"/>
      <c r="E1099" s="30"/>
      <c r="F1099" s="30"/>
      <c r="G1099" s="30"/>
      <c r="H1099" s="47"/>
      <c r="I1099" s="63"/>
      <c r="J1099" s="31"/>
      <c r="K1099" s="31"/>
      <c r="L1099" s="32"/>
      <c r="M1099" s="32"/>
      <c r="N1099" s="32"/>
    </row>
    <row r="1100" spans="2:14" x14ac:dyDescent="0.25">
      <c r="B1100" s="42"/>
      <c r="C1100" s="30"/>
      <c r="D1100" s="30"/>
      <c r="E1100" s="30"/>
      <c r="F1100" s="30"/>
      <c r="G1100" s="30"/>
      <c r="H1100" s="47"/>
      <c r="I1100" s="63"/>
      <c r="J1100" s="31"/>
      <c r="K1100" s="31"/>
      <c r="L1100" s="32"/>
      <c r="M1100" s="32"/>
      <c r="N1100" s="32"/>
    </row>
    <row r="1101" spans="2:14" x14ac:dyDescent="0.25">
      <c r="B1101" s="42"/>
      <c r="C1101" s="30"/>
      <c r="D1101" s="30"/>
      <c r="E1101" s="30"/>
      <c r="F1101" s="30"/>
      <c r="G1101" s="30"/>
      <c r="H1101" s="47"/>
      <c r="I1101" s="63"/>
      <c r="J1101" s="31"/>
      <c r="K1101" s="31"/>
      <c r="L1101" s="32"/>
      <c r="M1101" s="32"/>
      <c r="N1101" s="32"/>
    </row>
    <row r="1102" spans="2:14" x14ac:dyDescent="0.25">
      <c r="B1102" s="42"/>
      <c r="C1102" s="30"/>
      <c r="D1102" s="30"/>
      <c r="E1102" s="30"/>
      <c r="F1102" s="30"/>
      <c r="G1102" s="30"/>
      <c r="H1102" s="47"/>
      <c r="I1102" s="63"/>
      <c r="J1102" s="31"/>
      <c r="K1102" s="31"/>
      <c r="L1102" s="32"/>
      <c r="M1102" s="32"/>
      <c r="N1102" s="32"/>
    </row>
    <row r="1103" spans="2:14" x14ac:dyDescent="0.25">
      <c r="B1103" s="42"/>
      <c r="C1103" s="30"/>
      <c r="D1103" s="30"/>
      <c r="E1103" s="30"/>
      <c r="F1103" s="30"/>
      <c r="G1103" s="30"/>
      <c r="H1103" s="47"/>
      <c r="I1103" s="63"/>
      <c r="J1103" s="31"/>
      <c r="K1103" s="31"/>
      <c r="L1103" s="32"/>
      <c r="M1103" s="32"/>
      <c r="N1103" s="32"/>
    </row>
    <row r="1104" spans="2:14" x14ac:dyDescent="0.25">
      <c r="B1104" s="42"/>
      <c r="C1104" s="30"/>
      <c r="D1104" s="30"/>
      <c r="E1104" s="30"/>
      <c r="F1104" s="30"/>
      <c r="G1104" s="30"/>
      <c r="H1104" s="47"/>
      <c r="I1104" s="63"/>
      <c r="J1104" s="31"/>
      <c r="K1104" s="31"/>
      <c r="L1104" s="32"/>
      <c r="M1104" s="32"/>
      <c r="N1104" s="32"/>
    </row>
    <row r="1105" spans="2:14" x14ac:dyDescent="0.25">
      <c r="B1105" s="42"/>
      <c r="C1105" s="30"/>
      <c r="D1105" s="30"/>
      <c r="E1105" s="30"/>
      <c r="F1105" s="30"/>
      <c r="G1105" s="30"/>
      <c r="H1105" s="47"/>
      <c r="I1105" s="63"/>
      <c r="J1105" s="31"/>
      <c r="K1105" s="31"/>
      <c r="L1105" s="32"/>
      <c r="M1105" s="32"/>
      <c r="N1105" s="32"/>
    </row>
    <row r="1106" spans="2:14" x14ac:dyDescent="0.25">
      <c r="B1106" s="42"/>
      <c r="C1106" s="30"/>
      <c r="D1106" s="30"/>
      <c r="E1106" s="30"/>
      <c r="F1106" s="30"/>
      <c r="G1106" s="30"/>
      <c r="H1106" s="47"/>
      <c r="I1106" s="63"/>
      <c r="J1106" s="31"/>
      <c r="K1106" s="31"/>
      <c r="L1106" s="32"/>
      <c r="M1106" s="32"/>
      <c r="N1106" s="32"/>
    </row>
    <row r="1107" spans="2:14" x14ac:dyDescent="0.25">
      <c r="B1107" s="42"/>
      <c r="C1107" s="30"/>
      <c r="D1107" s="30"/>
      <c r="E1107" s="30"/>
      <c r="F1107" s="30"/>
      <c r="G1107" s="30"/>
      <c r="H1107" s="47"/>
      <c r="I1107" s="63"/>
      <c r="J1107" s="31"/>
      <c r="K1107" s="31"/>
      <c r="L1107" s="32"/>
      <c r="M1107" s="32"/>
      <c r="N1107" s="32"/>
    </row>
    <row r="1108" spans="2:14" x14ac:dyDescent="0.25">
      <c r="B1108" s="42"/>
      <c r="C1108" s="30"/>
      <c r="D1108" s="30"/>
      <c r="E1108" s="30"/>
      <c r="F1108" s="30"/>
      <c r="G1108" s="30"/>
      <c r="H1108" s="47"/>
      <c r="I1108" s="63"/>
      <c r="J1108" s="31"/>
      <c r="K1108" s="31"/>
      <c r="L1108" s="32"/>
      <c r="M1108" s="32"/>
      <c r="N1108" s="32"/>
    </row>
    <row r="1109" spans="2:14" x14ac:dyDescent="0.25">
      <c r="B1109" s="42"/>
      <c r="C1109" s="30"/>
      <c r="D1109" s="30"/>
      <c r="E1109" s="30"/>
      <c r="F1109" s="30"/>
      <c r="G1109" s="30"/>
      <c r="H1109" s="47"/>
      <c r="I1109" s="63"/>
      <c r="J1109" s="31"/>
      <c r="K1109" s="31"/>
      <c r="L1109" s="32"/>
      <c r="M1109" s="32"/>
      <c r="N1109" s="32"/>
    </row>
    <row r="1110" spans="2:14" x14ac:dyDescent="0.25">
      <c r="B1110" s="42"/>
      <c r="C1110" s="30"/>
      <c r="D1110" s="30"/>
      <c r="E1110" s="30"/>
      <c r="F1110" s="30"/>
      <c r="G1110" s="30"/>
      <c r="H1110" s="47"/>
      <c r="I1110" s="63"/>
      <c r="J1110" s="31"/>
      <c r="K1110" s="31"/>
      <c r="L1110" s="32"/>
      <c r="M1110" s="32"/>
      <c r="N1110" s="32"/>
    </row>
    <row r="1111" spans="2:14" x14ac:dyDescent="0.25">
      <c r="B1111" s="42"/>
      <c r="C1111" s="30"/>
      <c r="D1111" s="30"/>
      <c r="E1111" s="30"/>
      <c r="F1111" s="30"/>
      <c r="G1111" s="30"/>
      <c r="H1111" s="47"/>
      <c r="I1111" s="63"/>
      <c r="J1111" s="31"/>
      <c r="K1111" s="31"/>
      <c r="L1111" s="32"/>
      <c r="M1111" s="32"/>
      <c r="N1111" s="32"/>
    </row>
    <row r="1112" spans="2:14" x14ac:dyDescent="0.25">
      <c r="B1112" s="42"/>
      <c r="C1112" s="30"/>
      <c r="D1112" s="30"/>
      <c r="E1112" s="30"/>
      <c r="F1112" s="30"/>
      <c r="G1112" s="30"/>
      <c r="H1112" s="47"/>
      <c r="I1112" s="63"/>
      <c r="J1112" s="31"/>
      <c r="K1112" s="31"/>
      <c r="L1112" s="32"/>
      <c r="M1112" s="32"/>
      <c r="N1112" s="32"/>
    </row>
    <row r="1113" spans="2:14" x14ac:dyDescent="0.25">
      <c r="B1113" s="42"/>
      <c r="C1113" s="30"/>
      <c r="D1113" s="30"/>
      <c r="E1113" s="30"/>
      <c r="F1113" s="30"/>
      <c r="G1113" s="30"/>
      <c r="H1113" s="47"/>
      <c r="I1113" s="63"/>
      <c r="J1113" s="31"/>
      <c r="K1113" s="31"/>
      <c r="L1113" s="32"/>
      <c r="M1113" s="32"/>
      <c r="N1113" s="32"/>
    </row>
    <row r="1114" spans="2:14" x14ac:dyDescent="0.25">
      <c r="B1114" s="42"/>
      <c r="C1114" s="30"/>
      <c r="D1114" s="30"/>
      <c r="E1114" s="30"/>
      <c r="F1114" s="30"/>
      <c r="G1114" s="30"/>
      <c r="H1114" s="47"/>
      <c r="I1114" s="63"/>
      <c r="J1114" s="31"/>
      <c r="K1114" s="31"/>
      <c r="L1114" s="32"/>
      <c r="M1114" s="32"/>
      <c r="N1114" s="32"/>
    </row>
    <row r="1115" spans="2:14" x14ac:dyDescent="0.25">
      <c r="B1115" s="42"/>
      <c r="C1115" s="30"/>
      <c r="D1115" s="30"/>
      <c r="E1115" s="30"/>
      <c r="F1115" s="30"/>
      <c r="G1115" s="30"/>
      <c r="H1115" s="47"/>
      <c r="I1115" s="63"/>
      <c r="J1115" s="31"/>
      <c r="K1115" s="31"/>
      <c r="L1115" s="32"/>
      <c r="M1115" s="32"/>
      <c r="N1115" s="32"/>
    </row>
    <row r="1116" spans="2:14" x14ac:dyDescent="0.25">
      <c r="B1116" s="42"/>
      <c r="C1116" s="30"/>
      <c r="D1116" s="30"/>
      <c r="E1116" s="30"/>
      <c r="F1116" s="30"/>
      <c r="G1116" s="30"/>
      <c r="H1116" s="47"/>
      <c r="I1116" s="63"/>
      <c r="J1116" s="31"/>
      <c r="K1116" s="31"/>
      <c r="L1116" s="32"/>
      <c r="M1116" s="32"/>
      <c r="N1116" s="32"/>
    </row>
    <row r="1117" spans="2:14" x14ac:dyDescent="0.25">
      <c r="B1117" s="42"/>
      <c r="C1117" s="30"/>
      <c r="D1117" s="30"/>
      <c r="E1117" s="30"/>
      <c r="F1117" s="30"/>
      <c r="G1117" s="30"/>
      <c r="H1117" s="47"/>
      <c r="I1117" s="63"/>
      <c r="J1117" s="31"/>
      <c r="K1117" s="31"/>
      <c r="L1117" s="32"/>
      <c r="M1117" s="32"/>
      <c r="N1117" s="32"/>
    </row>
    <row r="1118" spans="2:14" x14ac:dyDescent="0.25">
      <c r="B1118" s="42"/>
      <c r="C1118" s="30"/>
      <c r="D1118" s="30"/>
      <c r="E1118" s="30"/>
      <c r="F1118" s="30"/>
      <c r="G1118" s="30"/>
      <c r="H1118" s="47"/>
      <c r="I1118" s="63"/>
      <c r="J1118" s="31"/>
      <c r="K1118" s="31"/>
      <c r="L1118" s="32"/>
      <c r="M1118" s="32"/>
      <c r="N1118" s="32"/>
    </row>
    <row r="1119" spans="2:14" x14ac:dyDescent="0.25">
      <c r="B1119" s="42"/>
      <c r="C1119" s="30"/>
      <c r="D1119" s="30"/>
      <c r="E1119" s="30"/>
      <c r="F1119" s="30"/>
      <c r="G1119" s="30"/>
      <c r="H1119" s="47"/>
      <c r="I1119" s="63"/>
      <c r="J1119" s="31"/>
      <c r="K1119" s="31"/>
      <c r="L1119" s="32"/>
      <c r="M1119" s="32"/>
      <c r="N1119" s="32"/>
    </row>
    <row r="1120" spans="2:14" x14ac:dyDescent="0.25">
      <c r="B1120" s="42"/>
      <c r="C1120" s="30"/>
      <c r="D1120" s="30"/>
      <c r="E1120" s="30"/>
      <c r="F1120" s="30"/>
      <c r="G1120" s="30"/>
      <c r="H1120" s="47"/>
      <c r="I1120" s="63"/>
      <c r="J1120" s="31"/>
      <c r="K1120" s="31"/>
      <c r="L1120" s="32"/>
      <c r="M1120" s="32"/>
      <c r="N1120" s="32"/>
    </row>
    <row r="1121" spans="2:14" x14ac:dyDescent="0.25">
      <c r="B1121" s="42"/>
      <c r="C1121" s="30"/>
      <c r="D1121" s="30"/>
      <c r="E1121" s="30"/>
      <c r="F1121" s="30"/>
      <c r="G1121" s="30"/>
      <c r="H1121" s="47"/>
      <c r="I1121" s="63"/>
      <c r="J1121" s="31"/>
      <c r="K1121" s="31"/>
      <c r="L1121" s="32"/>
      <c r="M1121" s="32"/>
      <c r="N1121" s="32"/>
    </row>
    <row r="1122" spans="2:14" x14ac:dyDescent="0.25">
      <c r="B1122" s="42"/>
      <c r="C1122" s="30"/>
      <c r="D1122" s="30"/>
      <c r="E1122" s="30"/>
      <c r="F1122" s="30"/>
      <c r="G1122" s="30"/>
      <c r="H1122" s="47"/>
      <c r="I1122" s="63"/>
      <c r="J1122" s="31"/>
      <c r="K1122" s="31"/>
      <c r="L1122" s="32"/>
      <c r="M1122" s="32"/>
      <c r="N1122" s="32"/>
    </row>
    <row r="1123" spans="2:14" x14ac:dyDescent="0.25">
      <c r="B1123" s="42"/>
      <c r="C1123" s="30"/>
      <c r="D1123" s="30"/>
      <c r="E1123" s="30"/>
      <c r="F1123" s="30"/>
      <c r="G1123" s="30"/>
      <c r="H1123" s="47"/>
      <c r="I1123" s="63"/>
      <c r="J1123" s="31"/>
      <c r="K1123" s="31"/>
      <c r="L1123" s="32"/>
      <c r="M1123" s="32"/>
      <c r="N1123" s="32"/>
    </row>
    <row r="1124" spans="2:14" x14ac:dyDescent="0.25">
      <c r="B1124" s="42"/>
      <c r="C1124" s="30"/>
      <c r="D1124" s="30"/>
      <c r="E1124" s="30"/>
      <c r="F1124" s="30"/>
      <c r="G1124" s="30"/>
      <c r="H1124" s="47"/>
      <c r="I1124" s="63"/>
      <c r="J1124" s="31"/>
      <c r="K1124" s="31"/>
      <c r="L1124" s="32"/>
      <c r="M1124" s="32"/>
      <c r="N1124" s="32"/>
    </row>
    <row r="1125" spans="2:14" x14ac:dyDescent="0.25">
      <c r="B1125" s="42"/>
      <c r="C1125" s="30"/>
      <c r="D1125" s="30"/>
      <c r="E1125" s="30"/>
      <c r="F1125" s="30"/>
      <c r="G1125" s="30"/>
      <c r="H1125" s="47"/>
      <c r="I1125" s="63"/>
      <c r="J1125" s="31"/>
      <c r="K1125" s="31"/>
      <c r="L1125" s="32"/>
      <c r="M1125" s="32"/>
      <c r="N1125" s="32"/>
    </row>
    <row r="1126" spans="2:14" x14ac:dyDescent="0.25">
      <c r="B1126" s="42"/>
      <c r="C1126" s="30"/>
      <c r="D1126" s="30"/>
      <c r="E1126" s="30"/>
      <c r="F1126" s="30"/>
      <c r="G1126" s="30"/>
      <c r="H1126" s="47"/>
      <c r="I1126" s="63"/>
      <c r="J1126" s="31"/>
      <c r="K1126" s="31"/>
      <c r="L1126" s="32"/>
      <c r="M1126" s="32"/>
      <c r="N1126" s="32"/>
    </row>
    <row r="1127" spans="2:14" x14ac:dyDescent="0.25">
      <c r="B1127" s="42"/>
      <c r="C1127" s="30"/>
      <c r="D1127" s="30"/>
      <c r="E1127" s="30"/>
      <c r="F1127" s="30"/>
      <c r="G1127" s="30"/>
      <c r="H1127" s="47"/>
      <c r="I1127" s="63"/>
      <c r="J1127" s="31"/>
      <c r="K1127" s="31"/>
      <c r="L1127" s="32"/>
      <c r="M1127" s="32"/>
      <c r="N1127" s="32"/>
    </row>
    <row r="1128" spans="2:14" x14ac:dyDescent="0.25">
      <c r="B1128" s="42"/>
      <c r="C1128" s="30"/>
      <c r="D1128" s="30"/>
      <c r="E1128" s="30"/>
      <c r="F1128" s="30"/>
      <c r="G1128" s="30"/>
      <c r="H1128" s="47"/>
      <c r="I1128" s="63"/>
      <c r="J1128" s="31"/>
      <c r="K1128" s="31"/>
      <c r="L1128" s="32"/>
      <c r="M1128" s="32"/>
      <c r="N1128" s="32"/>
    </row>
    <row r="1129" spans="2:14" x14ac:dyDescent="0.25">
      <c r="B1129" s="42"/>
      <c r="C1129" s="30"/>
      <c r="D1129" s="30"/>
      <c r="E1129" s="30"/>
      <c r="F1129" s="30"/>
      <c r="G1129" s="30"/>
      <c r="H1129" s="47"/>
      <c r="I1129" s="63"/>
      <c r="J1129" s="31"/>
      <c r="K1129" s="31"/>
      <c r="L1129" s="32"/>
      <c r="M1129" s="32"/>
      <c r="N1129" s="32"/>
    </row>
    <row r="1130" spans="2:14" x14ac:dyDescent="0.25">
      <c r="B1130" s="42"/>
      <c r="C1130" s="30"/>
      <c r="D1130" s="30"/>
      <c r="E1130" s="30"/>
      <c r="F1130" s="30"/>
      <c r="G1130" s="30"/>
      <c r="H1130" s="47"/>
      <c r="I1130" s="63"/>
      <c r="J1130" s="31"/>
      <c r="K1130" s="31"/>
      <c r="L1130" s="32"/>
      <c r="M1130" s="32"/>
      <c r="N1130" s="32"/>
    </row>
    <row r="1131" spans="2:14" x14ac:dyDescent="0.25">
      <c r="B1131" s="42"/>
      <c r="C1131" s="30"/>
      <c r="D1131" s="30"/>
      <c r="E1131" s="30"/>
      <c r="F1131" s="30"/>
      <c r="G1131" s="30"/>
      <c r="H1131" s="47"/>
      <c r="I1131" s="63"/>
      <c r="J1131" s="31"/>
      <c r="K1131" s="31"/>
      <c r="L1131" s="32"/>
      <c r="M1131" s="32"/>
      <c r="N1131" s="32"/>
    </row>
    <row r="1132" spans="2:14" x14ac:dyDescent="0.25">
      <c r="B1132" s="42"/>
      <c r="C1132" s="30"/>
      <c r="D1132" s="30"/>
      <c r="E1132" s="30"/>
      <c r="F1132" s="30"/>
      <c r="G1132" s="30"/>
      <c r="H1132" s="47"/>
      <c r="I1132" s="63"/>
      <c r="J1132" s="31"/>
      <c r="K1132" s="31"/>
      <c r="L1132" s="32"/>
      <c r="M1132" s="32"/>
      <c r="N1132" s="32"/>
    </row>
    <row r="1133" spans="2:14" x14ac:dyDescent="0.25">
      <c r="B1133" s="42"/>
      <c r="C1133" s="30"/>
      <c r="D1133" s="30"/>
      <c r="E1133" s="30"/>
      <c r="F1133" s="30"/>
      <c r="G1133" s="30"/>
      <c r="H1133" s="47"/>
      <c r="I1133" s="63"/>
      <c r="J1133" s="31"/>
      <c r="K1133" s="31"/>
      <c r="L1133" s="32"/>
      <c r="M1133" s="32"/>
      <c r="N1133" s="32"/>
    </row>
    <row r="1134" spans="2:14" x14ac:dyDescent="0.25">
      <c r="B1134" s="42"/>
      <c r="C1134" s="30"/>
      <c r="D1134" s="30"/>
      <c r="E1134" s="30"/>
      <c r="F1134" s="30"/>
      <c r="G1134" s="30"/>
      <c r="H1134" s="47"/>
      <c r="I1134" s="63"/>
      <c r="J1134" s="31"/>
      <c r="K1134" s="31"/>
      <c r="L1134" s="32"/>
      <c r="M1134" s="32"/>
      <c r="N1134" s="32"/>
    </row>
    <row r="1135" spans="2:14" x14ac:dyDescent="0.25">
      <c r="B1135" s="42"/>
      <c r="C1135" s="30"/>
      <c r="D1135" s="30"/>
      <c r="E1135" s="30"/>
      <c r="F1135" s="30"/>
      <c r="G1135" s="30"/>
      <c r="H1135" s="47"/>
      <c r="I1135" s="63"/>
      <c r="J1135" s="31"/>
      <c r="K1135" s="31"/>
      <c r="L1135" s="32"/>
      <c r="M1135" s="32"/>
      <c r="N1135" s="32"/>
    </row>
    <row r="1136" spans="2:14" x14ac:dyDescent="0.25">
      <c r="B1136" s="42"/>
      <c r="C1136" s="30"/>
      <c r="D1136" s="30"/>
      <c r="E1136" s="30"/>
      <c r="F1136" s="30"/>
      <c r="G1136" s="30"/>
      <c r="H1136" s="47"/>
      <c r="I1136" s="63"/>
      <c r="J1136" s="31"/>
      <c r="K1136" s="31"/>
      <c r="L1136" s="32"/>
      <c r="M1136" s="32"/>
      <c r="N1136" s="32"/>
    </row>
    <row r="1137" spans="2:14" x14ac:dyDescent="0.25">
      <c r="B1137" s="42"/>
      <c r="C1137" s="30"/>
      <c r="D1137" s="30"/>
      <c r="E1137" s="30"/>
      <c r="F1137" s="30"/>
      <c r="G1137" s="30"/>
      <c r="H1137" s="47"/>
      <c r="I1137" s="63"/>
      <c r="J1137" s="31"/>
      <c r="K1137" s="31"/>
      <c r="L1137" s="32"/>
      <c r="M1137" s="32"/>
      <c r="N1137" s="32"/>
    </row>
    <row r="1138" spans="2:14" x14ac:dyDescent="0.25">
      <c r="B1138" s="42"/>
      <c r="C1138" s="30"/>
      <c r="D1138" s="30"/>
      <c r="E1138" s="30"/>
      <c r="F1138" s="30"/>
      <c r="G1138" s="30"/>
      <c r="H1138" s="47"/>
      <c r="I1138" s="63"/>
      <c r="J1138" s="31"/>
      <c r="K1138" s="31"/>
      <c r="L1138" s="32"/>
      <c r="M1138" s="32"/>
      <c r="N1138" s="32"/>
    </row>
    <row r="1139" spans="2:14" x14ac:dyDescent="0.25">
      <c r="B1139" s="42"/>
      <c r="C1139" s="30"/>
      <c r="D1139" s="30"/>
      <c r="E1139" s="30"/>
      <c r="F1139" s="30"/>
      <c r="G1139" s="30"/>
      <c r="H1139" s="47"/>
      <c r="I1139" s="63"/>
      <c r="J1139" s="31"/>
      <c r="K1139" s="31"/>
      <c r="L1139" s="32"/>
      <c r="M1139" s="32"/>
      <c r="N1139" s="32"/>
    </row>
    <row r="1140" spans="2:14" x14ac:dyDescent="0.25">
      <c r="B1140" s="42"/>
      <c r="C1140" s="30"/>
      <c r="D1140" s="30"/>
      <c r="E1140" s="30"/>
      <c r="F1140" s="30"/>
      <c r="G1140" s="30"/>
      <c r="H1140" s="47"/>
      <c r="I1140" s="63"/>
      <c r="J1140" s="31"/>
      <c r="K1140" s="31"/>
      <c r="L1140" s="32"/>
      <c r="M1140" s="32"/>
      <c r="N1140" s="32"/>
    </row>
    <row r="1141" spans="2:14" x14ac:dyDescent="0.25">
      <c r="B1141" s="42"/>
      <c r="C1141" s="30"/>
      <c r="D1141" s="30"/>
      <c r="E1141" s="30"/>
      <c r="F1141" s="30"/>
      <c r="G1141" s="30"/>
      <c r="H1141" s="47"/>
      <c r="I1141" s="63"/>
      <c r="J1141" s="31"/>
      <c r="K1141" s="31"/>
      <c r="L1141" s="32"/>
      <c r="M1141" s="32"/>
      <c r="N1141" s="32"/>
    </row>
    <row r="1142" spans="2:14" x14ac:dyDescent="0.25">
      <c r="B1142" s="42"/>
      <c r="C1142" s="30"/>
      <c r="D1142" s="30"/>
      <c r="E1142" s="30"/>
      <c r="F1142" s="30"/>
      <c r="G1142" s="30"/>
      <c r="H1142" s="47"/>
      <c r="I1142" s="63"/>
      <c r="J1142" s="31"/>
      <c r="K1142" s="31"/>
      <c r="L1142" s="32"/>
      <c r="M1142" s="32"/>
      <c r="N1142" s="32"/>
    </row>
    <row r="1143" spans="2:14" x14ac:dyDescent="0.25">
      <c r="B1143" s="42"/>
      <c r="C1143" s="30"/>
      <c r="D1143" s="30"/>
      <c r="E1143" s="30"/>
      <c r="F1143" s="30"/>
      <c r="G1143" s="30"/>
      <c r="H1143" s="47"/>
      <c r="I1143" s="63"/>
      <c r="J1143" s="31"/>
      <c r="K1143" s="31"/>
      <c r="L1143" s="32"/>
      <c r="M1143" s="32"/>
      <c r="N1143" s="32"/>
    </row>
    <row r="1144" spans="2:14" x14ac:dyDescent="0.25">
      <c r="B1144" s="42"/>
      <c r="C1144" s="30"/>
      <c r="D1144" s="30"/>
      <c r="E1144" s="30"/>
      <c r="F1144" s="30"/>
      <c r="G1144" s="30"/>
      <c r="H1144" s="47"/>
      <c r="I1144" s="63"/>
      <c r="J1144" s="31"/>
      <c r="K1144" s="31"/>
      <c r="L1144" s="32"/>
      <c r="M1144" s="32"/>
      <c r="N1144" s="32"/>
    </row>
    <row r="1145" spans="2:14" x14ac:dyDescent="0.25">
      <c r="B1145" s="42"/>
      <c r="C1145" s="30"/>
      <c r="D1145" s="30"/>
      <c r="E1145" s="30"/>
      <c r="F1145" s="30"/>
      <c r="G1145" s="30"/>
      <c r="H1145" s="47"/>
      <c r="I1145" s="63"/>
      <c r="J1145" s="31"/>
      <c r="K1145" s="31"/>
      <c r="L1145" s="32"/>
      <c r="M1145" s="32"/>
      <c r="N1145" s="32"/>
    </row>
    <row r="1146" spans="2:14" x14ac:dyDescent="0.25">
      <c r="B1146" s="42"/>
      <c r="C1146" s="30"/>
      <c r="D1146" s="30"/>
      <c r="E1146" s="30"/>
      <c r="F1146" s="30"/>
      <c r="G1146" s="30"/>
      <c r="H1146" s="47"/>
      <c r="I1146" s="63"/>
      <c r="J1146" s="31"/>
      <c r="K1146" s="31"/>
      <c r="L1146" s="32"/>
      <c r="M1146" s="32"/>
      <c r="N1146" s="32"/>
    </row>
    <row r="1147" spans="2:14" x14ac:dyDescent="0.25">
      <c r="B1147" s="42"/>
      <c r="C1147" s="30"/>
      <c r="D1147" s="30"/>
      <c r="E1147" s="30"/>
      <c r="F1147" s="30"/>
      <c r="G1147" s="30"/>
      <c r="H1147" s="47"/>
      <c r="I1147" s="63"/>
      <c r="J1147" s="31"/>
      <c r="K1147" s="31"/>
      <c r="L1147" s="32"/>
      <c r="M1147" s="32"/>
      <c r="N1147" s="32"/>
    </row>
    <row r="1148" spans="2:14" x14ac:dyDescent="0.25">
      <c r="B1148" s="42"/>
      <c r="C1148" s="30"/>
      <c r="D1148" s="30"/>
      <c r="E1148" s="30"/>
      <c r="F1148" s="30"/>
      <c r="G1148" s="30"/>
      <c r="H1148" s="47"/>
      <c r="I1148" s="63"/>
      <c r="J1148" s="31"/>
      <c r="K1148" s="31"/>
      <c r="L1148" s="32"/>
      <c r="M1148" s="32"/>
      <c r="N1148" s="32"/>
    </row>
    <row r="1149" spans="2:14" x14ac:dyDescent="0.25">
      <c r="B1149" s="42"/>
      <c r="C1149" s="30"/>
      <c r="D1149" s="30"/>
      <c r="E1149" s="30"/>
      <c r="F1149" s="30"/>
      <c r="G1149" s="30"/>
      <c r="H1149" s="47"/>
      <c r="I1149" s="63"/>
      <c r="J1149" s="31"/>
      <c r="K1149" s="31"/>
      <c r="L1149" s="32"/>
      <c r="M1149" s="32"/>
      <c r="N1149" s="32"/>
    </row>
    <row r="1150" spans="2:14" x14ac:dyDescent="0.25">
      <c r="B1150" s="42"/>
      <c r="C1150" s="30"/>
      <c r="D1150" s="30"/>
      <c r="E1150" s="30"/>
      <c r="F1150" s="30"/>
      <c r="G1150" s="30"/>
      <c r="H1150" s="47"/>
      <c r="I1150" s="63"/>
      <c r="J1150" s="31"/>
      <c r="K1150" s="31"/>
      <c r="L1150" s="32"/>
      <c r="M1150" s="32"/>
      <c r="N1150" s="32"/>
    </row>
    <row r="1151" spans="2:14" x14ac:dyDescent="0.25">
      <c r="B1151" s="42"/>
      <c r="C1151" s="30"/>
      <c r="D1151" s="30"/>
      <c r="E1151" s="30"/>
      <c r="F1151" s="30"/>
      <c r="G1151" s="30"/>
      <c r="H1151" s="47"/>
      <c r="I1151" s="63"/>
      <c r="J1151" s="31"/>
      <c r="K1151" s="31"/>
      <c r="L1151" s="32"/>
      <c r="M1151" s="32"/>
      <c r="N1151" s="32"/>
    </row>
    <row r="1152" spans="2:14" x14ac:dyDescent="0.25">
      <c r="B1152" s="42"/>
      <c r="C1152" s="30"/>
      <c r="D1152" s="30"/>
      <c r="E1152" s="30"/>
      <c r="F1152" s="30"/>
      <c r="G1152" s="30"/>
      <c r="H1152" s="47"/>
      <c r="I1152" s="63"/>
      <c r="J1152" s="31"/>
      <c r="K1152" s="31"/>
      <c r="L1152" s="32"/>
      <c r="M1152" s="32"/>
      <c r="N1152" s="32"/>
    </row>
    <row r="1153" spans="2:14" x14ac:dyDescent="0.25">
      <c r="B1153" s="42"/>
      <c r="C1153" s="30"/>
      <c r="D1153" s="30"/>
      <c r="E1153" s="30"/>
      <c r="F1153" s="30"/>
      <c r="G1153" s="30"/>
      <c r="H1153" s="47"/>
      <c r="I1153" s="63"/>
      <c r="J1153" s="31"/>
      <c r="K1153" s="31"/>
      <c r="L1153" s="32"/>
      <c r="M1153" s="32"/>
      <c r="N1153" s="32"/>
    </row>
    <row r="1154" spans="2:14" x14ac:dyDescent="0.25">
      <c r="B1154" s="42"/>
      <c r="C1154" s="30"/>
      <c r="D1154" s="30"/>
      <c r="E1154" s="30"/>
      <c r="F1154" s="30"/>
      <c r="G1154" s="30"/>
      <c r="H1154" s="47"/>
      <c r="I1154" s="63"/>
      <c r="J1154" s="31"/>
      <c r="K1154" s="31"/>
      <c r="L1154" s="32"/>
      <c r="M1154" s="32"/>
      <c r="N1154" s="32"/>
    </row>
    <row r="1155" spans="2:14" x14ac:dyDescent="0.25">
      <c r="B1155" s="42"/>
      <c r="C1155" s="30"/>
      <c r="D1155" s="30"/>
      <c r="E1155" s="30"/>
      <c r="F1155" s="30"/>
      <c r="G1155" s="30"/>
      <c r="H1155" s="47"/>
      <c r="I1155" s="63"/>
      <c r="J1155" s="31"/>
      <c r="K1155" s="31"/>
      <c r="L1155" s="32"/>
      <c r="M1155" s="32"/>
      <c r="N1155" s="32"/>
    </row>
    <row r="1156" spans="2:14" x14ac:dyDescent="0.25">
      <c r="B1156" s="42"/>
      <c r="C1156" s="30"/>
      <c r="D1156" s="30"/>
      <c r="E1156" s="30"/>
      <c r="F1156" s="30"/>
      <c r="G1156" s="30"/>
      <c r="H1156" s="47"/>
      <c r="I1156" s="63"/>
      <c r="J1156" s="31"/>
      <c r="K1156" s="31"/>
      <c r="L1156" s="32"/>
      <c r="M1156" s="32"/>
      <c r="N1156" s="32"/>
    </row>
    <row r="1157" spans="2:14" x14ac:dyDescent="0.25">
      <c r="B1157" s="42"/>
      <c r="C1157" s="30"/>
      <c r="D1157" s="30"/>
      <c r="E1157" s="30"/>
      <c r="F1157" s="30"/>
      <c r="G1157" s="30"/>
      <c r="H1157" s="47"/>
      <c r="I1157" s="63"/>
      <c r="J1157" s="31"/>
      <c r="K1157" s="31"/>
      <c r="L1157" s="32"/>
      <c r="M1157" s="32"/>
      <c r="N1157" s="32"/>
    </row>
    <row r="1158" spans="2:14" x14ac:dyDescent="0.25">
      <c r="B1158" s="42"/>
      <c r="C1158" s="30"/>
      <c r="D1158" s="30"/>
      <c r="E1158" s="30"/>
      <c r="F1158" s="30"/>
      <c r="G1158" s="30"/>
      <c r="H1158" s="47"/>
      <c r="I1158" s="63"/>
      <c r="J1158" s="31"/>
      <c r="K1158" s="31"/>
      <c r="L1158" s="32"/>
      <c r="M1158" s="32"/>
      <c r="N1158" s="32"/>
    </row>
    <row r="1159" spans="2:14" x14ac:dyDescent="0.25">
      <c r="B1159" s="42"/>
      <c r="C1159" s="30"/>
      <c r="D1159" s="30"/>
      <c r="E1159" s="30"/>
      <c r="F1159" s="30"/>
      <c r="G1159" s="30"/>
      <c r="H1159" s="47"/>
      <c r="I1159" s="63"/>
      <c r="J1159" s="31"/>
      <c r="K1159" s="31"/>
      <c r="L1159" s="32"/>
      <c r="M1159" s="32"/>
      <c r="N1159" s="32"/>
    </row>
    <row r="1160" spans="2:14" x14ac:dyDescent="0.25">
      <c r="B1160" s="42"/>
      <c r="C1160" s="30"/>
      <c r="D1160" s="30"/>
      <c r="E1160" s="30"/>
      <c r="F1160" s="30"/>
      <c r="G1160" s="30"/>
      <c r="H1160" s="47"/>
      <c r="I1160" s="63"/>
      <c r="J1160" s="31"/>
      <c r="K1160" s="31"/>
      <c r="L1160" s="32"/>
      <c r="M1160" s="32"/>
      <c r="N1160" s="32"/>
    </row>
    <row r="1161" spans="2:14" x14ac:dyDescent="0.25">
      <c r="B1161" s="42"/>
      <c r="C1161" s="30"/>
      <c r="D1161" s="30"/>
      <c r="E1161" s="30"/>
      <c r="F1161" s="30"/>
      <c r="G1161" s="30"/>
      <c r="H1161" s="47"/>
      <c r="I1161" s="63"/>
      <c r="J1161" s="31"/>
      <c r="K1161" s="31"/>
      <c r="L1161" s="32"/>
      <c r="M1161" s="32"/>
      <c r="N1161" s="32"/>
    </row>
    <row r="1162" spans="2:14" x14ac:dyDescent="0.25">
      <c r="B1162" s="42"/>
      <c r="C1162" s="30"/>
      <c r="D1162" s="30"/>
      <c r="E1162" s="30"/>
      <c r="F1162" s="30"/>
      <c r="G1162" s="30"/>
      <c r="H1162" s="47"/>
      <c r="I1162" s="63"/>
      <c r="J1162" s="31"/>
      <c r="K1162" s="31"/>
      <c r="L1162" s="32"/>
      <c r="M1162" s="32"/>
      <c r="N1162" s="32"/>
    </row>
    <row r="1163" spans="2:14" x14ac:dyDescent="0.25">
      <c r="B1163" s="42"/>
      <c r="C1163" s="30"/>
      <c r="D1163" s="30"/>
      <c r="E1163" s="30"/>
      <c r="F1163" s="30"/>
      <c r="G1163" s="30"/>
      <c r="H1163" s="47"/>
      <c r="I1163" s="63"/>
      <c r="J1163" s="31"/>
      <c r="K1163" s="31"/>
      <c r="L1163" s="32"/>
      <c r="M1163" s="32"/>
      <c r="N1163" s="32"/>
    </row>
    <row r="1164" spans="2:14" x14ac:dyDescent="0.25">
      <c r="B1164" s="42"/>
      <c r="C1164" s="30"/>
      <c r="D1164" s="30"/>
      <c r="E1164" s="30"/>
      <c r="F1164" s="30"/>
      <c r="G1164" s="30"/>
      <c r="H1164" s="47"/>
      <c r="I1164" s="63"/>
      <c r="J1164" s="31"/>
      <c r="K1164" s="31"/>
      <c r="L1164" s="32"/>
      <c r="M1164" s="32"/>
      <c r="N1164" s="32"/>
    </row>
    <row r="1165" spans="2:14" x14ac:dyDescent="0.25">
      <c r="B1165" s="42"/>
      <c r="C1165" s="30"/>
      <c r="D1165" s="30"/>
      <c r="E1165" s="30"/>
      <c r="F1165" s="30"/>
      <c r="G1165" s="30"/>
      <c r="H1165" s="47"/>
      <c r="I1165" s="63"/>
      <c r="J1165" s="31"/>
      <c r="K1165" s="31"/>
      <c r="L1165" s="32"/>
      <c r="M1165" s="32"/>
      <c r="N1165" s="32"/>
    </row>
    <row r="1166" spans="2:14" x14ac:dyDescent="0.25">
      <c r="B1166" s="42"/>
      <c r="C1166" s="30"/>
      <c r="D1166" s="30"/>
      <c r="E1166" s="30"/>
      <c r="F1166" s="30"/>
      <c r="G1166" s="30"/>
      <c r="H1166" s="47"/>
      <c r="I1166" s="63"/>
      <c r="J1166" s="31"/>
      <c r="K1166" s="31"/>
      <c r="L1166" s="32"/>
      <c r="M1166" s="32"/>
      <c r="N1166" s="32"/>
    </row>
    <row r="1167" spans="2:14" x14ac:dyDescent="0.25">
      <c r="B1167" s="42"/>
      <c r="C1167" s="30"/>
      <c r="D1167" s="30"/>
      <c r="E1167" s="30"/>
      <c r="F1167" s="30"/>
      <c r="G1167" s="30"/>
      <c r="H1167" s="47"/>
      <c r="I1167" s="63"/>
      <c r="J1167" s="31"/>
      <c r="K1167" s="31"/>
      <c r="L1167" s="32"/>
      <c r="M1167" s="32"/>
      <c r="N1167" s="32"/>
    </row>
    <row r="1168" spans="2:14" x14ac:dyDescent="0.25">
      <c r="B1168" s="42"/>
      <c r="C1168" s="30"/>
      <c r="D1168" s="30"/>
      <c r="E1168" s="30"/>
      <c r="F1168" s="30"/>
      <c r="G1168" s="30"/>
      <c r="H1168" s="47"/>
      <c r="I1168" s="63"/>
      <c r="J1168" s="31"/>
      <c r="K1168" s="31"/>
      <c r="L1168" s="32"/>
      <c r="M1168" s="32"/>
      <c r="N1168" s="32"/>
    </row>
    <row r="1169" spans="2:14" x14ac:dyDescent="0.25">
      <c r="B1169" s="42"/>
      <c r="C1169" s="30"/>
      <c r="D1169" s="30"/>
      <c r="E1169" s="30"/>
      <c r="F1169" s="30"/>
      <c r="G1169" s="30"/>
      <c r="H1169" s="47"/>
      <c r="I1169" s="63"/>
      <c r="J1169" s="31"/>
      <c r="K1169" s="31"/>
      <c r="L1169" s="32"/>
      <c r="M1169" s="32"/>
      <c r="N1169" s="32"/>
    </row>
    <row r="1170" spans="2:14" x14ac:dyDescent="0.25">
      <c r="B1170" s="42"/>
      <c r="C1170" s="30"/>
      <c r="D1170" s="30"/>
      <c r="E1170" s="30"/>
      <c r="F1170" s="30"/>
      <c r="G1170" s="30"/>
      <c r="H1170" s="47"/>
      <c r="I1170" s="63"/>
      <c r="J1170" s="31"/>
      <c r="K1170" s="31"/>
      <c r="L1170" s="32"/>
      <c r="M1170" s="32"/>
      <c r="N1170" s="32"/>
    </row>
    <row r="1171" spans="2:14" x14ac:dyDescent="0.25">
      <c r="B1171" s="42"/>
      <c r="C1171" s="30"/>
      <c r="D1171" s="30"/>
      <c r="E1171" s="30"/>
      <c r="F1171" s="30"/>
      <c r="G1171" s="30"/>
      <c r="H1171" s="47"/>
      <c r="I1171" s="63"/>
      <c r="J1171" s="31"/>
      <c r="K1171" s="31"/>
      <c r="L1171" s="32"/>
      <c r="M1171" s="32"/>
      <c r="N1171" s="32"/>
    </row>
    <row r="1172" spans="2:14" x14ac:dyDescent="0.25">
      <c r="B1172" s="42"/>
      <c r="C1172" s="30"/>
      <c r="D1172" s="30"/>
      <c r="E1172" s="30"/>
      <c r="F1172" s="30"/>
      <c r="G1172" s="30"/>
      <c r="H1172" s="47"/>
      <c r="I1172" s="63"/>
      <c r="J1172" s="31"/>
      <c r="K1172" s="31"/>
      <c r="L1172" s="32"/>
      <c r="M1172" s="32"/>
      <c r="N1172" s="32"/>
    </row>
    <row r="1173" spans="2:14" x14ac:dyDescent="0.25">
      <c r="B1173" s="42"/>
      <c r="C1173" s="30"/>
      <c r="D1173" s="30"/>
      <c r="E1173" s="30"/>
      <c r="F1173" s="30"/>
      <c r="G1173" s="30"/>
      <c r="H1173" s="47"/>
      <c r="I1173" s="63"/>
      <c r="J1173" s="31"/>
      <c r="K1173" s="31"/>
      <c r="L1173" s="32"/>
      <c r="M1173" s="32"/>
      <c r="N1173" s="32"/>
    </row>
    <row r="1174" spans="2:14" x14ac:dyDescent="0.25">
      <c r="B1174" s="42"/>
      <c r="C1174" s="30"/>
      <c r="D1174" s="30"/>
      <c r="E1174" s="30"/>
      <c r="F1174" s="30"/>
      <c r="G1174" s="30"/>
      <c r="H1174" s="47"/>
      <c r="I1174" s="63"/>
      <c r="J1174" s="31"/>
      <c r="K1174" s="31"/>
      <c r="L1174" s="32"/>
      <c r="M1174" s="32"/>
      <c r="N1174" s="32"/>
    </row>
    <row r="1175" spans="2:14" x14ac:dyDescent="0.25">
      <c r="B1175" s="42"/>
      <c r="C1175" s="30"/>
      <c r="D1175" s="30"/>
      <c r="E1175" s="30"/>
      <c r="F1175" s="30"/>
      <c r="G1175" s="30"/>
      <c r="H1175" s="47"/>
      <c r="I1175" s="63"/>
      <c r="J1175" s="31"/>
      <c r="K1175" s="31"/>
      <c r="L1175" s="32"/>
      <c r="M1175" s="32"/>
      <c r="N1175" s="32"/>
    </row>
    <row r="1176" spans="2:14" x14ac:dyDescent="0.25">
      <c r="B1176" s="42"/>
      <c r="C1176" s="30"/>
      <c r="D1176" s="30"/>
      <c r="E1176" s="30"/>
      <c r="F1176" s="30"/>
      <c r="G1176" s="30"/>
      <c r="H1176" s="47"/>
      <c r="I1176" s="63"/>
      <c r="J1176" s="31"/>
      <c r="K1176" s="31"/>
      <c r="L1176" s="32"/>
      <c r="M1176" s="32"/>
      <c r="N1176" s="32"/>
    </row>
    <row r="1177" spans="2:14" x14ac:dyDescent="0.25">
      <c r="B1177" s="42"/>
      <c r="C1177" s="30"/>
      <c r="D1177" s="30"/>
      <c r="E1177" s="30"/>
      <c r="F1177" s="30"/>
      <c r="G1177" s="30"/>
      <c r="H1177" s="47"/>
      <c r="I1177" s="63"/>
      <c r="J1177" s="31"/>
      <c r="K1177" s="31"/>
      <c r="L1177" s="32"/>
      <c r="M1177" s="32"/>
      <c r="N1177" s="32"/>
    </row>
    <row r="1178" spans="2:14" x14ac:dyDescent="0.25">
      <c r="B1178" s="42"/>
      <c r="C1178" s="30"/>
      <c r="D1178" s="30"/>
      <c r="E1178" s="30"/>
      <c r="F1178" s="30"/>
      <c r="G1178" s="30"/>
      <c r="H1178" s="47"/>
      <c r="I1178" s="63"/>
      <c r="J1178" s="31"/>
      <c r="K1178" s="31"/>
      <c r="L1178" s="32"/>
      <c r="M1178" s="32"/>
      <c r="N1178" s="32"/>
    </row>
    <row r="1179" spans="2:14" x14ac:dyDescent="0.25">
      <c r="B1179" s="42"/>
      <c r="C1179" s="30"/>
      <c r="D1179" s="30"/>
      <c r="E1179" s="30"/>
      <c r="F1179" s="30"/>
      <c r="G1179" s="30"/>
      <c r="H1179" s="47"/>
      <c r="I1179" s="63"/>
      <c r="J1179" s="31"/>
      <c r="K1179" s="31"/>
      <c r="L1179" s="32"/>
      <c r="M1179" s="32"/>
      <c r="N1179" s="32"/>
    </row>
    <row r="1180" spans="2:14" x14ac:dyDescent="0.25">
      <c r="B1180" s="42"/>
      <c r="C1180" s="30"/>
      <c r="D1180" s="30"/>
      <c r="E1180" s="30"/>
      <c r="F1180" s="30"/>
      <c r="G1180" s="30"/>
      <c r="H1180" s="47"/>
      <c r="I1180" s="63"/>
      <c r="J1180" s="31"/>
      <c r="K1180" s="31"/>
      <c r="L1180" s="32"/>
      <c r="M1180" s="32"/>
      <c r="N1180" s="32"/>
    </row>
    <row r="1181" spans="2:14" x14ac:dyDescent="0.25">
      <c r="B1181" s="42"/>
      <c r="C1181" s="30"/>
      <c r="D1181" s="30"/>
      <c r="E1181" s="30"/>
      <c r="F1181" s="30"/>
      <c r="G1181" s="30"/>
      <c r="H1181" s="47"/>
      <c r="I1181" s="63"/>
      <c r="J1181" s="31"/>
      <c r="K1181" s="31"/>
      <c r="L1181" s="32"/>
      <c r="M1181" s="32"/>
      <c r="N1181" s="32"/>
    </row>
    <row r="1182" spans="2:14" x14ac:dyDescent="0.25">
      <c r="B1182" s="42"/>
      <c r="C1182" s="30"/>
      <c r="D1182" s="30"/>
      <c r="E1182" s="30"/>
      <c r="F1182" s="30"/>
      <c r="G1182" s="30"/>
      <c r="H1182" s="47"/>
      <c r="I1182" s="63"/>
      <c r="J1182" s="31"/>
      <c r="K1182" s="31"/>
      <c r="L1182" s="32"/>
      <c r="M1182" s="32"/>
      <c r="N1182" s="32"/>
    </row>
    <row r="1183" spans="2:14" x14ac:dyDescent="0.25">
      <c r="B1183" s="42"/>
      <c r="C1183" s="30"/>
      <c r="D1183" s="30"/>
      <c r="E1183" s="30"/>
      <c r="F1183" s="30"/>
      <c r="G1183" s="30"/>
      <c r="H1183" s="47"/>
      <c r="I1183" s="63"/>
      <c r="J1183" s="31"/>
      <c r="K1183" s="31"/>
      <c r="L1183" s="32"/>
      <c r="M1183" s="32"/>
      <c r="N1183" s="32"/>
    </row>
    <row r="1184" spans="2:14" x14ac:dyDescent="0.25">
      <c r="B1184" s="42"/>
      <c r="C1184" s="30"/>
      <c r="D1184" s="30"/>
      <c r="E1184" s="30"/>
      <c r="F1184" s="30"/>
      <c r="G1184" s="30"/>
      <c r="H1184" s="47"/>
      <c r="I1184" s="63"/>
      <c r="J1184" s="31"/>
      <c r="K1184" s="31"/>
      <c r="L1184" s="32"/>
      <c r="M1184" s="32"/>
      <c r="N1184" s="32"/>
    </row>
    <row r="1185" spans="2:14" x14ac:dyDescent="0.25">
      <c r="B1185" s="42"/>
      <c r="C1185" s="30"/>
      <c r="D1185" s="30"/>
      <c r="E1185" s="30"/>
      <c r="F1185" s="30"/>
      <c r="G1185" s="30"/>
      <c r="H1185" s="47"/>
      <c r="I1185" s="63"/>
      <c r="J1185" s="31"/>
      <c r="K1185" s="31"/>
      <c r="L1185" s="32"/>
      <c r="M1185" s="32"/>
      <c r="N1185" s="32"/>
    </row>
    <row r="1186" spans="2:14" x14ac:dyDescent="0.25">
      <c r="B1186" s="42"/>
      <c r="C1186" s="30"/>
      <c r="D1186" s="30"/>
      <c r="E1186" s="30"/>
      <c r="F1186" s="30"/>
      <c r="G1186" s="30"/>
      <c r="H1186" s="47"/>
      <c r="I1186" s="63"/>
      <c r="J1186" s="31"/>
      <c r="K1186" s="31"/>
      <c r="L1186" s="32"/>
      <c r="M1186" s="32"/>
      <c r="N1186" s="32"/>
    </row>
    <row r="1187" spans="2:14" x14ac:dyDescent="0.25">
      <c r="B1187" s="42"/>
      <c r="C1187" s="30"/>
      <c r="D1187" s="30"/>
      <c r="E1187" s="30"/>
      <c r="F1187" s="30"/>
      <c r="G1187" s="30"/>
      <c r="H1187" s="47"/>
      <c r="I1187" s="63"/>
      <c r="J1187" s="31"/>
      <c r="K1187" s="31"/>
      <c r="L1187" s="32"/>
      <c r="M1187" s="32"/>
      <c r="N1187" s="32"/>
    </row>
    <row r="1188" spans="2:14" x14ac:dyDescent="0.25">
      <c r="B1188" s="42"/>
      <c r="C1188" s="30"/>
      <c r="D1188" s="30"/>
      <c r="E1188" s="30"/>
      <c r="F1188" s="30"/>
      <c r="G1188" s="30"/>
      <c r="H1188" s="47"/>
      <c r="I1188" s="63"/>
      <c r="J1188" s="31"/>
      <c r="K1188" s="31"/>
      <c r="L1188" s="32"/>
      <c r="M1188" s="32"/>
      <c r="N1188" s="32"/>
    </row>
    <row r="1189" spans="2:14" x14ac:dyDescent="0.25">
      <c r="B1189" s="42"/>
      <c r="C1189" s="30"/>
      <c r="D1189" s="30"/>
      <c r="E1189" s="30"/>
      <c r="F1189" s="30"/>
      <c r="G1189" s="30"/>
      <c r="H1189" s="47"/>
      <c r="I1189" s="63"/>
      <c r="J1189" s="31"/>
      <c r="K1189" s="31"/>
      <c r="L1189" s="32"/>
      <c r="M1189" s="32"/>
      <c r="N1189" s="32"/>
    </row>
    <row r="1190" spans="2:14" x14ac:dyDescent="0.25">
      <c r="B1190" s="42"/>
      <c r="C1190" s="30"/>
      <c r="D1190" s="30"/>
      <c r="E1190" s="30"/>
      <c r="F1190" s="30"/>
      <c r="G1190" s="30"/>
      <c r="H1190" s="47"/>
      <c r="I1190" s="63"/>
      <c r="J1190" s="31"/>
      <c r="K1190" s="31"/>
      <c r="L1190" s="32"/>
      <c r="M1190" s="32"/>
      <c r="N1190" s="32"/>
    </row>
    <row r="1191" spans="2:14" x14ac:dyDescent="0.25">
      <c r="B1191" s="42"/>
      <c r="C1191" s="30"/>
      <c r="D1191" s="30"/>
      <c r="E1191" s="30"/>
      <c r="F1191" s="30"/>
      <c r="G1191" s="30"/>
      <c r="H1191" s="47"/>
      <c r="I1191" s="63"/>
      <c r="J1191" s="31"/>
      <c r="K1191" s="31"/>
      <c r="L1191" s="32"/>
      <c r="M1191" s="32"/>
      <c r="N1191" s="32"/>
    </row>
    <row r="1192" spans="2:14" x14ac:dyDescent="0.25">
      <c r="B1192" s="42"/>
      <c r="C1192" s="30"/>
      <c r="D1192" s="30"/>
      <c r="E1192" s="30"/>
      <c r="F1192" s="30"/>
      <c r="G1192" s="30"/>
      <c r="H1192" s="47"/>
      <c r="I1192" s="63"/>
      <c r="J1192" s="31"/>
      <c r="K1192" s="31"/>
      <c r="L1192" s="32"/>
      <c r="M1192" s="32"/>
      <c r="N1192" s="32"/>
    </row>
    <row r="1193" spans="2:14" x14ac:dyDescent="0.25">
      <c r="B1193" s="42"/>
      <c r="C1193" s="30"/>
      <c r="D1193" s="30"/>
      <c r="E1193" s="30"/>
      <c r="F1193" s="30"/>
      <c r="G1193" s="30"/>
      <c r="H1193" s="47"/>
      <c r="I1193" s="63"/>
      <c r="J1193" s="31"/>
      <c r="K1193" s="31"/>
      <c r="L1193" s="32"/>
      <c r="M1193" s="32"/>
      <c r="N1193" s="32"/>
    </row>
    <row r="1194" spans="2:14" x14ac:dyDescent="0.25">
      <c r="B1194" s="42"/>
      <c r="C1194" s="30"/>
      <c r="D1194" s="30"/>
      <c r="E1194" s="30"/>
      <c r="F1194" s="30"/>
      <c r="G1194" s="30"/>
      <c r="H1194" s="47"/>
      <c r="I1194" s="63"/>
      <c r="J1194" s="31"/>
      <c r="K1194" s="31"/>
      <c r="L1194" s="32"/>
      <c r="M1194" s="32"/>
      <c r="N1194" s="32"/>
    </row>
    <row r="1195" spans="2:14" x14ac:dyDescent="0.25">
      <c r="B1195" s="42"/>
      <c r="C1195" s="30"/>
      <c r="D1195" s="30"/>
      <c r="E1195" s="30"/>
      <c r="F1195" s="30"/>
      <c r="G1195" s="30"/>
      <c r="H1195" s="47"/>
      <c r="I1195" s="63"/>
      <c r="J1195" s="31"/>
      <c r="K1195" s="31"/>
      <c r="L1195" s="32"/>
      <c r="M1195" s="32"/>
      <c r="N1195" s="32"/>
    </row>
    <row r="1196" spans="2:14" x14ac:dyDescent="0.25">
      <c r="B1196" s="42"/>
      <c r="C1196" s="30"/>
      <c r="D1196" s="30"/>
      <c r="E1196" s="30"/>
      <c r="F1196" s="30"/>
      <c r="G1196" s="30"/>
      <c r="H1196" s="47"/>
      <c r="I1196" s="63"/>
      <c r="J1196" s="31"/>
      <c r="K1196" s="31"/>
      <c r="L1196" s="32"/>
      <c r="M1196" s="32"/>
      <c r="N1196" s="32"/>
    </row>
    <row r="1197" spans="2:14" x14ac:dyDescent="0.25">
      <c r="B1197" s="42"/>
      <c r="C1197" s="30"/>
      <c r="D1197" s="30"/>
      <c r="E1197" s="30"/>
      <c r="F1197" s="30"/>
      <c r="G1197" s="30"/>
      <c r="H1197" s="47"/>
      <c r="I1197" s="63"/>
      <c r="J1197" s="31"/>
      <c r="K1197" s="31"/>
      <c r="L1197" s="32"/>
      <c r="M1197" s="32"/>
      <c r="N1197" s="32"/>
    </row>
    <row r="1198" spans="2:14" x14ac:dyDescent="0.25">
      <c r="B1198" s="42"/>
      <c r="C1198" s="30"/>
      <c r="D1198" s="30"/>
      <c r="E1198" s="30"/>
      <c r="F1198" s="30"/>
      <c r="G1198" s="30"/>
      <c r="H1198" s="47"/>
      <c r="I1198" s="63"/>
      <c r="J1198" s="31"/>
      <c r="K1198" s="31"/>
      <c r="L1198" s="32"/>
      <c r="M1198" s="32"/>
      <c r="N1198" s="32"/>
    </row>
    <row r="1199" spans="2:14" x14ac:dyDescent="0.25">
      <c r="B1199" s="42"/>
      <c r="C1199" s="30"/>
      <c r="D1199" s="30"/>
      <c r="E1199" s="30"/>
      <c r="F1199" s="30"/>
      <c r="G1199" s="30"/>
      <c r="H1199" s="47"/>
      <c r="I1199" s="63"/>
      <c r="J1199" s="31"/>
      <c r="K1199" s="31"/>
      <c r="L1199" s="32"/>
      <c r="M1199" s="32"/>
      <c r="N1199" s="32"/>
    </row>
    <row r="1200" spans="2:14" x14ac:dyDescent="0.25">
      <c r="B1200" s="42"/>
      <c r="C1200" s="30"/>
      <c r="D1200" s="30"/>
      <c r="E1200" s="30"/>
      <c r="F1200" s="30"/>
      <c r="G1200" s="30"/>
      <c r="H1200" s="47"/>
      <c r="I1200" s="63"/>
      <c r="J1200" s="31"/>
      <c r="K1200" s="31"/>
      <c r="L1200" s="32"/>
      <c r="M1200" s="32"/>
      <c r="N1200" s="32"/>
    </row>
    <row r="1201" spans="2:14" x14ac:dyDescent="0.25">
      <c r="B1201" s="42"/>
      <c r="C1201" s="30"/>
      <c r="D1201" s="30"/>
      <c r="E1201" s="30"/>
      <c r="F1201" s="30"/>
      <c r="G1201" s="30"/>
      <c r="H1201" s="47"/>
      <c r="I1201" s="63"/>
      <c r="J1201" s="31"/>
      <c r="K1201" s="31"/>
      <c r="L1201" s="32"/>
      <c r="M1201" s="32"/>
      <c r="N1201" s="32"/>
    </row>
    <row r="1202" spans="2:14" x14ac:dyDescent="0.25">
      <c r="B1202" s="42"/>
      <c r="C1202" s="30"/>
      <c r="D1202" s="30"/>
      <c r="E1202" s="30"/>
      <c r="F1202" s="30"/>
      <c r="G1202" s="30"/>
      <c r="H1202" s="47"/>
      <c r="I1202" s="63"/>
      <c r="J1202" s="31"/>
      <c r="K1202" s="31"/>
      <c r="L1202" s="32"/>
      <c r="M1202" s="32"/>
      <c r="N1202" s="32"/>
    </row>
    <row r="1203" spans="2:14" x14ac:dyDescent="0.25">
      <c r="B1203" s="42"/>
      <c r="C1203" s="30"/>
      <c r="D1203" s="30"/>
      <c r="E1203" s="30"/>
      <c r="F1203" s="30"/>
      <c r="G1203" s="30"/>
      <c r="H1203" s="47"/>
      <c r="I1203" s="63"/>
      <c r="J1203" s="31"/>
      <c r="K1203" s="31"/>
      <c r="L1203" s="32"/>
      <c r="M1203" s="32"/>
      <c r="N1203" s="32"/>
    </row>
    <row r="1204" spans="2:14" x14ac:dyDescent="0.25">
      <c r="B1204" s="42"/>
      <c r="C1204" s="30"/>
      <c r="D1204" s="30"/>
      <c r="E1204" s="30"/>
      <c r="F1204" s="30"/>
      <c r="G1204" s="30"/>
      <c r="H1204" s="47"/>
      <c r="I1204" s="63"/>
      <c r="J1204" s="31"/>
      <c r="K1204" s="31"/>
      <c r="L1204" s="32"/>
      <c r="M1204" s="32"/>
      <c r="N1204" s="32"/>
    </row>
    <row r="1205" spans="2:14" x14ac:dyDescent="0.25">
      <c r="B1205" s="42"/>
      <c r="C1205" s="30"/>
      <c r="D1205" s="30"/>
      <c r="E1205" s="30"/>
      <c r="F1205" s="30"/>
      <c r="G1205" s="30"/>
      <c r="H1205" s="47"/>
      <c r="I1205" s="63"/>
      <c r="J1205" s="31"/>
      <c r="K1205" s="31"/>
      <c r="L1205" s="32"/>
      <c r="M1205" s="32"/>
      <c r="N1205" s="32"/>
    </row>
    <row r="1206" spans="2:14" x14ac:dyDescent="0.25">
      <c r="B1206" s="42"/>
      <c r="C1206" s="30"/>
      <c r="D1206" s="30"/>
      <c r="E1206" s="30"/>
      <c r="F1206" s="30"/>
      <c r="G1206" s="30"/>
      <c r="H1206" s="47"/>
      <c r="I1206" s="63"/>
      <c r="J1206" s="31"/>
      <c r="K1206" s="31"/>
      <c r="L1206" s="32"/>
      <c r="M1206" s="32"/>
      <c r="N1206" s="32"/>
    </row>
    <row r="1207" spans="2:14" x14ac:dyDescent="0.25">
      <c r="B1207" s="42"/>
      <c r="C1207" s="30"/>
      <c r="D1207" s="30"/>
      <c r="E1207" s="30"/>
      <c r="F1207" s="30"/>
      <c r="G1207" s="30"/>
      <c r="H1207" s="47"/>
      <c r="I1207" s="63"/>
      <c r="J1207" s="31"/>
      <c r="K1207" s="31"/>
      <c r="L1207" s="32"/>
      <c r="M1207" s="32"/>
      <c r="N1207" s="32"/>
    </row>
    <row r="1208" spans="2:14" x14ac:dyDescent="0.25">
      <c r="B1208" s="42"/>
      <c r="C1208" s="30"/>
      <c r="D1208" s="30"/>
      <c r="E1208" s="30"/>
      <c r="F1208" s="30"/>
      <c r="G1208" s="30"/>
      <c r="H1208" s="47"/>
      <c r="I1208" s="63"/>
      <c r="J1208" s="31"/>
      <c r="K1208" s="31"/>
      <c r="L1208" s="32"/>
      <c r="M1208" s="32"/>
      <c r="N1208" s="32"/>
    </row>
    <row r="1209" spans="2:14" x14ac:dyDescent="0.25">
      <c r="B1209" s="42"/>
      <c r="C1209" s="30"/>
      <c r="D1209" s="30"/>
      <c r="E1209" s="30"/>
      <c r="F1209" s="30"/>
      <c r="G1209" s="30"/>
      <c r="H1209" s="47"/>
      <c r="I1209" s="63"/>
      <c r="J1209" s="31"/>
      <c r="K1209" s="31"/>
      <c r="L1209" s="32"/>
      <c r="M1209" s="32"/>
      <c r="N1209" s="32"/>
    </row>
    <row r="1210" spans="2:14" x14ac:dyDescent="0.25">
      <c r="B1210" s="42"/>
      <c r="C1210" s="30"/>
      <c r="D1210" s="30"/>
      <c r="E1210" s="30"/>
      <c r="F1210" s="30"/>
      <c r="G1210" s="30"/>
      <c r="H1210" s="47"/>
      <c r="I1210" s="63"/>
      <c r="J1210" s="31"/>
      <c r="K1210" s="31"/>
      <c r="L1210" s="32"/>
      <c r="M1210" s="32"/>
      <c r="N1210" s="32"/>
    </row>
    <row r="1211" spans="2:14" x14ac:dyDescent="0.25">
      <c r="B1211" s="42"/>
      <c r="C1211" s="30"/>
      <c r="D1211" s="30"/>
      <c r="E1211" s="30"/>
      <c r="F1211" s="30"/>
      <c r="G1211" s="30"/>
      <c r="H1211" s="47"/>
      <c r="I1211" s="63"/>
      <c r="J1211" s="31"/>
      <c r="K1211" s="31"/>
      <c r="L1211" s="32"/>
      <c r="M1211" s="32"/>
      <c r="N1211" s="32"/>
    </row>
    <row r="1212" spans="2:14" x14ac:dyDescent="0.25">
      <c r="B1212" s="42"/>
      <c r="C1212" s="30"/>
      <c r="D1212" s="30"/>
      <c r="E1212" s="30"/>
      <c r="F1212" s="30"/>
      <c r="G1212" s="30"/>
      <c r="H1212" s="47"/>
      <c r="I1212" s="63"/>
      <c r="J1212" s="31"/>
      <c r="K1212" s="31"/>
      <c r="L1212" s="32"/>
      <c r="M1212" s="32"/>
      <c r="N1212" s="32"/>
    </row>
    <row r="1213" spans="2:14" x14ac:dyDescent="0.25">
      <c r="B1213" s="42"/>
      <c r="C1213" s="30"/>
      <c r="D1213" s="30"/>
      <c r="E1213" s="30"/>
      <c r="F1213" s="30"/>
      <c r="G1213" s="30"/>
      <c r="H1213" s="47"/>
      <c r="I1213" s="63"/>
      <c r="J1213" s="31"/>
      <c r="K1213" s="31"/>
      <c r="L1213" s="32"/>
      <c r="M1213" s="32"/>
      <c r="N1213" s="32"/>
    </row>
    <row r="1214" spans="2:14" x14ac:dyDescent="0.25">
      <c r="B1214" s="42"/>
      <c r="C1214" s="30"/>
      <c r="D1214" s="30"/>
      <c r="E1214" s="30"/>
      <c r="F1214" s="30"/>
      <c r="G1214" s="30"/>
      <c r="H1214" s="47"/>
      <c r="I1214" s="63"/>
      <c r="J1214" s="31"/>
      <c r="K1214" s="31"/>
      <c r="L1214" s="32"/>
      <c r="M1214" s="32"/>
      <c r="N1214" s="32"/>
    </row>
    <row r="1215" spans="2:14" x14ac:dyDescent="0.25">
      <c r="B1215" s="42"/>
      <c r="C1215" s="30"/>
      <c r="D1215" s="30"/>
      <c r="E1215" s="30"/>
      <c r="F1215" s="30"/>
      <c r="G1215" s="30"/>
      <c r="H1215" s="47"/>
      <c r="I1215" s="63"/>
      <c r="J1215" s="31"/>
      <c r="K1215" s="31"/>
      <c r="L1215" s="32"/>
      <c r="M1215" s="32"/>
      <c r="N1215" s="32"/>
    </row>
    <row r="1216" spans="2:14" x14ac:dyDescent="0.25">
      <c r="B1216" s="42"/>
      <c r="C1216" s="30"/>
      <c r="D1216" s="30"/>
      <c r="E1216" s="30"/>
      <c r="F1216" s="30"/>
      <c r="G1216" s="30"/>
      <c r="H1216" s="47"/>
      <c r="I1216" s="63"/>
      <c r="J1216" s="31"/>
      <c r="K1216" s="31"/>
      <c r="L1216" s="32"/>
      <c r="M1216" s="32"/>
      <c r="N1216" s="32"/>
    </row>
    <row r="1217" spans="2:14" x14ac:dyDescent="0.25">
      <c r="B1217" s="42"/>
      <c r="C1217" s="30"/>
      <c r="D1217" s="30"/>
      <c r="E1217" s="30"/>
      <c r="F1217" s="30"/>
      <c r="G1217" s="30"/>
      <c r="H1217" s="47"/>
      <c r="I1217" s="63"/>
      <c r="J1217" s="31"/>
      <c r="K1217" s="31"/>
      <c r="L1217" s="32"/>
      <c r="M1217" s="32"/>
      <c r="N1217" s="32"/>
    </row>
    <row r="1218" spans="2:14" x14ac:dyDescent="0.25">
      <c r="B1218" s="42"/>
      <c r="C1218" s="30"/>
      <c r="D1218" s="30"/>
      <c r="E1218" s="30"/>
      <c r="F1218" s="30"/>
      <c r="G1218" s="30"/>
      <c r="H1218" s="47"/>
      <c r="I1218" s="63"/>
      <c r="J1218" s="31"/>
      <c r="K1218" s="31"/>
      <c r="L1218" s="32"/>
      <c r="M1218" s="32"/>
      <c r="N1218" s="32"/>
    </row>
    <row r="1219" spans="2:14" x14ac:dyDescent="0.25">
      <c r="B1219" s="42"/>
      <c r="C1219" s="30"/>
      <c r="D1219" s="30"/>
      <c r="E1219" s="30"/>
      <c r="F1219" s="30"/>
      <c r="G1219" s="30"/>
      <c r="H1219" s="47"/>
      <c r="I1219" s="63"/>
      <c r="J1219" s="31"/>
      <c r="K1219" s="31"/>
      <c r="L1219" s="32"/>
      <c r="M1219" s="32"/>
      <c r="N1219" s="32"/>
    </row>
    <row r="1220" spans="2:14" x14ac:dyDescent="0.25">
      <c r="B1220" s="42"/>
      <c r="C1220" s="30"/>
      <c r="D1220" s="30"/>
      <c r="E1220" s="30"/>
      <c r="F1220" s="30"/>
      <c r="G1220" s="30"/>
      <c r="H1220" s="47"/>
      <c r="I1220" s="63"/>
      <c r="J1220" s="31"/>
      <c r="K1220" s="31"/>
      <c r="L1220" s="32"/>
      <c r="M1220" s="32"/>
      <c r="N1220" s="32"/>
    </row>
    <row r="1221" spans="2:14" x14ac:dyDescent="0.25">
      <c r="B1221" s="42"/>
      <c r="C1221" s="30"/>
      <c r="D1221" s="30"/>
      <c r="E1221" s="30"/>
      <c r="F1221" s="30"/>
      <c r="G1221" s="30"/>
      <c r="H1221" s="47"/>
      <c r="I1221" s="63"/>
      <c r="J1221" s="31"/>
      <c r="K1221" s="31"/>
      <c r="L1221" s="32"/>
      <c r="M1221" s="32"/>
      <c r="N1221" s="32"/>
    </row>
    <row r="1222" spans="2:14" x14ac:dyDescent="0.25">
      <c r="B1222" s="42"/>
      <c r="C1222" s="30"/>
      <c r="D1222" s="30"/>
      <c r="E1222" s="30"/>
      <c r="F1222" s="30"/>
      <c r="G1222" s="30"/>
      <c r="H1222" s="47"/>
      <c r="I1222" s="63"/>
      <c r="J1222" s="31"/>
      <c r="K1222" s="31"/>
      <c r="L1222" s="32"/>
      <c r="M1222" s="32"/>
      <c r="N1222" s="32"/>
    </row>
    <row r="1223" spans="2:14" x14ac:dyDescent="0.25">
      <c r="B1223" s="42"/>
      <c r="C1223" s="30"/>
      <c r="D1223" s="30"/>
      <c r="E1223" s="30"/>
      <c r="F1223" s="30"/>
      <c r="G1223" s="30"/>
      <c r="H1223" s="47"/>
      <c r="I1223" s="63"/>
      <c r="J1223" s="31"/>
      <c r="K1223" s="31"/>
      <c r="L1223" s="32"/>
      <c r="M1223" s="32"/>
      <c r="N1223" s="32"/>
    </row>
    <row r="1224" spans="2:14" x14ac:dyDescent="0.25">
      <c r="B1224" s="42"/>
      <c r="C1224" s="30"/>
      <c r="D1224" s="30"/>
      <c r="E1224" s="30"/>
      <c r="F1224" s="30"/>
      <c r="G1224" s="30"/>
      <c r="H1224" s="47"/>
      <c r="I1224" s="63"/>
      <c r="J1224" s="31"/>
      <c r="K1224" s="31"/>
      <c r="L1224" s="32"/>
      <c r="M1224" s="32"/>
      <c r="N1224" s="32"/>
    </row>
    <row r="1225" spans="2:14" x14ac:dyDescent="0.25">
      <c r="B1225" s="42"/>
      <c r="C1225" s="30"/>
      <c r="D1225" s="30"/>
      <c r="E1225" s="30"/>
      <c r="F1225" s="30"/>
      <c r="G1225" s="30"/>
      <c r="H1225" s="47"/>
      <c r="I1225" s="63"/>
      <c r="J1225" s="31"/>
      <c r="K1225" s="31"/>
      <c r="L1225" s="32"/>
      <c r="M1225" s="32"/>
      <c r="N1225" s="32"/>
    </row>
    <row r="1226" spans="2:14" x14ac:dyDescent="0.25">
      <c r="B1226" s="42"/>
      <c r="C1226" s="30"/>
      <c r="D1226" s="30"/>
      <c r="E1226" s="30"/>
      <c r="F1226" s="30"/>
      <c r="G1226" s="30"/>
      <c r="H1226" s="47"/>
      <c r="I1226" s="63"/>
      <c r="J1226" s="31"/>
      <c r="K1226" s="31"/>
      <c r="L1226" s="32"/>
      <c r="M1226" s="32"/>
      <c r="N1226" s="32"/>
    </row>
    <row r="1227" spans="2:14" x14ac:dyDescent="0.25">
      <c r="B1227" s="42"/>
      <c r="C1227" s="30"/>
      <c r="D1227" s="30"/>
      <c r="E1227" s="30"/>
      <c r="F1227" s="30"/>
      <c r="G1227" s="30"/>
      <c r="H1227" s="47"/>
      <c r="I1227" s="63"/>
      <c r="J1227" s="31"/>
      <c r="K1227" s="31"/>
      <c r="L1227" s="32"/>
      <c r="M1227" s="32"/>
      <c r="N1227" s="32"/>
    </row>
    <row r="1228" spans="2:14" x14ac:dyDescent="0.25">
      <c r="B1228" s="42"/>
      <c r="C1228" s="30"/>
      <c r="D1228" s="30"/>
      <c r="E1228" s="30"/>
      <c r="F1228" s="30"/>
      <c r="G1228" s="30"/>
      <c r="H1228" s="47"/>
      <c r="I1228" s="63"/>
      <c r="J1228" s="31"/>
      <c r="K1228" s="31"/>
      <c r="L1228" s="32"/>
      <c r="M1228" s="32"/>
      <c r="N1228" s="32"/>
    </row>
    <row r="1229" spans="2:14" x14ac:dyDescent="0.25">
      <c r="B1229" s="42"/>
      <c r="C1229" s="30"/>
      <c r="D1229" s="30"/>
      <c r="E1229" s="30"/>
      <c r="F1229" s="30"/>
      <c r="G1229" s="30"/>
      <c r="H1229" s="47"/>
      <c r="I1229" s="63"/>
      <c r="J1229" s="31"/>
      <c r="K1229" s="31"/>
      <c r="L1229" s="32"/>
      <c r="M1229" s="32"/>
      <c r="N1229" s="32"/>
    </row>
    <row r="1230" spans="2:14" x14ac:dyDescent="0.25">
      <c r="B1230" s="42"/>
      <c r="C1230" s="30"/>
      <c r="D1230" s="30"/>
      <c r="E1230" s="30"/>
      <c r="F1230" s="30"/>
      <c r="G1230" s="30"/>
      <c r="H1230" s="47"/>
      <c r="I1230" s="63"/>
      <c r="J1230" s="31"/>
      <c r="K1230" s="31"/>
      <c r="L1230" s="32"/>
      <c r="M1230" s="32"/>
      <c r="N1230" s="32"/>
    </row>
    <row r="1231" spans="2:14" x14ac:dyDescent="0.25">
      <c r="B1231" s="42"/>
      <c r="C1231" s="30"/>
      <c r="D1231" s="30"/>
      <c r="E1231" s="30"/>
      <c r="F1231" s="30"/>
      <c r="G1231" s="30"/>
      <c r="H1231" s="47"/>
      <c r="I1231" s="63"/>
      <c r="J1231" s="31"/>
      <c r="K1231" s="31"/>
      <c r="L1231" s="32"/>
      <c r="M1231" s="32"/>
      <c r="N1231" s="32"/>
    </row>
    <row r="1232" spans="2:14" x14ac:dyDescent="0.25">
      <c r="B1232" s="42"/>
      <c r="C1232" s="30"/>
      <c r="D1232" s="30"/>
      <c r="E1232" s="30"/>
      <c r="F1232" s="30"/>
      <c r="G1232" s="30"/>
      <c r="H1232" s="47"/>
      <c r="I1232" s="63"/>
      <c r="J1232" s="31"/>
      <c r="K1232" s="31"/>
      <c r="L1232" s="32"/>
      <c r="M1232" s="32"/>
      <c r="N1232" s="32"/>
    </row>
    <row r="1233" spans="2:14" x14ac:dyDescent="0.25">
      <c r="B1233" s="42"/>
      <c r="C1233" s="30"/>
      <c r="D1233" s="30"/>
      <c r="E1233" s="30"/>
      <c r="F1233" s="30"/>
      <c r="G1233" s="30"/>
      <c r="H1233" s="47"/>
      <c r="I1233" s="63"/>
      <c r="J1233" s="31"/>
      <c r="K1233" s="31"/>
      <c r="L1233" s="32"/>
      <c r="M1233" s="32"/>
      <c r="N1233" s="32"/>
    </row>
    <row r="1234" spans="2:14" x14ac:dyDescent="0.25">
      <c r="B1234" s="42"/>
      <c r="C1234" s="30"/>
      <c r="D1234" s="30"/>
      <c r="E1234" s="30"/>
      <c r="F1234" s="30"/>
      <c r="G1234" s="30"/>
      <c r="H1234" s="47"/>
      <c r="I1234" s="63"/>
      <c r="J1234" s="31"/>
      <c r="K1234" s="31"/>
      <c r="L1234" s="32"/>
      <c r="M1234" s="32"/>
      <c r="N1234" s="32"/>
    </row>
    <row r="1235" spans="2:14" x14ac:dyDescent="0.25">
      <c r="B1235" s="42"/>
      <c r="C1235" s="30"/>
      <c r="D1235" s="30"/>
      <c r="E1235" s="30"/>
      <c r="F1235" s="30"/>
      <c r="G1235" s="30"/>
      <c r="H1235" s="47"/>
      <c r="I1235" s="63"/>
      <c r="J1235" s="31"/>
      <c r="K1235" s="31"/>
      <c r="L1235" s="32"/>
      <c r="M1235" s="32"/>
      <c r="N1235" s="32"/>
    </row>
    <row r="1236" spans="2:14" x14ac:dyDescent="0.25">
      <c r="B1236" s="42"/>
      <c r="C1236" s="30"/>
      <c r="D1236" s="30"/>
      <c r="E1236" s="30"/>
      <c r="F1236" s="30"/>
      <c r="G1236" s="30"/>
      <c r="H1236" s="47"/>
      <c r="I1236" s="63"/>
      <c r="J1236" s="31"/>
      <c r="K1236" s="31"/>
      <c r="L1236" s="32"/>
      <c r="M1236" s="32"/>
      <c r="N1236" s="32"/>
    </row>
    <row r="1237" spans="2:14" x14ac:dyDescent="0.25">
      <c r="B1237" s="42"/>
      <c r="C1237" s="30"/>
      <c r="D1237" s="30"/>
      <c r="E1237" s="30"/>
      <c r="F1237" s="30"/>
      <c r="G1237" s="30"/>
      <c r="H1237" s="47"/>
      <c r="I1237" s="63"/>
      <c r="J1237" s="31"/>
      <c r="K1237" s="31"/>
      <c r="L1237" s="32"/>
      <c r="M1237" s="32"/>
      <c r="N1237" s="32"/>
    </row>
    <row r="1238" spans="2:14" x14ac:dyDescent="0.25">
      <c r="B1238" s="42"/>
      <c r="C1238" s="30"/>
      <c r="D1238" s="30"/>
      <c r="E1238" s="30"/>
      <c r="F1238" s="30"/>
      <c r="G1238" s="30"/>
      <c r="H1238" s="47"/>
      <c r="I1238" s="63"/>
      <c r="J1238" s="31"/>
      <c r="K1238" s="31"/>
      <c r="L1238" s="32"/>
      <c r="M1238" s="32"/>
      <c r="N1238" s="32"/>
    </row>
    <row r="1239" spans="2:14" x14ac:dyDescent="0.25">
      <c r="B1239" s="42"/>
      <c r="C1239" s="30"/>
      <c r="D1239" s="30"/>
      <c r="E1239" s="30"/>
      <c r="F1239" s="30"/>
      <c r="G1239" s="30"/>
      <c r="H1239" s="47"/>
      <c r="I1239" s="63"/>
      <c r="J1239" s="31"/>
      <c r="K1239" s="31"/>
      <c r="L1239" s="32"/>
      <c r="M1239" s="32"/>
      <c r="N1239" s="32"/>
    </row>
    <row r="1240" spans="2:14" x14ac:dyDescent="0.25">
      <c r="B1240" s="42"/>
      <c r="C1240" s="30"/>
      <c r="D1240" s="30"/>
      <c r="E1240" s="30"/>
      <c r="F1240" s="30"/>
      <c r="G1240" s="30"/>
      <c r="H1240" s="47"/>
      <c r="I1240" s="63"/>
      <c r="J1240" s="31"/>
      <c r="K1240" s="31"/>
      <c r="L1240" s="32"/>
      <c r="M1240" s="32"/>
      <c r="N1240" s="32"/>
    </row>
    <row r="1241" spans="2:14" x14ac:dyDescent="0.25">
      <c r="B1241" s="42"/>
      <c r="C1241" s="30"/>
      <c r="D1241" s="30"/>
      <c r="E1241" s="30"/>
      <c r="F1241" s="30"/>
      <c r="G1241" s="30"/>
      <c r="H1241" s="47"/>
      <c r="I1241" s="63"/>
      <c r="J1241" s="31"/>
      <c r="K1241" s="31"/>
      <c r="L1241" s="32"/>
      <c r="M1241" s="32"/>
      <c r="N1241" s="32"/>
    </row>
    <row r="1242" spans="2:14" x14ac:dyDescent="0.25">
      <c r="B1242" s="42"/>
      <c r="C1242" s="30"/>
      <c r="D1242" s="30"/>
      <c r="E1242" s="30"/>
      <c r="F1242" s="30"/>
      <c r="G1242" s="30"/>
      <c r="H1242" s="47"/>
      <c r="I1242" s="63"/>
      <c r="J1242" s="31"/>
      <c r="K1242" s="31"/>
      <c r="L1242" s="32"/>
      <c r="M1242" s="32"/>
      <c r="N1242" s="32"/>
    </row>
    <row r="1243" spans="2:14" x14ac:dyDescent="0.25">
      <c r="B1243" s="42"/>
      <c r="C1243" s="30"/>
      <c r="D1243" s="30"/>
      <c r="E1243" s="30"/>
      <c r="F1243" s="30"/>
      <c r="G1243" s="30"/>
      <c r="H1243" s="47"/>
      <c r="I1243" s="63"/>
      <c r="J1243" s="31"/>
      <c r="K1243" s="31"/>
      <c r="L1243" s="32"/>
      <c r="M1243" s="32"/>
      <c r="N1243" s="32"/>
    </row>
    <row r="1244" spans="2:14" x14ac:dyDescent="0.25">
      <c r="B1244" s="42"/>
      <c r="C1244" s="30"/>
      <c r="D1244" s="30"/>
      <c r="E1244" s="30"/>
      <c r="F1244" s="30"/>
      <c r="G1244" s="30"/>
      <c r="H1244" s="47"/>
      <c r="I1244" s="63"/>
      <c r="J1244" s="31"/>
      <c r="K1244" s="31"/>
      <c r="L1244" s="32"/>
      <c r="M1244" s="32"/>
      <c r="N1244" s="32"/>
    </row>
    <row r="1245" spans="2:14" x14ac:dyDescent="0.25">
      <c r="B1245" s="42"/>
      <c r="C1245" s="30"/>
      <c r="D1245" s="30"/>
      <c r="E1245" s="30"/>
      <c r="F1245" s="30"/>
      <c r="G1245" s="30"/>
      <c r="H1245" s="47"/>
      <c r="I1245" s="63"/>
      <c r="J1245" s="31"/>
      <c r="K1245" s="31"/>
      <c r="L1245" s="32"/>
      <c r="M1245" s="32"/>
      <c r="N1245" s="32"/>
    </row>
    <row r="1246" spans="2:14" x14ac:dyDescent="0.25">
      <c r="B1246" s="42"/>
      <c r="C1246" s="30"/>
      <c r="D1246" s="30"/>
      <c r="E1246" s="30"/>
      <c r="F1246" s="30"/>
      <c r="G1246" s="30"/>
      <c r="H1246" s="47"/>
      <c r="I1246" s="63"/>
      <c r="J1246" s="31"/>
      <c r="K1246" s="31"/>
      <c r="L1246" s="32"/>
      <c r="M1246" s="32"/>
      <c r="N1246" s="32"/>
    </row>
    <row r="1247" spans="2:14" x14ac:dyDescent="0.25">
      <c r="B1247" s="42"/>
      <c r="C1247" s="30"/>
      <c r="D1247" s="30"/>
      <c r="E1247" s="30"/>
      <c r="F1247" s="30"/>
      <c r="G1247" s="30"/>
      <c r="H1247" s="47"/>
      <c r="I1247" s="63"/>
      <c r="J1247" s="31"/>
      <c r="K1247" s="31"/>
      <c r="L1247" s="32"/>
      <c r="M1247" s="32"/>
      <c r="N1247" s="32"/>
    </row>
    <row r="1248" spans="2:14" x14ac:dyDescent="0.25">
      <c r="B1248" s="42"/>
      <c r="C1248" s="30"/>
      <c r="D1248" s="30"/>
      <c r="E1248" s="30"/>
      <c r="F1248" s="30"/>
      <c r="G1248" s="30"/>
      <c r="H1248" s="47"/>
      <c r="I1248" s="63"/>
      <c r="J1248" s="31"/>
      <c r="K1248" s="31"/>
      <c r="L1248" s="32"/>
      <c r="M1248" s="32"/>
      <c r="N1248" s="32"/>
    </row>
    <row r="1249" spans="2:14" x14ac:dyDescent="0.25">
      <c r="B1249" s="42"/>
      <c r="C1249" s="30"/>
      <c r="D1249" s="30"/>
      <c r="E1249" s="30"/>
      <c r="F1249" s="30"/>
      <c r="G1249" s="30"/>
      <c r="H1249" s="47"/>
      <c r="I1249" s="63"/>
      <c r="J1249" s="31"/>
      <c r="K1249" s="31"/>
      <c r="L1249" s="32"/>
      <c r="M1249" s="32"/>
      <c r="N1249" s="32"/>
    </row>
    <row r="1250" spans="2:14" x14ac:dyDescent="0.25">
      <c r="B1250" s="42"/>
      <c r="C1250" s="30"/>
      <c r="D1250" s="30"/>
      <c r="E1250" s="30"/>
      <c r="F1250" s="30"/>
      <c r="G1250" s="30"/>
      <c r="H1250" s="47"/>
      <c r="I1250" s="63"/>
      <c r="J1250" s="31"/>
      <c r="K1250" s="31"/>
      <c r="L1250" s="32"/>
      <c r="M1250" s="32"/>
      <c r="N1250" s="32"/>
    </row>
    <row r="1251" spans="2:14" x14ac:dyDescent="0.25">
      <c r="B1251" s="42"/>
      <c r="C1251" s="30"/>
      <c r="D1251" s="30"/>
      <c r="E1251" s="30"/>
      <c r="F1251" s="30"/>
      <c r="G1251" s="30"/>
      <c r="H1251" s="47"/>
      <c r="I1251" s="63"/>
      <c r="J1251" s="31"/>
      <c r="K1251" s="31"/>
      <c r="L1251" s="32"/>
      <c r="M1251" s="32"/>
      <c r="N1251" s="32"/>
    </row>
    <row r="1252" spans="2:14" x14ac:dyDescent="0.25">
      <c r="B1252" s="42"/>
      <c r="C1252" s="30"/>
      <c r="D1252" s="30"/>
      <c r="E1252" s="30"/>
      <c r="F1252" s="30"/>
      <c r="G1252" s="30"/>
      <c r="H1252" s="47"/>
      <c r="I1252" s="63"/>
      <c r="J1252" s="31"/>
      <c r="K1252" s="31"/>
      <c r="L1252" s="32"/>
      <c r="M1252" s="32"/>
      <c r="N1252" s="32"/>
    </row>
    <row r="1253" spans="2:14" x14ac:dyDescent="0.25">
      <c r="B1253" s="42"/>
      <c r="C1253" s="30"/>
      <c r="D1253" s="30"/>
      <c r="E1253" s="30"/>
      <c r="F1253" s="30"/>
      <c r="G1253" s="30"/>
      <c r="H1253" s="47"/>
      <c r="I1253" s="63"/>
      <c r="J1253" s="31"/>
      <c r="K1253" s="31"/>
      <c r="L1253" s="32"/>
      <c r="M1253" s="32"/>
      <c r="N1253" s="32"/>
    </row>
    <row r="1254" spans="2:14" x14ac:dyDescent="0.25">
      <c r="B1254" s="42"/>
      <c r="C1254" s="30"/>
      <c r="D1254" s="30"/>
      <c r="E1254" s="30"/>
      <c r="F1254" s="30"/>
      <c r="G1254" s="30"/>
      <c r="H1254" s="47"/>
      <c r="I1254" s="63"/>
      <c r="J1254" s="31"/>
      <c r="K1254" s="31"/>
      <c r="L1254" s="32"/>
      <c r="M1254" s="32"/>
      <c r="N1254" s="32"/>
    </row>
    <row r="1255" spans="2:14" x14ac:dyDescent="0.25">
      <c r="B1255" s="42"/>
      <c r="C1255" s="30"/>
      <c r="D1255" s="30"/>
      <c r="E1255" s="30"/>
      <c r="F1255" s="30"/>
      <c r="G1255" s="30"/>
      <c r="H1255" s="47"/>
      <c r="I1255" s="63"/>
      <c r="J1255" s="31"/>
      <c r="K1255" s="31"/>
      <c r="L1255" s="32"/>
      <c r="M1255" s="32"/>
      <c r="N1255" s="32"/>
    </row>
    <row r="1256" spans="2:14" x14ac:dyDescent="0.25">
      <c r="B1256" s="42"/>
      <c r="C1256" s="30"/>
      <c r="D1256" s="30"/>
      <c r="E1256" s="30"/>
      <c r="F1256" s="30"/>
      <c r="G1256" s="30"/>
      <c r="H1256" s="47"/>
      <c r="I1256" s="63"/>
      <c r="J1256" s="31"/>
      <c r="K1256" s="31"/>
      <c r="L1256" s="32"/>
      <c r="M1256" s="32"/>
      <c r="N1256" s="32"/>
    </row>
    <row r="1257" spans="2:14" x14ac:dyDescent="0.25">
      <c r="B1257" s="42"/>
      <c r="C1257" s="30"/>
      <c r="D1257" s="30"/>
      <c r="E1257" s="30"/>
      <c r="F1257" s="30"/>
      <c r="G1257" s="30"/>
      <c r="H1257" s="47"/>
      <c r="I1257" s="63"/>
      <c r="J1257" s="31"/>
      <c r="K1257" s="31"/>
      <c r="L1257" s="32"/>
      <c r="M1257" s="32"/>
      <c r="N1257" s="32"/>
    </row>
    <row r="1258" spans="2:14" x14ac:dyDescent="0.25">
      <c r="B1258" s="42"/>
      <c r="C1258" s="30"/>
      <c r="D1258" s="30"/>
      <c r="E1258" s="30"/>
      <c r="F1258" s="30"/>
      <c r="G1258" s="30"/>
      <c r="H1258" s="47"/>
      <c r="I1258" s="63"/>
      <c r="J1258" s="31"/>
      <c r="K1258" s="31"/>
      <c r="L1258" s="32"/>
      <c r="M1258" s="32"/>
      <c r="N1258" s="32"/>
    </row>
    <row r="1259" spans="2:14" x14ac:dyDescent="0.25">
      <c r="B1259" s="42"/>
      <c r="C1259" s="30"/>
      <c r="D1259" s="30"/>
      <c r="E1259" s="30"/>
      <c r="F1259" s="30"/>
      <c r="G1259" s="30"/>
      <c r="H1259" s="47"/>
      <c r="I1259" s="63"/>
      <c r="J1259" s="31"/>
      <c r="K1259" s="31"/>
      <c r="L1259" s="32"/>
      <c r="M1259" s="32"/>
      <c r="N1259" s="32"/>
    </row>
    <row r="1260" spans="2:14" x14ac:dyDescent="0.25">
      <c r="B1260" s="42"/>
      <c r="C1260" s="30"/>
      <c r="D1260" s="30"/>
      <c r="E1260" s="30"/>
      <c r="F1260" s="30"/>
      <c r="G1260" s="30"/>
      <c r="H1260" s="47"/>
      <c r="I1260" s="63"/>
      <c r="J1260" s="31"/>
      <c r="K1260" s="31"/>
      <c r="L1260" s="32"/>
      <c r="M1260" s="32"/>
      <c r="N1260" s="32"/>
    </row>
    <row r="1261" spans="2:14" x14ac:dyDescent="0.25">
      <c r="B1261" s="42"/>
      <c r="C1261" s="30"/>
      <c r="D1261" s="30"/>
      <c r="E1261" s="30"/>
      <c r="F1261" s="30"/>
      <c r="G1261" s="30"/>
      <c r="H1261" s="47"/>
      <c r="I1261" s="63"/>
      <c r="J1261" s="31"/>
      <c r="K1261" s="31"/>
      <c r="L1261" s="32"/>
      <c r="M1261" s="32"/>
      <c r="N1261" s="32"/>
    </row>
    <row r="1262" spans="2:14" x14ac:dyDescent="0.25">
      <c r="B1262" s="42"/>
      <c r="C1262" s="30"/>
      <c r="D1262" s="30"/>
      <c r="E1262" s="30"/>
      <c r="F1262" s="30"/>
      <c r="G1262" s="30"/>
      <c r="H1262" s="47"/>
      <c r="I1262" s="63"/>
      <c r="J1262" s="31"/>
      <c r="K1262" s="31"/>
      <c r="L1262" s="32"/>
      <c r="M1262" s="32"/>
      <c r="N1262" s="32"/>
    </row>
    <row r="1263" spans="2:14" x14ac:dyDescent="0.25">
      <c r="B1263" s="42"/>
      <c r="C1263" s="30"/>
      <c r="D1263" s="30"/>
      <c r="E1263" s="30"/>
      <c r="F1263" s="30"/>
      <c r="G1263" s="30"/>
      <c r="H1263" s="47"/>
      <c r="I1263" s="63"/>
      <c r="J1263" s="31"/>
      <c r="K1263" s="31"/>
      <c r="L1263" s="32"/>
      <c r="M1263" s="32"/>
      <c r="N1263" s="32"/>
    </row>
    <row r="1264" spans="2:14" x14ac:dyDescent="0.25">
      <c r="B1264" s="42"/>
      <c r="C1264" s="30"/>
      <c r="D1264" s="30"/>
      <c r="E1264" s="30"/>
      <c r="F1264" s="30"/>
      <c r="G1264" s="30"/>
      <c r="H1264" s="47"/>
      <c r="I1264" s="63"/>
      <c r="J1264" s="31"/>
      <c r="K1264" s="31"/>
      <c r="L1264" s="32"/>
      <c r="M1264" s="32"/>
      <c r="N1264" s="32"/>
    </row>
    <row r="1265" spans="2:14" x14ac:dyDescent="0.25">
      <c r="B1265" s="42"/>
      <c r="C1265" s="30"/>
      <c r="D1265" s="30"/>
      <c r="E1265" s="30"/>
      <c r="F1265" s="30"/>
      <c r="G1265" s="30"/>
      <c r="H1265" s="47"/>
      <c r="I1265" s="63"/>
      <c r="J1265" s="31"/>
      <c r="K1265" s="31"/>
      <c r="L1265" s="32"/>
      <c r="M1265" s="32"/>
      <c r="N1265" s="32"/>
    </row>
    <row r="1266" spans="2:14" x14ac:dyDescent="0.25">
      <c r="B1266" s="42"/>
      <c r="C1266" s="30"/>
      <c r="D1266" s="30"/>
      <c r="E1266" s="30"/>
      <c r="F1266" s="30"/>
      <c r="G1266" s="30"/>
      <c r="H1266" s="47"/>
      <c r="I1266" s="63"/>
      <c r="J1266" s="31"/>
      <c r="K1266" s="31"/>
      <c r="L1266" s="32"/>
      <c r="M1266" s="32"/>
      <c r="N1266" s="32"/>
    </row>
    <row r="1267" spans="2:14" x14ac:dyDescent="0.25">
      <c r="B1267" s="42"/>
      <c r="C1267" s="30"/>
      <c r="D1267" s="30"/>
      <c r="E1267" s="30"/>
      <c r="F1267" s="30"/>
      <c r="G1267" s="30"/>
      <c r="H1267" s="47"/>
      <c r="I1267" s="63"/>
      <c r="J1267" s="31"/>
      <c r="K1267" s="31"/>
      <c r="L1267" s="32"/>
      <c r="M1267" s="32"/>
      <c r="N1267" s="32"/>
    </row>
    <row r="1268" spans="2:14" x14ac:dyDescent="0.25">
      <c r="B1268" s="42"/>
      <c r="C1268" s="30"/>
      <c r="D1268" s="30"/>
      <c r="E1268" s="30"/>
      <c r="F1268" s="30"/>
      <c r="G1268" s="30"/>
      <c r="H1268" s="47"/>
      <c r="I1268" s="63"/>
      <c r="J1268" s="31"/>
      <c r="K1268" s="31"/>
      <c r="L1268" s="32"/>
      <c r="M1268" s="32"/>
      <c r="N1268" s="32"/>
    </row>
    <row r="1269" spans="2:14" x14ac:dyDescent="0.25">
      <c r="B1269" s="42"/>
      <c r="C1269" s="30"/>
      <c r="D1269" s="30"/>
      <c r="E1269" s="30"/>
      <c r="F1269" s="30"/>
      <c r="G1269" s="30"/>
      <c r="H1269" s="47"/>
      <c r="I1269" s="63"/>
      <c r="J1269" s="31"/>
      <c r="K1269" s="31"/>
      <c r="L1269" s="32"/>
      <c r="M1269" s="32"/>
      <c r="N1269" s="32"/>
    </row>
    <row r="1270" spans="2:14" x14ac:dyDescent="0.25">
      <c r="B1270" s="42"/>
      <c r="C1270" s="30"/>
      <c r="D1270" s="30"/>
      <c r="E1270" s="30"/>
      <c r="F1270" s="30"/>
      <c r="G1270" s="30"/>
      <c r="H1270" s="47"/>
      <c r="I1270" s="63"/>
      <c r="J1270" s="31"/>
      <c r="K1270" s="31"/>
      <c r="L1270" s="32"/>
      <c r="M1270" s="32"/>
      <c r="N1270" s="32"/>
    </row>
    <row r="1271" spans="2:14" x14ac:dyDescent="0.25">
      <c r="B1271" s="42"/>
      <c r="C1271" s="30"/>
      <c r="D1271" s="30"/>
      <c r="E1271" s="30"/>
      <c r="F1271" s="30"/>
      <c r="G1271" s="30"/>
      <c r="H1271" s="47"/>
      <c r="I1271" s="63"/>
      <c r="J1271" s="31"/>
      <c r="K1271" s="31"/>
      <c r="L1271" s="32"/>
      <c r="M1271" s="32"/>
      <c r="N1271" s="32"/>
    </row>
    <row r="1272" spans="2:14" x14ac:dyDescent="0.25">
      <c r="B1272" s="42"/>
      <c r="C1272" s="30"/>
      <c r="D1272" s="30"/>
      <c r="E1272" s="30"/>
      <c r="F1272" s="30"/>
      <c r="G1272" s="30"/>
      <c r="H1272" s="47"/>
      <c r="I1272" s="63"/>
      <c r="J1272" s="31"/>
      <c r="K1272" s="31"/>
      <c r="L1272" s="32"/>
      <c r="M1272" s="32"/>
      <c r="N1272" s="32"/>
    </row>
    <row r="1273" spans="2:14" x14ac:dyDescent="0.25">
      <c r="B1273" s="42"/>
      <c r="C1273" s="30"/>
      <c r="D1273" s="30"/>
      <c r="E1273" s="30"/>
      <c r="F1273" s="30"/>
      <c r="G1273" s="30"/>
      <c r="H1273" s="47"/>
      <c r="I1273" s="63"/>
      <c r="J1273" s="31"/>
      <c r="K1273" s="31"/>
      <c r="L1273" s="32"/>
      <c r="M1273" s="32"/>
      <c r="N1273" s="32"/>
    </row>
    <row r="1274" spans="2:14" x14ac:dyDescent="0.25">
      <c r="B1274" s="42"/>
      <c r="C1274" s="30"/>
      <c r="D1274" s="30"/>
      <c r="E1274" s="30"/>
      <c r="F1274" s="30"/>
      <c r="G1274" s="30"/>
      <c r="H1274" s="47"/>
      <c r="I1274" s="63"/>
      <c r="J1274" s="31"/>
      <c r="K1274" s="31"/>
      <c r="L1274" s="32"/>
      <c r="M1274" s="32"/>
      <c r="N1274" s="32"/>
    </row>
    <row r="1275" spans="2:14" x14ac:dyDescent="0.25">
      <c r="B1275" s="42"/>
      <c r="C1275" s="30"/>
      <c r="D1275" s="30"/>
      <c r="E1275" s="30"/>
      <c r="F1275" s="30"/>
      <c r="G1275" s="30"/>
      <c r="H1275" s="47"/>
      <c r="I1275" s="63"/>
      <c r="J1275" s="31"/>
      <c r="K1275" s="31"/>
      <c r="L1275" s="32"/>
      <c r="M1275" s="32"/>
      <c r="N1275" s="32"/>
    </row>
    <row r="1276" spans="2:14" x14ac:dyDescent="0.25">
      <c r="B1276" s="42"/>
      <c r="C1276" s="30"/>
      <c r="D1276" s="30"/>
      <c r="E1276" s="30"/>
      <c r="F1276" s="30"/>
      <c r="G1276" s="30"/>
      <c r="H1276" s="47"/>
      <c r="I1276" s="63"/>
      <c r="J1276" s="31"/>
      <c r="K1276" s="31"/>
      <c r="L1276" s="32"/>
      <c r="M1276" s="32"/>
      <c r="N1276" s="32"/>
    </row>
    <row r="1277" spans="2:14" x14ac:dyDescent="0.25">
      <c r="B1277" s="42"/>
      <c r="C1277" s="30"/>
      <c r="D1277" s="30"/>
      <c r="E1277" s="30"/>
      <c r="F1277" s="30"/>
      <c r="G1277" s="30"/>
      <c r="H1277" s="47"/>
      <c r="I1277" s="63"/>
      <c r="J1277" s="31"/>
      <c r="K1277" s="31"/>
      <c r="L1277" s="32"/>
      <c r="M1277" s="32"/>
      <c r="N1277" s="32"/>
    </row>
    <row r="1278" spans="2:14" x14ac:dyDescent="0.25">
      <c r="B1278" s="42"/>
      <c r="C1278" s="30"/>
      <c r="D1278" s="30"/>
      <c r="E1278" s="30"/>
      <c r="F1278" s="30"/>
      <c r="G1278" s="30"/>
      <c r="H1278" s="47"/>
      <c r="I1278" s="63"/>
      <c r="J1278" s="31"/>
      <c r="K1278" s="31"/>
      <c r="L1278" s="32"/>
      <c r="M1278" s="32"/>
      <c r="N1278" s="32"/>
    </row>
    <row r="1279" spans="2:14" x14ac:dyDescent="0.25">
      <c r="B1279" s="42"/>
      <c r="C1279" s="30"/>
      <c r="D1279" s="30"/>
      <c r="E1279" s="30"/>
      <c r="F1279" s="30"/>
      <c r="G1279" s="30"/>
      <c r="H1279" s="47"/>
      <c r="I1279" s="63"/>
      <c r="J1279" s="31"/>
      <c r="K1279" s="31"/>
      <c r="L1279" s="32"/>
      <c r="M1279" s="32"/>
      <c r="N1279" s="32"/>
    </row>
    <row r="1280" spans="2:14" x14ac:dyDescent="0.25">
      <c r="B1280" s="42"/>
      <c r="C1280" s="30"/>
      <c r="D1280" s="30"/>
      <c r="E1280" s="30"/>
      <c r="F1280" s="30"/>
      <c r="G1280" s="30"/>
      <c r="H1280" s="47"/>
      <c r="I1280" s="63"/>
      <c r="J1280" s="31"/>
      <c r="K1280" s="31"/>
      <c r="L1280" s="32"/>
      <c r="M1280" s="32"/>
      <c r="N1280" s="32"/>
    </row>
    <row r="1281" spans="2:14" x14ac:dyDescent="0.25">
      <c r="B1281" s="42"/>
      <c r="C1281" s="30"/>
      <c r="D1281" s="30"/>
      <c r="E1281" s="30"/>
      <c r="F1281" s="30"/>
      <c r="G1281" s="30"/>
      <c r="H1281" s="47"/>
      <c r="I1281" s="63"/>
      <c r="J1281" s="31"/>
      <c r="K1281" s="31"/>
      <c r="L1281" s="32"/>
      <c r="M1281" s="32"/>
      <c r="N1281" s="32"/>
    </row>
    <row r="1282" spans="2:14" x14ac:dyDescent="0.25">
      <c r="B1282" s="42"/>
      <c r="C1282" s="30"/>
      <c r="D1282" s="30"/>
      <c r="E1282" s="30"/>
      <c r="F1282" s="30"/>
      <c r="G1282" s="30"/>
      <c r="H1282" s="47"/>
      <c r="I1282" s="63"/>
      <c r="J1282" s="31"/>
      <c r="K1282" s="31"/>
      <c r="L1282" s="32"/>
      <c r="M1282" s="32"/>
      <c r="N1282" s="32"/>
    </row>
    <row r="1283" spans="2:14" x14ac:dyDescent="0.25">
      <c r="B1283" s="42"/>
      <c r="C1283" s="30"/>
      <c r="D1283" s="30"/>
      <c r="E1283" s="30"/>
      <c r="F1283" s="30"/>
      <c r="G1283" s="30"/>
      <c r="H1283" s="47"/>
      <c r="I1283" s="63"/>
      <c r="J1283" s="31"/>
      <c r="K1283" s="31"/>
      <c r="L1283" s="32"/>
      <c r="M1283" s="32"/>
      <c r="N1283" s="32"/>
    </row>
    <row r="1284" spans="2:14" x14ac:dyDescent="0.25">
      <c r="B1284" s="42"/>
      <c r="C1284" s="30"/>
      <c r="D1284" s="30"/>
      <c r="E1284" s="30"/>
      <c r="F1284" s="30"/>
      <c r="G1284" s="30"/>
      <c r="H1284" s="47"/>
      <c r="I1284" s="63"/>
      <c r="J1284" s="31"/>
      <c r="K1284" s="31"/>
      <c r="L1284" s="32"/>
      <c r="M1284" s="32"/>
      <c r="N1284" s="32"/>
    </row>
    <row r="1285" spans="2:14" x14ac:dyDescent="0.25">
      <c r="B1285" s="42"/>
      <c r="C1285" s="30"/>
      <c r="D1285" s="30"/>
      <c r="E1285" s="30"/>
      <c r="F1285" s="30"/>
      <c r="G1285" s="30"/>
      <c r="H1285" s="47"/>
      <c r="I1285" s="63"/>
      <c r="J1285" s="31"/>
      <c r="K1285" s="31"/>
      <c r="L1285" s="32"/>
      <c r="M1285" s="32"/>
      <c r="N1285" s="32"/>
    </row>
    <row r="1286" spans="2:14" x14ac:dyDescent="0.25">
      <c r="B1286" s="42"/>
      <c r="C1286" s="30"/>
      <c r="D1286" s="30"/>
      <c r="E1286" s="30"/>
      <c r="F1286" s="30"/>
      <c r="G1286" s="30"/>
      <c r="H1286" s="47"/>
      <c r="I1286" s="63"/>
      <c r="J1286" s="31"/>
      <c r="K1286" s="31"/>
      <c r="L1286" s="32"/>
      <c r="M1286" s="32"/>
      <c r="N1286" s="32"/>
    </row>
    <row r="1287" spans="2:14" x14ac:dyDescent="0.25">
      <c r="B1287" s="42"/>
      <c r="C1287" s="30"/>
      <c r="D1287" s="30"/>
      <c r="E1287" s="30"/>
      <c r="F1287" s="30"/>
      <c r="G1287" s="30"/>
      <c r="H1287" s="47"/>
      <c r="I1287" s="63"/>
      <c r="J1287" s="31"/>
      <c r="K1287" s="31"/>
      <c r="L1287" s="32"/>
      <c r="M1287" s="32"/>
      <c r="N1287" s="32"/>
    </row>
    <row r="1288" spans="2:14" x14ac:dyDescent="0.25">
      <c r="B1288" s="42"/>
      <c r="C1288" s="30"/>
      <c r="D1288" s="30"/>
      <c r="E1288" s="30"/>
      <c r="F1288" s="30"/>
      <c r="G1288" s="30"/>
      <c r="H1288" s="47"/>
      <c r="I1288" s="63"/>
      <c r="J1288" s="31"/>
      <c r="K1288" s="31"/>
      <c r="L1288" s="32"/>
      <c r="M1288" s="32"/>
      <c r="N1288" s="32"/>
    </row>
    <row r="1289" spans="2:14" x14ac:dyDescent="0.25">
      <c r="B1289" s="42"/>
      <c r="C1289" s="30"/>
      <c r="D1289" s="30"/>
      <c r="E1289" s="30"/>
      <c r="F1289" s="30"/>
      <c r="G1289" s="30"/>
      <c r="H1289" s="47"/>
      <c r="I1289" s="63"/>
      <c r="J1289" s="31"/>
      <c r="K1289" s="31"/>
      <c r="L1289" s="32"/>
      <c r="M1289" s="32"/>
      <c r="N1289" s="32"/>
    </row>
    <row r="1290" spans="2:14" x14ac:dyDescent="0.25">
      <c r="B1290" s="42"/>
      <c r="C1290" s="30"/>
      <c r="D1290" s="30"/>
      <c r="E1290" s="30"/>
      <c r="F1290" s="30"/>
      <c r="G1290" s="30"/>
      <c r="H1290" s="47"/>
      <c r="I1290" s="63"/>
      <c r="J1290" s="31"/>
      <c r="K1290" s="31"/>
      <c r="L1290" s="32"/>
      <c r="M1290" s="32"/>
      <c r="N1290" s="32"/>
    </row>
    <row r="1291" spans="2:14" x14ac:dyDescent="0.25">
      <c r="B1291" s="42"/>
      <c r="C1291" s="30"/>
      <c r="D1291" s="30"/>
      <c r="E1291" s="30"/>
      <c r="F1291" s="30"/>
      <c r="G1291" s="30"/>
      <c r="H1291" s="47"/>
      <c r="I1291" s="63"/>
      <c r="J1291" s="31"/>
      <c r="K1291" s="31"/>
      <c r="L1291" s="32"/>
      <c r="M1291" s="32"/>
      <c r="N1291" s="32"/>
    </row>
    <row r="1292" spans="2:14" x14ac:dyDescent="0.25">
      <c r="B1292" s="42"/>
      <c r="C1292" s="30"/>
      <c r="D1292" s="30"/>
      <c r="E1292" s="30"/>
      <c r="F1292" s="30"/>
      <c r="G1292" s="30"/>
      <c r="H1292" s="47"/>
      <c r="I1292" s="63"/>
      <c r="J1292" s="31"/>
      <c r="K1292" s="31"/>
      <c r="L1292" s="32"/>
      <c r="M1292" s="32"/>
      <c r="N1292" s="32"/>
    </row>
    <row r="1293" spans="2:14" x14ac:dyDescent="0.25">
      <c r="B1293" s="42"/>
      <c r="C1293" s="30"/>
      <c r="D1293" s="30"/>
      <c r="E1293" s="30"/>
      <c r="F1293" s="30"/>
      <c r="G1293" s="30"/>
      <c r="H1293" s="47"/>
      <c r="I1293" s="63"/>
      <c r="J1293" s="31"/>
      <c r="K1293" s="31"/>
      <c r="L1293" s="32"/>
      <c r="M1293" s="32"/>
      <c r="N1293" s="32"/>
    </row>
    <row r="1294" spans="2:14" x14ac:dyDescent="0.25">
      <c r="B1294" s="42"/>
      <c r="C1294" s="30"/>
      <c r="D1294" s="30"/>
      <c r="E1294" s="30"/>
      <c r="F1294" s="30"/>
      <c r="G1294" s="30"/>
      <c r="H1294" s="47"/>
      <c r="I1294" s="63"/>
      <c r="J1294" s="31"/>
      <c r="K1294" s="31"/>
      <c r="L1294" s="32"/>
      <c r="M1294" s="32"/>
      <c r="N1294" s="32"/>
    </row>
    <row r="1295" spans="2:14" x14ac:dyDescent="0.25">
      <c r="B1295" s="42"/>
      <c r="C1295" s="30"/>
      <c r="D1295" s="30"/>
      <c r="E1295" s="30"/>
      <c r="F1295" s="30"/>
      <c r="G1295" s="30"/>
      <c r="H1295" s="47"/>
      <c r="I1295" s="63"/>
      <c r="J1295" s="31"/>
      <c r="K1295" s="31"/>
      <c r="L1295" s="32"/>
      <c r="M1295" s="32"/>
      <c r="N1295" s="32"/>
    </row>
    <row r="1296" spans="2:14" x14ac:dyDescent="0.25">
      <c r="B1296" s="42"/>
      <c r="C1296" s="30"/>
      <c r="D1296" s="30"/>
      <c r="E1296" s="30"/>
      <c r="F1296" s="30"/>
      <c r="G1296" s="30"/>
      <c r="H1296" s="47"/>
      <c r="I1296" s="63"/>
      <c r="J1296" s="31"/>
      <c r="K1296" s="31"/>
      <c r="L1296" s="32"/>
      <c r="M1296" s="32"/>
      <c r="N1296" s="32"/>
    </row>
    <row r="1297" spans="2:14" x14ac:dyDescent="0.25">
      <c r="B1297" s="42"/>
      <c r="C1297" s="30"/>
      <c r="D1297" s="30"/>
      <c r="E1297" s="30"/>
      <c r="F1297" s="30"/>
      <c r="G1297" s="30"/>
      <c r="H1297" s="47"/>
      <c r="I1297" s="63"/>
      <c r="J1297" s="31"/>
      <c r="K1297" s="31"/>
      <c r="L1297" s="32"/>
      <c r="M1297" s="32"/>
      <c r="N1297" s="32"/>
    </row>
    <row r="1298" spans="2:14" x14ac:dyDescent="0.25">
      <c r="B1298" s="42"/>
      <c r="C1298" s="30"/>
      <c r="D1298" s="30"/>
      <c r="E1298" s="30"/>
      <c r="F1298" s="30"/>
      <c r="G1298" s="30"/>
      <c r="H1298" s="47"/>
      <c r="I1298" s="63"/>
      <c r="J1298" s="31"/>
      <c r="K1298" s="31"/>
      <c r="L1298" s="32"/>
      <c r="M1298" s="32"/>
      <c r="N1298" s="32"/>
    </row>
    <row r="1299" spans="2:14" x14ac:dyDescent="0.25">
      <c r="B1299" s="42"/>
      <c r="C1299" s="30"/>
      <c r="D1299" s="30"/>
      <c r="E1299" s="30"/>
      <c r="F1299" s="30"/>
      <c r="G1299" s="30"/>
      <c r="H1299" s="47"/>
      <c r="I1299" s="63"/>
      <c r="J1299" s="31"/>
      <c r="K1299" s="31"/>
      <c r="L1299" s="32"/>
      <c r="M1299" s="32"/>
      <c r="N1299" s="32"/>
    </row>
    <row r="1300" spans="2:14" x14ac:dyDescent="0.25">
      <c r="B1300" s="42"/>
      <c r="C1300" s="30"/>
      <c r="D1300" s="30"/>
      <c r="E1300" s="30"/>
      <c r="F1300" s="30"/>
      <c r="G1300" s="30"/>
      <c r="H1300" s="47"/>
      <c r="I1300" s="63"/>
      <c r="J1300" s="31"/>
      <c r="K1300" s="31"/>
      <c r="L1300" s="32"/>
      <c r="M1300" s="32"/>
      <c r="N1300" s="32"/>
    </row>
    <row r="1301" spans="2:14" x14ac:dyDescent="0.25">
      <c r="B1301" s="42"/>
      <c r="C1301" s="30"/>
      <c r="D1301" s="30"/>
      <c r="E1301" s="30"/>
      <c r="F1301" s="30"/>
      <c r="G1301" s="30"/>
      <c r="H1301" s="47"/>
      <c r="I1301" s="63"/>
      <c r="J1301" s="31"/>
      <c r="K1301" s="31"/>
      <c r="L1301" s="32"/>
      <c r="M1301" s="32"/>
      <c r="N1301" s="32"/>
    </row>
    <row r="1302" spans="2:14" x14ac:dyDescent="0.25">
      <c r="B1302" s="42"/>
      <c r="C1302" s="30"/>
      <c r="D1302" s="30"/>
      <c r="E1302" s="30"/>
      <c r="F1302" s="30"/>
      <c r="G1302" s="30"/>
      <c r="H1302" s="47"/>
      <c r="I1302" s="63"/>
      <c r="J1302" s="31"/>
      <c r="K1302" s="31"/>
      <c r="L1302" s="32"/>
      <c r="M1302" s="32"/>
      <c r="N1302" s="32"/>
    </row>
    <row r="1303" spans="2:14" x14ac:dyDescent="0.25">
      <c r="B1303" s="42"/>
      <c r="C1303" s="30"/>
      <c r="D1303" s="30"/>
      <c r="E1303" s="30"/>
      <c r="F1303" s="30"/>
      <c r="G1303" s="30"/>
      <c r="H1303" s="47"/>
      <c r="I1303" s="63"/>
      <c r="J1303" s="31"/>
      <c r="K1303" s="31"/>
      <c r="L1303" s="32"/>
      <c r="M1303" s="32"/>
      <c r="N1303" s="32"/>
    </row>
    <row r="1304" spans="2:14" x14ac:dyDescent="0.25">
      <c r="B1304" s="42"/>
      <c r="C1304" s="30"/>
      <c r="D1304" s="30"/>
      <c r="E1304" s="30"/>
      <c r="F1304" s="30"/>
      <c r="G1304" s="30"/>
      <c r="H1304" s="47"/>
      <c r="I1304" s="63"/>
      <c r="J1304" s="31"/>
      <c r="K1304" s="31"/>
      <c r="L1304" s="32"/>
      <c r="M1304" s="32"/>
      <c r="N1304" s="32"/>
    </row>
    <row r="1305" spans="2:14" x14ac:dyDescent="0.25">
      <c r="B1305" s="42"/>
      <c r="C1305" s="30"/>
      <c r="D1305" s="30"/>
      <c r="E1305" s="30"/>
      <c r="F1305" s="30"/>
      <c r="G1305" s="30"/>
      <c r="H1305" s="47"/>
      <c r="I1305" s="63"/>
      <c r="J1305" s="31"/>
      <c r="K1305" s="31"/>
      <c r="L1305" s="32"/>
      <c r="M1305" s="32"/>
      <c r="N1305" s="32"/>
    </row>
    <row r="1306" spans="2:14" x14ac:dyDescent="0.25">
      <c r="B1306" s="42"/>
      <c r="C1306" s="30"/>
      <c r="D1306" s="30"/>
      <c r="E1306" s="30"/>
      <c r="F1306" s="30"/>
      <c r="G1306" s="30"/>
      <c r="H1306" s="47"/>
      <c r="I1306" s="63"/>
      <c r="J1306" s="31"/>
      <c r="K1306" s="31"/>
      <c r="L1306" s="32"/>
      <c r="M1306" s="32"/>
      <c r="N1306" s="32"/>
    </row>
    <row r="1307" spans="2:14" x14ac:dyDescent="0.25">
      <c r="B1307" s="42"/>
      <c r="C1307" s="30"/>
      <c r="D1307" s="30"/>
      <c r="E1307" s="30"/>
      <c r="F1307" s="30"/>
      <c r="G1307" s="30"/>
      <c r="H1307" s="47"/>
      <c r="I1307" s="63"/>
      <c r="J1307" s="31"/>
      <c r="K1307" s="31"/>
      <c r="L1307" s="32"/>
      <c r="M1307" s="32"/>
      <c r="N1307" s="32"/>
    </row>
    <row r="1308" spans="2:14" x14ac:dyDescent="0.25">
      <c r="B1308" s="42"/>
      <c r="C1308" s="30"/>
      <c r="D1308" s="30"/>
      <c r="E1308" s="30"/>
      <c r="F1308" s="30"/>
      <c r="G1308" s="30"/>
      <c r="H1308" s="47"/>
      <c r="I1308" s="63"/>
      <c r="J1308" s="31"/>
      <c r="K1308" s="31"/>
      <c r="L1308" s="32"/>
      <c r="M1308" s="32"/>
      <c r="N1308" s="32"/>
    </row>
    <row r="1309" spans="2:14" x14ac:dyDescent="0.25">
      <c r="B1309" s="42"/>
      <c r="C1309" s="30"/>
      <c r="D1309" s="30"/>
      <c r="E1309" s="30"/>
      <c r="F1309" s="30"/>
      <c r="G1309" s="30"/>
      <c r="H1309" s="47"/>
      <c r="I1309" s="63"/>
      <c r="J1309" s="31"/>
      <c r="K1309" s="31"/>
      <c r="L1309" s="32"/>
      <c r="M1309" s="32"/>
      <c r="N1309" s="32"/>
    </row>
    <row r="1310" spans="2:14" x14ac:dyDescent="0.25">
      <c r="B1310" s="42"/>
      <c r="C1310" s="30"/>
      <c r="D1310" s="30"/>
      <c r="E1310" s="30"/>
      <c r="F1310" s="30"/>
      <c r="G1310" s="30"/>
      <c r="H1310" s="47"/>
      <c r="I1310" s="63"/>
      <c r="J1310" s="31"/>
      <c r="K1310" s="31"/>
      <c r="L1310" s="32"/>
      <c r="M1310" s="32"/>
      <c r="N1310" s="32"/>
    </row>
    <row r="1311" spans="2:14" x14ac:dyDescent="0.25">
      <c r="B1311" s="42"/>
      <c r="C1311" s="30"/>
      <c r="D1311" s="30"/>
      <c r="E1311" s="30"/>
      <c r="F1311" s="30"/>
      <c r="G1311" s="30"/>
      <c r="H1311" s="47"/>
      <c r="I1311" s="63"/>
      <c r="J1311" s="31"/>
      <c r="K1311" s="31"/>
      <c r="L1311" s="32"/>
      <c r="M1311" s="32"/>
      <c r="N1311" s="32"/>
    </row>
    <row r="1312" spans="2:14" x14ac:dyDescent="0.25">
      <c r="B1312" s="42"/>
      <c r="C1312" s="30"/>
      <c r="D1312" s="30"/>
      <c r="E1312" s="30"/>
      <c r="F1312" s="30"/>
      <c r="G1312" s="30"/>
      <c r="H1312" s="47"/>
      <c r="I1312" s="63"/>
      <c r="J1312" s="31"/>
      <c r="K1312" s="31"/>
      <c r="L1312" s="32"/>
      <c r="M1312" s="32"/>
      <c r="N1312" s="32"/>
    </row>
    <row r="1313" spans="2:14" x14ac:dyDescent="0.25">
      <c r="B1313" s="42"/>
      <c r="C1313" s="30"/>
      <c r="D1313" s="30"/>
      <c r="E1313" s="30"/>
      <c r="F1313" s="30"/>
      <c r="G1313" s="30"/>
      <c r="H1313" s="47"/>
      <c r="I1313" s="63"/>
      <c r="J1313" s="31"/>
      <c r="K1313" s="31"/>
      <c r="L1313" s="32"/>
      <c r="M1313" s="32"/>
      <c r="N1313" s="32"/>
    </row>
    <row r="1314" spans="2:14" x14ac:dyDescent="0.25">
      <c r="B1314" s="42"/>
      <c r="C1314" s="30"/>
      <c r="D1314" s="30"/>
      <c r="E1314" s="30"/>
      <c r="F1314" s="30"/>
      <c r="G1314" s="30"/>
      <c r="H1314" s="47"/>
      <c r="I1314" s="63"/>
      <c r="J1314" s="31"/>
      <c r="K1314" s="31"/>
      <c r="L1314" s="32"/>
      <c r="M1314" s="32"/>
      <c r="N1314" s="32"/>
    </row>
    <row r="1315" spans="2:14" x14ac:dyDescent="0.25">
      <c r="B1315" s="42"/>
      <c r="C1315" s="30"/>
      <c r="D1315" s="30"/>
      <c r="E1315" s="30"/>
      <c r="F1315" s="30"/>
      <c r="G1315" s="30"/>
      <c r="H1315" s="47"/>
      <c r="I1315" s="63"/>
      <c r="J1315" s="31"/>
      <c r="K1315" s="31"/>
      <c r="L1315" s="32"/>
      <c r="M1315" s="32"/>
      <c r="N1315" s="32"/>
    </row>
    <row r="1316" spans="2:14" x14ac:dyDescent="0.25">
      <c r="B1316" s="42"/>
      <c r="C1316" s="30"/>
      <c r="D1316" s="30"/>
      <c r="E1316" s="30"/>
      <c r="F1316" s="30"/>
      <c r="G1316" s="30"/>
      <c r="H1316" s="47"/>
      <c r="I1316" s="63"/>
      <c r="J1316" s="31"/>
      <c r="K1316" s="31"/>
      <c r="L1316" s="32"/>
      <c r="M1316" s="32"/>
      <c r="N1316" s="32"/>
    </row>
    <row r="1317" spans="2:14" x14ac:dyDescent="0.25">
      <c r="B1317" s="42"/>
      <c r="C1317" s="30"/>
      <c r="D1317" s="30"/>
      <c r="E1317" s="30"/>
      <c r="F1317" s="30"/>
      <c r="G1317" s="30"/>
      <c r="H1317" s="47"/>
      <c r="I1317" s="63"/>
      <c r="J1317" s="31"/>
      <c r="K1317" s="31"/>
      <c r="L1317" s="32"/>
      <c r="M1317" s="32"/>
      <c r="N1317" s="32"/>
    </row>
    <row r="1318" spans="2:14" x14ac:dyDescent="0.25">
      <c r="B1318" s="42"/>
      <c r="C1318" s="30"/>
      <c r="D1318" s="30"/>
      <c r="E1318" s="30"/>
      <c r="F1318" s="30"/>
      <c r="G1318" s="30"/>
      <c r="H1318" s="47"/>
      <c r="I1318" s="63"/>
      <c r="J1318" s="31"/>
      <c r="K1318" s="31"/>
      <c r="L1318" s="32"/>
      <c r="M1318" s="32"/>
      <c r="N1318" s="32"/>
    </row>
    <row r="1319" spans="2:14" x14ac:dyDescent="0.25">
      <c r="B1319" s="42"/>
      <c r="C1319" s="30"/>
      <c r="D1319" s="30"/>
      <c r="E1319" s="30"/>
      <c r="F1319" s="30"/>
      <c r="G1319" s="30"/>
      <c r="H1319" s="47"/>
      <c r="I1319" s="63"/>
      <c r="J1319" s="31"/>
      <c r="K1319" s="31"/>
      <c r="L1319" s="32"/>
      <c r="M1319" s="32"/>
      <c r="N1319" s="32"/>
    </row>
    <row r="1320" spans="2:14" x14ac:dyDescent="0.25">
      <c r="B1320" s="42"/>
      <c r="C1320" s="30"/>
      <c r="D1320" s="30"/>
      <c r="E1320" s="30"/>
      <c r="F1320" s="30"/>
      <c r="G1320" s="30"/>
      <c r="H1320" s="47"/>
      <c r="I1320" s="63"/>
      <c r="J1320" s="31"/>
      <c r="K1320" s="31"/>
      <c r="L1320" s="32"/>
      <c r="M1320" s="32"/>
      <c r="N1320" s="32"/>
    </row>
    <row r="1321" spans="2:14" x14ac:dyDescent="0.25">
      <c r="B1321" s="42"/>
      <c r="C1321" s="30"/>
      <c r="D1321" s="30"/>
      <c r="E1321" s="30"/>
      <c r="F1321" s="30"/>
      <c r="G1321" s="30"/>
      <c r="H1321" s="47"/>
      <c r="I1321" s="63"/>
      <c r="J1321" s="31"/>
      <c r="K1321" s="31"/>
      <c r="L1321" s="32"/>
      <c r="M1321" s="32"/>
      <c r="N1321" s="32"/>
    </row>
    <row r="1322" spans="2:14" x14ac:dyDescent="0.25">
      <c r="B1322" s="42"/>
      <c r="C1322" s="30"/>
      <c r="D1322" s="30"/>
      <c r="E1322" s="30"/>
      <c r="F1322" s="30"/>
      <c r="G1322" s="30"/>
      <c r="H1322" s="47"/>
      <c r="I1322" s="63"/>
      <c r="J1322" s="31"/>
      <c r="K1322" s="31"/>
      <c r="L1322" s="32"/>
      <c r="M1322" s="32"/>
      <c r="N1322" s="32"/>
    </row>
    <row r="1323" spans="2:14" x14ac:dyDescent="0.25">
      <c r="B1323" s="42"/>
      <c r="C1323" s="30"/>
      <c r="D1323" s="30"/>
      <c r="E1323" s="30"/>
      <c r="F1323" s="30"/>
      <c r="G1323" s="30"/>
      <c r="H1323" s="47"/>
      <c r="I1323" s="63"/>
      <c r="J1323" s="31"/>
      <c r="K1323" s="31"/>
      <c r="L1323" s="32"/>
      <c r="M1323" s="32"/>
      <c r="N1323" s="32"/>
    </row>
    <row r="1324" spans="2:14" x14ac:dyDescent="0.25">
      <c r="B1324" s="42"/>
      <c r="C1324" s="30"/>
      <c r="D1324" s="30"/>
      <c r="E1324" s="30"/>
      <c r="F1324" s="30"/>
      <c r="G1324" s="30"/>
      <c r="H1324" s="47"/>
      <c r="I1324" s="63"/>
      <c r="J1324" s="31"/>
      <c r="K1324" s="31"/>
      <c r="L1324" s="32"/>
      <c r="M1324" s="32"/>
      <c r="N1324" s="32"/>
    </row>
    <row r="1325" spans="2:14" x14ac:dyDescent="0.25">
      <c r="B1325" s="42"/>
      <c r="C1325" s="30"/>
      <c r="D1325" s="30"/>
      <c r="E1325" s="30"/>
      <c r="F1325" s="30"/>
      <c r="G1325" s="30"/>
      <c r="H1325" s="47"/>
      <c r="I1325" s="63"/>
      <c r="J1325" s="31"/>
      <c r="K1325" s="31"/>
      <c r="L1325" s="32"/>
      <c r="M1325" s="32"/>
      <c r="N1325" s="32"/>
    </row>
    <row r="1326" spans="2:14" x14ac:dyDescent="0.25">
      <c r="B1326" s="42"/>
      <c r="C1326" s="30"/>
      <c r="D1326" s="30"/>
      <c r="E1326" s="30"/>
      <c r="F1326" s="30"/>
      <c r="G1326" s="30"/>
      <c r="H1326" s="47"/>
      <c r="I1326" s="63"/>
      <c r="J1326" s="31"/>
      <c r="K1326" s="31"/>
      <c r="L1326" s="32"/>
      <c r="M1326" s="32"/>
      <c r="N1326" s="32"/>
    </row>
    <row r="1327" spans="2:14" x14ac:dyDescent="0.25">
      <c r="B1327" s="42"/>
      <c r="C1327" s="30"/>
      <c r="D1327" s="30"/>
      <c r="E1327" s="30"/>
      <c r="F1327" s="30"/>
      <c r="G1327" s="30"/>
      <c r="H1327" s="47"/>
      <c r="I1327" s="63"/>
      <c r="J1327" s="31"/>
      <c r="K1327" s="31"/>
      <c r="L1327" s="32"/>
      <c r="M1327" s="32"/>
      <c r="N1327" s="32"/>
    </row>
    <row r="1328" spans="2:14" x14ac:dyDescent="0.25">
      <c r="B1328" s="42"/>
      <c r="C1328" s="30"/>
      <c r="D1328" s="30"/>
      <c r="E1328" s="30"/>
      <c r="F1328" s="30"/>
      <c r="G1328" s="30"/>
      <c r="H1328" s="47"/>
      <c r="I1328" s="63"/>
      <c r="J1328" s="31"/>
      <c r="K1328" s="31"/>
      <c r="L1328" s="32"/>
      <c r="M1328" s="32"/>
      <c r="N1328" s="32"/>
    </row>
    <row r="1329" spans="2:14" x14ac:dyDescent="0.25">
      <c r="B1329" s="42"/>
      <c r="C1329" s="30"/>
      <c r="D1329" s="30"/>
      <c r="E1329" s="30"/>
      <c r="F1329" s="30"/>
      <c r="G1329" s="30"/>
      <c r="H1329" s="47"/>
      <c r="I1329" s="63"/>
      <c r="J1329" s="31"/>
      <c r="K1329" s="31"/>
      <c r="L1329" s="32"/>
      <c r="M1329" s="32"/>
      <c r="N1329" s="32"/>
    </row>
    <row r="1330" spans="2:14" x14ac:dyDescent="0.25">
      <c r="B1330" s="42"/>
      <c r="C1330" s="30"/>
      <c r="D1330" s="30"/>
      <c r="E1330" s="30"/>
      <c r="F1330" s="30"/>
      <c r="G1330" s="30"/>
      <c r="H1330" s="47"/>
      <c r="I1330" s="63"/>
      <c r="J1330" s="31"/>
      <c r="K1330" s="31"/>
      <c r="L1330" s="32"/>
      <c r="M1330" s="32"/>
      <c r="N1330" s="32"/>
    </row>
    <row r="1331" spans="2:14" x14ac:dyDescent="0.25">
      <c r="B1331" s="42"/>
      <c r="C1331" s="30"/>
      <c r="D1331" s="30"/>
      <c r="E1331" s="30"/>
      <c r="F1331" s="30"/>
      <c r="G1331" s="30"/>
      <c r="H1331" s="47"/>
      <c r="I1331" s="63"/>
      <c r="J1331" s="31"/>
      <c r="K1331" s="31"/>
      <c r="L1331" s="32"/>
      <c r="M1331" s="32"/>
      <c r="N1331" s="32"/>
    </row>
    <row r="1332" spans="2:14" x14ac:dyDescent="0.25">
      <c r="B1332" s="42"/>
      <c r="C1332" s="30"/>
      <c r="D1332" s="30"/>
      <c r="E1332" s="30"/>
      <c r="F1332" s="30"/>
      <c r="G1332" s="30"/>
      <c r="H1332" s="47"/>
      <c r="I1332" s="63"/>
      <c r="J1332" s="31"/>
      <c r="K1332" s="31"/>
      <c r="L1332" s="32"/>
      <c r="M1332" s="32"/>
      <c r="N1332" s="32"/>
    </row>
    <row r="1333" spans="2:14" x14ac:dyDescent="0.25">
      <c r="B1333" s="42"/>
      <c r="C1333" s="30"/>
      <c r="D1333" s="30"/>
      <c r="E1333" s="30"/>
      <c r="F1333" s="30"/>
      <c r="G1333" s="30"/>
      <c r="H1333" s="47"/>
      <c r="I1333" s="63"/>
      <c r="J1333" s="31"/>
      <c r="K1333" s="31"/>
      <c r="L1333" s="32"/>
      <c r="M1333" s="32"/>
      <c r="N1333" s="32"/>
    </row>
    <row r="1334" spans="2:14" x14ac:dyDescent="0.25">
      <c r="B1334" s="42"/>
      <c r="C1334" s="30"/>
      <c r="D1334" s="30"/>
      <c r="E1334" s="30"/>
      <c r="F1334" s="30"/>
      <c r="G1334" s="30"/>
      <c r="H1334" s="47"/>
      <c r="I1334" s="63"/>
      <c r="J1334" s="31"/>
      <c r="K1334" s="31"/>
      <c r="L1334" s="32"/>
      <c r="M1334" s="32"/>
      <c r="N1334" s="32"/>
    </row>
    <row r="1335" spans="2:14" x14ac:dyDescent="0.25">
      <c r="B1335" s="42"/>
      <c r="C1335" s="30"/>
      <c r="D1335" s="30"/>
      <c r="E1335" s="30"/>
      <c r="F1335" s="30"/>
      <c r="G1335" s="30"/>
      <c r="H1335" s="47"/>
      <c r="I1335" s="63"/>
      <c r="J1335" s="31"/>
      <c r="K1335" s="31"/>
      <c r="L1335" s="32"/>
      <c r="M1335" s="32"/>
      <c r="N1335" s="32"/>
    </row>
    <row r="1336" spans="2:14" x14ac:dyDescent="0.25">
      <c r="B1336" s="42"/>
      <c r="C1336" s="30"/>
      <c r="D1336" s="30"/>
      <c r="E1336" s="30"/>
      <c r="F1336" s="30"/>
      <c r="G1336" s="30"/>
      <c r="H1336" s="47"/>
      <c r="I1336" s="63"/>
      <c r="J1336" s="31"/>
      <c r="K1336" s="31"/>
      <c r="L1336" s="32"/>
      <c r="M1336" s="32"/>
      <c r="N1336" s="32"/>
    </row>
    <row r="1337" spans="2:14" x14ac:dyDescent="0.25">
      <c r="B1337" s="42"/>
      <c r="C1337" s="30"/>
      <c r="D1337" s="30"/>
      <c r="E1337" s="30"/>
      <c r="F1337" s="30"/>
      <c r="G1337" s="30"/>
      <c r="H1337" s="47"/>
      <c r="I1337" s="63"/>
      <c r="J1337" s="31"/>
      <c r="K1337" s="31"/>
      <c r="L1337" s="32"/>
      <c r="M1337" s="32"/>
      <c r="N1337" s="32"/>
    </row>
    <row r="1338" spans="2:14" x14ac:dyDescent="0.25">
      <c r="B1338" s="42"/>
      <c r="C1338" s="30"/>
      <c r="D1338" s="30"/>
      <c r="E1338" s="30"/>
      <c r="F1338" s="30"/>
      <c r="G1338" s="30"/>
      <c r="H1338" s="47"/>
      <c r="I1338" s="63"/>
      <c r="J1338" s="31"/>
      <c r="K1338" s="31"/>
      <c r="L1338" s="32"/>
      <c r="M1338" s="32"/>
      <c r="N1338" s="32"/>
    </row>
    <row r="1339" spans="2:14" x14ac:dyDescent="0.25">
      <c r="B1339" s="42"/>
      <c r="C1339" s="30"/>
      <c r="D1339" s="30"/>
      <c r="E1339" s="30"/>
      <c r="F1339" s="30"/>
      <c r="G1339" s="30"/>
      <c r="H1339" s="47"/>
      <c r="I1339" s="63"/>
      <c r="J1339" s="31"/>
      <c r="K1339" s="31"/>
      <c r="L1339" s="32"/>
      <c r="M1339" s="32"/>
      <c r="N1339" s="32"/>
    </row>
    <row r="1340" spans="2:14" x14ac:dyDescent="0.25">
      <c r="B1340" s="42"/>
      <c r="C1340" s="30"/>
      <c r="D1340" s="30"/>
      <c r="E1340" s="30"/>
      <c r="F1340" s="30"/>
      <c r="G1340" s="30"/>
      <c r="H1340" s="47"/>
      <c r="I1340" s="63"/>
      <c r="J1340" s="31"/>
      <c r="K1340" s="31"/>
      <c r="L1340" s="32"/>
      <c r="M1340" s="32"/>
      <c r="N1340" s="32"/>
    </row>
    <row r="1341" spans="2:14" x14ac:dyDescent="0.25">
      <c r="B1341" s="42"/>
      <c r="C1341" s="30"/>
      <c r="D1341" s="30"/>
      <c r="E1341" s="30"/>
      <c r="F1341" s="30"/>
      <c r="G1341" s="30"/>
      <c r="H1341" s="47"/>
      <c r="I1341" s="63"/>
      <c r="J1341" s="31"/>
      <c r="K1341" s="31"/>
      <c r="L1341" s="32"/>
      <c r="M1341" s="32"/>
      <c r="N1341" s="32"/>
    </row>
    <row r="1342" spans="2:14" x14ac:dyDescent="0.25">
      <c r="B1342" s="42"/>
      <c r="C1342" s="30"/>
      <c r="D1342" s="30"/>
      <c r="E1342" s="30"/>
      <c r="F1342" s="30"/>
      <c r="G1342" s="30"/>
      <c r="H1342" s="47"/>
      <c r="I1342" s="63"/>
      <c r="J1342" s="31"/>
      <c r="K1342" s="31"/>
      <c r="L1342" s="32"/>
      <c r="M1342" s="32"/>
      <c r="N1342" s="32"/>
    </row>
    <row r="1343" spans="2:14" x14ac:dyDescent="0.25">
      <c r="B1343" s="42"/>
      <c r="C1343" s="30"/>
      <c r="D1343" s="30"/>
      <c r="E1343" s="30"/>
      <c r="F1343" s="30"/>
      <c r="G1343" s="30"/>
      <c r="H1343" s="47"/>
      <c r="I1343" s="63"/>
      <c r="J1343" s="31"/>
      <c r="K1343" s="31"/>
      <c r="L1343" s="32"/>
      <c r="M1343" s="32"/>
      <c r="N1343" s="32"/>
    </row>
    <row r="1344" spans="2:14" x14ac:dyDescent="0.25">
      <c r="B1344" s="42"/>
      <c r="C1344" s="30"/>
      <c r="D1344" s="30"/>
      <c r="E1344" s="30"/>
      <c r="F1344" s="30"/>
      <c r="G1344" s="30"/>
      <c r="H1344" s="47"/>
      <c r="I1344" s="63"/>
      <c r="J1344" s="31"/>
      <c r="K1344" s="31"/>
      <c r="L1344" s="32"/>
      <c r="M1344" s="32"/>
      <c r="N1344" s="32"/>
    </row>
    <row r="1345" spans="2:14" x14ac:dyDescent="0.25">
      <c r="B1345" s="42"/>
      <c r="C1345" s="30"/>
      <c r="D1345" s="30"/>
      <c r="E1345" s="30"/>
      <c r="F1345" s="30"/>
      <c r="G1345" s="30"/>
      <c r="H1345" s="47"/>
      <c r="I1345" s="63"/>
      <c r="J1345" s="31"/>
      <c r="K1345" s="31"/>
      <c r="L1345" s="32"/>
      <c r="M1345" s="32"/>
      <c r="N1345" s="32"/>
    </row>
    <row r="1346" spans="2:14" x14ac:dyDescent="0.25">
      <c r="B1346" s="42"/>
      <c r="C1346" s="30"/>
      <c r="D1346" s="30"/>
      <c r="E1346" s="30"/>
      <c r="F1346" s="30"/>
      <c r="G1346" s="30"/>
      <c r="H1346" s="47"/>
      <c r="I1346" s="63"/>
      <c r="J1346" s="31"/>
      <c r="K1346" s="31"/>
      <c r="L1346" s="32"/>
      <c r="M1346" s="32"/>
      <c r="N1346" s="32"/>
    </row>
    <row r="1347" spans="2:14" x14ac:dyDescent="0.25">
      <c r="B1347" s="42"/>
      <c r="C1347" s="30"/>
      <c r="D1347" s="30"/>
      <c r="E1347" s="30"/>
      <c r="F1347" s="30"/>
      <c r="G1347" s="30"/>
      <c r="H1347" s="47"/>
      <c r="I1347" s="63"/>
      <c r="J1347" s="31"/>
      <c r="K1347" s="31"/>
      <c r="L1347" s="32"/>
      <c r="M1347" s="32"/>
      <c r="N1347" s="32"/>
    </row>
    <row r="1348" spans="2:14" x14ac:dyDescent="0.25">
      <c r="B1348" s="42"/>
      <c r="C1348" s="30"/>
      <c r="D1348" s="30"/>
      <c r="E1348" s="30"/>
      <c r="F1348" s="30"/>
      <c r="G1348" s="30"/>
      <c r="H1348" s="47"/>
      <c r="I1348" s="63"/>
      <c r="J1348" s="31"/>
      <c r="K1348" s="31"/>
      <c r="L1348" s="32"/>
      <c r="M1348" s="32"/>
      <c r="N1348" s="32"/>
    </row>
    <row r="1349" spans="2:14" x14ac:dyDescent="0.25">
      <c r="B1349" s="42"/>
      <c r="C1349" s="30"/>
      <c r="D1349" s="30"/>
      <c r="E1349" s="30"/>
      <c r="F1349" s="30"/>
      <c r="G1349" s="30"/>
      <c r="H1349" s="47"/>
      <c r="I1349" s="63"/>
      <c r="J1349" s="31"/>
      <c r="K1349" s="31"/>
      <c r="L1349" s="32"/>
      <c r="M1349" s="32"/>
      <c r="N1349" s="32"/>
    </row>
    <row r="1350" spans="2:14" x14ac:dyDescent="0.25">
      <c r="B1350" s="42"/>
      <c r="C1350" s="30"/>
      <c r="D1350" s="30"/>
      <c r="E1350" s="30"/>
      <c r="F1350" s="30"/>
      <c r="G1350" s="30"/>
      <c r="H1350" s="47"/>
      <c r="I1350" s="63"/>
      <c r="J1350" s="31"/>
      <c r="K1350" s="31"/>
      <c r="L1350" s="32"/>
      <c r="M1350" s="32"/>
      <c r="N1350" s="32"/>
    </row>
    <row r="1351" spans="2:14" x14ac:dyDescent="0.25">
      <c r="B1351" s="42"/>
      <c r="C1351" s="30"/>
      <c r="D1351" s="30"/>
      <c r="E1351" s="30"/>
      <c r="F1351" s="30"/>
      <c r="G1351" s="30"/>
      <c r="H1351" s="47"/>
      <c r="I1351" s="63"/>
      <c r="J1351" s="31"/>
      <c r="K1351" s="31"/>
      <c r="L1351" s="32"/>
      <c r="M1351" s="32"/>
      <c r="N1351" s="32"/>
    </row>
    <row r="1352" spans="2:14" x14ac:dyDescent="0.25">
      <c r="B1352" s="42"/>
      <c r="C1352" s="30"/>
      <c r="D1352" s="30"/>
      <c r="E1352" s="30"/>
      <c r="F1352" s="30"/>
      <c r="G1352" s="30"/>
      <c r="H1352" s="47"/>
      <c r="I1352" s="63"/>
      <c r="J1352" s="31"/>
      <c r="K1352" s="31"/>
      <c r="L1352" s="32"/>
      <c r="M1352" s="32"/>
      <c r="N1352" s="32"/>
    </row>
    <row r="1353" spans="2:14" x14ac:dyDescent="0.25">
      <c r="B1353" s="42"/>
      <c r="C1353" s="30"/>
      <c r="D1353" s="30"/>
      <c r="E1353" s="30"/>
      <c r="F1353" s="30"/>
      <c r="G1353" s="30"/>
      <c r="H1353" s="47"/>
      <c r="I1353" s="63"/>
      <c r="J1353" s="31"/>
      <c r="K1353" s="31"/>
      <c r="L1353" s="32"/>
      <c r="M1353" s="32"/>
      <c r="N1353" s="32"/>
    </row>
    <row r="1354" spans="2:14" x14ac:dyDescent="0.25">
      <c r="B1354" s="42"/>
      <c r="C1354" s="30"/>
      <c r="D1354" s="30"/>
      <c r="E1354" s="30"/>
      <c r="F1354" s="30"/>
      <c r="G1354" s="30"/>
      <c r="H1354" s="47"/>
      <c r="I1354" s="63"/>
      <c r="J1354" s="31"/>
      <c r="K1354" s="31"/>
      <c r="L1354" s="32"/>
      <c r="M1354" s="32"/>
      <c r="N1354" s="32"/>
    </row>
    <row r="1355" spans="2:14" x14ac:dyDescent="0.25">
      <c r="B1355" s="42"/>
      <c r="C1355" s="30"/>
      <c r="D1355" s="30"/>
      <c r="E1355" s="30"/>
      <c r="F1355" s="30"/>
      <c r="G1355" s="30"/>
      <c r="H1355" s="47"/>
      <c r="I1355" s="63"/>
      <c r="J1355" s="31"/>
      <c r="K1355" s="31"/>
      <c r="L1355" s="32"/>
      <c r="M1355" s="32"/>
      <c r="N1355" s="32"/>
    </row>
    <row r="1356" spans="2:14" x14ac:dyDescent="0.25">
      <c r="B1356" s="42"/>
      <c r="C1356" s="30"/>
      <c r="D1356" s="30"/>
      <c r="E1356" s="30"/>
      <c r="F1356" s="30"/>
      <c r="G1356" s="30"/>
      <c r="H1356" s="47"/>
      <c r="I1356" s="63"/>
      <c r="J1356" s="31"/>
      <c r="K1356" s="31"/>
      <c r="L1356" s="32"/>
      <c r="M1356" s="32"/>
      <c r="N1356" s="32"/>
    </row>
    <row r="1357" spans="2:14" x14ac:dyDescent="0.25">
      <c r="B1357" s="42"/>
      <c r="C1357" s="30"/>
      <c r="D1357" s="30"/>
      <c r="E1357" s="30"/>
      <c r="F1357" s="30"/>
      <c r="G1357" s="30"/>
      <c r="H1357" s="47"/>
      <c r="I1357" s="63"/>
      <c r="J1357" s="31"/>
      <c r="K1357" s="31"/>
      <c r="L1357" s="32"/>
      <c r="M1357" s="32"/>
      <c r="N1357" s="32"/>
    </row>
    <row r="1358" spans="2:14" x14ac:dyDescent="0.25">
      <c r="B1358" s="42"/>
      <c r="C1358" s="30"/>
      <c r="D1358" s="30"/>
      <c r="E1358" s="30"/>
      <c r="F1358" s="30"/>
      <c r="G1358" s="30"/>
      <c r="H1358" s="47"/>
      <c r="I1358" s="63"/>
      <c r="J1358" s="31"/>
      <c r="K1358" s="31"/>
      <c r="L1358" s="32"/>
      <c r="M1358" s="32"/>
      <c r="N1358" s="32"/>
    </row>
    <row r="1359" spans="2:14" x14ac:dyDescent="0.25">
      <c r="B1359" s="42"/>
      <c r="C1359" s="30"/>
      <c r="D1359" s="30"/>
      <c r="E1359" s="30"/>
      <c r="F1359" s="30"/>
      <c r="G1359" s="30"/>
      <c r="H1359" s="47"/>
      <c r="I1359" s="63"/>
      <c r="J1359" s="31"/>
      <c r="K1359" s="31"/>
      <c r="L1359" s="32"/>
      <c r="M1359" s="32"/>
      <c r="N1359" s="32"/>
    </row>
    <row r="1360" spans="2:14" x14ac:dyDescent="0.25">
      <c r="B1360" s="42"/>
      <c r="C1360" s="30"/>
      <c r="D1360" s="30"/>
      <c r="E1360" s="30"/>
      <c r="F1360" s="30"/>
      <c r="G1360" s="30"/>
      <c r="H1360" s="47"/>
      <c r="I1360" s="63"/>
      <c r="J1360" s="31"/>
      <c r="K1360" s="31"/>
      <c r="L1360" s="32"/>
      <c r="M1360" s="32"/>
      <c r="N1360" s="32"/>
    </row>
    <row r="1361" spans="2:14" x14ac:dyDescent="0.25">
      <c r="B1361" s="42"/>
      <c r="C1361" s="30"/>
      <c r="D1361" s="30"/>
      <c r="E1361" s="30"/>
      <c r="F1361" s="30"/>
      <c r="G1361" s="30"/>
      <c r="H1361" s="47"/>
      <c r="I1361" s="63"/>
      <c r="J1361" s="31"/>
      <c r="K1361" s="31"/>
      <c r="L1361" s="32"/>
      <c r="M1361" s="32"/>
      <c r="N1361" s="32"/>
    </row>
    <row r="1362" spans="2:14" x14ac:dyDescent="0.25">
      <c r="B1362" s="42"/>
      <c r="C1362" s="30"/>
      <c r="D1362" s="30"/>
      <c r="E1362" s="30"/>
      <c r="F1362" s="30"/>
      <c r="G1362" s="30"/>
      <c r="H1362" s="47"/>
      <c r="I1362" s="63"/>
      <c r="J1362" s="31"/>
      <c r="K1362" s="31"/>
      <c r="L1362" s="32"/>
      <c r="M1362" s="32"/>
      <c r="N1362" s="32"/>
    </row>
    <row r="1363" spans="2:14" x14ac:dyDescent="0.25">
      <c r="B1363" s="42"/>
      <c r="C1363" s="30"/>
      <c r="D1363" s="30"/>
      <c r="E1363" s="30"/>
      <c r="F1363" s="30"/>
      <c r="G1363" s="30"/>
      <c r="H1363" s="47"/>
      <c r="I1363" s="63"/>
      <c r="J1363" s="31"/>
      <c r="K1363" s="31"/>
      <c r="L1363" s="32"/>
      <c r="M1363" s="32"/>
      <c r="N1363" s="32"/>
    </row>
    <row r="1364" spans="2:14" x14ac:dyDescent="0.25">
      <c r="B1364" s="42"/>
      <c r="C1364" s="30"/>
      <c r="D1364" s="30"/>
      <c r="E1364" s="30"/>
      <c r="F1364" s="30"/>
      <c r="G1364" s="30"/>
      <c r="H1364" s="47"/>
      <c r="I1364" s="63"/>
      <c r="J1364" s="31"/>
      <c r="K1364" s="31"/>
      <c r="L1364" s="32"/>
      <c r="M1364" s="32"/>
      <c r="N1364" s="32"/>
    </row>
    <row r="1365" spans="2:14" x14ac:dyDescent="0.25">
      <c r="B1365" s="42"/>
      <c r="C1365" s="30"/>
      <c r="D1365" s="30"/>
      <c r="E1365" s="30"/>
      <c r="F1365" s="30"/>
      <c r="G1365" s="30"/>
      <c r="H1365" s="47"/>
      <c r="I1365" s="63"/>
      <c r="J1365" s="31"/>
      <c r="K1365" s="31"/>
      <c r="L1365" s="32"/>
      <c r="M1365" s="32"/>
      <c r="N1365" s="32"/>
    </row>
    <row r="1366" spans="2:14" x14ac:dyDescent="0.25">
      <c r="B1366" s="42"/>
      <c r="C1366" s="30"/>
      <c r="D1366" s="30"/>
      <c r="E1366" s="30"/>
      <c r="F1366" s="30"/>
      <c r="G1366" s="30"/>
      <c r="H1366" s="47"/>
      <c r="I1366" s="63"/>
      <c r="J1366" s="31"/>
      <c r="K1366" s="31"/>
      <c r="L1366" s="32"/>
      <c r="M1366" s="32"/>
      <c r="N1366" s="32"/>
    </row>
    <row r="1367" spans="2:14" x14ac:dyDescent="0.25">
      <c r="B1367" s="42"/>
      <c r="C1367" s="30"/>
      <c r="D1367" s="30"/>
      <c r="E1367" s="30"/>
      <c r="F1367" s="30"/>
      <c r="G1367" s="30"/>
      <c r="H1367" s="47"/>
      <c r="I1367" s="63"/>
      <c r="J1367" s="31"/>
      <c r="K1367" s="31"/>
      <c r="L1367" s="32"/>
      <c r="M1367" s="32"/>
      <c r="N1367" s="32"/>
    </row>
    <row r="1368" spans="2:14" x14ac:dyDescent="0.25">
      <c r="B1368" s="42"/>
      <c r="C1368" s="30"/>
      <c r="D1368" s="30"/>
      <c r="E1368" s="30"/>
      <c r="F1368" s="30"/>
      <c r="G1368" s="30"/>
      <c r="H1368" s="47"/>
      <c r="I1368" s="63"/>
      <c r="J1368" s="31"/>
      <c r="K1368" s="31"/>
      <c r="L1368" s="32"/>
      <c r="M1368" s="32"/>
      <c r="N1368" s="32"/>
    </row>
    <row r="1369" spans="2:14" x14ac:dyDescent="0.25">
      <c r="B1369" s="42"/>
      <c r="C1369" s="30"/>
      <c r="D1369" s="30"/>
      <c r="E1369" s="30"/>
      <c r="F1369" s="30"/>
      <c r="G1369" s="30"/>
      <c r="H1369" s="47"/>
      <c r="I1369" s="63"/>
      <c r="J1369" s="31"/>
      <c r="K1369" s="31"/>
      <c r="L1369" s="32"/>
      <c r="M1369" s="32"/>
      <c r="N1369" s="32"/>
    </row>
    <row r="1370" spans="2:14" x14ac:dyDescent="0.25">
      <c r="B1370" s="42"/>
      <c r="C1370" s="30"/>
      <c r="D1370" s="30"/>
      <c r="E1370" s="30"/>
      <c r="F1370" s="30"/>
      <c r="G1370" s="30"/>
      <c r="H1370" s="47"/>
      <c r="I1370" s="63"/>
      <c r="J1370" s="31"/>
      <c r="K1370" s="31"/>
      <c r="L1370" s="32"/>
      <c r="M1370" s="32"/>
      <c r="N1370" s="32"/>
    </row>
    <row r="1371" spans="2:14" x14ac:dyDescent="0.25">
      <c r="B1371" s="42"/>
      <c r="C1371" s="30"/>
      <c r="D1371" s="30"/>
      <c r="E1371" s="30"/>
      <c r="F1371" s="30"/>
      <c r="G1371" s="30"/>
      <c r="H1371" s="47"/>
      <c r="I1371" s="63"/>
      <c r="J1371" s="31"/>
      <c r="K1371" s="31"/>
      <c r="L1371" s="32"/>
      <c r="M1371" s="32"/>
      <c r="N1371" s="32"/>
    </row>
    <row r="1372" spans="2:14" x14ac:dyDescent="0.25">
      <c r="B1372" s="42"/>
      <c r="C1372" s="30"/>
      <c r="D1372" s="30"/>
      <c r="E1372" s="30"/>
      <c r="F1372" s="30"/>
      <c r="G1372" s="30"/>
      <c r="H1372" s="47"/>
      <c r="I1372" s="63"/>
      <c r="J1372" s="31"/>
      <c r="K1372" s="31"/>
      <c r="L1372" s="32"/>
      <c r="M1372" s="32"/>
      <c r="N1372" s="32"/>
    </row>
    <row r="1373" spans="2:14" x14ac:dyDescent="0.25">
      <c r="B1373" s="42"/>
      <c r="C1373" s="30"/>
      <c r="D1373" s="30"/>
      <c r="E1373" s="30"/>
      <c r="F1373" s="30"/>
      <c r="G1373" s="30"/>
      <c r="H1373" s="47"/>
      <c r="I1373" s="63"/>
      <c r="J1373" s="31"/>
      <c r="K1373" s="31"/>
      <c r="L1373" s="32"/>
      <c r="M1373" s="32"/>
      <c r="N1373" s="32"/>
    </row>
    <row r="1374" spans="2:14" x14ac:dyDescent="0.25">
      <c r="B1374" s="42"/>
      <c r="C1374" s="30"/>
      <c r="D1374" s="30"/>
      <c r="E1374" s="30"/>
      <c r="F1374" s="30"/>
      <c r="G1374" s="30"/>
      <c r="H1374" s="47"/>
      <c r="I1374" s="63"/>
      <c r="J1374" s="31"/>
      <c r="K1374" s="31"/>
      <c r="L1374" s="32"/>
      <c r="M1374" s="32"/>
      <c r="N1374" s="32"/>
    </row>
    <row r="1375" spans="2:14" x14ac:dyDescent="0.25">
      <c r="B1375" s="42"/>
      <c r="C1375" s="30"/>
      <c r="D1375" s="30"/>
      <c r="E1375" s="30"/>
      <c r="F1375" s="30"/>
      <c r="G1375" s="30"/>
      <c r="H1375" s="47"/>
      <c r="I1375" s="63"/>
      <c r="J1375" s="31"/>
      <c r="K1375" s="31"/>
      <c r="L1375" s="32"/>
      <c r="M1375" s="32"/>
      <c r="N1375" s="32"/>
    </row>
    <row r="1376" spans="2:14" x14ac:dyDescent="0.25">
      <c r="B1376" s="42"/>
      <c r="C1376" s="30"/>
      <c r="D1376" s="30"/>
      <c r="E1376" s="30"/>
      <c r="F1376" s="30"/>
      <c r="G1376" s="30"/>
      <c r="H1376" s="47"/>
      <c r="I1376" s="63"/>
      <c r="J1376" s="31"/>
      <c r="K1376" s="31"/>
      <c r="L1376" s="32"/>
      <c r="M1376" s="32"/>
      <c r="N1376" s="32"/>
    </row>
    <row r="1377" spans="2:14" x14ac:dyDescent="0.25">
      <c r="B1377" s="42"/>
      <c r="C1377" s="30"/>
      <c r="D1377" s="30"/>
      <c r="E1377" s="30"/>
      <c r="F1377" s="30"/>
      <c r="G1377" s="30"/>
      <c r="H1377" s="47"/>
      <c r="I1377" s="63"/>
      <c r="J1377" s="31"/>
      <c r="K1377" s="31"/>
      <c r="L1377" s="32"/>
      <c r="M1377" s="32"/>
      <c r="N1377" s="32"/>
    </row>
    <row r="1378" spans="2:14" x14ac:dyDescent="0.25">
      <c r="B1378" s="42"/>
      <c r="C1378" s="30"/>
      <c r="D1378" s="30"/>
      <c r="E1378" s="30"/>
      <c r="F1378" s="30"/>
      <c r="G1378" s="30"/>
      <c r="H1378" s="47"/>
      <c r="I1378" s="63"/>
      <c r="J1378" s="31"/>
      <c r="K1378" s="31"/>
      <c r="L1378" s="32"/>
      <c r="M1378" s="32"/>
      <c r="N1378" s="32"/>
    </row>
    <row r="1379" spans="2:14" x14ac:dyDescent="0.25">
      <c r="B1379" s="42"/>
      <c r="C1379" s="30"/>
      <c r="D1379" s="30"/>
      <c r="E1379" s="30"/>
      <c r="F1379" s="30"/>
      <c r="G1379" s="30"/>
      <c r="H1379" s="47"/>
      <c r="I1379" s="63"/>
      <c r="J1379" s="31"/>
      <c r="K1379" s="31"/>
      <c r="L1379" s="32"/>
      <c r="M1379" s="32"/>
      <c r="N1379" s="32"/>
    </row>
    <row r="1380" spans="2:14" x14ac:dyDescent="0.25">
      <c r="B1380" s="42"/>
      <c r="C1380" s="30"/>
      <c r="D1380" s="30"/>
      <c r="E1380" s="30"/>
      <c r="F1380" s="30"/>
      <c r="G1380" s="30"/>
      <c r="H1380" s="47"/>
      <c r="I1380" s="63"/>
      <c r="J1380" s="31"/>
      <c r="K1380" s="31"/>
      <c r="L1380" s="32"/>
      <c r="M1380" s="32"/>
      <c r="N1380" s="32"/>
    </row>
    <row r="1381" spans="2:14" x14ac:dyDescent="0.25">
      <c r="B1381" s="42"/>
      <c r="C1381" s="30"/>
      <c r="D1381" s="30"/>
      <c r="E1381" s="30"/>
      <c r="F1381" s="30"/>
      <c r="G1381" s="30"/>
      <c r="H1381" s="47"/>
      <c r="I1381" s="63"/>
      <c r="J1381" s="31"/>
      <c r="K1381" s="31"/>
      <c r="L1381" s="32"/>
      <c r="M1381" s="32"/>
      <c r="N1381" s="32"/>
    </row>
    <row r="1382" spans="2:14" x14ac:dyDescent="0.25">
      <c r="B1382" s="42"/>
      <c r="C1382" s="30"/>
      <c r="D1382" s="30"/>
      <c r="E1382" s="30"/>
      <c r="F1382" s="30"/>
      <c r="G1382" s="30"/>
      <c r="H1382" s="47"/>
      <c r="I1382" s="63"/>
      <c r="J1382" s="31"/>
      <c r="K1382" s="31"/>
      <c r="L1382" s="32"/>
      <c r="M1382" s="32"/>
      <c r="N1382" s="32"/>
    </row>
    <row r="1383" spans="2:14" x14ac:dyDescent="0.25">
      <c r="B1383" s="42"/>
      <c r="C1383" s="30"/>
      <c r="D1383" s="30"/>
      <c r="E1383" s="30"/>
      <c r="F1383" s="30"/>
      <c r="G1383" s="30"/>
      <c r="H1383" s="47"/>
      <c r="I1383" s="63"/>
      <c r="J1383" s="31"/>
      <c r="K1383" s="31"/>
      <c r="L1383" s="32"/>
      <c r="M1383" s="32"/>
      <c r="N1383" s="32"/>
    </row>
    <row r="1384" spans="2:14" x14ac:dyDescent="0.25">
      <c r="B1384" s="42"/>
      <c r="C1384" s="30"/>
      <c r="D1384" s="30"/>
      <c r="E1384" s="30"/>
      <c r="F1384" s="30"/>
      <c r="G1384" s="30"/>
      <c r="H1384" s="47"/>
      <c r="I1384" s="63"/>
      <c r="J1384" s="31"/>
      <c r="K1384" s="31"/>
      <c r="L1384" s="32"/>
      <c r="M1384" s="32"/>
      <c r="N1384" s="32"/>
    </row>
    <row r="1385" spans="2:14" x14ac:dyDescent="0.25">
      <c r="B1385" s="42"/>
      <c r="C1385" s="30"/>
      <c r="D1385" s="30"/>
      <c r="E1385" s="30"/>
      <c r="F1385" s="30"/>
      <c r="G1385" s="30"/>
      <c r="H1385" s="47"/>
      <c r="I1385" s="63"/>
      <c r="J1385" s="31"/>
      <c r="K1385" s="31"/>
      <c r="L1385" s="32"/>
      <c r="M1385" s="32"/>
      <c r="N1385" s="32"/>
    </row>
    <row r="1386" spans="2:14" x14ac:dyDescent="0.25">
      <c r="B1386" s="42"/>
      <c r="C1386" s="30"/>
      <c r="D1386" s="30"/>
      <c r="E1386" s="30"/>
      <c r="F1386" s="30"/>
      <c r="G1386" s="30"/>
      <c r="H1386" s="47"/>
      <c r="I1386" s="63"/>
      <c r="J1386" s="31"/>
      <c r="K1386" s="31"/>
      <c r="L1386" s="32"/>
      <c r="M1386" s="32"/>
      <c r="N1386" s="32"/>
    </row>
    <row r="1387" spans="2:14" x14ac:dyDescent="0.25">
      <c r="B1387" s="42"/>
      <c r="C1387" s="30"/>
      <c r="D1387" s="30"/>
      <c r="E1387" s="30"/>
      <c r="F1387" s="30"/>
      <c r="G1387" s="30"/>
      <c r="H1387" s="47"/>
      <c r="I1387" s="63"/>
      <c r="J1387" s="31"/>
      <c r="K1387" s="31"/>
      <c r="L1387" s="32"/>
      <c r="M1387" s="32"/>
      <c r="N1387" s="32"/>
    </row>
    <row r="1388" spans="2:14" x14ac:dyDescent="0.25">
      <c r="B1388" s="42"/>
      <c r="C1388" s="30"/>
      <c r="D1388" s="30"/>
      <c r="E1388" s="30"/>
      <c r="F1388" s="30"/>
      <c r="G1388" s="30"/>
      <c r="H1388" s="47"/>
      <c r="I1388" s="63"/>
      <c r="J1388" s="31"/>
      <c r="K1388" s="31"/>
      <c r="L1388" s="32"/>
      <c r="M1388" s="32"/>
      <c r="N1388" s="32"/>
    </row>
    <row r="1389" spans="2:14" x14ac:dyDescent="0.25">
      <c r="B1389" s="42"/>
      <c r="C1389" s="30"/>
      <c r="D1389" s="30"/>
      <c r="E1389" s="30"/>
      <c r="F1389" s="30"/>
      <c r="G1389" s="30"/>
      <c r="H1389" s="47"/>
      <c r="I1389" s="63"/>
      <c r="J1389" s="31"/>
      <c r="K1389" s="31"/>
      <c r="L1389" s="32"/>
      <c r="M1389" s="32"/>
      <c r="N1389" s="32"/>
    </row>
    <row r="1390" spans="2:14" x14ac:dyDescent="0.25">
      <c r="B1390" s="42"/>
      <c r="C1390" s="30"/>
      <c r="D1390" s="30"/>
      <c r="E1390" s="30"/>
      <c r="F1390" s="30"/>
      <c r="G1390" s="30"/>
      <c r="H1390" s="47"/>
      <c r="I1390" s="63"/>
      <c r="J1390" s="31"/>
      <c r="K1390" s="31"/>
      <c r="L1390" s="32"/>
      <c r="M1390" s="32"/>
      <c r="N1390" s="32"/>
    </row>
    <row r="1391" spans="2:14" x14ac:dyDescent="0.25">
      <c r="B1391" s="42"/>
      <c r="C1391" s="30"/>
      <c r="D1391" s="30"/>
      <c r="E1391" s="30"/>
      <c r="F1391" s="30"/>
      <c r="G1391" s="30"/>
      <c r="H1391" s="47"/>
      <c r="I1391" s="63"/>
      <c r="J1391" s="31"/>
      <c r="K1391" s="31"/>
      <c r="L1391" s="32"/>
      <c r="M1391" s="32"/>
      <c r="N1391" s="32"/>
    </row>
    <row r="1392" spans="2:14" x14ac:dyDescent="0.25">
      <c r="B1392" s="42"/>
      <c r="C1392" s="30"/>
      <c r="D1392" s="30"/>
      <c r="E1392" s="30"/>
      <c r="F1392" s="30"/>
      <c r="G1392" s="30"/>
      <c r="H1392" s="47"/>
      <c r="I1392" s="63"/>
      <c r="J1392" s="31"/>
      <c r="K1392" s="31"/>
      <c r="L1392" s="32"/>
      <c r="M1392" s="32"/>
      <c r="N1392" s="32"/>
    </row>
    <row r="1393" spans="2:14" x14ac:dyDescent="0.25">
      <c r="B1393" s="42"/>
      <c r="C1393" s="30"/>
      <c r="D1393" s="30"/>
      <c r="E1393" s="30"/>
      <c r="F1393" s="30"/>
      <c r="G1393" s="30"/>
      <c r="H1393" s="47"/>
      <c r="I1393" s="63"/>
      <c r="J1393" s="31"/>
      <c r="K1393" s="31"/>
      <c r="L1393" s="32"/>
      <c r="M1393" s="32"/>
      <c r="N1393" s="32"/>
    </row>
    <row r="1394" spans="2:14" x14ac:dyDescent="0.25">
      <c r="B1394" s="42"/>
      <c r="C1394" s="30"/>
      <c r="D1394" s="30"/>
      <c r="E1394" s="30"/>
      <c r="F1394" s="30"/>
      <c r="G1394" s="30"/>
      <c r="H1394" s="47"/>
      <c r="I1394" s="63"/>
      <c r="J1394" s="31"/>
      <c r="K1394" s="31"/>
      <c r="L1394" s="32"/>
      <c r="M1394" s="32"/>
      <c r="N1394" s="32"/>
    </row>
    <row r="1395" spans="2:14" x14ac:dyDescent="0.25">
      <c r="B1395" s="42"/>
      <c r="C1395" s="30"/>
      <c r="D1395" s="30"/>
      <c r="E1395" s="30"/>
      <c r="F1395" s="30"/>
      <c r="G1395" s="30"/>
      <c r="H1395" s="47"/>
      <c r="I1395" s="63"/>
      <c r="J1395" s="31"/>
      <c r="K1395" s="31"/>
      <c r="L1395" s="32"/>
      <c r="M1395" s="32"/>
      <c r="N1395" s="32"/>
    </row>
    <row r="1396" spans="2:14" x14ac:dyDescent="0.25">
      <c r="B1396" s="42"/>
      <c r="C1396" s="30"/>
      <c r="D1396" s="30"/>
      <c r="E1396" s="30"/>
      <c r="F1396" s="30"/>
      <c r="G1396" s="30"/>
      <c r="H1396" s="47"/>
      <c r="I1396" s="63"/>
      <c r="J1396" s="31"/>
      <c r="K1396" s="31"/>
      <c r="L1396" s="32"/>
      <c r="M1396" s="32"/>
      <c r="N1396" s="32"/>
    </row>
    <row r="1397" spans="2:14" x14ac:dyDescent="0.25">
      <c r="B1397" s="42"/>
      <c r="C1397" s="30"/>
      <c r="D1397" s="30"/>
      <c r="E1397" s="30"/>
      <c r="F1397" s="30"/>
      <c r="G1397" s="30"/>
      <c r="H1397" s="47"/>
      <c r="I1397" s="63"/>
      <c r="J1397" s="31"/>
      <c r="K1397" s="31"/>
      <c r="L1397" s="32"/>
      <c r="M1397" s="32"/>
      <c r="N1397" s="32"/>
    </row>
    <row r="1398" spans="2:14" x14ac:dyDescent="0.25">
      <c r="B1398" s="42"/>
      <c r="C1398" s="30"/>
      <c r="D1398" s="30"/>
      <c r="E1398" s="30"/>
      <c r="F1398" s="30"/>
      <c r="G1398" s="30"/>
      <c r="H1398" s="47"/>
      <c r="I1398" s="63"/>
      <c r="J1398" s="31"/>
      <c r="K1398" s="31"/>
      <c r="L1398" s="32"/>
      <c r="M1398" s="32"/>
      <c r="N1398" s="32"/>
    </row>
    <row r="1399" spans="2:14" x14ac:dyDescent="0.25">
      <c r="B1399" s="42"/>
      <c r="C1399" s="30"/>
      <c r="D1399" s="30"/>
      <c r="E1399" s="30"/>
      <c r="F1399" s="30"/>
      <c r="G1399" s="30"/>
      <c r="H1399" s="47"/>
      <c r="I1399" s="63"/>
      <c r="J1399" s="31"/>
      <c r="K1399" s="31"/>
      <c r="L1399" s="32"/>
      <c r="M1399" s="32"/>
      <c r="N1399" s="32"/>
    </row>
    <row r="1400" spans="2:14" x14ac:dyDescent="0.25">
      <c r="B1400" s="42"/>
      <c r="C1400" s="30"/>
      <c r="D1400" s="30"/>
      <c r="E1400" s="30"/>
      <c r="F1400" s="30"/>
      <c r="G1400" s="30"/>
      <c r="H1400" s="47"/>
      <c r="I1400" s="63"/>
      <c r="J1400" s="31"/>
      <c r="K1400" s="31"/>
      <c r="L1400" s="32"/>
      <c r="M1400" s="32"/>
      <c r="N1400" s="32"/>
    </row>
    <row r="1401" spans="2:14" x14ac:dyDescent="0.25">
      <c r="B1401" s="42"/>
      <c r="C1401" s="30"/>
      <c r="D1401" s="30"/>
      <c r="E1401" s="30"/>
      <c r="F1401" s="30"/>
      <c r="G1401" s="30"/>
      <c r="H1401" s="47"/>
      <c r="I1401" s="63"/>
      <c r="J1401" s="31"/>
      <c r="K1401" s="31"/>
      <c r="L1401" s="32"/>
      <c r="M1401" s="32"/>
      <c r="N1401" s="32"/>
    </row>
    <row r="1402" spans="2:14" x14ac:dyDescent="0.25">
      <c r="B1402" s="42"/>
      <c r="C1402" s="30"/>
      <c r="D1402" s="30"/>
      <c r="E1402" s="30"/>
      <c r="F1402" s="30"/>
      <c r="G1402" s="30"/>
      <c r="H1402" s="47"/>
      <c r="I1402" s="63"/>
      <c r="J1402" s="31"/>
      <c r="K1402" s="31"/>
      <c r="L1402" s="32"/>
      <c r="M1402" s="32"/>
      <c r="N1402" s="32"/>
    </row>
    <row r="1403" spans="2:14" x14ac:dyDescent="0.25">
      <c r="B1403" s="42"/>
      <c r="C1403" s="30"/>
      <c r="D1403" s="30"/>
      <c r="E1403" s="30"/>
      <c r="F1403" s="30"/>
      <c r="G1403" s="30"/>
      <c r="H1403" s="47"/>
      <c r="I1403" s="63"/>
      <c r="J1403" s="31"/>
      <c r="K1403" s="31"/>
      <c r="L1403" s="32"/>
      <c r="M1403" s="32"/>
      <c r="N1403" s="32"/>
    </row>
    <row r="1404" spans="2:14" x14ac:dyDescent="0.25">
      <c r="B1404" s="42"/>
      <c r="C1404" s="30"/>
      <c r="D1404" s="30"/>
      <c r="E1404" s="30"/>
      <c r="F1404" s="30"/>
      <c r="G1404" s="30"/>
      <c r="H1404" s="47"/>
      <c r="I1404" s="63"/>
      <c r="J1404" s="31"/>
      <c r="K1404" s="31"/>
      <c r="L1404" s="32"/>
      <c r="M1404" s="32"/>
      <c r="N1404" s="32"/>
    </row>
    <row r="1405" spans="2:14" x14ac:dyDescent="0.25">
      <c r="B1405" s="42"/>
      <c r="C1405" s="30"/>
      <c r="D1405" s="30"/>
      <c r="E1405" s="30"/>
      <c r="F1405" s="30"/>
      <c r="G1405" s="30"/>
      <c r="H1405" s="47"/>
      <c r="I1405" s="63"/>
      <c r="J1405" s="31"/>
      <c r="K1405" s="31"/>
      <c r="L1405" s="32"/>
      <c r="M1405" s="32"/>
      <c r="N1405" s="32"/>
    </row>
    <row r="1406" spans="2:14" x14ac:dyDescent="0.25">
      <c r="B1406" s="42"/>
      <c r="C1406" s="30"/>
      <c r="D1406" s="30"/>
      <c r="E1406" s="30"/>
      <c r="F1406" s="30"/>
      <c r="G1406" s="30"/>
      <c r="H1406" s="47"/>
      <c r="I1406" s="63"/>
      <c r="J1406" s="31"/>
      <c r="K1406" s="31"/>
      <c r="L1406" s="32"/>
      <c r="M1406" s="32"/>
      <c r="N1406" s="32"/>
    </row>
    <row r="1407" spans="2:14" x14ac:dyDescent="0.25">
      <c r="B1407" s="42"/>
      <c r="C1407" s="30"/>
      <c r="D1407" s="30"/>
      <c r="E1407" s="30"/>
      <c r="F1407" s="30"/>
      <c r="G1407" s="30"/>
      <c r="H1407" s="47"/>
      <c r="I1407" s="63"/>
      <c r="J1407" s="31"/>
      <c r="K1407" s="31"/>
      <c r="L1407" s="32"/>
      <c r="M1407" s="32"/>
      <c r="N1407" s="32"/>
    </row>
    <row r="1408" spans="2:14" x14ac:dyDescent="0.25">
      <c r="B1408" s="42"/>
      <c r="C1408" s="30"/>
      <c r="D1408" s="30"/>
      <c r="E1408" s="30"/>
      <c r="F1408" s="30"/>
      <c r="G1408" s="30"/>
      <c r="H1408" s="47"/>
      <c r="I1408" s="63"/>
      <c r="J1408" s="31"/>
      <c r="K1408" s="31"/>
      <c r="L1408" s="32"/>
      <c r="M1408" s="32"/>
      <c r="N1408" s="32"/>
    </row>
    <row r="1409" spans="2:14" x14ac:dyDescent="0.25">
      <c r="B1409" s="42"/>
      <c r="C1409" s="30"/>
      <c r="D1409" s="30"/>
      <c r="E1409" s="30"/>
      <c r="F1409" s="30"/>
      <c r="G1409" s="30"/>
      <c r="H1409" s="47"/>
      <c r="I1409" s="63"/>
      <c r="J1409" s="31"/>
      <c r="K1409" s="31"/>
      <c r="L1409" s="32"/>
      <c r="M1409" s="32"/>
      <c r="N1409" s="32"/>
    </row>
    <row r="1410" spans="2:14" x14ac:dyDescent="0.25">
      <c r="B1410" s="42"/>
      <c r="C1410" s="30"/>
      <c r="D1410" s="30"/>
      <c r="E1410" s="30"/>
      <c r="F1410" s="30"/>
      <c r="G1410" s="30"/>
      <c r="H1410" s="47"/>
      <c r="I1410" s="63"/>
      <c r="J1410" s="31"/>
      <c r="K1410" s="31"/>
      <c r="L1410" s="32"/>
      <c r="M1410" s="32"/>
      <c r="N1410" s="32"/>
    </row>
    <row r="1411" spans="2:14" x14ac:dyDescent="0.25">
      <c r="B1411" s="42"/>
      <c r="C1411" s="30"/>
      <c r="D1411" s="30"/>
      <c r="E1411" s="30"/>
      <c r="F1411" s="30"/>
      <c r="G1411" s="30"/>
      <c r="H1411" s="47"/>
      <c r="I1411" s="63"/>
      <c r="J1411" s="31"/>
      <c r="K1411" s="31"/>
      <c r="L1411" s="32"/>
      <c r="M1411" s="32"/>
      <c r="N1411" s="32"/>
    </row>
    <row r="1412" spans="2:14" x14ac:dyDescent="0.25">
      <c r="B1412" s="42"/>
      <c r="C1412" s="30"/>
      <c r="D1412" s="30"/>
      <c r="E1412" s="30"/>
      <c r="F1412" s="30"/>
      <c r="G1412" s="30"/>
      <c r="H1412" s="47"/>
      <c r="I1412" s="63"/>
      <c r="J1412" s="31"/>
      <c r="K1412" s="31"/>
      <c r="L1412" s="32"/>
      <c r="M1412" s="32"/>
      <c r="N1412" s="32"/>
    </row>
    <row r="1413" spans="2:14" x14ac:dyDescent="0.25">
      <c r="B1413" s="42"/>
      <c r="C1413" s="30"/>
      <c r="D1413" s="30"/>
      <c r="E1413" s="30"/>
      <c r="F1413" s="30"/>
      <c r="G1413" s="30"/>
      <c r="H1413" s="47"/>
      <c r="I1413" s="63"/>
      <c r="J1413" s="31"/>
      <c r="K1413" s="31"/>
      <c r="L1413" s="32"/>
      <c r="M1413" s="32"/>
      <c r="N1413" s="32"/>
    </row>
    <row r="1414" spans="2:14" x14ac:dyDescent="0.25">
      <c r="B1414" s="42"/>
      <c r="C1414" s="30"/>
      <c r="D1414" s="30"/>
      <c r="E1414" s="30"/>
      <c r="F1414" s="30"/>
      <c r="G1414" s="30"/>
      <c r="H1414" s="47"/>
      <c r="I1414" s="63"/>
      <c r="J1414" s="31"/>
      <c r="K1414" s="31"/>
      <c r="L1414" s="32"/>
      <c r="M1414" s="32"/>
      <c r="N1414" s="32"/>
    </row>
    <row r="1415" spans="2:14" x14ac:dyDescent="0.25">
      <c r="B1415" s="42"/>
      <c r="C1415" s="30"/>
      <c r="D1415" s="30"/>
      <c r="E1415" s="30"/>
      <c r="F1415" s="30"/>
      <c r="G1415" s="30"/>
      <c r="H1415" s="47"/>
      <c r="I1415" s="63"/>
      <c r="J1415" s="31"/>
      <c r="K1415" s="31"/>
      <c r="L1415" s="32"/>
      <c r="M1415" s="32"/>
      <c r="N1415" s="32"/>
    </row>
    <row r="1416" spans="2:14" x14ac:dyDescent="0.25">
      <c r="B1416" s="42"/>
      <c r="C1416" s="30"/>
      <c r="D1416" s="30"/>
      <c r="E1416" s="30"/>
      <c r="F1416" s="30"/>
      <c r="G1416" s="30"/>
      <c r="H1416" s="47"/>
      <c r="I1416" s="63"/>
      <c r="J1416" s="31"/>
      <c r="K1416" s="31"/>
      <c r="L1416" s="32"/>
      <c r="M1416" s="32"/>
      <c r="N1416" s="32"/>
    </row>
    <row r="1417" spans="2:14" x14ac:dyDescent="0.25">
      <c r="B1417" s="42"/>
      <c r="C1417" s="30"/>
      <c r="D1417" s="30"/>
      <c r="E1417" s="30"/>
      <c r="F1417" s="30"/>
      <c r="G1417" s="30"/>
      <c r="H1417" s="47"/>
      <c r="I1417" s="63"/>
      <c r="J1417" s="31"/>
      <c r="K1417" s="31"/>
      <c r="L1417" s="32"/>
      <c r="M1417" s="32"/>
      <c r="N1417" s="32"/>
    </row>
    <row r="1418" spans="2:14" x14ac:dyDescent="0.25">
      <c r="B1418" s="42"/>
      <c r="C1418" s="30"/>
      <c r="D1418" s="30"/>
      <c r="E1418" s="30"/>
      <c r="F1418" s="30"/>
      <c r="G1418" s="30"/>
      <c r="H1418" s="47"/>
      <c r="I1418" s="63"/>
      <c r="J1418" s="31"/>
      <c r="K1418" s="31"/>
      <c r="L1418" s="32"/>
      <c r="M1418" s="32"/>
      <c r="N1418" s="32"/>
    </row>
    <row r="1419" spans="2:14" x14ac:dyDescent="0.25">
      <c r="B1419" s="42"/>
      <c r="C1419" s="30"/>
      <c r="D1419" s="30"/>
      <c r="E1419" s="30"/>
      <c r="F1419" s="30"/>
      <c r="G1419" s="30"/>
      <c r="H1419" s="47"/>
      <c r="I1419" s="63"/>
      <c r="J1419" s="31"/>
      <c r="K1419" s="31"/>
      <c r="L1419" s="32"/>
      <c r="M1419" s="32"/>
      <c r="N1419" s="32"/>
    </row>
    <row r="1420" spans="2:14" x14ac:dyDescent="0.25">
      <c r="B1420" s="42"/>
      <c r="C1420" s="30"/>
      <c r="D1420" s="30"/>
      <c r="E1420" s="30"/>
      <c r="F1420" s="30"/>
      <c r="G1420" s="30"/>
      <c r="H1420" s="47"/>
      <c r="I1420" s="63"/>
      <c r="J1420" s="31"/>
      <c r="K1420" s="31"/>
      <c r="L1420" s="32"/>
      <c r="M1420" s="32"/>
      <c r="N1420" s="32"/>
    </row>
    <row r="1421" spans="2:14" x14ac:dyDescent="0.25">
      <c r="B1421" s="42"/>
      <c r="C1421" s="30"/>
      <c r="D1421" s="30"/>
      <c r="E1421" s="30"/>
      <c r="F1421" s="30"/>
      <c r="G1421" s="30"/>
      <c r="H1421" s="47"/>
      <c r="I1421" s="63"/>
      <c r="J1421" s="31"/>
      <c r="K1421" s="31"/>
      <c r="L1421" s="32"/>
      <c r="M1421" s="32"/>
      <c r="N1421" s="32"/>
    </row>
    <row r="1422" spans="2:14" x14ac:dyDescent="0.25">
      <c r="B1422" s="42"/>
      <c r="C1422" s="30"/>
      <c r="D1422" s="30"/>
      <c r="E1422" s="30"/>
      <c r="F1422" s="30"/>
      <c r="G1422" s="30"/>
      <c r="H1422" s="47"/>
      <c r="I1422" s="63"/>
      <c r="J1422" s="31"/>
      <c r="K1422" s="31"/>
      <c r="L1422" s="32"/>
      <c r="M1422" s="32"/>
      <c r="N1422" s="32"/>
    </row>
    <row r="1423" spans="2:14" x14ac:dyDescent="0.25">
      <c r="B1423" s="42"/>
      <c r="C1423" s="30"/>
      <c r="D1423" s="30"/>
      <c r="E1423" s="30"/>
      <c r="F1423" s="30"/>
      <c r="G1423" s="30"/>
      <c r="H1423" s="47"/>
      <c r="I1423" s="63"/>
      <c r="J1423" s="31"/>
      <c r="K1423" s="31"/>
      <c r="L1423" s="32"/>
      <c r="M1423" s="32"/>
      <c r="N1423" s="32"/>
    </row>
    <row r="1424" spans="2:14" x14ac:dyDescent="0.25">
      <c r="B1424" s="42"/>
      <c r="C1424" s="30"/>
      <c r="D1424" s="30"/>
      <c r="E1424" s="30"/>
      <c r="F1424" s="30"/>
      <c r="G1424" s="30"/>
      <c r="H1424" s="47"/>
      <c r="I1424" s="63"/>
      <c r="J1424" s="31"/>
      <c r="K1424" s="31"/>
      <c r="L1424" s="32"/>
      <c r="M1424" s="32"/>
      <c r="N1424" s="32"/>
    </row>
    <row r="1425" spans="2:14" x14ac:dyDescent="0.25">
      <c r="B1425" s="42"/>
      <c r="C1425" s="30"/>
      <c r="D1425" s="30"/>
      <c r="E1425" s="30"/>
      <c r="F1425" s="30"/>
      <c r="G1425" s="30"/>
      <c r="H1425" s="47"/>
      <c r="I1425" s="63"/>
      <c r="J1425" s="31"/>
      <c r="K1425" s="31"/>
      <c r="L1425" s="32"/>
      <c r="M1425" s="32"/>
      <c r="N1425" s="32"/>
    </row>
    <row r="1426" spans="2:14" x14ac:dyDescent="0.25">
      <c r="B1426" s="42"/>
      <c r="C1426" s="30"/>
      <c r="D1426" s="30"/>
      <c r="E1426" s="30"/>
      <c r="F1426" s="30"/>
      <c r="G1426" s="30"/>
      <c r="H1426" s="47"/>
      <c r="I1426" s="63"/>
      <c r="J1426" s="31"/>
      <c r="K1426" s="31"/>
      <c r="L1426" s="32"/>
      <c r="M1426" s="32"/>
      <c r="N1426" s="32"/>
    </row>
    <row r="1427" spans="2:14" x14ac:dyDescent="0.25">
      <c r="B1427" s="42"/>
      <c r="C1427" s="30"/>
      <c r="D1427" s="30"/>
      <c r="E1427" s="30"/>
      <c r="F1427" s="30"/>
      <c r="G1427" s="30"/>
      <c r="H1427" s="47"/>
      <c r="I1427" s="63"/>
      <c r="J1427" s="31"/>
      <c r="K1427" s="31"/>
      <c r="L1427" s="32"/>
      <c r="M1427" s="32"/>
      <c r="N1427" s="32"/>
    </row>
    <row r="1428" spans="2:14" x14ac:dyDescent="0.25">
      <c r="B1428" s="42"/>
      <c r="C1428" s="30"/>
      <c r="D1428" s="30"/>
      <c r="E1428" s="30"/>
      <c r="F1428" s="30"/>
      <c r="G1428" s="30"/>
      <c r="H1428" s="47"/>
      <c r="I1428" s="63"/>
      <c r="J1428" s="31"/>
      <c r="K1428" s="31"/>
      <c r="L1428" s="32"/>
      <c r="M1428" s="32"/>
      <c r="N1428" s="32"/>
    </row>
    <row r="1429" spans="2:14" x14ac:dyDescent="0.25">
      <c r="B1429" s="42"/>
      <c r="C1429" s="30"/>
      <c r="D1429" s="30"/>
      <c r="E1429" s="30"/>
      <c r="F1429" s="30"/>
      <c r="G1429" s="30"/>
      <c r="H1429" s="47"/>
      <c r="I1429" s="63"/>
      <c r="J1429" s="31"/>
      <c r="K1429" s="31"/>
      <c r="L1429" s="32"/>
      <c r="M1429" s="32"/>
      <c r="N1429" s="32"/>
    </row>
    <row r="1430" spans="2:14" x14ac:dyDescent="0.25">
      <c r="B1430" s="42"/>
      <c r="C1430" s="30"/>
      <c r="D1430" s="30"/>
      <c r="E1430" s="30"/>
      <c r="F1430" s="30"/>
      <c r="G1430" s="30"/>
      <c r="H1430" s="47"/>
      <c r="I1430" s="63"/>
      <c r="J1430" s="31"/>
      <c r="K1430" s="31"/>
      <c r="L1430" s="32"/>
      <c r="M1430" s="32"/>
      <c r="N1430" s="32"/>
    </row>
    <row r="1431" spans="2:14" x14ac:dyDescent="0.25">
      <c r="B1431" s="42"/>
      <c r="C1431" s="30"/>
      <c r="D1431" s="30"/>
      <c r="E1431" s="30"/>
      <c r="F1431" s="30"/>
      <c r="G1431" s="30"/>
      <c r="H1431" s="47"/>
      <c r="I1431" s="63"/>
      <c r="J1431" s="31"/>
      <c r="K1431" s="31"/>
      <c r="L1431" s="32"/>
      <c r="M1431" s="32"/>
      <c r="N1431" s="32"/>
    </row>
    <row r="1432" spans="2:14" x14ac:dyDescent="0.25">
      <c r="B1432" s="42"/>
      <c r="C1432" s="30"/>
      <c r="D1432" s="30"/>
      <c r="E1432" s="30"/>
      <c r="F1432" s="30"/>
      <c r="G1432" s="30"/>
      <c r="H1432" s="47"/>
      <c r="I1432" s="63"/>
      <c r="J1432" s="31"/>
      <c r="K1432" s="31"/>
      <c r="L1432" s="32"/>
      <c r="M1432" s="32"/>
      <c r="N1432" s="32"/>
    </row>
    <row r="1433" spans="2:14" x14ac:dyDescent="0.25">
      <c r="B1433" s="42"/>
      <c r="C1433" s="30"/>
      <c r="D1433" s="30"/>
      <c r="E1433" s="30"/>
      <c r="F1433" s="30"/>
      <c r="G1433" s="30"/>
      <c r="H1433" s="47"/>
      <c r="I1433" s="63"/>
      <c r="J1433" s="31"/>
      <c r="K1433" s="31"/>
      <c r="L1433" s="32"/>
      <c r="M1433" s="32"/>
      <c r="N1433" s="32"/>
    </row>
    <row r="1434" spans="2:14" x14ac:dyDescent="0.25">
      <c r="B1434" s="42"/>
      <c r="C1434" s="30"/>
      <c r="D1434" s="30"/>
      <c r="E1434" s="30"/>
      <c r="F1434" s="30"/>
      <c r="G1434" s="30"/>
      <c r="H1434" s="47"/>
      <c r="I1434" s="63"/>
      <c r="J1434" s="31"/>
      <c r="K1434" s="31"/>
      <c r="L1434" s="32"/>
      <c r="M1434" s="32"/>
      <c r="N1434" s="32"/>
    </row>
    <row r="1435" spans="2:14" x14ac:dyDescent="0.25">
      <c r="B1435" s="42"/>
      <c r="C1435" s="30"/>
      <c r="D1435" s="30"/>
      <c r="E1435" s="30"/>
      <c r="F1435" s="30"/>
      <c r="G1435" s="30"/>
      <c r="H1435" s="47"/>
      <c r="I1435" s="63"/>
      <c r="J1435" s="31"/>
      <c r="K1435" s="31"/>
      <c r="L1435" s="32"/>
      <c r="M1435" s="32"/>
      <c r="N1435" s="32"/>
    </row>
    <row r="1436" spans="2:14" x14ac:dyDescent="0.25">
      <c r="B1436" s="42"/>
      <c r="C1436" s="30"/>
      <c r="D1436" s="30"/>
      <c r="E1436" s="30"/>
      <c r="F1436" s="30"/>
      <c r="G1436" s="30"/>
      <c r="H1436" s="47"/>
      <c r="I1436" s="63"/>
      <c r="J1436" s="31"/>
      <c r="K1436" s="31"/>
      <c r="L1436" s="32"/>
      <c r="M1436" s="32"/>
      <c r="N1436" s="32"/>
    </row>
    <row r="1437" spans="2:14" x14ac:dyDescent="0.25">
      <c r="B1437" s="42"/>
      <c r="C1437" s="30"/>
      <c r="D1437" s="30"/>
      <c r="E1437" s="30"/>
      <c r="F1437" s="30"/>
      <c r="G1437" s="30"/>
      <c r="H1437" s="47"/>
      <c r="I1437" s="63"/>
      <c r="J1437" s="31"/>
      <c r="K1437" s="31"/>
      <c r="L1437" s="32"/>
      <c r="M1437" s="32"/>
      <c r="N1437" s="32"/>
    </row>
    <row r="1438" spans="2:14" x14ac:dyDescent="0.25">
      <c r="B1438" s="42"/>
      <c r="C1438" s="30"/>
      <c r="D1438" s="30"/>
      <c r="E1438" s="30"/>
      <c r="F1438" s="30"/>
      <c r="G1438" s="30"/>
      <c r="H1438" s="47"/>
      <c r="I1438" s="63"/>
      <c r="J1438" s="31"/>
      <c r="K1438" s="31"/>
      <c r="L1438" s="32"/>
      <c r="M1438" s="32"/>
      <c r="N1438" s="32"/>
    </row>
    <row r="1439" spans="2:14" x14ac:dyDescent="0.25">
      <c r="B1439" s="42"/>
      <c r="C1439" s="30"/>
      <c r="D1439" s="30"/>
      <c r="E1439" s="30"/>
      <c r="F1439" s="30"/>
      <c r="G1439" s="30"/>
      <c r="H1439" s="47"/>
      <c r="I1439" s="63"/>
      <c r="J1439" s="31"/>
      <c r="K1439" s="31"/>
      <c r="L1439" s="32"/>
      <c r="M1439" s="32"/>
      <c r="N1439" s="32"/>
    </row>
    <row r="1440" spans="2:14" x14ac:dyDescent="0.25">
      <c r="B1440" s="42"/>
      <c r="C1440" s="30"/>
      <c r="D1440" s="30"/>
      <c r="E1440" s="30"/>
      <c r="F1440" s="30"/>
      <c r="G1440" s="30"/>
      <c r="H1440" s="47"/>
      <c r="I1440" s="63"/>
      <c r="J1440" s="31"/>
      <c r="K1440" s="31"/>
      <c r="L1440" s="32"/>
      <c r="M1440" s="32"/>
      <c r="N1440" s="32"/>
    </row>
    <row r="1441" spans="2:14" x14ac:dyDescent="0.25">
      <c r="B1441" s="42"/>
      <c r="C1441" s="30"/>
      <c r="D1441" s="30"/>
      <c r="E1441" s="30"/>
      <c r="F1441" s="30"/>
      <c r="G1441" s="30"/>
      <c r="H1441" s="47"/>
      <c r="I1441" s="63"/>
      <c r="J1441" s="31"/>
      <c r="K1441" s="31"/>
      <c r="L1441" s="32"/>
      <c r="M1441" s="32"/>
      <c r="N1441" s="32"/>
    </row>
    <row r="1442" spans="2:14" x14ac:dyDescent="0.25">
      <c r="B1442" s="42"/>
      <c r="C1442" s="30"/>
      <c r="D1442" s="30"/>
      <c r="E1442" s="30"/>
      <c r="F1442" s="30"/>
      <c r="G1442" s="30"/>
      <c r="H1442" s="47"/>
      <c r="I1442" s="63"/>
      <c r="J1442" s="31"/>
      <c r="K1442" s="31"/>
      <c r="L1442" s="32"/>
      <c r="M1442" s="32"/>
      <c r="N1442" s="32"/>
    </row>
    <row r="1443" spans="2:14" x14ac:dyDescent="0.25">
      <c r="B1443" s="42"/>
      <c r="C1443" s="30"/>
      <c r="D1443" s="30"/>
      <c r="E1443" s="30"/>
      <c r="F1443" s="30"/>
      <c r="G1443" s="30"/>
      <c r="H1443" s="47"/>
      <c r="I1443" s="63"/>
      <c r="J1443" s="31"/>
      <c r="K1443" s="31"/>
      <c r="L1443" s="32"/>
      <c r="M1443" s="32"/>
      <c r="N1443" s="32"/>
    </row>
    <row r="1444" spans="2:14" x14ac:dyDescent="0.25">
      <c r="B1444" s="42"/>
      <c r="C1444" s="30"/>
      <c r="D1444" s="30"/>
      <c r="E1444" s="30"/>
      <c r="F1444" s="30"/>
      <c r="G1444" s="30"/>
      <c r="H1444" s="47"/>
      <c r="I1444" s="63"/>
      <c r="J1444" s="31"/>
      <c r="K1444" s="31"/>
      <c r="L1444" s="32"/>
      <c r="M1444" s="32"/>
      <c r="N1444" s="32"/>
    </row>
    <row r="1445" spans="2:14" x14ac:dyDescent="0.25">
      <c r="B1445" s="42"/>
      <c r="C1445" s="30"/>
      <c r="D1445" s="30"/>
      <c r="E1445" s="30"/>
      <c r="F1445" s="30"/>
      <c r="G1445" s="30"/>
      <c r="H1445" s="47"/>
      <c r="I1445" s="63"/>
      <c r="J1445" s="31"/>
      <c r="K1445" s="31"/>
      <c r="L1445" s="32"/>
      <c r="M1445" s="32"/>
      <c r="N1445" s="32"/>
    </row>
    <row r="1446" spans="2:14" x14ac:dyDescent="0.25">
      <c r="B1446" s="42"/>
      <c r="C1446" s="30"/>
      <c r="D1446" s="30"/>
      <c r="E1446" s="30"/>
      <c r="F1446" s="30"/>
      <c r="G1446" s="30"/>
      <c r="H1446" s="47"/>
      <c r="I1446" s="63"/>
      <c r="J1446" s="31"/>
      <c r="K1446" s="31"/>
      <c r="L1446" s="32"/>
      <c r="M1446" s="32"/>
      <c r="N1446" s="32"/>
    </row>
    <row r="1447" spans="2:14" x14ac:dyDescent="0.25">
      <c r="B1447" s="42"/>
      <c r="C1447" s="30"/>
      <c r="D1447" s="30"/>
      <c r="E1447" s="30"/>
      <c r="F1447" s="30"/>
      <c r="G1447" s="30"/>
      <c r="H1447" s="47"/>
      <c r="I1447" s="63"/>
      <c r="J1447" s="31"/>
      <c r="K1447" s="31"/>
      <c r="L1447" s="32"/>
      <c r="M1447" s="32"/>
      <c r="N1447" s="32"/>
    </row>
    <row r="1448" spans="2:14" x14ac:dyDescent="0.25">
      <c r="B1448" s="42"/>
      <c r="C1448" s="30"/>
      <c r="D1448" s="30"/>
      <c r="E1448" s="30"/>
      <c r="F1448" s="30"/>
      <c r="G1448" s="30"/>
      <c r="H1448" s="47"/>
      <c r="I1448" s="63"/>
      <c r="J1448" s="31"/>
      <c r="K1448" s="31"/>
      <c r="L1448" s="32"/>
      <c r="M1448" s="32"/>
      <c r="N1448" s="32"/>
    </row>
    <row r="1449" spans="2:14" x14ac:dyDescent="0.25">
      <c r="B1449" s="42"/>
      <c r="C1449" s="30"/>
      <c r="D1449" s="30"/>
      <c r="E1449" s="30"/>
      <c r="F1449" s="30"/>
      <c r="G1449" s="30"/>
      <c r="H1449" s="47"/>
      <c r="I1449" s="63"/>
      <c r="J1449" s="31"/>
      <c r="K1449" s="31"/>
      <c r="L1449" s="32"/>
      <c r="M1449" s="32"/>
      <c r="N1449" s="32"/>
    </row>
    <row r="1450" spans="2:14" x14ac:dyDescent="0.25">
      <c r="B1450" s="42"/>
      <c r="C1450" s="30"/>
      <c r="D1450" s="30"/>
      <c r="E1450" s="30"/>
      <c r="F1450" s="30"/>
      <c r="G1450" s="30"/>
      <c r="H1450" s="47"/>
      <c r="I1450" s="63"/>
      <c r="J1450" s="31"/>
      <c r="K1450" s="31"/>
      <c r="L1450" s="32"/>
      <c r="M1450" s="32"/>
      <c r="N1450" s="32"/>
    </row>
    <row r="1451" spans="2:14" x14ac:dyDescent="0.25">
      <c r="B1451" s="42"/>
      <c r="C1451" s="30"/>
      <c r="D1451" s="30"/>
      <c r="E1451" s="30"/>
      <c r="F1451" s="30"/>
      <c r="G1451" s="30"/>
      <c r="H1451" s="47"/>
      <c r="I1451" s="63"/>
      <c r="J1451" s="31"/>
      <c r="K1451" s="31"/>
      <c r="L1451" s="32"/>
      <c r="M1451" s="32"/>
      <c r="N1451" s="32"/>
    </row>
    <row r="1452" spans="2:14" x14ac:dyDescent="0.25">
      <c r="B1452" s="42"/>
      <c r="C1452" s="30"/>
      <c r="D1452" s="30"/>
      <c r="E1452" s="30"/>
      <c r="F1452" s="30"/>
      <c r="G1452" s="30"/>
      <c r="H1452" s="47"/>
      <c r="I1452" s="63"/>
      <c r="J1452" s="31"/>
      <c r="K1452" s="31"/>
      <c r="L1452" s="32"/>
      <c r="M1452" s="32"/>
      <c r="N1452" s="32"/>
    </row>
    <row r="1453" spans="2:14" x14ac:dyDescent="0.25">
      <c r="B1453" s="42"/>
      <c r="C1453" s="30"/>
      <c r="D1453" s="30"/>
      <c r="E1453" s="30"/>
      <c r="F1453" s="30"/>
      <c r="G1453" s="30"/>
      <c r="H1453" s="47"/>
      <c r="I1453" s="63"/>
      <c r="J1453" s="31"/>
      <c r="K1453" s="31"/>
      <c r="L1453" s="32"/>
      <c r="M1453" s="32"/>
      <c r="N1453" s="32"/>
    </row>
    <row r="1454" spans="2:14" x14ac:dyDescent="0.25">
      <c r="B1454" s="42"/>
      <c r="C1454" s="30"/>
      <c r="D1454" s="30"/>
      <c r="E1454" s="30"/>
      <c r="F1454" s="30"/>
      <c r="G1454" s="30"/>
      <c r="H1454" s="47"/>
      <c r="I1454" s="63"/>
      <c r="J1454" s="31"/>
      <c r="K1454" s="31"/>
      <c r="L1454" s="32"/>
      <c r="M1454" s="32"/>
      <c r="N1454" s="32"/>
    </row>
    <row r="1455" spans="2:14" x14ac:dyDescent="0.25">
      <c r="B1455" s="42"/>
      <c r="C1455" s="30"/>
      <c r="D1455" s="30"/>
      <c r="E1455" s="30"/>
      <c r="F1455" s="30"/>
      <c r="G1455" s="30"/>
      <c r="H1455" s="47"/>
      <c r="I1455" s="63"/>
      <c r="J1455" s="31"/>
      <c r="K1455" s="31"/>
      <c r="L1455" s="32"/>
      <c r="M1455" s="32"/>
      <c r="N1455" s="32"/>
    </row>
    <row r="1456" spans="2:14" x14ac:dyDescent="0.25">
      <c r="B1456" s="42"/>
      <c r="C1456" s="30"/>
      <c r="D1456" s="30"/>
      <c r="E1456" s="30"/>
      <c r="F1456" s="30"/>
      <c r="G1456" s="30"/>
      <c r="H1456" s="47"/>
      <c r="I1456" s="63"/>
      <c r="J1456" s="31"/>
      <c r="K1456" s="31"/>
      <c r="L1456" s="32"/>
      <c r="M1456" s="32"/>
      <c r="N1456" s="32"/>
    </row>
    <row r="1457" spans="2:14" x14ac:dyDescent="0.25">
      <c r="B1457" s="42"/>
      <c r="C1457" s="30"/>
      <c r="D1457" s="30"/>
      <c r="E1457" s="30"/>
      <c r="F1457" s="30"/>
      <c r="G1457" s="30"/>
      <c r="H1457" s="47"/>
      <c r="I1457" s="63"/>
      <c r="J1457" s="31"/>
      <c r="K1457" s="31"/>
      <c r="L1457" s="32"/>
      <c r="M1457" s="32"/>
      <c r="N1457" s="32"/>
    </row>
    <row r="1458" spans="2:14" x14ac:dyDescent="0.25">
      <c r="B1458" s="42"/>
      <c r="C1458" s="30"/>
      <c r="D1458" s="30"/>
      <c r="E1458" s="30"/>
      <c r="F1458" s="30"/>
      <c r="G1458" s="30"/>
      <c r="H1458" s="47"/>
      <c r="I1458" s="63"/>
      <c r="J1458" s="31"/>
      <c r="K1458" s="31"/>
      <c r="L1458" s="32"/>
      <c r="M1458" s="32"/>
      <c r="N1458" s="32"/>
    </row>
    <row r="1459" spans="2:14" x14ac:dyDescent="0.25">
      <c r="B1459" s="42"/>
      <c r="C1459" s="30"/>
      <c r="D1459" s="30"/>
      <c r="E1459" s="30"/>
      <c r="F1459" s="30"/>
      <c r="G1459" s="30"/>
      <c r="H1459" s="47"/>
      <c r="I1459" s="63"/>
      <c r="J1459" s="31"/>
      <c r="K1459" s="31"/>
      <c r="L1459" s="32"/>
      <c r="M1459" s="32"/>
      <c r="N1459" s="32"/>
    </row>
    <row r="1460" spans="2:14" x14ac:dyDescent="0.25">
      <c r="B1460" s="42"/>
      <c r="C1460" s="30"/>
      <c r="D1460" s="30"/>
      <c r="E1460" s="30"/>
      <c r="F1460" s="30"/>
      <c r="G1460" s="30"/>
      <c r="H1460" s="47"/>
      <c r="I1460" s="63"/>
      <c r="J1460" s="31"/>
      <c r="K1460" s="31"/>
      <c r="L1460" s="32"/>
      <c r="M1460" s="32"/>
      <c r="N1460" s="32"/>
    </row>
    <row r="1461" spans="2:14" x14ac:dyDescent="0.25">
      <c r="B1461" s="42"/>
      <c r="C1461" s="30"/>
      <c r="D1461" s="30"/>
      <c r="E1461" s="30"/>
      <c r="F1461" s="30"/>
      <c r="G1461" s="30"/>
      <c r="H1461" s="47"/>
      <c r="I1461" s="63"/>
      <c r="J1461" s="31"/>
      <c r="K1461" s="31"/>
      <c r="L1461" s="32"/>
      <c r="M1461" s="32"/>
      <c r="N1461" s="32"/>
    </row>
    <row r="1462" spans="2:14" x14ac:dyDescent="0.25">
      <c r="B1462" s="42"/>
      <c r="C1462" s="30"/>
      <c r="D1462" s="30"/>
      <c r="E1462" s="30"/>
      <c r="F1462" s="30"/>
      <c r="G1462" s="30"/>
      <c r="H1462" s="47"/>
      <c r="I1462" s="63"/>
      <c r="J1462" s="31"/>
      <c r="K1462" s="31"/>
      <c r="L1462" s="32"/>
      <c r="M1462" s="32"/>
      <c r="N1462" s="32"/>
    </row>
    <row r="1463" spans="2:14" x14ac:dyDescent="0.25">
      <c r="B1463" s="42"/>
      <c r="C1463" s="30"/>
      <c r="D1463" s="30"/>
      <c r="E1463" s="30"/>
      <c r="F1463" s="30"/>
      <c r="G1463" s="30"/>
      <c r="H1463" s="47"/>
      <c r="I1463" s="63"/>
      <c r="J1463" s="31"/>
      <c r="K1463" s="31"/>
      <c r="L1463" s="32"/>
      <c r="M1463" s="32"/>
      <c r="N1463" s="32"/>
    </row>
    <row r="1464" spans="2:14" x14ac:dyDescent="0.25">
      <c r="B1464" s="42"/>
      <c r="C1464" s="30"/>
      <c r="D1464" s="30"/>
      <c r="E1464" s="30"/>
      <c r="F1464" s="30"/>
      <c r="G1464" s="30"/>
      <c r="H1464" s="47"/>
      <c r="I1464" s="63"/>
      <c r="J1464" s="31"/>
      <c r="K1464" s="31"/>
      <c r="L1464" s="32"/>
      <c r="M1464" s="32"/>
      <c r="N1464" s="32"/>
    </row>
    <row r="1465" spans="2:14" x14ac:dyDescent="0.25">
      <c r="B1465" s="42"/>
      <c r="C1465" s="30"/>
      <c r="D1465" s="30"/>
      <c r="E1465" s="30"/>
      <c r="F1465" s="30"/>
      <c r="G1465" s="30"/>
      <c r="H1465" s="47"/>
      <c r="I1465" s="63"/>
      <c r="J1465" s="31"/>
      <c r="K1465" s="31"/>
      <c r="L1465" s="32"/>
      <c r="M1465" s="32"/>
      <c r="N1465" s="32"/>
    </row>
    <row r="1466" spans="2:14" x14ac:dyDescent="0.25">
      <c r="B1466" s="42"/>
      <c r="C1466" s="30"/>
      <c r="D1466" s="30"/>
      <c r="E1466" s="30"/>
      <c r="F1466" s="30"/>
      <c r="G1466" s="30"/>
      <c r="H1466" s="47"/>
      <c r="I1466" s="63"/>
      <c r="J1466" s="31"/>
      <c r="K1466" s="31"/>
      <c r="L1466" s="32"/>
      <c r="M1466" s="32"/>
      <c r="N1466" s="32"/>
    </row>
    <row r="1467" spans="2:14" x14ac:dyDescent="0.25">
      <c r="B1467" s="42"/>
      <c r="C1467" s="30"/>
      <c r="D1467" s="30"/>
      <c r="E1467" s="30"/>
      <c r="F1467" s="30"/>
      <c r="G1467" s="30"/>
      <c r="H1467" s="47"/>
      <c r="I1467" s="63"/>
      <c r="J1467" s="31"/>
      <c r="K1467" s="31"/>
      <c r="L1467" s="32"/>
      <c r="M1467" s="32"/>
      <c r="N1467" s="32"/>
    </row>
    <row r="1468" spans="2:14" x14ac:dyDescent="0.25">
      <c r="B1468" s="42"/>
      <c r="C1468" s="30"/>
      <c r="D1468" s="30"/>
      <c r="E1468" s="30"/>
      <c r="F1468" s="30"/>
      <c r="G1468" s="30"/>
      <c r="H1468" s="47"/>
      <c r="I1468" s="63"/>
      <c r="J1468" s="31"/>
      <c r="K1468" s="31"/>
      <c r="L1468" s="32"/>
      <c r="M1468" s="32"/>
      <c r="N1468" s="32"/>
    </row>
    <row r="1469" spans="2:14" x14ac:dyDescent="0.25">
      <c r="B1469" s="42"/>
      <c r="C1469" s="30"/>
      <c r="D1469" s="30"/>
      <c r="E1469" s="30"/>
      <c r="F1469" s="30"/>
      <c r="G1469" s="30"/>
      <c r="H1469" s="47"/>
      <c r="I1469" s="63"/>
      <c r="J1469" s="31"/>
      <c r="K1469" s="31"/>
      <c r="L1469" s="32"/>
      <c r="M1469" s="32"/>
      <c r="N1469" s="32"/>
    </row>
    <row r="1470" spans="2:14" x14ac:dyDescent="0.25">
      <c r="B1470" s="42"/>
      <c r="C1470" s="30"/>
      <c r="D1470" s="30"/>
      <c r="E1470" s="30"/>
      <c r="F1470" s="30"/>
      <c r="G1470" s="30"/>
      <c r="H1470" s="47"/>
      <c r="I1470" s="63"/>
      <c r="J1470" s="31"/>
      <c r="K1470" s="31"/>
      <c r="L1470" s="32"/>
      <c r="M1470" s="32"/>
      <c r="N1470" s="32"/>
    </row>
    <row r="1471" spans="2:14" x14ac:dyDescent="0.25">
      <c r="B1471" s="42"/>
      <c r="C1471" s="30"/>
      <c r="D1471" s="30"/>
      <c r="E1471" s="30"/>
      <c r="F1471" s="30"/>
      <c r="G1471" s="30"/>
      <c r="H1471" s="47"/>
      <c r="I1471" s="63"/>
      <c r="J1471" s="31"/>
      <c r="K1471" s="31"/>
      <c r="L1471" s="32"/>
      <c r="M1471" s="32"/>
      <c r="N1471" s="32"/>
    </row>
    <row r="1472" spans="2:14" x14ac:dyDescent="0.25">
      <c r="B1472" s="42"/>
      <c r="C1472" s="30"/>
      <c r="D1472" s="30"/>
      <c r="E1472" s="30"/>
      <c r="F1472" s="30"/>
      <c r="G1472" s="30"/>
      <c r="H1472" s="47"/>
      <c r="I1472" s="63"/>
      <c r="J1472" s="31"/>
      <c r="K1472" s="31"/>
      <c r="L1472" s="32"/>
      <c r="M1472" s="32"/>
      <c r="N1472" s="32"/>
    </row>
    <row r="1473" spans="2:14" x14ac:dyDescent="0.25">
      <c r="B1473" s="42"/>
      <c r="C1473" s="30"/>
      <c r="D1473" s="30"/>
      <c r="E1473" s="30"/>
      <c r="F1473" s="30"/>
      <c r="G1473" s="30"/>
      <c r="H1473" s="47"/>
      <c r="I1473" s="63"/>
      <c r="J1473" s="31"/>
      <c r="K1473" s="31"/>
      <c r="L1473" s="32"/>
      <c r="M1473" s="32"/>
      <c r="N1473" s="32"/>
    </row>
    <row r="1474" spans="2:14" x14ac:dyDescent="0.25">
      <c r="B1474" s="42"/>
      <c r="C1474" s="30"/>
      <c r="D1474" s="30"/>
      <c r="E1474" s="30"/>
      <c r="F1474" s="30"/>
      <c r="G1474" s="30"/>
      <c r="H1474" s="47"/>
      <c r="I1474" s="63"/>
      <c r="J1474" s="31"/>
      <c r="K1474" s="31"/>
      <c r="L1474" s="32"/>
      <c r="M1474" s="32"/>
      <c r="N1474" s="32"/>
    </row>
    <row r="1475" spans="2:14" x14ac:dyDescent="0.25">
      <c r="B1475" s="42"/>
      <c r="C1475" s="30"/>
      <c r="D1475" s="30"/>
      <c r="E1475" s="30"/>
      <c r="F1475" s="30"/>
      <c r="G1475" s="30"/>
      <c r="H1475" s="47"/>
      <c r="I1475" s="63"/>
      <c r="J1475" s="31"/>
      <c r="K1475" s="31"/>
      <c r="L1475" s="32"/>
      <c r="M1475" s="32"/>
      <c r="N1475" s="32"/>
    </row>
    <row r="1476" spans="2:14" x14ac:dyDescent="0.25">
      <c r="B1476" s="42"/>
      <c r="C1476" s="30"/>
      <c r="D1476" s="30"/>
      <c r="E1476" s="30"/>
      <c r="F1476" s="30"/>
      <c r="G1476" s="30"/>
      <c r="H1476" s="47"/>
      <c r="I1476" s="63"/>
      <c r="J1476" s="31"/>
      <c r="K1476" s="31"/>
      <c r="L1476" s="32"/>
      <c r="M1476" s="32"/>
      <c r="N1476" s="32"/>
    </row>
    <row r="1477" spans="2:14" x14ac:dyDescent="0.25">
      <c r="B1477" s="42"/>
      <c r="C1477" s="30"/>
      <c r="D1477" s="30"/>
      <c r="E1477" s="30"/>
      <c r="F1477" s="30"/>
      <c r="G1477" s="30"/>
      <c r="H1477" s="47"/>
      <c r="I1477" s="63"/>
      <c r="J1477" s="31"/>
      <c r="K1477" s="31"/>
      <c r="L1477" s="32"/>
      <c r="M1477" s="32"/>
      <c r="N1477" s="32"/>
    </row>
    <row r="1478" spans="2:14" x14ac:dyDescent="0.25">
      <c r="B1478" s="42"/>
      <c r="C1478" s="30"/>
      <c r="D1478" s="30"/>
      <c r="E1478" s="30"/>
      <c r="F1478" s="30"/>
      <c r="G1478" s="30"/>
      <c r="H1478" s="47"/>
      <c r="I1478" s="63"/>
      <c r="J1478" s="31"/>
      <c r="K1478" s="31"/>
      <c r="L1478" s="32"/>
      <c r="M1478" s="32"/>
      <c r="N1478" s="32"/>
    </row>
    <row r="1479" spans="2:14" x14ac:dyDescent="0.25">
      <c r="B1479" s="42"/>
      <c r="C1479" s="30"/>
      <c r="D1479" s="30"/>
      <c r="E1479" s="30"/>
      <c r="F1479" s="30"/>
      <c r="G1479" s="30"/>
      <c r="H1479" s="47"/>
      <c r="I1479" s="63"/>
      <c r="J1479" s="31"/>
      <c r="K1479" s="31"/>
      <c r="L1479" s="32"/>
      <c r="M1479" s="32"/>
      <c r="N1479" s="32"/>
    </row>
    <row r="1480" spans="2:14" x14ac:dyDescent="0.25">
      <c r="B1480" s="42"/>
      <c r="C1480" s="30"/>
      <c r="D1480" s="30"/>
      <c r="E1480" s="30"/>
      <c r="F1480" s="30"/>
      <c r="G1480" s="30"/>
      <c r="H1480" s="47"/>
      <c r="I1480" s="63"/>
      <c r="J1480" s="31"/>
      <c r="K1480" s="31"/>
      <c r="L1480" s="32"/>
      <c r="M1480" s="32"/>
      <c r="N1480" s="32"/>
    </row>
    <row r="1481" spans="2:14" x14ac:dyDescent="0.25">
      <c r="B1481" s="42"/>
      <c r="C1481" s="30"/>
      <c r="D1481" s="30"/>
      <c r="E1481" s="30"/>
      <c r="F1481" s="30"/>
      <c r="G1481" s="30"/>
      <c r="H1481" s="47"/>
      <c r="I1481" s="63"/>
      <c r="J1481" s="31"/>
      <c r="K1481" s="31"/>
      <c r="L1481" s="32"/>
      <c r="M1481" s="32"/>
      <c r="N1481" s="32"/>
    </row>
    <row r="1482" spans="2:14" x14ac:dyDescent="0.25">
      <c r="B1482" s="42"/>
      <c r="C1482" s="30"/>
      <c r="D1482" s="30"/>
      <c r="E1482" s="30"/>
      <c r="F1482" s="30"/>
      <c r="G1482" s="30"/>
      <c r="H1482" s="47"/>
      <c r="I1482" s="63"/>
      <c r="J1482" s="31"/>
      <c r="K1482" s="31"/>
      <c r="L1482" s="32"/>
      <c r="M1482" s="32"/>
      <c r="N1482" s="32"/>
    </row>
    <row r="1483" spans="2:14" x14ac:dyDescent="0.25">
      <c r="B1483" s="42"/>
      <c r="C1483" s="30"/>
      <c r="D1483" s="30"/>
      <c r="E1483" s="30"/>
      <c r="F1483" s="30"/>
      <c r="G1483" s="30"/>
      <c r="H1483" s="47"/>
      <c r="I1483" s="63"/>
      <c r="J1483" s="31"/>
      <c r="K1483" s="31"/>
      <c r="L1483" s="32"/>
      <c r="M1483" s="32"/>
      <c r="N1483" s="32"/>
    </row>
    <row r="1484" spans="2:14" x14ac:dyDescent="0.25">
      <c r="B1484" s="42"/>
      <c r="C1484" s="30"/>
      <c r="D1484" s="30"/>
      <c r="E1484" s="30"/>
      <c r="F1484" s="30"/>
      <c r="G1484" s="30"/>
      <c r="H1484" s="47"/>
      <c r="I1484" s="63"/>
      <c r="J1484" s="31"/>
      <c r="K1484" s="31"/>
      <c r="L1484" s="32"/>
      <c r="M1484" s="32"/>
      <c r="N1484" s="32"/>
    </row>
    <row r="1485" spans="2:14" x14ac:dyDescent="0.25">
      <c r="B1485" s="42"/>
      <c r="C1485" s="30"/>
      <c r="D1485" s="30"/>
      <c r="E1485" s="30"/>
      <c r="F1485" s="30"/>
      <c r="G1485" s="30"/>
      <c r="H1485" s="47"/>
      <c r="I1485" s="63"/>
      <c r="J1485" s="31"/>
      <c r="K1485" s="31"/>
      <c r="L1485" s="32"/>
      <c r="M1485" s="32"/>
      <c r="N1485" s="32"/>
    </row>
    <row r="1486" spans="2:14" x14ac:dyDescent="0.25">
      <c r="B1486" s="42"/>
      <c r="C1486" s="30"/>
      <c r="D1486" s="30"/>
      <c r="E1486" s="30"/>
      <c r="F1486" s="30"/>
      <c r="G1486" s="30"/>
      <c r="H1486" s="47"/>
      <c r="I1486" s="63"/>
      <c r="J1486" s="31"/>
      <c r="K1486" s="31"/>
      <c r="L1486" s="32"/>
      <c r="M1486" s="32"/>
      <c r="N1486" s="32"/>
    </row>
    <row r="1487" spans="2:14" x14ac:dyDescent="0.25">
      <c r="B1487" s="42"/>
      <c r="C1487" s="30"/>
      <c r="D1487" s="30"/>
      <c r="E1487" s="30"/>
      <c r="F1487" s="30"/>
      <c r="G1487" s="30"/>
      <c r="H1487" s="47"/>
      <c r="I1487" s="63"/>
      <c r="J1487" s="31"/>
      <c r="K1487" s="31"/>
      <c r="L1487" s="32"/>
      <c r="M1487" s="32"/>
      <c r="N1487" s="32"/>
    </row>
    <row r="1488" spans="2:14" x14ac:dyDescent="0.25">
      <c r="B1488" s="42"/>
      <c r="C1488" s="30"/>
      <c r="D1488" s="30"/>
      <c r="E1488" s="30"/>
      <c r="F1488" s="30"/>
      <c r="G1488" s="30"/>
      <c r="H1488" s="47"/>
      <c r="I1488" s="63"/>
      <c r="J1488" s="31"/>
      <c r="K1488" s="31"/>
      <c r="L1488" s="32"/>
      <c r="M1488" s="32"/>
      <c r="N1488" s="32"/>
    </row>
    <row r="1489" spans="2:14" x14ac:dyDescent="0.25">
      <c r="B1489" s="42"/>
      <c r="C1489" s="30"/>
      <c r="D1489" s="30"/>
      <c r="E1489" s="30"/>
      <c r="F1489" s="30"/>
      <c r="G1489" s="30"/>
      <c r="H1489" s="47"/>
      <c r="I1489" s="63"/>
      <c r="J1489" s="31"/>
      <c r="K1489" s="31"/>
      <c r="L1489" s="32"/>
      <c r="M1489" s="32"/>
      <c r="N1489" s="32"/>
    </row>
    <row r="1490" spans="2:14" x14ac:dyDescent="0.25">
      <c r="B1490" s="42"/>
      <c r="C1490" s="30"/>
      <c r="D1490" s="30"/>
      <c r="E1490" s="30"/>
      <c r="F1490" s="30"/>
      <c r="G1490" s="30"/>
      <c r="H1490" s="47"/>
      <c r="I1490" s="63"/>
      <c r="J1490" s="31"/>
      <c r="K1490" s="31"/>
      <c r="L1490" s="32"/>
      <c r="M1490" s="32"/>
      <c r="N1490" s="32"/>
    </row>
    <row r="1491" spans="2:14" x14ac:dyDescent="0.25">
      <c r="B1491" s="42"/>
      <c r="C1491" s="30"/>
      <c r="D1491" s="30"/>
      <c r="E1491" s="30"/>
      <c r="F1491" s="30"/>
      <c r="G1491" s="30"/>
      <c r="H1491" s="47"/>
      <c r="I1491" s="63"/>
      <c r="J1491" s="31"/>
      <c r="K1491" s="31"/>
      <c r="L1491" s="32"/>
      <c r="M1491" s="32"/>
      <c r="N1491" s="32"/>
    </row>
    <row r="1492" spans="2:14" x14ac:dyDescent="0.25">
      <c r="B1492" s="42"/>
      <c r="C1492" s="30"/>
      <c r="D1492" s="30"/>
      <c r="E1492" s="30"/>
      <c r="F1492" s="30"/>
      <c r="G1492" s="30"/>
      <c r="H1492" s="47"/>
      <c r="I1492" s="63"/>
      <c r="J1492" s="31"/>
      <c r="K1492" s="31"/>
      <c r="L1492" s="32"/>
      <c r="M1492" s="32"/>
      <c r="N1492" s="32"/>
    </row>
    <row r="1493" spans="2:14" x14ac:dyDescent="0.25">
      <c r="B1493" s="42"/>
      <c r="C1493" s="30"/>
      <c r="D1493" s="30"/>
      <c r="E1493" s="30"/>
      <c r="F1493" s="30"/>
      <c r="G1493" s="30"/>
      <c r="H1493" s="47"/>
      <c r="I1493" s="63"/>
      <c r="J1493" s="31"/>
      <c r="K1493" s="31"/>
      <c r="L1493" s="32"/>
      <c r="M1493" s="32"/>
      <c r="N1493" s="32"/>
    </row>
    <row r="1494" spans="2:14" x14ac:dyDescent="0.25">
      <c r="B1494" s="42"/>
      <c r="C1494" s="30"/>
      <c r="D1494" s="30"/>
      <c r="E1494" s="30"/>
      <c r="F1494" s="30"/>
      <c r="G1494" s="30"/>
      <c r="H1494" s="47"/>
      <c r="I1494" s="63"/>
      <c r="J1494" s="31"/>
      <c r="K1494" s="31"/>
      <c r="L1494" s="32"/>
      <c r="M1494" s="32"/>
      <c r="N1494" s="32"/>
    </row>
    <row r="1495" spans="2:14" x14ac:dyDescent="0.25">
      <c r="B1495" s="42"/>
      <c r="C1495" s="30"/>
      <c r="D1495" s="30"/>
      <c r="E1495" s="30"/>
      <c r="F1495" s="30"/>
      <c r="G1495" s="30"/>
      <c r="H1495" s="47"/>
      <c r="I1495" s="63"/>
      <c r="J1495" s="31"/>
      <c r="K1495" s="31"/>
      <c r="L1495" s="32"/>
      <c r="M1495" s="32"/>
      <c r="N1495" s="32"/>
    </row>
    <row r="1496" spans="2:14" x14ac:dyDescent="0.25">
      <c r="B1496" s="42"/>
      <c r="C1496" s="30"/>
      <c r="D1496" s="30"/>
      <c r="E1496" s="30"/>
      <c r="F1496" s="30"/>
      <c r="G1496" s="30"/>
      <c r="H1496" s="47"/>
      <c r="I1496" s="63"/>
      <c r="J1496" s="31"/>
      <c r="K1496" s="31"/>
      <c r="L1496" s="32"/>
      <c r="M1496" s="32"/>
      <c r="N1496" s="32"/>
    </row>
    <row r="1497" spans="2:14" x14ac:dyDescent="0.25">
      <c r="B1497" s="42"/>
      <c r="C1497" s="30"/>
      <c r="D1497" s="30"/>
      <c r="E1497" s="30"/>
      <c r="F1497" s="30"/>
      <c r="G1497" s="30"/>
      <c r="H1497" s="47"/>
      <c r="I1497" s="63"/>
      <c r="J1497" s="31"/>
      <c r="K1497" s="31"/>
      <c r="L1497" s="32"/>
      <c r="M1497" s="32"/>
      <c r="N1497" s="32"/>
    </row>
    <row r="1498" spans="2:14" x14ac:dyDescent="0.25">
      <c r="B1498" s="42"/>
      <c r="C1498" s="30"/>
      <c r="D1498" s="30"/>
      <c r="E1498" s="30"/>
      <c r="F1498" s="30"/>
      <c r="G1498" s="30"/>
      <c r="H1498" s="47"/>
      <c r="I1498" s="63"/>
      <c r="J1498" s="31"/>
      <c r="K1498" s="31"/>
      <c r="L1498" s="32"/>
      <c r="M1498" s="32"/>
      <c r="N1498" s="32"/>
    </row>
    <row r="1499" spans="2:14" x14ac:dyDescent="0.25">
      <c r="B1499" s="42"/>
      <c r="C1499" s="30"/>
      <c r="D1499" s="30"/>
      <c r="E1499" s="30"/>
      <c r="F1499" s="30"/>
      <c r="G1499" s="30"/>
      <c r="H1499" s="47"/>
      <c r="I1499" s="63"/>
      <c r="J1499" s="31"/>
      <c r="K1499" s="31"/>
      <c r="L1499" s="32"/>
      <c r="M1499" s="32"/>
      <c r="N1499" s="32"/>
    </row>
    <row r="1500" spans="2:14" x14ac:dyDescent="0.25">
      <c r="B1500" s="42"/>
      <c r="C1500" s="30"/>
      <c r="D1500" s="30"/>
      <c r="E1500" s="30"/>
      <c r="F1500" s="30"/>
      <c r="G1500" s="30"/>
      <c r="H1500" s="47"/>
      <c r="I1500" s="63"/>
      <c r="J1500" s="31"/>
      <c r="K1500" s="31"/>
      <c r="L1500" s="32"/>
      <c r="M1500" s="32"/>
      <c r="N1500" s="32"/>
    </row>
    <row r="1501" spans="2:14" x14ac:dyDescent="0.25">
      <c r="B1501" s="42"/>
      <c r="C1501" s="30"/>
      <c r="D1501" s="30"/>
      <c r="E1501" s="30"/>
      <c r="F1501" s="30"/>
      <c r="G1501" s="30"/>
      <c r="H1501" s="47"/>
      <c r="I1501" s="63"/>
      <c r="J1501" s="31"/>
      <c r="K1501" s="31"/>
      <c r="L1501" s="32"/>
      <c r="M1501" s="32"/>
      <c r="N1501" s="32"/>
    </row>
    <row r="1502" spans="2:14" x14ac:dyDescent="0.25">
      <c r="B1502" s="42"/>
      <c r="C1502" s="30"/>
      <c r="D1502" s="30"/>
      <c r="E1502" s="30"/>
      <c r="F1502" s="30"/>
      <c r="G1502" s="30"/>
      <c r="H1502" s="47"/>
      <c r="I1502" s="63"/>
      <c r="J1502" s="31"/>
      <c r="K1502" s="31"/>
      <c r="L1502" s="32"/>
      <c r="M1502" s="32"/>
      <c r="N1502" s="32"/>
    </row>
    <row r="1503" spans="2:14" x14ac:dyDescent="0.25">
      <c r="B1503" s="42"/>
      <c r="C1503" s="30"/>
      <c r="D1503" s="30"/>
      <c r="E1503" s="30"/>
      <c r="F1503" s="30"/>
      <c r="G1503" s="30"/>
      <c r="H1503" s="47"/>
      <c r="I1503" s="63"/>
      <c r="J1503" s="31"/>
      <c r="K1503" s="31"/>
      <c r="L1503" s="32"/>
      <c r="M1503" s="32"/>
      <c r="N1503" s="32"/>
    </row>
    <row r="1504" spans="2:14" x14ac:dyDescent="0.25">
      <c r="B1504" s="42"/>
      <c r="C1504" s="30"/>
      <c r="D1504" s="30"/>
      <c r="E1504" s="30"/>
      <c r="F1504" s="30"/>
      <c r="G1504" s="30"/>
      <c r="H1504" s="47"/>
      <c r="I1504" s="63"/>
      <c r="J1504" s="31"/>
      <c r="K1504" s="31"/>
      <c r="L1504" s="32"/>
      <c r="M1504" s="32"/>
      <c r="N1504" s="32"/>
    </row>
    <row r="1505" spans="2:14" x14ac:dyDescent="0.25">
      <c r="B1505" s="42"/>
      <c r="C1505" s="30"/>
      <c r="D1505" s="30"/>
      <c r="E1505" s="30"/>
      <c r="F1505" s="30"/>
      <c r="G1505" s="30"/>
      <c r="H1505" s="47"/>
      <c r="I1505" s="63"/>
      <c r="J1505" s="31"/>
      <c r="K1505" s="31"/>
      <c r="L1505" s="32"/>
      <c r="M1505" s="32"/>
      <c r="N1505" s="32"/>
    </row>
    <row r="1506" spans="2:14" x14ac:dyDescent="0.25">
      <c r="B1506" s="42"/>
      <c r="C1506" s="30"/>
      <c r="D1506" s="30"/>
      <c r="E1506" s="30"/>
      <c r="F1506" s="30"/>
      <c r="G1506" s="30"/>
      <c r="H1506" s="47"/>
      <c r="I1506" s="63"/>
      <c r="J1506" s="31"/>
      <c r="K1506" s="31"/>
      <c r="L1506" s="32"/>
      <c r="M1506" s="32"/>
      <c r="N1506" s="32"/>
    </row>
    <row r="1507" spans="2:14" x14ac:dyDescent="0.25">
      <c r="B1507" s="42"/>
      <c r="C1507" s="30"/>
      <c r="D1507" s="30"/>
      <c r="E1507" s="30"/>
      <c r="F1507" s="30"/>
      <c r="G1507" s="30"/>
      <c r="H1507" s="47"/>
      <c r="I1507" s="63"/>
      <c r="J1507" s="31"/>
      <c r="K1507" s="31"/>
      <c r="L1507" s="32"/>
      <c r="M1507" s="32"/>
      <c r="N1507" s="32"/>
    </row>
    <row r="1508" spans="2:14" x14ac:dyDescent="0.25">
      <c r="B1508" s="42"/>
      <c r="C1508" s="30"/>
      <c r="D1508" s="30"/>
      <c r="E1508" s="30"/>
      <c r="F1508" s="30"/>
      <c r="G1508" s="30"/>
      <c r="H1508" s="47"/>
      <c r="I1508" s="63"/>
      <c r="J1508" s="31"/>
      <c r="K1508" s="31"/>
      <c r="L1508" s="32"/>
      <c r="M1508" s="32"/>
      <c r="N1508" s="32"/>
    </row>
    <row r="1509" spans="2:14" x14ac:dyDescent="0.25">
      <c r="B1509" s="42"/>
      <c r="C1509" s="30"/>
      <c r="D1509" s="30"/>
      <c r="E1509" s="30"/>
      <c r="F1509" s="30"/>
      <c r="G1509" s="30"/>
      <c r="H1509" s="47"/>
      <c r="I1509" s="63"/>
      <c r="J1509" s="31"/>
      <c r="K1509" s="31"/>
      <c r="L1509" s="32"/>
      <c r="M1509" s="32"/>
      <c r="N1509" s="32"/>
    </row>
    <row r="1510" spans="2:14" x14ac:dyDescent="0.25">
      <c r="B1510" s="42"/>
      <c r="C1510" s="30"/>
      <c r="D1510" s="30"/>
      <c r="E1510" s="30"/>
      <c r="F1510" s="30"/>
      <c r="G1510" s="30"/>
      <c r="H1510" s="47"/>
      <c r="I1510" s="63"/>
      <c r="J1510" s="31"/>
      <c r="K1510" s="31"/>
      <c r="L1510" s="32"/>
      <c r="M1510" s="32"/>
      <c r="N1510" s="32"/>
    </row>
    <row r="1511" spans="2:14" x14ac:dyDescent="0.25">
      <c r="B1511" s="42"/>
      <c r="C1511" s="30"/>
      <c r="D1511" s="30"/>
      <c r="E1511" s="30"/>
      <c r="F1511" s="30"/>
      <c r="G1511" s="30"/>
      <c r="H1511" s="47"/>
      <c r="I1511" s="63"/>
      <c r="J1511" s="31"/>
      <c r="K1511" s="31"/>
      <c r="L1511" s="32"/>
      <c r="M1511" s="32"/>
      <c r="N1511" s="32"/>
    </row>
    <row r="1512" spans="2:14" x14ac:dyDescent="0.25">
      <c r="B1512" s="42"/>
      <c r="C1512" s="30"/>
      <c r="D1512" s="30"/>
      <c r="E1512" s="30"/>
      <c r="F1512" s="30"/>
      <c r="G1512" s="30"/>
      <c r="H1512" s="47"/>
      <c r="I1512" s="63"/>
      <c r="J1512" s="31"/>
      <c r="K1512" s="31"/>
      <c r="L1512" s="32"/>
      <c r="M1512" s="32"/>
      <c r="N1512" s="32"/>
    </row>
    <row r="1513" spans="2:14" x14ac:dyDescent="0.25">
      <c r="B1513" s="42"/>
      <c r="C1513" s="30"/>
      <c r="D1513" s="30"/>
      <c r="E1513" s="30"/>
      <c r="F1513" s="30"/>
      <c r="G1513" s="30"/>
      <c r="H1513" s="47"/>
      <c r="I1513" s="63"/>
      <c r="J1513" s="31"/>
      <c r="K1513" s="31"/>
      <c r="L1513" s="32"/>
      <c r="M1513" s="32"/>
      <c r="N1513" s="32"/>
    </row>
    <row r="1514" spans="2:14" x14ac:dyDescent="0.25">
      <c r="B1514" s="42"/>
      <c r="C1514" s="30"/>
      <c r="D1514" s="30"/>
      <c r="E1514" s="30"/>
      <c r="F1514" s="30"/>
      <c r="G1514" s="30"/>
      <c r="H1514" s="47"/>
      <c r="I1514" s="63"/>
      <c r="J1514" s="31"/>
      <c r="K1514" s="31"/>
      <c r="L1514" s="32"/>
      <c r="M1514" s="32"/>
      <c r="N1514" s="32"/>
    </row>
    <row r="1515" spans="2:14" x14ac:dyDescent="0.25">
      <c r="B1515" s="42"/>
      <c r="C1515" s="30"/>
      <c r="D1515" s="30"/>
      <c r="E1515" s="30"/>
      <c r="F1515" s="30"/>
      <c r="G1515" s="30"/>
      <c r="H1515" s="47"/>
      <c r="I1515" s="63"/>
      <c r="J1515" s="31"/>
      <c r="K1515" s="31"/>
      <c r="L1515" s="32"/>
      <c r="M1515" s="32"/>
      <c r="N1515" s="32"/>
    </row>
    <row r="1516" spans="2:14" x14ac:dyDescent="0.25">
      <c r="B1516" s="42"/>
      <c r="C1516" s="30"/>
      <c r="D1516" s="30"/>
      <c r="E1516" s="30"/>
      <c r="F1516" s="30"/>
      <c r="G1516" s="30"/>
      <c r="H1516" s="47"/>
      <c r="I1516" s="63"/>
      <c r="J1516" s="31"/>
      <c r="K1516" s="31"/>
      <c r="L1516" s="32"/>
      <c r="M1516" s="32"/>
      <c r="N1516" s="32"/>
    </row>
    <row r="1517" spans="2:14" x14ac:dyDescent="0.25">
      <c r="B1517" s="42"/>
      <c r="C1517" s="30"/>
      <c r="D1517" s="30"/>
      <c r="E1517" s="30"/>
      <c r="F1517" s="30"/>
      <c r="G1517" s="30"/>
      <c r="H1517" s="47"/>
      <c r="I1517" s="63"/>
      <c r="J1517" s="31"/>
      <c r="K1517" s="31"/>
      <c r="L1517" s="32"/>
      <c r="M1517" s="32"/>
      <c r="N1517" s="32"/>
    </row>
    <row r="1518" spans="2:14" x14ac:dyDescent="0.25">
      <c r="B1518" s="42"/>
      <c r="C1518" s="30"/>
      <c r="D1518" s="30"/>
      <c r="E1518" s="30"/>
      <c r="F1518" s="30"/>
      <c r="G1518" s="30"/>
      <c r="H1518" s="47"/>
      <c r="I1518" s="63"/>
      <c r="J1518" s="31"/>
      <c r="K1518" s="31"/>
      <c r="L1518" s="32"/>
      <c r="M1518" s="32"/>
      <c r="N1518" s="32"/>
    </row>
    <row r="1519" spans="2:14" x14ac:dyDescent="0.25">
      <c r="B1519" s="42"/>
      <c r="C1519" s="30"/>
      <c r="D1519" s="30"/>
      <c r="E1519" s="30"/>
      <c r="F1519" s="30"/>
      <c r="G1519" s="30"/>
      <c r="H1519" s="47"/>
      <c r="I1519" s="63"/>
      <c r="J1519" s="31"/>
      <c r="K1519" s="31"/>
      <c r="L1519" s="32"/>
      <c r="M1519" s="32"/>
      <c r="N1519" s="32"/>
    </row>
    <row r="1520" spans="2:14" x14ac:dyDescent="0.25">
      <c r="B1520" s="42"/>
      <c r="C1520" s="30"/>
      <c r="D1520" s="30"/>
      <c r="E1520" s="30"/>
      <c r="F1520" s="30"/>
      <c r="G1520" s="30"/>
      <c r="H1520" s="47"/>
      <c r="I1520" s="63"/>
      <c r="J1520" s="31"/>
      <c r="K1520" s="31"/>
      <c r="L1520" s="32"/>
      <c r="M1520" s="32"/>
      <c r="N1520" s="32"/>
    </row>
    <row r="1521" spans="2:14" x14ac:dyDescent="0.25">
      <c r="B1521" s="42"/>
      <c r="C1521" s="30"/>
      <c r="D1521" s="30"/>
      <c r="E1521" s="30"/>
      <c r="F1521" s="30"/>
      <c r="G1521" s="30"/>
      <c r="H1521" s="47"/>
      <c r="I1521" s="63"/>
      <c r="J1521" s="31"/>
      <c r="K1521" s="31"/>
      <c r="L1521" s="32"/>
      <c r="M1521" s="32"/>
      <c r="N1521" s="32"/>
    </row>
    <row r="1522" spans="2:14" x14ac:dyDescent="0.25">
      <c r="B1522" s="42"/>
      <c r="C1522" s="30"/>
      <c r="D1522" s="30"/>
      <c r="E1522" s="30"/>
      <c r="F1522" s="30"/>
      <c r="G1522" s="30"/>
      <c r="H1522" s="47"/>
      <c r="I1522" s="63"/>
      <c r="J1522" s="31"/>
      <c r="K1522" s="31"/>
      <c r="L1522" s="32"/>
      <c r="M1522" s="32"/>
      <c r="N1522" s="32"/>
    </row>
    <row r="1523" spans="2:14" x14ac:dyDescent="0.25">
      <c r="B1523" s="42"/>
      <c r="C1523" s="30"/>
      <c r="D1523" s="30"/>
      <c r="E1523" s="30"/>
      <c r="F1523" s="30"/>
      <c r="G1523" s="30"/>
      <c r="H1523" s="47"/>
      <c r="I1523" s="63"/>
      <c r="J1523" s="31"/>
      <c r="K1523" s="31"/>
      <c r="L1523" s="32"/>
      <c r="M1523" s="32"/>
      <c r="N1523" s="32"/>
    </row>
    <row r="1524" spans="2:14" x14ac:dyDescent="0.25">
      <c r="B1524" s="42"/>
      <c r="C1524" s="30"/>
      <c r="D1524" s="30"/>
      <c r="E1524" s="30"/>
      <c r="F1524" s="30"/>
      <c r="G1524" s="30"/>
      <c r="H1524" s="47"/>
      <c r="I1524" s="63"/>
      <c r="J1524" s="31"/>
      <c r="K1524" s="31"/>
      <c r="L1524" s="32"/>
      <c r="M1524" s="32"/>
      <c r="N1524" s="32"/>
    </row>
    <row r="1525" spans="2:14" x14ac:dyDescent="0.25">
      <c r="B1525" s="42"/>
      <c r="C1525" s="30"/>
      <c r="D1525" s="30"/>
      <c r="E1525" s="30"/>
      <c r="F1525" s="30"/>
      <c r="G1525" s="30"/>
      <c r="H1525" s="47"/>
      <c r="I1525" s="63"/>
      <c r="J1525" s="31"/>
      <c r="K1525" s="31"/>
      <c r="L1525" s="32"/>
      <c r="M1525" s="32"/>
      <c r="N1525" s="32"/>
    </row>
    <row r="1526" spans="2:14" x14ac:dyDescent="0.25">
      <c r="B1526" s="42"/>
      <c r="C1526" s="30"/>
      <c r="D1526" s="30"/>
      <c r="E1526" s="30"/>
      <c r="F1526" s="30"/>
      <c r="G1526" s="30"/>
      <c r="H1526" s="47"/>
      <c r="I1526" s="63"/>
      <c r="J1526" s="31"/>
      <c r="K1526" s="31"/>
      <c r="L1526" s="32"/>
      <c r="M1526" s="32"/>
      <c r="N1526" s="32"/>
    </row>
    <row r="1527" spans="2:14" x14ac:dyDescent="0.25">
      <c r="B1527" s="42"/>
      <c r="C1527" s="30"/>
      <c r="D1527" s="30"/>
      <c r="E1527" s="30"/>
      <c r="F1527" s="30"/>
      <c r="G1527" s="30"/>
      <c r="H1527" s="47"/>
      <c r="I1527" s="63"/>
      <c r="J1527" s="31"/>
      <c r="K1527" s="31"/>
      <c r="L1527" s="32"/>
      <c r="M1527" s="32"/>
      <c r="N1527" s="32"/>
    </row>
    <row r="1528" spans="2:14" x14ac:dyDescent="0.25">
      <c r="B1528" s="42"/>
      <c r="C1528" s="30"/>
      <c r="D1528" s="30"/>
      <c r="E1528" s="30"/>
      <c r="F1528" s="30"/>
      <c r="G1528" s="30"/>
      <c r="H1528" s="47"/>
      <c r="I1528" s="63"/>
      <c r="J1528" s="31"/>
      <c r="K1528" s="31"/>
      <c r="L1528" s="32"/>
      <c r="M1528" s="32"/>
      <c r="N1528" s="32"/>
    </row>
    <row r="1529" spans="2:14" x14ac:dyDescent="0.25">
      <c r="B1529" s="42"/>
      <c r="C1529" s="30"/>
      <c r="D1529" s="30"/>
      <c r="E1529" s="30"/>
      <c r="F1529" s="30"/>
      <c r="G1529" s="30"/>
      <c r="H1529" s="47"/>
      <c r="I1529" s="63"/>
      <c r="J1529" s="31"/>
      <c r="K1529" s="31"/>
      <c r="L1529" s="32"/>
      <c r="M1529" s="32"/>
      <c r="N1529" s="32"/>
    </row>
    <row r="1530" spans="2:14" x14ac:dyDescent="0.25">
      <c r="B1530" s="42"/>
      <c r="C1530" s="30"/>
      <c r="D1530" s="30"/>
      <c r="E1530" s="30"/>
      <c r="F1530" s="30"/>
      <c r="G1530" s="30"/>
      <c r="H1530" s="47"/>
      <c r="I1530" s="63"/>
      <c r="J1530" s="31"/>
      <c r="K1530" s="31"/>
      <c r="L1530" s="32"/>
      <c r="M1530" s="32"/>
      <c r="N1530" s="32"/>
    </row>
    <row r="1531" spans="2:14" x14ac:dyDescent="0.25">
      <c r="B1531" s="42"/>
      <c r="C1531" s="30"/>
      <c r="D1531" s="30"/>
      <c r="E1531" s="30"/>
      <c r="F1531" s="30"/>
      <c r="G1531" s="30"/>
      <c r="H1531" s="47"/>
      <c r="I1531" s="63"/>
      <c r="J1531" s="31"/>
      <c r="K1531" s="31"/>
      <c r="L1531" s="32"/>
      <c r="M1531" s="32"/>
      <c r="N1531" s="32"/>
    </row>
    <row r="1532" spans="2:14" x14ac:dyDescent="0.25">
      <c r="B1532" s="42"/>
      <c r="C1532" s="30"/>
      <c r="D1532" s="30"/>
      <c r="E1532" s="30"/>
      <c r="F1532" s="30"/>
      <c r="G1532" s="30"/>
      <c r="H1532" s="47"/>
      <c r="I1532" s="63"/>
      <c r="J1532" s="31"/>
      <c r="K1532" s="31"/>
      <c r="L1532" s="32"/>
      <c r="M1532" s="32"/>
      <c r="N1532" s="32"/>
    </row>
    <row r="1533" spans="2:14" x14ac:dyDescent="0.25">
      <c r="B1533" s="42"/>
      <c r="C1533" s="30"/>
      <c r="D1533" s="30"/>
      <c r="E1533" s="30"/>
      <c r="F1533" s="30"/>
      <c r="G1533" s="30"/>
      <c r="H1533" s="47"/>
      <c r="I1533" s="63"/>
      <c r="J1533" s="31"/>
      <c r="K1533" s="31"/>
      <c r="L1533" s="32"/>
      <c r="M1533" s="32"/>
      <c r="N1533" s="32"/>
    </row>
    <row r="1534" spans="2:14" x14ac:dyDescent="0.25">
      <c r="B1534" s="42"/>
      <c r="C1534" s="30"/>
      <c r="D1534" s="30"/>
      <c r="E1534" s="30"/>
      <c r="F1534" s="30"/>
      <c r="G1534" s="30"/>
      <c r="H1534" s="47"/>
      <c r="I1534" s="63"/>
      <c r="J1534" s="31"/>
      <c r="K1534" s="31"/>
      <c r="L1534" s="32"/>
      <c r="M1534" s="32"/>
      <c r="N1534" s="32"/>
    </row>
    <row r="1535" spans="2:14" x14ac:dyDescent="0.25">
      <c r="B1535" s="42"/>
      <c r="C1535" s="30"/>
      <c r="D1535" s="30"/>
      <c r="E1535" s="30"/>
      <c r="F1535" s="30"/>
      <c r="G1535" s="30"/>
      <c r="H1535" s="47"/>
      <c r="I1535" s="63"/>
      <c r="J1535" s="31"/>
      <c r="K1535" s="31"/>
      <c r="L1535" s="32"/>
      <c r="M1535" s="32"/>
      <c r="N1535" s="32"/>
    </row>
    <row r="1536" spans="2:14" x14ac:dyDescent="0.25">
      <c r="B1536" s="42"/>
      <c r="C1536" s="30"/>
      <c r="D1536" s="30"/>
      <c r="E1536" s="30"/>
      <c r="F1536" s="30"/>
      <c r="G1536" s="30"/>
      <c r="H1536" s="47"/>
      <c r="I1536" s="63"/>
      <c r="J1536" s="31"/>
      <c r="K1536" s="31"/>
      <c r="L1536" s="32"/>
      <c r="M1536" s="32"/>
      <c r="N1536" s="32"/>
    </row>
    <row r="1537" spans="2:14" x14ac:dyDescent="0.25">
      <c r="B1537" s="42"/>
      <c r="C1537" s="30"/>
      <c r="D1537" s="30"/>
      <c r="E1537" s="30"/>
      <c r="F1537" s="30"/>
      <c r="G1537" s="30"/>
      <c r="H1537" s="47"/>
      <c r="I1537" s="63"/>
      <c r="J1537" s="31"/>
      <c r="K1537" s="31"/>
      <c r="L1537" s="32"/>
      <c r="M1537" s="32"/>
      <c r="N1537" s="32"/>
    </row>
    <row r="1538" spans="2:14" x14ac:dyDescent="0.25">
      <c r="B1538" s="42"/>
      <c r="C1538" s="30"/>
      <c r="D1538" s="30"/>
      <c r="E1538" s="30"/>
      <c r="F1538" s="30"/>
      <c r="G1538" s="30"/>
      <c r="H1538" s="47"/>
      <c r="I1538" s="63"/>
      <c r="J1538" s="31"/>
      <c r="K1538" s="31"/>
      <c r="L1538" s="32"/>
      <c r="M1538" s="32"/>
      <c r="N1538" s="32"/>
    </row>
    <row r="1539" spans="2:14" x14ac:dyDescent="0.25">
      <c r="B1539" s="42"/>
      <c r="C1539" s="30"/>
      <c r="D1539" s="30"/>
      <c r="E1539" s="30"/>
      <c r="F1539" s="30"/>
      <c r="G1539" s="30"/>
      <c r="H1539" s="47"/>
      <c r="I1539" s="63"/>
      <c r="J1539" s="31"/>
      <c r="K1539" s="31"/>
      <c r="L1539" s="32"/>
      <c r="M1539" s="32"/>
      <c r="N1539" s="32"/>
    </row>
    <row r="1540" spans="2:14" x14ac:dyDescent="0.25">
      <c r="B1540" s="42"/>
      <c r="C1540" s="30"/>
      <c r="D1540" s="30"/>
      <c r="E1540" s="30"/>
      <c r="F1540" s="30"/>
      <c r="G1540" s="30"/>
      <c r="H1540" s="47"/>
      <c r="I1540" s="63"/>
      <c r="J1540" s="31"/>
      <c r="K1540" s="31"/>
      <c r="L1540" s="32"/>
      <c r="M1540" s="32"/>
      <c r="N1540" s="32"/>
    </row>
    <row r="1541" spans="2:14" x14ac:dyDescent="0.25">
      <c r="B1541" s="42"/>
      <c r="C1541" s="30"/>
      <c r="D1541" s="30"/>
      <c r="E1541" s="30"/>
      <c r="F1541" s="30"/>
      <c r="G1541" s="30"/>
      <c r="H1541" s="47"/>
      <c r="I1541" s="63"/>
      <c r="J1541" s="31"/>
      <c r="K1541" s="31"/>
      <c r="L1541" s="32"/>
      <c r="M1541" s="32"/>
      <c r="N1541" s="32"/>
    </row>
    <row r="1542" spans="2:14" x14ac:dyDescent="0.25">
      <c r="B1542" s="42"/>
      <c r="C1542" s="30"/>
      <c r="D1542" s="30"/>
      <c r="E1542" s="30"/>
      <c r="F1542" s="30"/>
      <c r="G1542" s="30"/>
      <c r="H1542" s="47"/>
      <c r="I1542" s="63"/>
      <c r="J1542" s="31"/>
      <c r="K1542" s="31"/>
      <c r="L1542" s="32"/>
      <c r="M1542" s="32"/>
      <c r="N1542" s="32"/>
    </row>
    <row r="1543" spans="2:14" x14ac:dyDescent="0.25">
      <c r="B1543" s="42"/>
      <c r="C1543" s="30"/>
      <c r="D1543" s="30"/>
      <c r="E1543" s="30"/>
      <c r="F1543" s="30"/>
      <c r="G1543" s="30"/>
      <c r="H1543" s="47"/>
      <c r="I1543" s="63"/>
      <c r="J1543" s="31"/>
      <c r="K1543" s="31"/>
      <c r="L1543" s="32"/>
      <c r="M1543" s="32"/>
      <c r="N1543" s="32"/>
    </row>
    <row r="1544" spans="2:14" x14ac:dyDescent="0.25">
      <c r="B1544" s="42"/>
      <c r="C1544" s="30"/>
      <c r="D1544" s="30"/>
      <c r="E1544" s="30"/>
      <c r="F1544" s="30"/>
      <c r="G1544" s="30"/>
      <c r="H1544" s="47"/>
      <c r="I1544" s="63"/>
      <c r="J1544" s="31"/>
      <c r="K1544" s="31"/>
      <c r="L1544" s="32"/>
      <c r="M1544" s="32"/>
      <c r="N1544" s="32"/>
    </row>
    <row r="1545" spans="2:14" x14ac:dyDescent="0.25">
      <c r="B1545" s="42"/>
      <c r="C1545" s="30"/>
      <c r="D1545" s="30"/>
      <c r="E1545" s="30"/>
      <c r="F1545" s="30"/>
      <c r="G1545" s="30"/>
      <c r="H1545" s="47"/>
      <c r="I1545" s="63"/>
      <c r="J1545" s="31"/>
      <c r="K1545" s="31"/>
      <c r="L1545" s="32"/>
      <c r="M1545" s="32"/>
      <c r="N1545" s="32"/>
    </row>
    <row r="1546" spans="2:14" x14ac:dyDescent="0.25">
      <c r="B1546" s="42"/>
      <c r="C1546" s="30"/>
      <c r="D1546" s="30"/>
      <c r="E1546" s="30"/>
      <c r="F1546" s="30"/>
      <c r="G1546" s="30"/>
      <c r="H1546" s="47"/>
      <c r="I1546" s="63"/>
      <c r="J1546" s="31"/>
      <c r="K1546" s="31"/>
      <c r="L1546" s="32"/>
      <c r="M1546" s="32"/>
      <c r="N1546" s="32"/>
    </row>
    <row r="1547" spans="2:14" x14ac:dyDescent="0.25">
      <c r="B1547" s="42"/>
      <c r="C1547" s="30"/>
      <c r="D1547" s="30"/>
      <c r="E1547" s="30"/>
      <c r="F1547" s="30"/>
      <c r="G1547" s="30"/>
      <c r="H1547" s="47"/>
      <c r="I1547" s="63"/>
      <c r="J1547" s="31"/>
      <c r="K1547" s="31"/>
      <c r="L1547" s="32"/>
      <c r="M1547" s="32"/>
      <c r="N1547" s="32"/>
    </row>
    <row r="1548" spans="2:14" x14ac:dyDescent="0.25">
      <c r="B1548" s="42"/>
      <c r="C1548" s="30"/>
      <c r="D1548" s="30"/>
      <c r="E1548" s="30"/>
      <c r="F1548" s="30"/>
      <c r="G1548" s="30"/>
      <c r="H1548" s="47"/>
      <c r="I1548" s="63"/>
      <c r="J1548" s="31"/>
      <c r="K1548" s="31"/>
      <c r="L1548" s="32"/>
      <c r="M1548" s="32"/>
      <c r="N1548" s="32"/>
    </row>
    <row r="1549" spans="2:14" x14ac:dyDescent="0.25">
      <c r="B1549" s="42"/>
      <c r="C1549" s="30"/>
      <c r="D1549" s="30"/>
      <c r="E1549" s="30"/>
      <c r="F1549" s="30"/>
      <c r="G1549" s="30"/>
      <c r="H1549" s="47"/>
      <c r="I1549" s="63"/>
      <c r="J1549" s="31"/>
      <c r="K1549" s="31"/>
      <c r="L1549" s="32"/>
      <c r="M1549" s="32"/>
      <c r="N1549" s="32"/>
    </row>
    <row r="1550" spans="2:14" x14ac:dyDescent="0.25">
      <c r="B1550" s="42"/>
      <c r="C1550" s="30"/>
      <c r="D1550" s="30"/>
      <c r="E1550" s="30"/>
      <c r="F1550" s="30"/>
      <c r="G1550" s="30"/>
      <c r="H1550" s="47"/>
      <c r="I1550" s="63"/>
      <c r="J1550" s="31"/>
      <c r="K1550" s="31"/>
      <c r="L1550" s="32"/>
      <c r="M1550" s="32"/>
      <c r="N1550" s="32"/>
    </row>
    <row r="1551" spans="2:14" x14ac:dyDescent="0.25">
      <c r="B1551" s="42"/>
      <c r="C1551" s="30"/>
      <c r="D1551" s="30"/>
      <c r="E1551" s="30"/>
      <c r="F1551" s="30"/>
      <c r="G1551" s="30"/>
      <c r="H1551" s="47"/>
      <c r="I1551" s="63"/>
      <c r="J1551" s="31"/>
      <c r="K1551" s="31"/>
      <c r="L1551" s="32"/>
      <c r="M1551" s="32"/>
      <c r="N1551" s="32"/>
    </row>
    <row r="1552" spans="2:14" x14ac:dyDescent="0.25">
      <c r="B1552" s="42"/>
      <c r="C1552" s="30"/>
      <c r="D1552" s="30"/>
      <c r="E1552" s="30"/>
      <c r="F1552" s="30"/>
      <c r="G1552" s="30"/>
      <c r="H1552" s="47"/>
      <c r="I1552" s="63"/>
      <c r="J1552" s="31"/>
      <c r="K1552" s="31"/>
      <c r="L1552" s="32"/>
      <c r="M1552" s="32"/>
      <c r="N1552" s="32"/>
    </row>
    <row r="1553" spans="2:14" x14ac:dyDescent="0.25">
      <c r="B1553" s="42"/>
      <c r="C1553" s="30"/>
      <c r="D1553" s="30"/>
      <c r="E1553" s="30"/>
      <c r="F1553" s="30"/>
      <c r="G1553" s="30"/>
      <c r="H1553" s="47"/>
      <c r="I1553" s="63"/>
      <c r="J1553" s="31"/>
      <c r="K1553" s="31"/>
      <c r="L1553" s="32"/>
      <c r="M1553" s="32"/>
      <c r="N1553" s="32"/>
    </row>
    <row r="1554" spans="2:14" x14ac:dyDescent="0.25">
      <c r="B1554" s="42"/>
      <c r="C1554" s="30"/>
      <c r="D1554" s="30"/>
      <c r="E1554" s="30"/>
      <c r="F1554" s="30"/>
      <c r="G1554" s="30"/>
      <c r="H1554" s="47"/>
      <c r="I1554" s="63"/>
      <c r="J1554" s="31"/>
      <c r="K1554" s="31"/>
      <c r="L1554" s="32"/>
      <c r="M1554" s="32"/>
      <c r="N1554" s="32"/>
    </row>
    <row r="1555" spans="2:14" x14ac:dyDescent="0.25">
      <c r="B1555" s="42"/>
      <c r="C1555" s="30"/>
      <c r="D1555" s="30"/>
      <c r="E1555" s="30"/>
      <c r="F1555" s="30"/>
      <c r="G1555" s="30"/>
      <c r="H1555" s="47"/>
      <c r="I1555" s="63"/>
      <c r="J1555" s="31"/>
      <c r="K1555" s="31"/>
      <c r="L1555" s="32"/>
      <c r="M1555" s="32"/>
      <c r="N1555" s="32"/>
    </row>
    <row r="1556" spans="2:14" x14ac:dyDescent="0.25">
      <c r="B1556" s="42"/>
      <c r="C1556" s="30"/>
      <c r="D1556" s="30"/>
      <c r="E1556" s="30"/>
      <c r="F1556" s="30"/>
      <c r="G1556" s="30"/>
      <c r="H1556" s="47"/>
      <c r="I1556" s="63"/>
      <c r="J1556" s="31"/>
      <c r="K1556" s="31"/>
      <c r="L1556" s="32"/>
      <c r="M1556" s="32"/>
      <c r="N1556" s="32"/>
    </row>
    <row r="1557" spans="2:14" x14ac:dyDescent="0.25">
      <c r="B1557" s="42"/>
      <c r="C1557" s="30"/>
      <c r="D1557" s="30"/>
      <c r="E1557" s="30"/>
      <c r="F1557" s="30"/>
      <c r="G1557" s="30"/>
      <c r="H1557" s="47"/>
      <c r="I1557" s="63"/>
      <c r="J1557" s="31"/>
      <c r="K1557" s="31"/>
      <c r="L1557" s="32"/>
      <c r="M1557" s="32"/>
      <c r="N1557" s="32"/>
    </row>
    <row r="1558" spans="2:14" x14ac:dyDescent="0.25">
      <c r="B1558" s="42"/>
      <c r="C1558" s="30"/>
      <c r="D1558" s="30"/>
      <c r="E1558" s="30"/>
      <c r="F1558" s="30"/>
      <c r="G1558" s="30"/>
      <c r="H1558" s="47"/>
      <c r="I1558" s="63"/>
      <c r="J1558" s="31"/>
      <c r="K1558" s="31"/>
      <c r="L1558" s="32"/>
      <c r="M1558" s="32"/>
      <c r="N1558" s="32"/>
    </row>
    <row r="1559" spans="2:14" x14ac:dyDescent="0.25">
      <c r="B1559" s="42"/>
      <c r="C1559" s="30"/>
      <c r="D1559" s="30"/>
      <c r="E1559" s="30"/>
      <c r="F1559" s="30"/>
      <c r="G1559" s="30"/>
      <c r="H1559" s="47"/>
      <c r="I1559" s="63"/>
      <c r="J1559" s="31"/>
      <c r="K1559" s="31"/>
      <c r="L1559" s="32"/>
      <c r="M1559" s="32"/>
      <c r="N1559" s="32"/>
    </row>
    <row r="1560" spans="2:14" x14ac:dyDescent="0.25">
      <c r="B1560" s="42"/>
      <c r="C1560" s="30"/>
      <c r="D1560" s="30"/>
      <c r="E1560" s="30"/>
      <c r="F1560" s="30"/>
      <c r="G1560" s="30"/>
      <c r="H1560" s="47"/>
      <c r="I1560" s="63"/>
      <c r="J1560" s="31"/>
      <c r="K1560" s="31"/>
      <c r="L1560" s="32"/>
      <c r="M1560" s="32"/>
      <c r="N1560" s="32"/>
    </row>
    <row r="1561" spans="2:14" x14ac:dyDescent="0.25">
      <c r="B1561" s="42"/>
      <c r="C1561" s="30"/>
      <c r="D1561" s="30"/>
      <c r="E1561" s="30"/>
      <c r="F1561" s="30"/>
      <c r="G1561" s="30"/>
      <c r="H1561" s="47"/>
      <c r="I1561" s="63"/>
      <c r="J1561" s="31"/>
      <c r="K1561" s="31"/>
      <c r="L1561" s="32"/>
      <c r="M1561" s="32"/>
      <c r="N1561" s="32"/>
    </row>
    <row r="1562" spans="2:14" x14ac:dyDescent="0.25">
      <c r="B1562" s="42"/>
      <c r="C1562" s="30"/>
      <c r="D1562" s="30"/>
      <c r="E1562" s="30"/>
      <c r="F1562" s="30"/>
      <c r="G1562" s="30"/>
      <c r="H1562" s="47"/>
      <c r="I1562" s="63"/>
      <c r="J1562" s="31"/>
      <c r="K1562" s="31"/>
      <c r="L1562" s="32"/>
      <c r="M1562" s="32"/>
      <c r="N1562" s="32"/>
    </row>
    <row r="1563" spans="2:14" x14ac:dyDescent="0.25">
      <c r="B1563" s="42"/>
      <c r="C1563" s="30"/>
      <c r="D1563" s="30"/>
      <c r="E1563" s="30"/>
      <c r="F1563" s="30"/>
      <c r="G1563" s="30"/>
      <c r="H1563" s="47"/>
      <c r="I1563" s="63"/>
      <c r="J1563" s="31"/>
      <c r="K1563" s="31"/>
      <c r="L1563" s="32"/>
      <c r="M1563" s="32"/>
      <c r="N1563" s="32"/>
    </row>
    <row r="1564" spans="2:14" x14ac:dyDescent="0.25">
      <c r="B1564" s="42"/>
      <c r="C1564" s="30"/>
      <c r="D1564" s="30"/>
      <c r="E1564" s="30"/>
      <c r="F1564" s="30"/>
      <c r="G1564" s="30"/>
      <c r="H1564" s="47"/>
      <c r="I1564" s="63"/>
      <c r="J1564" s="31"/>
      <c r="K1564" s="31"/>
      <c r="L1564" s="32"/>
      <c r="M1564" s="32"/>
      <c r="N1564" s="32"/>
    </row>
    <row r="1565" spans="2:14" x14ac:dyDescent="0.25">
      <c r="B1565" s="42"/>
      <c r="C1565" s="30"/>
      <c r="D1565" s="30"/>
      <c r="E1565" s="30"/>
      <c r="F1565" s="30"/>
      <c r="G1565" s="30"/>
      <c r="H1565" s="47"/>
      <c r="I1565" s="63"/>
      <c r="J1565" s="31"/>
      <c r="K1565" s="31"/>
      <c r="L1565" s="32"/>
      <c r="M1565" s="32"/>
      <c r="N1565" s="32"/>
    </row>
    <row r="1566" spans="2:14" x14ac:dyDescent="0.25">
      <c r="B1566" s="42"/>
      <c r="C1566" s="30"/>
      <c r="D1566" s="30"/>
      <c r="E1566" s="30"/>
      <c r="F1566" s="30"/>
      <c r="G1566" s="30"/>
      <c r="H1566" s="47"/>
      <c r="I1566" s="63"/>
      <c r="J1566" s="31"/>
      <c r="K1566" s="31"/>
      <c r="L1566" s="32"/>
      <c r="M1566" s="32"/>
      <c r="N1566" s="32"/>
    </row>
    <row r="1567" spans="2:14" x14ac:dyDescent="0.25">
      <c r="B1567" s="42"/>
      <c r="C1567" s="30"/>
      <c r="D1567" s="30"/>
      <c r="E1567" s="30"/>
      <c r="F1567" s="30"/>
      <c r="G1567" s="30"/>
      <c r="H1567" s="47"/>
      <c r="I1567" s="63"/>
      <c r="J1567" s="31"/>
      <c r="K1567" s="31"/>
      <c r="L1567" s="32"/>
      <c r="M1567" s="32"/>
      <c r="N1567" s="32"/>
    </row>
    <row r="1568" spans="2:14" x14ac:dyDescent="0.25">
      <c r="B1568" s="42"/>
      <c r="C1568" s="30"/>
      <c r="D1568" s="30"/>
      <c r="E1568" s="30"/>
      <c r="F1568" s="30"/>
      <c r="G1568" s="30"/>
      <c r="H1568" s="47"/>
      <c r="I1568" s="63"/>
      <c r="J1568" s="31"/>
      <c r="K1568" s="31"/>
      <c r="L1568" s="32"/>
      <c r="M1568" s="32"/>
      <c r="N1568" s="32"/>
    </row>
    <row r="1569" spans="2:14" x14ac:dyDescent="0.25">
      <c r="B1569" s="42"/>
      <c r="C1569" s="30"/>
      <c r="D1569" s="30"/>
      <c r="E1569" s="30"/>
      <c r="F1569" s="30"/>
      <c r="G1569" s="30"/>
      <c r="H1569" s="47"/>
      <c r="I1569" s="63"/>
      <c r="J1569" s="31"/>
      <c r="K1569" s="31"/>
      <c r="L1569" s="32"/>
      <c r="M1569" s="32"/>
      <c r="N1569" s="32"/>
    </row>
    <row r="1570" spans="2:14" x14ac:dyDescent="0.25">
      <c r="B1570" s="42"/>
      <c r="C1570" s="30"/>
      <c r="D1570" s="30"/>
      <c r="E1570" s="30"/>
      <c r="F1570" s="30"/>
      <c r="G1570" s="30"/>
      <c r="H1570" s="47"/>
      <c r="I1570" s="63"/>
      <c r="J1570" s="31"/>
      <c r="K1570" s="31"/>
      <c r="L1570" s="32"/>
      <c r="M1570" s="32"/>
      <c r="N1570" s="32"/>
    </row>
    <row r="1571" spans="2:14" x14ac:dyDescent="0.25">
      <c r="B1571" s="42"/>
      <c r="C1571" s="30"/>
      <c r="D1571" s="30"/>
      <c r="E1571" s="30"/>
      <c r="F1571" s="30"/>
      <c r="G1571" s="30"/>
      <c r="H1571" s="47"/>
      <c r="I1571" s="63"/>
      <c r="J1571" s="31"/>
      <c r="K1571" s="31"/>
      <c r="L1571" s="32"/>
      <c r="M1571" s="32"/>
      <c r="N1571" s="32"/>
    </row>
    <row r="1572" spans="2:14" x14ac:dyDescent="0.25">
      <c r="B1572" s="42"/>
      <c r="C1572" s="30"/>
      <c r="D1572" s="30"/>
      <c r="E1572" s="30"/>
      <c r="F1572" s="30"/>
      <c r="G1572" s="30"/>
      <c r="H1572" s="47"/>
      <c r="I1572" s="63"/>
      <c r="J1572" s="31"/>
      <c r="K1572" s="31"/>
      <c r="L1572" s="32"/>
      <c r="M1572" s="32"/>
      <c r="N1572" s="32"/>
    </row>
    <row r="1573" spans="2:14" x14ac:dyDescent="0.25">
      <c r="B1573" s="42"/>
      <c r="C1573" s="30"/>
      <c r="D1573" s="30"/>
      <c r="E1573" s="30"/>
      <c r="F1573" s="30"/>
      <c r="G1573" s="30"/>
      <c r="H1573" s="47"/>
      <c r="I1573" s="63"/>
      <c r="J1573" s="31"/>
      <c r="K1573" s="31"/>
      <c r="L1573" s="32"/>
      <c r="M1573" s="32"/>
      <c r="N1573" s="32"/>
    </row>
    <row r="1574" spans="2:14" x14ac:dyDescent="0.25">
      <c r="B1574" s="42"/>
      <c r="C1574" s="30"/>
      <c r="D1574" s="30"/>
      <c r="E1574" s="30"/>
      <c r="F1574" s="30"/>
      <c r="G1574" s="30"/>
      <c r="H1574" s="47"/>
      <c r="I1574" s="63"/>
      <c r="J1574" s="31"/>
      <c r="K1574" s="31"/>
      <c r="L1574" s="32"/>
      <c r="M1574" s="32"/>
      <c r="N1574" s="32"/>
    </row>
    <row r="1575" spans="2:14" x14ac:dyDescent="0.25">
      <c r="B1575" s="42"/>
      <c r="C1575" s="30"/>
      <c r="D1575" s="30"/>
      <c r="E1575" s="30"/>
      <c r="F1575" s="30"/>
      <c r="G1575" s="30"/>
      <c r="H1575" s="47"/>
      <c r="I1575" s="63"/>
      <c r="J1575" s="31"/>
      <c r="K1575" s="31"/>
      <c r="L1575" s="32"/>
      <c r="M1575" s="32"/>
      <c r="N1575" s="32"/>
    </row>
    <row r="1576" spans="2:14" x14ac:dyDescent="0.25">
      <c r="B1576" s="42"/>
      <c r="C1576" s="30"/>
      <c r="D1576" s="30"/>
      <c r="E1576" s="30"/>
      <c r="F1576" s="30"/>
      <c r="G1576" s="30"/>
      <c r="H1576" s="47"/>
      <c r="I1576" s="63"/>
      <c r="J1576" s="31"/>
      <c r="K1576" s="31"/>
      <c r="L1576" s="32"/>
      <c r="M1576" s="32"/>
      <c r="N1576" s="32"/>
    </row>
    <row r="1577" spans="2:14" x14ac:dyDescent="0.25">
      <c r="B1577" s="42"/>
      <c r="C1577" s="30"/>
      <c r="D1577" s="30"/>
      <c r="E1577" s="30"/>
      <c r="F1577" s="30"/>
      <c r="G1577" s="30"/>
      <c r="H1577" s="47"/>
      <c r="I1577" s="63"/>
      <c r="J1577" s="31"/>
      <c r="K1577" s="31"/>
      <c r="L1577" s="32"/>
      <c r="M1577" s="32"/>
      <c r="N1577" s="32"/>
    </row>
    <row r="1578" spans="2:14" x14ac:dyDescent="0.25">
      <c r="B1578" s="42"/>
      <c r="C1578" s="30"/>
      <c r="D1578" s="30"/>
      <c r="E1578" s="30"/>
      <c r="F1578" s="30"/>
      <c r="G1578" s="30"/>
      <c r="H1578" s="47"/>
      <c r="I1578" s="63"/>
      <c r="J1578" s="31"/>
      <c r="K1578" s="31"/>
      <c r="L1578" s="32"/>
      <c r="M1578" s="32"/>
      <c r="N1578" s="32"/>
    </row>
    <row r="1579" spans="2:14" x14ac:dyDescent="0.25">
      <c r="B1579" s="42"/>
      <c r="C1579" s="30"/>
      <c r="D1579" s="30"/>
      <c r="E1579" s="30"/>
      <c r="F1579" s="30"/>
      <c r="G1579" s="30"/>
      <c r="H1579" s="47"/>
      <c r="I1579" s="63"/>
      <c r="J1579" s="31"/>
      <c r="K1579" s="31"/>
      <c r="L1579" s="32"/>
      <c r="M1579" s="32"/>
      <c r="N1579" s="32"/>
    </row>
    <row r="1580" spans="2:14" x14ac:dyDescent="0.25">
      <c r="B1580" s="42"/>
      <c r="C1580" s="30"/>
      <c r="D1580" s="30"/>
      <c r="E1580" s="30"/>
      <c r="F1580" s="30"/>
      <c r="G1580" s="30"/>
      <c r="H1580" s="47"/>
      <c r="I1580" s="63"/>
      <c r="J1580" s="31"/>
      <c r="K1580" s="31"/>
      <c r="L1580" s="32"/>
      <c r="M1580" s="32"/>
      <c r="N1580" s="32"/>
    </row>
    <row r="1581" spans="2:14" x14ac:dyDescent="0.25">
      <c r="B1581" s="42"/>
      <c r="C1581" s="30"/>
      <c r="D1581" s="30"/>
      <c r="E1581" s="30"/>
      <c r="F1581" s="30"/>
      <c r="G1581" s="30"/>
      <c r="H1581" s="47"/>
      <c r="I1581" s="63"/>
      <c r="J1581" s="31"/>
      <c r="K1581" s="31"/>
      <c r="L1581" s="32"/>
      <c r="M1581" s="32"/>
      <c r="N1581" s="32"/>
    </row>
    <row r="1582" spans="2:14" x14ac:dyDescent="0.25">
      <c r="B1582" s="42"/>
      <c r="C1582" s="30"/>
      <c r="D1582" s="30"/>
      <c r="E1582" s="30"/>
      <c r="F1582" s="30"/>
      <c r="G1582" s="30"/>
      <c r="H1582" s="47"/>
      <c r="I1582" s="63"/>
      <c r="J1582" s="31"/>
      <c r="K1582" s="31"/>
      <c r="L1582" s="32"/>
      <c r="M1582" s="32"/>
      <c r="N1582" s="32"/>
    </row>
    <row r="1583" spans="2:14" x14ac:dyDescent="0.25">
      <c r="B1583" s="42"/>
      <c r="C1583" s="30"/>
      <c r="D1583" s="30"/>
      <c r="E1583" s="30"/>
      <c r="F1583" s="30"/>
      <c r="G1583" s="30"/>
      <c r="H1583" s="47"/>
      <c r="I1583" s="63"/>
      <c r="J1583" s="31"/>
      <c r="K1583" s="31"/>
      <c r="L1583" s="32"/>
      <c r="M1583" s="32"/>
      <c r="N1583" s="32"/>
    </row>
    <row r="1584" spans="2:14" x14ac:dyDescent="0.25">
      <c r="B1584" s="42"/>
      <c r="C1584" s="30"/>
      <c r="D1584" s="30"/>
      <c r="E1584" s="30"/>
      <c r="F1584" s="30"/>
      <c r="G1584" s="30"/>
      <c r="H1584" s="47"/>
      <c r="I1584" s="63"/>
      <c r="J1584" s="31"/>
      <c r="K1584" s="31"/>
      <c r="L1584" s="32"/>
      <c r="M1584" s="32"/>
      <c r="N1584" s="32"/>
    </row>
    <row r="1585" spans="2:14" x14ac:dyDescent="0.25">
      <c r="B1585" s="42"/>
      <c r="C1585" s="30"/>
      <c r="D1585" s="30"/>
      <c r="E1585" s="30"/>
      <c r="F1585" s="30"/>
      <c r="G1585" s="30"/>
      <c r="H1585" s="47"/>
      <c r="I1585" s="63"/>
      <c r="J1585" s="31"/>
      <c r="K1585" s="31"/>
      <c r="L1585" s="32"/>
      <c r="M1585" s="32"/>
      <c r="N1585" s="32"/>
    </row>
    <row r="1586" spans="2:14" x14ac:dyDescent="0.25">
      <c r="B1586" s="42"/>
      <c r="C1586" s="30"/>
      <c r="D1586" s="30"/>
      <c r="E1586" s="30"/>
      <c r="F1586" s="30"/>
      <c r="G1586" s="30"/>
      <c r="H1586" s="47"/>
      <c r="I1586" s="63"/>
      <c r="J1586" s="31"/>
      <c r="K1586" s="31"/>
      <c r="L1586" s="32"/>
      <c r="M1586" s="32"/>
      <c r="N1586" s="32"/>
    </row>
    <row r="1587" spans="2:14" x14ac:dyDescent="0.25">
      <c r="B1587" s="42"/>
      <c r="C1587" s="30"/>
      <c r="D1587" s="30"/>
      <c r="E1587" s="30"/>
      <c r="F1587" s="30"/>
      <c r="G1587" s="30"/>
      <c r="H1587" s="47"/>
      <c r="I1587" s="63"/>
      <c r="J1587" s="31"/>
      <c r="K1587" s="31"/>
      <c r="L1587" s="32"/>
      <c r="M1587" s="32"/>
      <c r="N1587" s="32"/>
    </row>
    <row r="1588" spans="2:14" x14ac:dyDescent="0.25">
      <c r="B1588" s="42"/>
      <c r="C1588" s="30"/>
      <c r="D1588" s="30"/>
      <c r="E1588" s="30"/>
      <c r="F1588" s="30"/>
      <c r="G1588" s="30"/>
      <c r="H1588" s="47"/>
      <c r="I1588" s="63"/>
      <c r="J1588" s="31"/>
      <c r="K1588" s="31"/>
      <c r="L1588" s="32"/>
      <c r="M1588" s="32"/>
      <c r="N1588" s="32"/>
    </row>
    <row r="1589" spans="2:14" x14ac:dyDescent="0.25">
      <c r="B1589" s="42"/>
      <c r="C1589" s="30"/>
      <c r="D1589" s="30"/>
      <c r="E1589" s="30"/>
      <c r="F1589" s="30"/>
      <c r="G1589" s="30"/>
      <c r="H1589" s="47"/>
      <c r="I1589" s="63"/>
      <c r="J1589" s="31"/>
      <c r="K1589" s="31"/>
      <c r="L1589" s="32"/>
      <c r="M1589" s="32"/>
      <c r="N1589" s="32"/>
    </row>
    <row r="1590" spans="2:14" x14ac:dyDescent="0.25">
      <c r="B1590" s="42"/>
      <c r="C1590" s="30"/>
      <c r="D1590" s="30"/>
      <c r="E1590" s="30"/>
      <c r="F1590" s="30"/>
      <c r="G1590" s="30"/>
      <c r="H1590" s="47"/>
      <c r="I1590" s="63"/>
      <c r="J1590" s="31"/>
      <c r="K1590" s="31"/>
      <c r="L1590" s="32"/>
      <c r="M1590" s="32"/>
      <c r="N1590" s="32"/>
    </row>
    <row r="1591" spans="2:14" x14ac:dyDescent="0.25">
      <c r="B1591" s="42"/>
      <c r="C1591" s="30"/>
      <c r="D1591" s="30"/>
      <c r="E1591" s="30"/>
      <c r="F1591" s="30"/>
      <c r="G1591" s="30"/>
      <c r="H1591" s="47"/>
      <c r="I1591" s="63"/>
      <c r="J1591" s="31"/>
      <c r="K1591" s="31"/>
      <c r="L1591" s="32"/>
      <c r="M1591" s="32"/>
      <c r="N1591" s="32"/>
    </row>
    <row r="1592" spans="2:14" x14ac:dyDescent="0.25">
      <c r="B1592" s="42"/>
      <c r="C1592" s="30"/>
      <c r="D1592" s="30"/>
      <c r="E1592" s="30"/>
      <c r="F1592" s="30"/>
      <c r="G1592" s="30"/>
      <c r="H1592" s="47"/>
      <c r="I1592" s="63"/>
      <c r="J1592" s="31"/>
      <c r="K1592" s="31"/>
      <c r="L1592" s="32"/>
      <c r="M1592" s="32"/>
      <c r="N1592" s="32"/>
    </row>
    <row r="1593" spans="2:14" x14ac:dyDescent="0.25">
      <c r="B1593" s="42"/>
      <c r="C1593" s="30"/>
      <c r="D1593" s="30"/>
      <c r="E1593" s="30"/>
      <c r="F1593" s="30"/>
      <c r="G1593" s="30"/>
      <c r="H1593" s="47"/>
      <c r="I1593" s="63"/>
      <c r="J1593" s="31"/>
      <c r="K1593" s="31"/>
      <c r="L1593" s="32"/>
      <c r="M1593" s="32"/>
      <c r="N1593" s="32"/>
    </row>
    <row r="1594" spans="2:14" x14ac:dyDescent="0.25">
      <c r="B1594" s="42"/>
      <c r="C1594" s="30"/>
      <c r="D1594" s="30"/>
      <c r="E1594" s="30"/>
      <c r="F1594" s="30"/>
      <c r="G1594" s="30"/>
      <c r="H1594" s="47"/>
      <c r="I1594" s="63"/>
      <c r="J1594" s="31"/>
      <c r="K1594" s="31"/>
      <c r="L1594" s="32"/>
      <c r="M1594" s="32"/>
      <c r="N1594" s="32"/>
    </row>
    <row r="1595" spans="2:14" x14ac:dyDescent="0.25">
      <c r="B1595" s="42"/>
      <c r="C1595" s="30"/>
      <c r="D1595" s="30"/>
      <c r="E1595" s="30"/>
      <c r="F1595" s="30"/>
      <c r="G1595" s="30"/>
      <c r="H1595" s="47"/>
      <c r="I1595" s="63"/>
      <c r="J1595" s="31"/>
      <c r="K1595" s="31"/>
      <c r="L1595" s="32"/>
      <c r="M1595" s="32"/>
      <c r="N1595" s="32"/>
    </row>
    <row r="1596" spans="2:14" x14ac:dyDescent="0.25">
      <c r="B1596" s="42"/>
      <c r="C1596" s="30"/>
      <c r="D1596" s="30"/>
      <c r="E1596" s="30"/>
      <c r="F1596" s="30"/>
      <c r="G1596" s="30"/>
      <c r="H1596" s="47"/>
      <c r="I1596" s="63"/>
      <c r="J1596" s="31"/>
      <c r="K1596" s="31"/>
      <c r="L1596" s="32"/>
      <c r="M1596" s="32"/>
      <c r="N1596" s="32"/>
    </row>
    <row r="1597" spans="2:14" x14ac:dyDescent="0.25">
      <c r="B1597" s="42"/>
      <c r="C1597" s="30"/>
      <c r="D1597" s="30"/>
      <c r="E1597" s="30"/>
      <c r="F1597" s="30"/>
      <c r="G1597" s="30"/>
      <c r="H1597" s="47"/>
      <c r="I1597" s="63"/>
      <c r="J1597" s="31"/>
      <c r="K1597" s="31"/>
      <c r="L1597" s="32"/>
      <c r="M1597" s="32"/>
      <c r="N1597" s="32"/>
    </row>
    <row r="1598" spans="2:14" x14ac:dyDescent="0.25">
      <c r="B1598" s="42"/>
      <c r="C1598" s="30"/>
      <c r="D1598" s="30"/>
      <c r="E1598" s="30"/>
      <c r="F1598" s="30"/>
      <c r="G1598" s="30"/>
      <c r="H1598" s="47"/>
      <c r="I1598" s="63"/>
      <c r="J1598" s="31"/>
      <c r="K1598" s="31"/>
      <c r="L1598" s="32"/>
      <c r="M1598" s="32"/>
      <c r="N1598" s="32"/>
    </row>
    <row r="1599" spans="2:14" x14ac:dyDescent="0.25">
      <c r="B1599" s="42"/>
      <c r="C1599" s="30"/>
      <c r="D1599" s="30"/>
      <c r="E1599" s="30"/>
      <c r="F1599" s="30"/>
      <c r="G1599" s="30"/>
      <c r="H1599" s="47"/>
      <c r="I1599" s="63"/>
      <c r="J1599" s="31"/>
      <c r="K1599" s="31"/>
      <c r="L1599" s="32"/>
      <c r="M1599" s="32"/>
      <c r="N1599" s="32"/>
    </row>
    <row r="1600" spans="2:14" x14ac:dyDescent="0.25">
      <c r="B1600" s="42"/>
      <c r="C1600" s="30"/>
      <c r="D1600" s="30"/>
      <c r="E1600" s="30"/>
      <c r="F1600" s="30"/>
      <c r="G1600" s="30"/>
      <c r="H1600" s="47"/>
      <c r="I1600" s="63"/>
      <c r="J1600" s="31"/>
      <c r="K1600" s="31"/>
      <c r="L1600" s="32"/>
      <c r="M1600" s="32"/>
      <c r="N1600" s="32"/>
    </row>
    <row r="1601" spans="2:14" x14ac:dyDescent="0.25">
      <c r="B1601" s="42"/>
      <c r="C1601" s="30"/>
      <c r="D1601" s="30"/>
      <c r="E1601" s="30"/>
      <c r="F1601" s="30"/>
      <c r="G1601" s="30"/>
      <c r="H1601" s="47"/>
      <c r="I1601" s="63"/>
      <c r="J1601" s="31"/>
      <c r="K1601" s="31"/>
      <c r="L1601" s="32"/>
      <c r="M1601" s="32"/>
      <c r="N1601" s="32"/>
    </row>
    <row r="1602" spans="2:14" x14ac:dyDescent="0.25">
      <c r="B1602" s="42"/>
      <c r="C1602" s="30"/>
      <c r="D1602" s="30"/>
      <c r="E1602" s="30"/>
      <c r="F1602" s="30"/>
      <c r="G1602" s="30"/>
      <c r="H1602" s="47"/>
      <c r="I1602" s="63"/>
      <c r="J1602" s="31"/>
      <c r="K1602" s="31"/>
      <c r="L1602" s="32"/>
      <c r="M1602" s="32"/>
      <c r="N1602" s="32"/>
    </row>
    <row r="1603" spans="2:14" x14ac:dyDescent="0.25">
      <c r="B1603" s="42"/>
      <c r="C1603" s="30"/>
      <c r="D1603" s="30"/>
      <c r="E1603" s="30"/>
      <c r="F1603" s="30"/>
      <c r="G1603" s="30"/>
      <c r="H1603" s="47"/>
      <c r="I1603" s="63"/>
      <c r="J1603" s="31"/>
      <c r="K1603" s="31"/>
      <c r="L1603" s="32"/>
      <c r="M1603" s="32"/>
      <c r="N1603" s="32"/>
    </row>
    <row r="1604" spans="2:14" x14ac:dyDescent="0.25">
      <c r="B1604" s="42"/>
      <c r="C1604" s="30"/>
      <c r="D1604" s="30"/>
      <c r="E1604" s="30"/>
      <c r="F1604" s="30"/>
      <c r="G1604" s="30"/>
      <c r="H1604" s="47"/>
      <c r="I1604" s="63"/>
      <c r="J1604" s="31"/>
      <c r="K1604" s="31"/>
      <c r="L1604" s="32"/>
      <c r="M1604" s="32"/>
      <c r="N1604" s="32"/>
    </row>
    <row r="1605" spans="2:14" x14ac:dyDescent="0.25">
      <c r="B1605" s="42"/>
      <c r="C1605" s="30"/>
      <c r="D1605" s="30"/>
      <c r="E1605" s="30"/>
      <c r="F1605" s="30"/>
      <c r="G1605" s="30"/>
      <c r="H1605" s="47"/>
      <c r="I1605" s="63"/>
      <c r="J1605" s="31"/>
      <c r="K1605" s="31"/>
      <c r="L1605" s="32"/>
      <c r="M1605" s="32"/>
      <c r="N1605" s="32"/>
    </row>
    <row r="1606" spans="2:14" x14ac:dyDescent="0.25">
      <c r="B1606" s="42"/>
      <c r="C1606" s="30"/>
      <c r="D1606" s="30"/>
      <c r="E1606" s="30"/>
      <c r="F1606" s="30"/>
      <c r="G1606" s="30"/>
      <c r="H1606" s="47"/>
      <c r="I1606" s="63"/>
      <c r="J1606" s="31"/>
      <c r="K1606" s="31"/>
      <c r="L1606" s="32"/>
      <c r="M1606" s="32"/>
      <c r="N1606" s="32"/>
    </row>
    <row r="1607" spans="2:14" x14ac:dyDescent="0.25">
      <c r="B1607" s="42"/>
      <c r="C1607" s="30"/>
      <c r="D1607" s="30"/>
      <c r="E1607" s="30"/>
      <c r="F1607" s="30"/>
      <c r="G1607" s="30"/>
      <c r="H1607" s="47"/>
      <c r="I1607" s="63"/>
      <c r="J1607" s="31"/>
      <c r="K1607" s="31"/>
      <c r="L1607" s="32"/>
      <c r="M1607" s="32"/>
      <c r="N1607" s="32"/>
    </row>
    <row r="1608" spans="2:14" x14ac:dyDescent="0.25">
      <c r="B1608" s="42"/>
      <c r="C1608" s="30"/>
      <c r="D1608" s="30"/>
      <c r="E1608" s="30"/>
      <c r="F1608" s="30"/>
      <c r="G1608" s="30"/>
      <c r="H1608" s="47"/>
      <c r="I1608" s="63"/>
      <c r="J1608" s="31"/>
      <c r="K1608" s="31"/>
      <c r="L1608" s="32"/>
      <c r="M1608" s="32"/>
      <c r="N1608" s="32"/>
    </row>
    <row r="1609" spans="2:14" x14ac:dyDescent="0.25">
      <c r="B1609" s="42"/>
      <c r="C1609" s="30"/>
      <c r="D1609" s="30"/>
      <c r="E1609" s="30"/>
      <c r="F1609" s="30"/>
      <c r="G1609" s="30"/>
      <c r="H1609" s="47"/>
      <c r="I1609" s="63"/>
      <c r="J1609" s="31"/>
      <c r="K1609" s="31"/>
      <c r="L1609" s="32"/>
      <c r="M1609" s="32"/>
      <c r="N1609" s="32"/>
    </row>
    <row r="1610" spans="2:14" x14ac:dyDescent="0.25">
      <c r="B1610" s="42"/>
      <c r="C1610" s="30"/>
      <c r="D1610" s="30"/>
      <c r="E1610" s="30"/>
      <c r="F1610" s="30"/>
      <c r="G1610" s="30"/>
      <c r="H1610" s="47"/>
      <c r="I1610" s="63"/>
      <c r="J1610" s="31"/>
      <c r="K1610" s="31"/>
      <c r="L1610" s="32"/>
      <c r="M1610" s="32"/>
      <c r="N1610" s="32"/>
    </row>
    <row r="1611" spans="2:14" x14ac:dyDescent="0.25">
      <c r="B1611" s="42"/>
      <c r="C1611" s="30"/>
      <c r="D1611" s="30"/>
      <c r="E1611" s="30"/>
      <c r="F1611" s="30"/>
      <c r="G1611" s="30"/>
      <c r="H1611" s="47"/>
      <c r="I1611" s="63"/>
      <c r="J1611" s="31"/>
      <c r="K1611" s="31"/>
      <c r="L1611" s="32"/>
      <c r="M1611" s="32"/>
      <c r="N1611" s="32"/>
    </row>
    <row r="1612" spans="2:14" x14ac:dyDescent="0.25">
      <c r="B1612" s="42"/>
      <c r="C1612" s="30"/>
      <c r="D1612" s="30"/>
      <c r="E1612" s="30"/>
      <c r="F1612" s="30"/>
      <c r="G1612" s="30"/>
      <c r="H1612" s="47"/>
      <c r="I1612" s="63"/>
      <c r="J1612" s="31"/>
      <c r="K1612" s="31"/>
      <c r="L1612" s="32"/>
      <c r="M1612" s="32"/>
      <c r="N1612" s="32"/>
    </row>
    <row r="1613" spans="2:14" x14ac:dyDescent="0.25">
      <c r="B1613" s="42"/>
      <c r="C1613" s="30"/>
      <c r="D1613" s="30"/>
      <c r="E1613" s="30"/>
      <c r="F1613" s="30"/>
      <c r="G1613" s="30"/>
      <c r="H1613" s="47"/>
      <c r="I1613" s="63"/>
      <c r="J1613" s="31"/>
      <c r="K1613" s="31"/>
      <c r="L1613" s="32"/>
      <c r="M1613" s="32"/>
      <c r="N1613" s="32"/>
    </row>
    <row r="1614" spans="2:14" x14ac:dyDescent="0.25">
      <c r="B1614" s="42"/>
      <c r="C1614" s="30"/>
      <c r="D1614" s="30"/>
      <c r="E1614" s="30"/>
      <c r="F1614" s="30"/>
      <c r="G1614" s="30"/>
      <c r="H1614" s="47"/>
      <c r="I1614" s="63"/>
      <c r="J1614" s="31"/>
      <c r="K1614" s="31"/>
      <c r="L1614" s="32"/>
      <c r="M1614" s="32"/>
      <c r="N1614" s="32"/>
    </row>
    <row r="1615" spans="2:14" x14ac:dyDescent="0.25">
      <c r="B1615" s="42"/>
      <c r="C1615" s="30"/>
      <c r="D1615" s="30"/>
      <c r="E1615" s="30"/>
      <c r="F1615" s="30"/>
      <c r="G1615" s="30"/>
      <c r="H1615" s="47"/>
      <c r="I1615" s="63"/>
      <c r="J1615" s="31"/>
      <c r="K1615" s="31"/>
      <c r="L1615" s="32"/>
      <c r="M1615" s="32"/>
      <c r="N1615" s="32"/>
    </row>
    <row r="1616" spans="2:14" x14ac:dyDescent="0.25">
      <c r="B1616" s="42"/>
      <c r="C1616" s="30"/>
      <c r="D1616" s="30"/>
      <c r="E1616" s="30"/>
      <c r="F1616" s="30"/>
      <c r="G1616" s="30"/>
      <c r="H1616" s="47"/>
      <c r="I1616" s="63"/>
      <c r="J1616" s="31"/>
      <c r="K1616" s="31"/>
      <c r="L1616" s="32"/>
      <c r="M1616" s="32"/>
      <c r="N1616" s="32"/>
    </row>
    <row r="1617" spans="2:14" x14ac:dyDescent="0.25">
      <c r="B1617" s="42"/>
      <c r="C1617" s="30"/>
      <c r="D1617" s="30"/>
      <c r="E1617" s="30"/>
      <c r="F1617" s="30"/>
      <c r="G1617" s="30"/>
      <c r="H1617" s="47"/>
      <c r="I1617" s="63"/>
      <c r="J1617" s="31"/>
      <c r="K1617" s="31"/>
      <c r="L1617" s="32"/>
      <c r="M1617" s="32"/>
      <c r="N1617" s="32"/>
    </row>
    <row r="1618" spans="2:14" x14ac:dyDescent="0.25">
      <c r="B1618" s="42"/>
      <c r="C1618" s="30"/>
      <c r="D1618" s="30"/>
      <c r="E1618" s="30"/>
      <c r="F1618" s="30"/>
      <c r="G1618" s="30"/>
      <c r="H1618" s="47"/>
      <c r="I1618" s="63"/>
      <c r="J1618" s="31"/>
      <c r="K1618" s="31"/>
      <c r="L1618" s="32"/>
      <c r="M1618" s="32"/>
      <c r="N1618" s="32"/>
    </row>
    <row r="1619" spans="2:14" x14ac:dyDescent="0.25">
      <c r="B1619" s="42"/>
      <c r="C1619" s="30"/>
      <c r="D1619" s="30"/>
      <c r="E1619" s="30"/>
      <c r="F1619" s="30"/>
      <c r="G1619" s="30"/>
      <c r="H1619" s="47"/>
      <c r="I1619" s="63"/>
      <c r="J1619" s="31"/>
      <c r="K1619" s="31"/>
      <c r="L1619" s="32"/>
      <c r="M1619" s="32"/>
      <c r="N1619" s="32"/>
    </row>
    <row r="1620" spans="2:14" x14ac:dyDescent="0.25">
      <c r="B1620" s="42"/>
      <c r="C1620" s="30"/>
      <c r="D1620" s="30"/>
      <c r="E1620" s="30"/>
      <c r="F1620" s="30"/>
      <c r="G1620" s="30"/>
      <c r="H1620" s="47"/>
      <c r="I1620" s="63"/>
      <c r="J1620" s="31"/>
      <c r="K1620" s="31"/>
      <c r="L1620" s="32"/>
      <c r="M1620" s="32"/>
      <c r="N1620" s="32"/>
    </row>
    <row r="1621" spans="2:14" x14ac:dyDescent="0.25">
      <c r="B1621" s="42"/>
      <c r="C1621" s="30"/>
      <c r="D1621" s="30"/>
      <c r="E1621" s="30"/>
      <c r="F1621" s="30"/>
      <c r="G1621" s="30"/>
      <c r="H1621" s="47"/>
      <c r="I1621" s="63"/>
      <c r="J1621" s="31"/>
      <c r="K1621" s="31"/>
      <c r="L1621" s="32"/>
      <c r="M1621" s="32"/>
      <c r="N1621" s="32"/>
    </row>
    <row r="1622" spans="2:14" x14ac:dyDescent="0.25">
      <c r="B1622" s="42"/>
      <c r="C1622" s="30"/>
      <c r="D1622" s="30"/>
      <c r="E1622" s="30"/>
      <c r="F1622" s="30"/>
      <c r="G1622" s="30"/>
      <c r="H1622" s="47"/>
      <c r="I1622" s="63"/>
      <c r="J1622" s="31"/>
      <c r="K1622" s="31"/>
      <c r="L1622" s="32"/>
      <c r="M1622" s="32"/>
      <c r="N1622" s="32"/>
    </row>
    <row r="1623" spans="2:14" x14ac:dyDescent="0.25">
      <c r="B1623" s="42"/>
      <c r="C1623" s="30"/>
      <c r="D1623" s="30"/>
      <c r="E1623" s="30"/>
      <c r="F1623" s="30"/>
      <c r="G1623" s="30"/>
      <c r="H1623" s="47"/>
      <c r="I1623" s="63"/>
      <c r="J1623" s="31"/>
      <c r="K1623" s="31"/>
      <c r="L1623" s="32"/>
      <c r="M1623" s="32"/>
      <c r="N1623" s="32"/>
    </row>
    <row r="1624" spans="2:14" x14ac:dyDescent="0.25">
      <c r="B1624" s="42"/>
      <c r="C1624" s="30"/>
      <c r="D1624" s="30"/>
      <c r="E1624" s="30"/>
      <c r="F1624" s="30"/>
      <c r="G1624" s="30"/>
      <c r="H1624" s="47"/>
      <c r="I1624" s="63"/>
      <c r="J1624" s="31"/>
      <c r="K1624" s="31"/>
      <c r="L1624" s="32"/>
      <c r="M1624" s="32"/>
      <c r="N1624" s="32"/>
    </row>
    <row r="1625" spans="2:14" x14ac:dyDescent="0.25">
      <c r="B1625" s="42"/>
      <c r="C1625" s="30"/>
      <c r="D1625" s="30"/>
      <c r="E1625" s="30"/>
      <c r="F1625" s="30"/>
      <c r="G1625" s="30"/>
      <c r="H1625" s="47"/>
      <c r="I1625" s="63"/>
      <c r="J1625" s="31"/>
      <c r="K1625" s="31"/>
      <c r="L1625" s="32"/>
      <c r="M1625" s="32"/>
      <c r="N1625" s="32"/>
    </row>
    <row r="1626" spans="2:14" x14ac:dyDescent="0.25">
      <c r="B1626" s="42"/>
      <c r="C1626" s="30"/>
      <c r="D1626" s="30"/>
      <c r="E1626" s="30"/>
      <c r="F1626" s="30"/>
      <c r="G1626" s="30"/>
      <c r="H1626" s="47"/>
      <c r="I1626" s="63"/>
      <c r="J1626" s="31"/>
      <c r="K1626" s="31"/>
      <c r="L1626" s="32"/>
      <c r="M1626" s="32"/>
      <c r="N1626" s="32"/>
    </row>
    <row r="1627" spans="2:14" x14ac:dyDescent="0.25">
      <c r="B1627" s="42"/>
      <c r="C1627" s="30"/>
      <c r="D1627" s="30"/>
      <c r="E1627" s="30"/>
      <c r="F1627" s="30"/>
      <c r="G1627" s="30"/>
      <c r="H1627" s="47"/>
      <c r="I1627" s="63"/>
      <c r="J1627" s="31"/>
      <c r="K1627" s="31"/>
      <c r="L1627" s="32"/>
      <c r="M1627" s="32"/>
      <c r="N1627" s="32"/>
    </row>
    <row r="1628" spans="2:14" x14ac:dyDescent="0.25">
      <c r="B1628" s="42"/>
      <c r="C1628" s="30"/>
      <c r="D1628" s="30"/>
      <c r="E1628" s="30"/>
      <c r="F1628" s="30"/>
      <c r="G1628" s="30"/>
      <c r="H1628" s="47"/>
      <c r="I1628" s="63"/>
      <c r="J1628" s="31"/>
      <c r="K1628" s="31"/>
      <c r="L1628" s="32"/>
      <c r="M1628" s="32"/>
      <c r="N1628" s="32"/>
    </row>
    <row r="1629" spans="2:14" x14ac:dyDescent="0.25">
      <c r="B1629" s="42"/>
      <c r="C1629" s="30"/>
      <c r="D1629" s="30"/>
      <c r="E1629" s="30"/>
      <c r="F1629" s="30"/>
      <c r="G1629" s="30"/>
      <c r="H1629" s="47"/>
      <c r="I1629" s="63"/>
      <c r="J1629" s="31"/>
      <c r="K1629" s="31"/>
      <c r="L1629" s="32"/>
      <c r="M1629" s="32"/>
      <c r="N1629" s="32"/>
    </row>
    <row r="1630" spans="2:14" x14ac:dyDescent="0.25">
      <c r="B1630" s="42"/>
      <c r="C1630" s="30"/>
      <c r="D1630" s="30"/>
      <c r="E1630" s="30"/>
      <c r="F1630" s="30"/>
      <c r="G1630" s="30"/>
      <c r="H1630" s="47"/>
      <c r="I1630" s="63"/>
      <c r="J1630" s="31"/>
      <c r="K1630" s="31"/>
      <c r="L1630" s="32"/>
      <c r="M1630" s="32"/>
      <c r="N1630" s="32"/>
    </row>
    <row r="1631" spans="2:14" x14ac:dyDescent="0.25">
      <c r="B1631" s="42"/>
      <c r="C1631" s="30"/>
      <c r="D1631" s="30"/>
      <c r="E1631" s="30"/>
      <c r="F1631" s="30"/>
      <c r="G1631" s="30"/>
      <c r="H1631" s="47"/>
      <c r="I1631" s="63"/>
      <c r="J1631" s="31"/>
      <c r="K1631" s="31"/>
      <c r="L1631" s="32"/>
      <c r="M1631" s="32"/>
      <c r="N1631" s="32"/>
    </row>
    <row r="1632" spans="2:14" x14ac:dyDescent="0.25">
      <c r="B1632" s="42"/>
      <c r="C1632" s="30"/>
      <c r="D1632" s="30"/>
      <c r="E1632" s="30"/>
      <c r="F1632" s="30"/>
      <c r="G1632" s="30"/>
      <c r="H1632" s="47"/>
      <c r="I1632" s="63"/>
      <c r="J1632" s="31"/>
      <c r="K1632" s="31"/>
      <c r="L1632" s="32"/>
      <c r="M1632" s="32"/>
      <c r="N1632" s="32"/>
    </row>
    <row r="1633" spans="2:14" x14ac:dyDescent="0.25">
      <c r="B1633" s="42"/>
      <c r="C1633" s="30"/>
      <c r="D1633" s="30"/>
      <c r="E1633" s="30"/>
      <c r="F1633" s="30"/>
      <c r="G1633" s="30"/>
      <c r="H1633" s="47"/>
      <c r="I1633" s="63"/>
      <c r="J1633" s="31"/>
      <c r="K1633" s="31"/>
      <c r="L1633" s="32"/>
      <c r="M1633" s="32"/>
      <c r="N1633" s="32"/>
    </row>
    <row r="1634" spans="2:14" x14ac:dyDescent="0.25">
      <c r="B1634" s="42"/>
      <c r="C1634" s="30"/>
      <c r="D1634" s="30"/>
      <c r="E1634" s="30"/>
      <c r="F1634" s="30"/>
      <c r="G1634" s="30"/>
      <c r="H1634" s="47"/>
      <c r="I1634" s="63"/>
      <c r="J1634" s="31"/>
      <c r="K1634" s="31"/>
      <c r="L1634" s="32"/>
      <c r="M1634" s="32"/>
      <c r="N1634" s="32"/>
    </row>
    <row r="1635" spans="2:14" x14ac:dyDescent="0.25">
      <c r="B1635" s="42"/>
      <c r="C1635" s="30"/>
      <c r="D1635" s="30"/>
      <c r="E1635" s="30"/>
      <c r="F1635" s="30"/>
      <c r="G1635" s="30"/>
      <c r="H1635" s="47"/>
      <c r="I1635" s="63"/>
      <c r="J1635" s="31"/>
      <c r="K1635" s="31"/>
      <c r="L1635" s="32"/>
      <c r="M1635" s="32"/>
      <c r="N1635" s="32"/>
    </row>
    <row r="1636" spans="2:14" x14ac:dyDescent="0.25">
      <c r="B1636" s="42"/>
      <c r="C1636" s="30"/>
      <c r="D1636" s="30"/>
      <c r="E1636" s="30"/>
      <c r="F1636" s="30"/>
      <c r="G1636" s="30"/>
      <c r="H1636" s="47"/>
      <c r="I1636" s="63"/>
      <c r="J1636" s="31"/>
      <c r="K1636" s="31"/>
      <c r="L1636" s="32"/>
      <c r="M1636" s="32"/>
      <c r="N1636" s="32"/>
    </row>
    <row r="1637" spans="2:14" x14ac:dyDescent="0.25">
      <c r="B1637" s="42"/>
      <c r="C1637" s="30"/>
      <c r="D1637" s="30"/>
      <c r="E1637" s="30"/>
      <c r="F1637" s="30"/>
      <c r="G1637" s="30"/>
      <c r="H1637" s="47"/>
      <c r="I1637" s="63"/>
      <c r="J1637" s="31"/>
      <c r="K1637" s="31"/>
      <c r="L1637" s="32"/>
      <c r="M1637" s="32"/>
      <c r="N1637" s="32"/>
    </row>
    <row r="1638" spans="2:14" x14ac:dyDescent="0.25">
      <c r="B1638" s="42"/>
      <c r="C1638" s="30"/>
      <c r="D1638" s="30"/>
      <c r="E1638" s="30"/>
      <c r="F1638" s="30"/>
      <c r="G1638" s="30"/>
      <c r="H1638" s="47"/>
      <c r="I1638" s="63"/>
      <c r="J1638" s="31"/>
      <c r="K1638" s="31"/>
      <c r="L1638" s="32"/>
      <c r="M1638" s="32"/>
      <c r="N1638" s="32"/>
    </row>
    <row r="1639" spans="2:14" x14ac:dyDescent="0.25">
      <c r="B1639" s="42"/>
      <c r="C1639" s="30"/>
      <c r="D1639" s="30"/>
      <c r="E1639" s="30"/>
      <c r="F1639" s="30"/>
      <c r="G1639" s="30"/>
      <c r="H1639" s="47"/>
      <c r="I1639" s="63"/>
      <c r="J1639" s="31"/>
      <c r="K1639" s="31"/>
      <c r="L1639" s="32"/>
      <c r="M1639" s="32"/>
      <c r="N1639" s="32"/>
    </row>
    <row r="1640" spans="2:14" x14ac:dyDescent="0.25">
      <c r="B1640" s="42"/>
      <c r="C1640" s="30"/>
      <c r="D1640" s="30"/>
      <c r="E1640" s="30"/>
      <c r="F1640" s="30"/>
      <c r="G1640" s="30"/>
      <c r="H1640" s="47"/>
      <c r="I1640" s="63"/>
      <c r="J1640" s="31"/>
      <c r="K1640" s="31"/>
      <c r="L1640" s="32"/>
      <c r="M1640" s="32"/>
      <c r="N1640" s="32"/>
    </row>
    <row r="1641" spans="2:14" x14ac:dyDescent="0.25">
      <c r="B1641" s="42"/>
      <c r="C1641" s="30"/>
      <c r="D1641" s="30"/>
      <c r="E1641" s="30"/>
      <c r="F1641" s="30"/>
      <c r="G1641" s="30"/>
      <c r="H1641" s="47"/>
      <c r="I1641" s="63"/>
      <c r="J1641" s="31"/>
      <c r="K1641" s="31"/>
      <c r="L1641" s="32"/>
      <c r="M1641" s="32"/>
      <c r="N1641" s="32"/>
    </row>
    <row r="1642" spans="2:14" x14ac:dyDescent="0.25">
      <c r="B1642" s="42"/>
      <c r="C1642" s="30"/>
      <c r="D1642" s="30"/>
      <c r="E1642" s="30"/>
      <c r="F1642" s="30"/>
      <c r="G1642" s="30"/>
      <c r="H1642" s="47"/>
      <c r="I1642" s="63"/>
      <c r="J1642" s="31"/>
      <c r="K1642" s="31"/>
      <c r="L1642" s="32"/>
      <c r="M1642" s="32"/>
      <c r="N1642" s="32"/>
    </row>
    <row r="1643" spans="2:14" x14ac:dyDescent="0.25">
      <c r="B1643" s="42"/>
      <c r="C1643" s="30"/>
      <c r="D1643" s="30"/>
      <c r="E1643" s="30"/>
      <c r="F1643" s="30"/>
      <c r="G1643" s="30"/>
      <c r="H1643" s="47"/>
      <c r="I1643" s="63"/>
      <c r="J1643" s="31"/>
      <c r="K1643" s="31"/>
      <c r="L1643" s="32"/>
      <c r="M1643" s="32"/>
      <c r="N1643" s="32"/>
    </row>
    <row r="1644" spans="2:14" x14ac:dyDescent="0.25">
      <c r="B1644" s="42"/>
      <c r="C1644" s="30"/>
      <c r="D1644" s="30"/>
      <c r="E1644" s="30"/>
      <c r="F1644" s="30"/>
      <c r="G1644" s="30"/>
      <c r="H1644" s="47"/>
      <c r="I1644" s="63"/>
      <c r="J1644" s="31"/>
      <c r="K1644" s="31"/>
      <c r="L1644" s="32"/>
      <c r="M1644" s="32"/>
      <c r="N1644" s="32"/>
    </row>
    <row r="1645" spans="2:14" x14ac:dyDescent="0.25">
      <c r="B1645" s="42"/>
      <c r="C1645" s="30"/>
      <c r="D1645" s="30"/>
      <c r="E1645" s="30"/>
      <c r="F1645" s="30"/>
      <c r="G1645" s="30"/>
      <c r="H1645" s="47"/>
      <c r="I1645" s="63"/>
      <c r="J1645" s="31"/>
      <c r="K1645" s="31"/>
      <c r="L1645" s="32"/>
      <c r="M1645" s="32"/>
      <c r="N1645" s="32"/>
    </row>
    <row r="1646" spans="2:14" x14ac:dyDescent="0.25">
      <c r="B1646" s="42"/>
      <c r="C1646" s="30"/>
      <c r="D1646" s="30"/>
      <c r="E1646" s="30"/>
      <c r="F1646" s="30"/>
      <c r="G1646" s="30"/>
      <c r="H1646" s="47"/>
      <c r="I1646" s="63"/>
      <c r="J1646" s="31"/>
      <c r="K1646" s="31"/>
      <c r="L1646" s="32"/>
      <c r="M1646" s="32"/>
      <c r="N1646" s="32"/>
    </row>
    <row r="1647" spans="2:14" x14ac:dyDescent="0.25">
      <c r="B1647" s="42"/>
      <c r="C1647" s="30"/>
      <c r="D1647" s="30"/>
      <c r="E1647" s="30"/>
      <c r="F1647" s="30"/>
      <c r="G1647" s="30"/>
      <c r="H1647" s="47"/>
      <c r="I1647" s="63"/>
      <c r="J1647" s="31"/>
      <c r="K1647" s="31"/>
      <c r="L1647" s="32"/>
      <c r="M1647" s="32"/>
      <c r="N1647" s="32"/>
    </row>
    <row r="1648" spans="2:14" x14ac:dyDescent="0.25">
      <c r="B1648" s="42"/>
      <c r="C1648" s="30"/>
      <c r="D1648" s="30"/>
      <c r="E1648" s="30"/>
      <c r="F1648" s="30"/>
      <c r="G1648" s="30"/>
      <c r="H1648" s="47"/>
      <c r="I1648" s="63"/>
      <c r="J1648" s="31"/>
      <c r="K1648" s="31"/>
      <c r="L1648" s="32"/>
      <c r="M1648" s="32"/>
      <c r="N1648" s="32"/>
    </row>
    <row r="1649" spans="2:14" x14ac:dyDescent="0.25">
      <c r="B1649" s="42"/>
      <c r="C1649" s="30"/>
      <c r="D1649" s="30"/>
      <c r="E1649" s="30"/>
      <c r="F1649" s="30"/>
      <c r="G1649" s="30"/>
      <c r="H1649" s="47"/>
      <c r="I1649" s="63"/>
      <c r="J1649" s="31"/>
      <c r="K1649" s="31"/>
      <c r="L1649" s="32"/>
      <c r="M1649" s="32"/>
      <c r="N1649" s="32"/>
    </row>
    <row r="1650" spans="2:14" x14ac:dyDescent="0.25">
      <c r="B1650" s="42"/>
      <c r="C1650" s="30"/>
      <c r="D1650" s="30"/>
      <c r="E1650" s="30"/>
      <c r="F1650" s="30"/>
      <c r="G1650" s="30"/>
      <c r="H1650" s="47"/>
      <c r="I1650" s="63"/>
      <c r="J1650" s="31"/>
      <c r="K1650" s="31"/>
      <c r="L1650" s="32"/>
      <c r="M1650" s="32"/>
      <c r="N1650" s="32"/>
    </row>
    <row r="1651" spans="2:14" x14ac:dyDescent="0.25">
      <c r="B1651" s="42"/>
      <c r="C1651" s="30"/>
      <c r="D1651" s="30"/>
      <c r="E1651" s="30"/>
      <c r="F1651" s="30"/>
      <c r="G1651" s="30"/>
      <c r="H1651" s="47"/>
      <c r="I1651" s="63"/>
      <c r="J1651" s="31"/>
      <c r="K1651" s="31"/>
      <c r="L1651" s="32"/>
      <c r="M1651" s="32"/>
      <c r="N1651" s="32"/>
    </row>
    <row r="1652" spans="2:14" x14ac:dyDescent="0.25">
      <c r="B1652" s="42"/>
      <c r="C1652" s="30"/>
      <c r="D1652" s="30"/>
      <c r="E1652" s="30"/>
      <c r="F1652" s="30"/>
      <c r="G1652" s="30"/>
      <c r="H1652" s="47"/>
      <c r="I1652" s="63"/>
      <c r="J1652" s="31"/>
      <c r="K1652" s="31"/>
      <c r="L1652" s="32"/>
      <c r="M1652" s="32"/>
      <c r="N1652" s="32"/>
    </row>
    <row r="1653" spans="2:14" x14ac:dyDescent="0.25">
      <c r="B1653" s="42"/>
      <c r="C1653" s="30"/>
      <c r="D1653" s="30"/>
      <c r="E1653" s="30"/>
      <c r="F1653" s="30"/>
      <c r="G1653" s="30"/>
      <c r="H1653" s="47"/>
      <c r="I1653" s="63"/>
      <c r="J1653" s="31"/>
      <c r="K1653" s="31"/>
      <c r="L1653" s="32"/>
      <c r="M1653" s="32"/>
      <c r="N1653" s="32"/>
    </row>
    <row r="1654" spans="2:14" x14ac:dyDescent="0.25">
      <c r="B1654" s="42"/>
      <c r="C1654" s="30"/>
      <c r="D1654" s="30"/>
      <c r="E1654" s="30"/>
      <c r="F1654" s="30"/>
      <c r="G1654" s="30"/>
      <c r="H1654" s="47"/>
      <c r="I1654" s="63"/>
      <c r="J1654" s="31"/>
      <c r="K1654" s="31"/>
      <c r="L1654" s="32"/>
      <c r="M1654" s="32"/>
      <c r="N1654" s="32"/>
    </row>
    <row r="1655" spans="2:14" x14ac:dyDescent="0.25">
      <c r="B1655" s="42"/>
      <c r="C1655" s="30"/>
      <c r="D1655" s="30"/>
      <c r="E1655" s="30"/>
      <c r="F1655" s="30"/>
      <c r="G1655" s="30"/>
      <c r="H1655" s="47"/>
      <c r="I1655" s="63"/>
      <c r="J1655" s="31"/>
      <c r="K1655" s="31"/>
      <c r="L1655" s="32"/>
      <c r="M1655" s="32"/>
      <c r="N1655" s="32"/>
    </row>
    <row r="1656" spans="2:14" x14ac:dyDescent="0.25">
      <c r="B1656" s="42"/>
      <c r="C1656" s="30"/>
      <c r="D1656" s="30"/>
      <c r="E1656" s="30"/>
      <c r="F1656" s="30"/>
      <c r="G1656" s="30"/>
      <c r="H1656" s="47"/>
      <c r="I1656" s="63"/>
      <c r="J1656" s="31"/>
      <c r="K1656" s="31"/>
      <c r="L1656" s="32"/>
      <c r="M1656" s="32"/>
      <c r="N1656" s="32"/>
    </row>
    <row r="1657" spans="2:14" x14ac:dyDescent="0.25">
      <c r="B1657" s="42"/>
      <c r="C1657" s="30"/>
      <c r="D1657" s="30"/>
      <c r="E1657" s="30"/>
      <c r="F1657" s="30"/>
      <c r="G1657" s="30"/>
      <c r="H1657" s="47"/>
      <c r="I1657" s="63"/>
      <c r="J1657" s="31"/>
      <c r="K1657" s="31"/>
      <c r="L1657" s="32"/>
      <c r="M1657" s="32"/>
      <c r="N1657" s="32"/>
    </row>
    <row r="1658" spans="2:14" x14ac:dyDescent="0.25">
      <c r="B1658" s="42"/>
      <c r="C1658" s="30"/>
      <c r="D1658" s="30"/>
      <c r="E1658" s="30"/>
      <c r="F1658" s="30"/>
      <c r="G1658" s="30"/>
      <c r="H1658" s="47"/>
      <c r="I1658" s="63"/>
      <c r="J1658" s="31"/>
      <c r="K1658" s="31"/>
      <c r="L1658" s="32"/>
      <c r="M1658" s="32"/>
      <c r="N1658" s="32"/>
    </row>
    <row r="1659" spans="2:14" x14ac:dyDescent="0.25">
      <c r="B1659" s="42"/>
      <c r="C1659" s="30"/>
      <c r="D1659" s="30"/>
      <c r="E1659" s="30"/>
      <c r="F1659" s="30"/>
      <c r="G1659" s="30"/>
      <c r="H1659" s="47"/>
      <c r="I1659" s="63"/>
      <c r="J1659" s="31"/>
      <c r="K1659" s="31"/>
      <c r="L1659" s="32"/>
      <c r="M1659" s="32"/>
      <c r="N1659" s="32"/>
    </row>
    <row r="1660" spans="2:14" x14ac:dyDescent="0.25">
      <c r="B1660" s="42"/>
      <c r="C1660" s="30"/>
      <c r="D1660" s="30"/>
      <c r="E1660" s="30"/>
      <c r="F1660" s="30"/>
      <c r="G1660" s="30"/>
      <c r="H1660" s="47"/>
      <c r="I1660" s="63"/>
      <c r="J1660" s="31"/>
      <c r="K1660" s="31"/>
      <c r="L1660" s="32"/>
      <c r="M1660" s="32"/>
      <c r="N1660" s="32"/>
    </row>
    <row r="1661" spans="2:14" x14ac:dyDescent="0.25">
      <c r="B1661" s="42"/>
      <c r="C1661" s="30"/>
      <c r="D1661" s="30"/>
      <c r="E1661" s="30"/>
      <c r="F1661" s="30"/>
      <c r="G1661" s="30"/>
      <c r="H1661" s="47"/>
      <c r="I1661" s="63"/>
      <c r="J1661" s="31"/>
      <c r="K1661" s="31"/>
      <c r="L1661" s="32"/>
      <c r="M1661" s="32"/>
      <c r="N1661" s="32"/>
    </row>
    <row r="1662" spans="2:14" x14ac:dyDescent="0.25">
      <c r="B1662" s="42"/>
      <c r="C1662" s="30"/>
      <c r="D1662" s="30"/>
      <c r="E1662" s="30"/>
      <c r="F1662" s="30"/>
      <c r="G1662" s="30"/>
      <c r="H1662" s="47"/>
      <c r="I1662" s="63"/>
      <c r="J1662" s="31"/>
      <c r="K1662" s="31"/>
      <c r="L1662" s="32"/>
      <c r="M1662" s="32"/>
      <c r="N1662" s="32"/>
    </row>
    <row r="1663" spans="2:14" x14ac:dyDescent="0.25">
      <c r="B1663" s="42"/>
      <c r="C1663" s="30"/>
      <c r="D1663" s="30"/>
      <c r="E1663" s="30"/>
      <c r="F1663" s="30"/>
      <c r="G1663" s="30"/>
      <c r="H1663" s="47"/>
      <c r="I1663" s="63"/>
      <c r="J1663" s="31"/>
      <c r="K1663" s="31"/>
      <c r="L1663" s="32"/>
      <c r="M1663" s="32"/>
      <c r="N1663" s="32"/>
    </row>
    <row r="1664" spans="2:14" x14ac:dyDescent="0.25">
      <c r="B1664" s="42"/>
      <c r="C1664" s="30"/>
      <c r="D1664" s="30"/>
      <c r="E1664" s="30"/>
      <c r="F1664" s="30"/>
      <c r="G1664" s="30"/>
      <c r="H1664" s="47"/>
      <c r="I1664" s="63"/>
      <c r="J1664" s="31"/>
      <c r="K1664" s="31"/>
      <c r="L1664" s="32"/>
      <c r="M1664" s="32"/>
      <c r="N1664" s="32"/>
    </row>
    <row r="1665" spans="2:14" x14ac:dyDescent="0.25">
      <c r="B1665" s="42"/>
      <c r="C1665" s="30"/>
      <c r="D1665" s="30"/>
      <c r="E1665" s="30"/>
      <c r="F1665" s="30"/>
      <c r="G1665" s="30"/>
      <c r="H1665" s="47"/>
      <c r="I1665" s="63"/>
      <c r="J1665" s="31"/>
      <c r="K1665" s="31"/>
      <c r="L1665" s="32"/>
      <c r="M1665" s="32"/>
      <c r="N1665" s="32"/>
    </row>
    <row r="1666" spans="2:14" x14ac:dyDescent="0.25">
      <c r="B1666" s="42"/>
      <c r="C1666" s="30"/>
      <c r="D1666" s="30"/>
      <c r="E1666" s="30"/>
      <c r="F1666" s="30"/>
      <c r="G1666" s="30"/>
      <c r="H1666" s="47"/>
      <c r="I1666" s="63"/>
      <c r="J1666" s="31"/>
      <c r="K1666" s="31"/>
      <c r="L1666" s="32"/>
      <c r="M1666" s="32"/>
      <c r="N1666" s="32"/>
    </row>
    <row r="1667" spans="2:14" x14ac:dyDescent="0.25">
      <c r="B1667" s="42"/>
      <c r="C1667" s="30"/>
      <c r="D1667" s="30"/>
      <c r="E1667" s="30"/>
      <c r="F1667" s="30"/>
      <c r="G1667" s="30"/>
      <c r="H1667" s="47"/>
      <c r="I1667" s="63"/>
      <c r="J1667" s="31"/>
      <c r="K1667" s="31"/>
      <c r="L1667" s="32"/>
      <c r="M1667" s="32"/>
      <c r="N1667" s="32"/>
    </row>
    <row r="1668" spans="2:14" x14ac:dyDescent="0.25">
      <c r="B1668" s="42"/>
      <c r="C1668" s="30"/>
      <c r="D1668" s="30"/>
      <c r="E1668" s="30"/>
      <c r="F1668" s="30"/>
      <c r="G1668" s="30"/>
      <c r="H1668" s="47"/>
      <c r="I1668" s="63"/>
      <c r="J1668" s="31"/>
      <c r="K1668" s="31"/>
      <c r="L1668" s="32"/>
      <c r="M1668" s="32"/>
      <c r="N1668" s="32"/>
    </row>
    <row r="1669" spans="2:14" x14ac:dyDescent="0.25">
      <c r="B1669" s="42"/>
      <c r="C1669" s="30"/>
      <c r="D1669" s="30"/>
      <c r="E1669" s="30"/>
      <c r="F1669" s="30"/>
      <c r="G1669" s="30"/>
      <c r="H1669" s="47"/>
      <c r="I1669" s="63"/>
      <c r="J1669" s="31"/>
      <c r="K1669" s="31"/>
      <c r="L1669" s="32"/>
      <c r="M1669" s="32"/>
      <c r="N1669" s="32"/>
    </row>
    <row r="1670" spans="2:14" x14ac:dyDescent="0.25">
      <c r="B1670" s="42"/>
      <c r="C1670" s="30"/>
      <c r="D1670" s="30"/>
      <c r="E1670" s="30"/>
      <c r="F1670" s="30"/>
      <c r="G1670" s="30"/>
      <c r="H1670" s="47"/>
      <c r="I1670" s="63"/>
      <c r="J1670" s="31"/>
      <c r="K1670" s="31"/>
      <c r="L1670" s="32"/>
      <c r="M1670" s="32"/>
      <c r="N1670" s="32"/>
    </row>
    <row r="1671" spans="2:14" x14ac:dyDescent="0.25">
      <c r="B1671" s="42"/>
      <c r="C1671" s="30"/>
      <c r="D1671" s="30"/>
      <c r="E1671" s="30"/>
      <c r="F1671" s="30"/>
      <c r="G1671" s="30"/>
      <c r="H1671" s="47"/>
      <c r="I1671" s="63"/>
      <c r="J1671" s="31"/>
      <c r="K1671" s="31"/>
      <c r="L1671" s="32"/>
      <c r="M1671" s="32"/>
      <c r="N1671" s="32"/>
    </row>
    <row r="1672" spans="2:14" x14ac:dyDescent="0.25">
      <c r="B1672" s="42"/>
      <c r="C1672" s="30"/>
      <c r="D1672" s="30"/>
      <c r="E1672" s="30"/>
      <c r="F1672" s="30"/>
      <c r="G1672" s="30"/>
      <c r="H1672" s="47"/>
      <c r="I1672" s="63"/>
      <c r="J1672" s="31"/>
      <c r="K1672" s="31"/>
      <c r="L1672" s="32"/>
      <c r="M1672" s="32"/>
      <c r="N1672" s="32"/>
    </row>
    <row r="1673" spans="2:14" x14ac:dyDescent="0.25">
      <c r="B1673" s="42"/>
      <c r="C1673" s="30"/>
      <c r="D1673" s="30"/>
      <c r="E1673" s="30"/>
      <c r="F1673" s="30"/>
      <c r="G1673" s="30"/>
      <c r="H1673" s="47"/>
      <c r="I1673" s="63"/>
      <c r="J1673" s="31"/>
      <c r="K1673" s="31"/>
      <c r="L1673" s="32"/>
      <c r="M1673" s="32"/>
      <c r="N1673" s="32"/>
    </row>
    <row r="1674" spans="2:14" x14ac:dyDescent="0.25">
      <c r="B1674" s="42"/>
      <c r="C1674" s="30"/>
      <c r="D1674" s="30"/>
      <c r="E1674" s="30"/>
      <c r="F1674" s="30"/>
      <c r="G1674" s="30"/>
      <c r="H1674" s="47"/>
      <c r="I1674" s="63"/>
      <c r="J1674" s="31"/>
      <c r="K1674" s="31"/>
      <c r="L1674" s="32"/>
      <c r="M1674" s="32"/>
      <c r="N1674" s="32"/>
    </row>
    <row r="1675" spans="2:14" x14ac:dyDescent="0.25">
      <c r="B1675" s="42"/>
      <c r="C1675" s="30"/>
      <c r="D1675" s="30"/>
      <c r="E1675" s="30"/>
      <c r="F1675" s="30"/>
      <c r="G1675" s="30"/>
      <c r="H1675" s="47"/>
      <c r="I1675" s="63"/>
      <c r="J1675" s="31"/>
      <c r="K1675" s="31"/>
      <c r="L1675" s="32"/>
      <c r="M1675" s="32"/>
      <c r="N1675" s="32"/>
    </row>
    <row r="1676" spans="2:14" x14ac:dyDescent="0.25">
      <c r="B1676" s="42"/>
      <c r="C1676" s="30"/>
      <c r="D1676" s="30"/>
      <c r="E1676" s="30"/>
      <c r="F1676" s="30"/>
      <c r="G1676" s="30"/>
      <c r="H1676" s="47"/>
      <c r="I1676" s="63"/>
      <c r="J1676" s="31"/>
      <c r="K1676" s="31"/>
      <c r="L1676" s="32"/>
      <c r="M1676" s="32"/>
      <c r="N1676" s="32"/>
    </row>
    <row r="1677" spans="2:14" x14ac:dyDescent="0.25">
      <c r="B1677" s="42"/>
      <c r="C1677" s="30"/>
      <c r="D1677" s="30"/>
      <c r="E1677" s="30"/>
      <c r="F1677" s="30"/>
      <c r="G1677" s="30"/>
      <c r="H1677" s="47"/>
      <c r="I1677" s="63"/>
      <c r="J1677" s="31"/>
      <c r="K1677" s="31"/>
      <c r="L1677" s="32"/>
      <c r="M1677" s="32"/>
      <c r="N1677" s="32"/>
    </row>
    <row r="1678" spans="2:14" x14ac:dyDescent="0.25">
      <c r="B1678" s="42"/>
      <c r="C1678" s="30"/>
      <c r="D1678" s="30"/>
      <c r="E1678" s="30"/>
      <c r="F1678" s="30"/>
      <c r="G1678" s="30"/>
      <c r="H1678" s="47"/>
      <c r="I1678" s="63"/>
      <c r="J1678" s="31"/>
      <c r="K1678" s="31"/>
      <c r="L1678" s="32"/>
      <c r="M1678" s="32"/>
      <c r="N1678" s="32"/>
    </row>
    <row r="1679" spans="2:14" x14ac:dyDescent="0.25">
      <c r="B1679" s="42"/>
      <c r="C1679" s="30"/>
      <c r="D1679" s="30"/>
      <c r="E1679" s="30"/>
      <c r="F1679" s="30"/>
      <c r="G1679" s="30"/>
      <c r="H1679" s="47"/>
      <c r="I1679" s="63"/>
      <c r="J1679" s="31"/>
      <c r="K1679" s="31"/>
      <c r="L1679" s="32"/>
      <c r="M1679" s="32"/>
      <c r="N1679" s="32"/>
    </row>
    <row r="1680" spans="2:14" x14ac:dyDescent="0.25">
      <c r="B1680" s="42"/>
      <c r="C1680" s="30"/>
      <c r="D1680" s="30"/>
      <c r="E1680" s="30"/>
      <c r="F1680" s="30"/>
      <c r="G1680" s="30"/>
      <c r="H1680" s="47"/>
      <c r="I1680" s="63"/>
      <c r="J1680" s="31"/>
      <c r="K1680" s="31"/>
      <c r="L1680" s="32"/>
      <c r="M1680" s="32"/>
      <c r="N1680" s="32"/>
    </row>
    <row r="1681" spans="2:14" x14ac:dyDescent="0.25">
      <c r="B1681" s="42"/>
      <c r="C1681" s="30"/>
      <c r="D1681" s="30"/>
      <c r="E1681" s="30"/>
      <c r="F1681" s="30"/>
      <c r="G1681" s="30"/>
      <c r="H1681" s="47"/>
      <c r="I1681" s="63"/>
      <c r="J1681" s="31"/>
      <c r="K1681" s="31"/>
      <c r="L1681" s="32"/>
      <c r="M1681" s="32"/>
      <c r="N1681" s="32"/>
    </row>
    <row r="1682" spans="2:14" x14ac:dyDescent="0.25">
      <c r="B1682" s="42"/>
      <c r="C1682" s="30"/>
      <c r="D1682" s="30"/>
      <c r="E1682" s="30"/>
      <c r="F1682" s="30"/>
      <c r="G1682" s="30"/>
      <c r="H1682" s="47"/>
      <c r="I1682" s="63"/>
      <c r="J1682" s="31"/>
      <c r="K1682" s="31"/>
      <c r="L1682" s="32"/>
      <c r="M1682" s="32"/>
      <c r="N1682" s="32"/>
    </row>
    <row r="1683" spans="2:14" x14ac:dyDescent="0.25">
      <c r="B1683" s="42"/>
      <c r="C1683" s="30"/>
      <c r="D1683" s="30"/>
      <c r="E1683" s="30"/>
      <c r="F1683" s="30"/>
      <c r="G1683" s="30"/>
      <c r="H1683" s="47"/>
      <c r="I1683" s="63"/>
      <c r="J1683" s="31"/>
      <c r="K1683" s="31"/>
      <c r="L1683" s="32"/>
      <c r="M1683" s="32"/>
      <c r="N1683" s="32"/>
    </row>
    <row r="1684" spans="2:14" x14ac:dyDescent="0.25">
      <c r="B1684" s="42"/>
      <c r="C1684" s="30"/>
      <c r="D1684" s="30"/>
      <c r="E1684" s="30"/>
      <c r="F1684" s="30"/>
      <c r="G1684" s="30"/>
      <c r="H1684" s="47"/>
      <c r="I1684" s="63"/>
      <c r="J1684" s="31"/>
      <c r="K1684" s="31"/>
      <c r="L1684" s="32"/>
      <c r="M1684" s="32"/>
      <c r="N1684" s="32"/>
    </row>
    <row r="1685" spans="2:14" x14ac:dyDescent="0.25">
      <c r="B1685" s="42"/>
      <c r="C1685" s="30"/>
      <c r="D1685" s="30"/>
      <c r="E1685" s="30"/>
      <c r="F1685" s="30"/>
      <c r="G1685" s="30"/>
      <c r="H1685" s="47"/>
      <c r="I1685" s="63"/>
      <c r="J1685" s="31"/>
      <c r="K1685" s="31"/>
      <c r="L1685" s="32"/>
      <c r="M1685" s="32"/>
      <c r="N1685" s="32"/>
    </row>
    <row r="1686" spans="2:14" x14ac:dyDescent="0.25">
      <c r="B1686" s="42"/>
      <c r="C1686" s="30"/>
      <c r="D1686" s="30"/>
      <c r="E1686" s="30"/>
      <c r="F1686" s="30"/>
      <c r="G1686" s="30"/>
      <c r="H1686" s="47"/>
      <c r="I1686" s="63"/>
      <c r="J1686" s="31"/>
      <c r="K1686" s="31"/>
      <c r="L1686" s="32"/>
      <c r="M1686" s="32"/>
      <c r="N1686" s="32"/>
    </row>
    <row r="1687" spans="2:14" x14ac:dyDescent="0.25">
      <c r="B1687" s="42"/>
      <c r="C1687" s="30"/>
      <c r="D1687" s="30"/>
      <c r="E1687" s="30"/>
      <c r="F1687" s="30"/>
      <c r="G1687" s="30"/>
      <c r="H1687" s="47"/>
      <c r="I1687" s="63"/>
      <c r="J1687" s="31"/>
      <c r="K1687" s="31"/>
      <c r="L1687" s="32"/>
      <c r="M1687" s="32"/>
      <c r="N1687" s="32"/>
    </row>
    <row r="1688" spans="2:14" x14ac:dyDescent="0.25">
      <c r="B1688" s="42"/>
      <c r="C1688" s="30"/>
      <c r="D1688" s="30"/>
      <c r="E1688" s="30"/>
      <c r="F1688" s="30"/>
      <c r="G1688" s="30"/>
      <c r="H1688" s="47"/>
      <c r="I1688" s="63"/>
      <c r="J1688" s="31"/>
      <c r="K1688" s="31"/>
      <c r="L1688" s="32"/>
      <c r="M1688" s="32"/>
      <c r="N1688" s="32"/>
    </row>
    <row r="1689" spans="2:14" x14ac:dyDescent="0.25">
      <c r="B1689" s="42"/>
      <c r="C1689" s="30"/>
      <c r="D1689" s="30"/>
      <c r="E1689" s="30"/>
      <c r="F1689" s="30"/>
      <c r="G1689" s="30"/>
      <c r="H1689" s="47"/>
      <c r="I1689" s="63"/>
      <c r="J1689" s="31"/>
      <c r="K1689" s="31"/>
      <c r="L1689" s="32"/>
      <c r="M1689" s="32"/>
      <c r="N1689" s="32"/>
    </row>
    <row r="1690" spans="2:14" x14ac:dyDescent="0.25">
      <c r="B1690" s="42"/>
      <c r="C1690" s="30"/>
      <c r="D1690" s="30"/>
      <c r="E1690" s="30"/>
      <c r="F1690" s="30"/>
      <c r="G1690" s="30"/>
      <c r="H1690" s="47"/>
      <c r="I1690" s="63"/>
      <c r="J1690" s="31"/>
      <c r="K1690" s="31"/>
      <c r="L1690" s="32"/>
      <c r="M1690" s="32"/>
      <c r="N1690" s="32"/>
    </row>
    <row r="1691" spans="2:14" x14ac:dyDescent="0.25">
      <c r="B1691" s="42"/>
      <c r="C1691" s="30"/>
      <c r="D1691" s="30"/>
      <c r="E1691" s="30"/>
      <c r="F1691" s="30"/>
      <c r="G1691" s="30"/>
      <c r="H1691" s="47"/>
      <c r="I1691" s="63"/>
      <c r="J1691" s="31"/>
      <c r="K1691" s="31"/>
      <c r="L1691" s="32"/>
      <c r="M1691" s="32"/>
      <c r="N1691" s="32"/>
    </row>
    <row r="1692" spans="2:14" x14ac:dyDescent="0.25">
      <c r="B1692" s="42"/>
      <c r="C1692" s="30"/>
      <c r="D1692" s="30"/>
      <c r="E1692" s="30"/>
      <c r="F1692" s="30"/>
      <c r="G1692" s="30"/>
      <c r="H1692" s="47"/>
      <c r="I1692" s="63"/>
      <c r="J1692" s="31"/>
      <c r="K1692" s="31"/>
      <c r="L1692" s="32"/>
      <c r="M1692" s="32"/>
      <c r="N1692" s="32"/>
    </row>
    <row r="1693" spans="2:14" x14ac:dyDescent="0.25">
      <c r="B1693" s="42"/>
      <c r="C1693" s="30"/>
      <c r="D1693" s="30"/>
      <c r="E1693" s="30"/>
      <c r="F1693" s="30"/>
      <c r="G1693" s="30"/>
      <c r="H1693" s="47"/>
      <c r="I1693" s="63"/>
      <c r="J1693" s="31"/>
      <c r="K1693" s="31"/>
      <c r="L1693" s="32"/>
      <c r="M1693" s="32"/>
      <c r="N1693" s="32"/>
    </row>
    <row r="1694" spans="2:14" x14ac:dyDescent="0.25">
      <c r="B1694" s="42"/>
      <c r="C1694" s="30"/>
      <c r="D1694" s="30"/>
      <c r="E1694" s="30"/>
      <c r="F1694" s="30"/>
      <c r="G1694" s="30"/>
      <c r="H1694" s="47"/>
      <c r="I1694" s="63"/>
      <c r="J1694" s="31"/>
      <c r="K1694" s="31"/>
      <c r="L1694" s="32"/>
      <c r="M1694" s="32"/>
      <c r="N1694" s="32"/>
    </row>
    <row r="1695" spans="2:14" x14ac:dyDescent="0.25">
      <c r="B1695" s="42"/>
      <c r="C1695" s="30"/>
      <c r="D1695" s="30"/>
      <c r="E1695" s="30"/>
      <c r="F1695" s="30"/>
      <c r="G1695" s="30"/>
      <c r="H1695" s="47"/>
      <c r="I1695" s="63"/>
      <c r="J1695" s="31"/>
      <c r="K1695" s="31"/>
      <c r="L1695" s="32"/>
      <c r="M1695" s="32"/>
      <c r="N1695" s="32"/>
    </row>
    <row r="1696" spans="2:14" x14ac:dyDescent="0.25">
      <c r="B1696" s="42"/>
      <c r="C1696" s="30"/>
      <c r="D1696" s="30"/>
      <c r="E1696" s="30"/>
      <c r="F1696" s="30"/>
      <c r="G1696" s="30"/>
      <c r="H1696" s="47"/>
      <c r="I1696" s="63"/>
      <c r="J1696" s="31"/>
      <c r="K1696" s="31"/>
      <c r="L1696" s="32"/>
      <c r="M1696" s="32"/>
      <c r="N1696" s="32"/>
    </row>
    <row r="1697" spans="2:14" x14ac:dyDescent="0.25">
      <c r="B1697" s="42"/>
      <c r="C1697" s="30"/>
      <c r="D1697" s="30"/>
      <c r="E1697" s="30"/>
      <c r="F1697" s="30"/>
      <c r="G1697" s="30"/>
      <c r="H1697" s="47"/>
      <c r="I1697" s="63"/>
      <c r="J1697" s="31"/>
      <c r="K1697" s="31"/>
      <c r="L1697" s="32"/>
      <c r="M1697" s="32"/>
      <c r="N1697" s="32"/>
    </row>
    <row r="1698" spans="2:14" x14ac:dyDescent="0.25">
      <c r="B1698" s="42"/>
      <c r="C1698" s="30"/>
      <c r="D1698" s="30"/>
      <c r="E1698" s="30"/>
      <c r="F1698" s="30"/>
      <c r="G1698" s="30"/>
      <c r="H1698" s="47"/>
      <c r="I1698" s="63"/>
      <c r="J1698" s="31"/>
      <c r="K1698" s="31"/>
      <c r="L1698" s="32"/>
      <c r="M1698" s="32"/>
      <c r="N1698" s="32"/>
    </row>
    <row r="1699" spans="2:14" x14ac:dyDescent="0.25">
      <c r="B1699" s="42"/>
      <c r="C1699" s="30"/>
      <c r="D1699" s="30"/>
      <c r="E1699" s="30"/>
      <c r="F1699" s="30"/>
      <c r="G1699" s="30"/>
      <c r="H1699" s="47"/>
      <c r="I1699" s="63"/>
      <c r="J1699" s="31"/>
      <c r="K1699" s="31"/>
      <c r="L1699" s="32"/>
      <c r="M1699" s="32"/>
      <c r="N1699" s="32"/>
    </row>
    <row r="1700" spans="2:14" x14ac:dyDescent="0.25">
      <c r="B1700" s="42"/>
      <c r="C1700" s="30"/>
      <c r="D1700" s="30"/>
      <c r="E1700" s="30"/>
      <c r="F1700" s="30"/>
      <c r="G1700" s="30"/>
      <c r="H1700" s="47"/>
      <c r="I1700" s="63"/>
      <c r="J1700" s="31"/>
      <c r="K1700" s="31"/>
      <c r="L1700" s="32"/>
      <c r="M1700" s="32"/>
      <c r="N1700" s="32"/>
    </row>
    <row r="1701" spans="2:14" x14ac:dyDescent="0.25">
      <c r="B1701" s="42"/>
      <c r="C1701" s="30"/>
      <c r="D1701" s="30"/>
      <c r="E1701" s="30"/>
      <c r="F1701" s="30"/>
      <c r="G1701" s="30"/>
      <c r="H1701" s="47"/>
      <c r="I1701" s="63"/>
      <c r="J1701" s="31"/>
      <c r="K1701" s="31"/>
      <c r="L1701" s="32"/>
      <c r="M1701" s="32"/>
      <c r="N1701" s="32"/>
    </row>
    <row r="1702" spans="2:14" x14ac:dyDescent="0.25">
      <c r="B1702" s="42"/>
      <c r="C1702" s="30"/>
      <c r="D1702" s="30"/>
      <c r="E1702" s="30"/>
      <c r="F1702" s="30"/>
      <c r="G1702" s="30"/>
      <c r="H1702" s="47"/>
      <c r="I1702" s="63"/>
      <c r="J1702" s="31"/>
      <c r="K1702" s="31"/>
      <c r="L1702" s="32"/>
      <c r="M1702" s="32"/>
      <c r="N1702" s="32"/>
    </row>
    <row r="1703" spans="2:14" x14ac:dyDescent="0.25">
      <c r="B1703" s="42"/>
      <c r="C1703" s="30"/>
      <c r="D1703" s="30"/>
      <c r="E1703" s="30"/>
      <c r="F1703" s="30"/>
      <c r="G1703" s="30"/>
      <c r="H1703" s="47"/>
      <c r="I1703" s="63"/>
      <c r="J1703" s="31"/>
      <c r="K1703" s="31"/>
      <c r="L1703" s="32"/>
      <c r="M1703" s="32"/>
      <c r="N1703" s="32"/>
    </row>
    <row r="1704" spans="2:14" x14ac:dyDescent="0.25">
      <c r="B1704" s="42"/>
      <c r="C1704" s="30"/>
      <c r="D1704" s="30"/>
      <c r="E1704" s="30"/>
      <c r="F1704" s="30"/>
      <c r="G1704" s="30"/>
      <c r="H1704" s="47"/>
      <c r="I1704" s="63"/>
      <c r="J1704" s="31"/>
      <c r="K1704" s="31"/>
      <c r="L1704" s="32"/>
      <c r="M1704" s="32"/>
      <c r="N1704" s="32"/>
    </row>
    <row r="1705" spans="2:14" x14ac:dyDescent="0.25">
      <c r="B1705" s="42"/>
      <c r="C1705" s="30"/>
      <c r="D1705" s="30"/>
      <c r="E1705" s="30"/>
      <c r="F1705" s="30"/>
      <c r="G1705" s="30"/>
      <c r="H1705" s="47"/>
      <c r="I1705" s="63"/>
      <c r="J1705" s="31"/>
      <c r="K1705" s="31"/>
      <c r="L1705" s="32"/>
      <c r="M1705" s="32"/>
      <c r="N1705" s="32"/>
    </row>
    <row r="1706" spans="2:14" x14ac:dyDescent="0.25">
      <c r="B1706" s="42"/>
      <c r="C1706" s="30"/>
      <c r="D1706" s="30"/>
      <c r="E1706" s="30"/>
      <c r="F1706" s="30"/>
      <c r="G1706" s="30"/>
      <c r="H1706" s="47"/>
      <c r="I1706" s="63"/>
      <c r="J1706" s="31"/>
      <c r="K1706" s="31"/>
      <c r="L1706" s="32"/>
      <c r="M1706" s="32"/>
      <c r="N1706" s="32"/>
    </row>
    <row r="1707" spans="2:14" x14ac:dyDescent="0.25">
      <c r="B1707" s="42"/>
      <c r="C1707" s="30"/>
      <c r="D1707" s="30"/>
      <c r="E1707" s="30"/>
      <c r="F1707" s="30"/>
      <c r="G1707" s="30"/>
      <c r="H1707" s="47"/>
      <c r="I1707" s="63"/>
      <c r="J1707" s="31"/>
      <c r="K1707" s="31"/>
      <c r="L1707" s="32"/>
      <c r="M1707" s="32"/>
      <c r="N1707" s="32"/>
    </row>
    <row r="1708" spans="2:14" x14ac:dyDescent="0.25">
      <c r="B1708" s="42"/>
      <c r="C1708" s="30"/>
      <c r="D1708" s="30"/>
      <c r="E1708" s="30"/>
      <c r="F1708" s="30"/>
      <c r="G1708" s="30"/>
      <c r="H1708" s="47"/>
      <c r="I1708" s="63"/>
      <c r="J1708" s="31"/>
      <c r="K1708" s="31"/>
      <c r="L1708" s="32"/>
      <c r="M1708" s="32"/>
      <c r="N1708" s="32"/>
    </row>
    <row r="1709" spans="2:14" x14ac:dyDescent="0.25">
      <c r="B1709" s="42"/>
      <c r="C1709" s="30"/>
      <c r="D1709" s="30"/>
      <c r="E1709" s="30"/>
      <c r="F1709" s="30"/>
      <c r="G1709" s="30"/>
      <c r="H1709" s="47"/>
      <c r="I1709" s="63"/>
      <c r="J1709" s="31"/>
      <c r="K1709" s="31"/>
      <c r="L1709" s="32"/>
      <c r="M1709" s="32"/>
      <c r="N1709" s="32"/>
    </row>
    <row r="1710" spans="2:14" x14ac:dyDescent="0.25">
      <c r="B1710" s="42"/>
      <c r="C1710" s="30"/>
      <c r="D1710" s="30"/>
      <c r="E1710" s="30"/>
      <c r="F1710" s="30"/>
      <c r="G1710" s="30"/>
      <c r="H1710" s="47"/>
      <c r="I1710" s="63"/>
      <c r="J1710" s="31"/>
      <c r="K1710" s="31"/>
      <c r="L1710" s="32"/>
      <c r="M1710" s="32"/>
      <c r="N1710" s="32"/>
    </row>
    <row r="1711" spans="2:14" x14ac:dyDescent="0.25">
      <c r="B1711" s="42"/>
      <c r="C1711" s="30"/>
      <c r="D1711" s="30"/>
      <c r="E1711" s="30"/>
      <c r="F1711" s="30"/>
      <c r="G1711" s="30"/>
      <c r="H1711" s="47"/>
      <c r="I1711" s="63"/>
      <c r="J1711" s="31"/>
      <c r="K1711" s="31"/>
      <c r="L1711" s="32"/>
      <c r="M1711" s="32"/>
      <c r="N1711" s="32"/>
    </row>
    <row r="1712" spans="2:14" x14ac:dyDescent="0.25">
      <c r="B1712" s="42"/>
      <c r="C1712" s="30"/>
      <c r="D1712" s="30"/>
      <c r="E1712" s="30"/>
      <c r="F1712" s="30"/>
      <c r="G1712" s="30"/>
      <c r="H1712" s="47"/>
      <c r="I1712" s="63"/>
      <c r="J1712" s="31"/>
      <c r="K1712" s="31"/>
      <c r="L1712" s="32"/>
      <c r="M1712" s="32"/>
      <c r="N1712" s="32"/>
    </row>
    <row r="1713" spans="2:14" x14ac:dyDescent="0.25">
      <c r="B1713" s="42"/>
      <c r="C1713" s="30"/>
      <c r="D1713" s="30"/>
      <c r="E1713" s="30"/>
      <c r="F1713" s="30"/>
      <c r="G1713" s="30"/>
      <c r="H1713" s="47"/>
      <c r="I1713" s="63"/>
      <c r="J1713" s="31"/>
      <c r="K1713" s="31"/>
      <c r="L1713" s="32"/>
      <c r="M1713" s="32"/>
      <c r="N1713" s="32"/>
    </row>
    <row r="1714" spans="2:14" x14ac:dyDescent="0.25">
      <c r="B1714" s="42"/>
      <c r="C1714" s="30"/>
      <c r="D1714" s="30"/>
      <c r="E1714" s="30"/>
      <c r="F1714" s="30"/>
      <c r="G1714" s="30"/>
      <c r="H1714" s="47"/>
      <c r="I1714" s="63"/>
      <c r="J1714" s="31"/>
      <c r="K1714" s="31"/>
      <c r="L1714" s="32"/>
      <c r="M1714" s="32"/>
      <c r="N1714" s="32"/>
    </row>
    <row r="1715" spans="2:14" x14ac:dyDescent="0.25">
      <c r="B1715" s="42"/>
      <c r="C1715" s="30"/>
      <c r="D1715" s="30"/>
      <c r="E1715" s="30"/>
      <c r="F1715" s="30"/>
      <c r="G1715" s="30"/>
      <c r="H1715" s="47"/>
      <c r="I1715" s="63"/>
      <c r="J1715" s="31"/>
      <c r="K1715" s="31"/>
      <c r="L1715" s="32"/>
      <c r="M1715" s="32"/>
      <c r="N1715" s="32"/>
    </row>
    <row r="1716" spans="2:14" x14ac:dyDescent="0.25">
      <c r="B1716" s="42"/>
      <c r="C1716" s="30"/>
      <c r="D1716" s="30"/>
      <c r="E1716" s="30"/>
      <c r="F1716" s="30"/>
      <c r="G1716" s="30"/>
      <c r="H1716" s="47"/>
      <c r="I1716" s="63"/>
      <c r="J1716" s="31"/>
      <c r="K1716" s="31"/>
      <c r="L1716" s="32"/>
      <c r="M1716" s="32"/>
      <c r="N1716" s="32"/>
    </row>
    <row r="1717" spans="2:14" x14ac:dyDescent="0.25">
      <c r="B1717" s="42"/>
      <c r="C1717" s="30"/>
      <c r="D1717" s="30"/>
      <c r="E1717" s="30"/>
      <c r="F1717" s="30"/>
      <c r="G1717" s="30"/>
      <c r="H1717" s="47"/>
      <c r="I1717" s="63"/>
      <c r="J1717" s="31"/>
      <c r="K1717" s="31"/>
      <c r="L1717" s="32"/>
      <c r="M1717" s="32"/>
      <c r="N1717" s="32"/>
    </row>
    <row r="1718" spans="2:14" x14ac:dyDescent="0.25">
      <c r="B1718" s="42"/>
      <c r="C1718" s="30"/>
      <c r="D1718" s="30"/>
      <c r="E1718" s="30"/>
      <c r="F1718" s="30"/>
      <c r="G1718" s="30"/>
      <c r="H1718" s="47"/>
      <c r="I1718" s="63"/>
      <c r="J1718" s="31"/>
      <c r="K1718" s="31"/>
      <c r="L1718" s="32"/>
      <c r="M1718" s="32"/>
      <c r="N1718" s="32"/>
    </row>
    <row r="1719" spans="2:14" x14ac:dyDescent="0.25">
      <c r="B1719" s="42"/>
      <c r="C1719" s="30"/>
      <c r="D1719" s="30"/>
      <c r="E1719" s="30"/>
      <c r="F1719" s="30"/>
      <c r="G1719" s="30"/>
      <c r="H1719" s="47"/>
      <c r="I1719" s="63"/>
      <c r="J1719" s="31"/>
      <c r="K1719" s="31"/>
      <c r="L1719" s="32"/>
      <c r="M1719" s="32"/>
      <c r="N1719" s="32"/>
    </row>
    <row r="1720" spans="2:14" x14ac:dyDescent="0.25">
      <c r="B1720" s="42"/>
      <c r="C1720" s="30"/>
      <c r="D1720" s="30"/>
      <c r="E1720" s="30"/>
      <c r="F1720" s="30"/>
      <c r="G1720" s="30"/>
      <c r="H1720" s="47"/>
      <c r="I1720" s="63"/>
      <c r="J1720" s="31"/>
      <c r="K1720" s="31"/>
      <c r="L1720" s="32"/>
      <c r="M1720" s="32"/>
      <c r="N1720" s="32"/>
    </row>
    <row r="1721" spans="2:14" x14ac:dyDescent="0.25">
      <c r="B1721" s="42"/>
      <c r="C1721" s="30"/>
      <c r="D1721" s="30"/>
      <c r="E1721" s="30"/>
      <c r="F1721" s="30"/>
      <c r="G1721" s="30"/>
      <c r="H1721" s="47"/>
      <c r="I1721" s="63"/>
      <c r="J1721" s="31"/>
      <c r="K1721" s="31"/>
      <c r="L1721" s="32"/>
      <c r="M1721" s="32"/>
      <c r="N1721" s="32"/>
    </row>
    <row r="1722" spans="2:14" x14ac:dyDescent="0.25">
      <c r="B1722" s="42"/>
      <c r="C1722" s="30"/>
      <c r="D1722" s="30"/>
      <c r="E1722" s="30"/>
      <c r="F1722" s="30"/>
      <c r="G1722" s="30"/>
      <c r="H1722" s="47"/>
      <c r="I1722" s="63"/>
      <c r="J1722" s="31"/>
      <c r="K1722" s="31"/>
      <c r="L1722" s="32"/>
      <c r="M1722" s="32"/>
      <c r="N1722" s="32"/>
    </row>
    <row r="1723" spans="2:14" x14ac:dyDescent="0.25">
      <c r="B1723" s="42"/>
      <c r="C1723" s="30"/>
      <c r="D1723" s="30"/>
      <c r="E1723" s="30"/>
      <c r="F1723" s="30"/>
      <c r="G1723" s="30"/>
      <c r="H1723" s="47"/>
      <c r="I1723" s="63"/>
      <c r="J1723" s="31"/>
      <c r="K1723" s="31"/>
      <c r="L1723" s="32"/>
      <c r="M1723" s="32"/>
      <c r="N1723" s="32"/>
    </row>
    <row r="1724" spans="2:14" x14ac:dyDescent="0.25">
      <c r="B1724" s="42"/>
      <c r="C1724" s="30"/>
      <c r="D1724" s="30"/>
      <c r="E1724" s="30"/>
      <c r="F1724" s="30"/>
      <c r="G1724" s="30"/>
      <c r="H1724" s="47"/>
      <c r="I1724" s="63"/>
      <c r="J1724" s="31"/>
      <c r="K1724" s="31"/>
      <c r="L1724" s="32"/>
      <c r="M1724" s="32"/>
      <c r="N1724" s="32"/>
    </row>
    <row r="1725" spans="2:14" x14ac:dyDescent="0.25">
      <c r="B1725" s="42"/>
      <c r="C1725" s="30"/>
      <c r="D1725" s="30"/>
      <c r="E1725" s="30"/>
      <c r="F1725" s="30"/>
      <c r="G1725" s="30"/>
      <c r="H1725" s="47"/>
      <c r="I1725" s="63"/>
      <c r="J1725" s="31"/>
      <c r="K1725" s="31"/>
      <c r="L1725" s="32"/>
      <c r="M1725" s="32"/>
      <c r="N1725" s="32"/>
    </row>
    <row r="1726" spans="2:14" x14ac:dyDescent="0.25">
      <c r="B1726" s="42"/>
      <c r="C1726" s="30"/>
      <c r="D1726" s="30"/>
      <c r="E1726" s="30"/>
      <c r="F1726" s="30"/>
      <c r="G1726" s="30"/>
      <c r="H1726" s="47"/>
      <c r="I1726" s="63"/>
      <c r="J1726" s="31"/>
      <c r="K1726" s="31"/>
      <c r="L1726" s="32"/>
      <c r="M1726" s="32"/>
      <c r="N1726" s="32"/>
    </row>
    <row r="1727" spans="2:14" x14ac:dyDescent="0.25">
      <c r="B1727" s="42"/>
      <c r="C1727" s="30"/>
      <c r="D1727" s="30"/>
      <c r="E1727" s="30"/>
      <c r="F1727" s="30"/>
      <c r="G1727" s="30"/>
      <c r="H1727" s="47"/>
      <c r="I1727" s="63"/>
      <c r="J1727" s="31"/>
      <c r="K1727" s="31"/>
      <c r="L1727" s="32"/>
      <c r="M1727" s="32"/>
      <c r="N1727" s="32"/>
    </row>
    <row r="1728" spans="2:14" x14ac:dyDescent="0.25">
      <c r="B1728" s="42"/>
      <c r="C1728" s="30"/>
      <c r="D1728" s="30"/>
      <c r="E1728" s="30"/>
      <c r="F1728" s="30"/>
      <c r="G1728" s="30"/>
      <c r="H1728" s="47"/>
      <c r="I1728" s="63"/>
      <c r="J1728" s="31"/>
      <c r="K1728" s="31"/>
      <c r="L1728" s="32"/>
      <c r="M1728" s="32"/>
      <c r="N1728" s="32"/>
    </row>
    <row r="1729" spans="2:14" x14ac:dyDescent="0.25">
      <c r="B1729" s="42"/>
      <c r="C1729" s="30"/>
      <c r="D1729" s="30"/>
      <c r="E1729" s="30"/>
      <c r="F1729" s="30"/>
      <c r="G1729" s="30"/>
      <c r="H1729" s="47"/>
      <c r="I1729" s="63"/>
      <c r="J1729" s="31"/>
      <c r="K1729" s="31"/>
      <c r="L1729" s="32"/>
      <c r="M1729" s="32"/>
      <c r="N1729" s="32"/>
    </row>
    <row r="1730" spans="2:14" x14ac:dyDescent="0.25">
      <c r="B1730" s="42"/>
      <c r="C1730" s="30"/>
      <c r="D1730" s="30"/>
      <c r="E1730" s="30"/>
      <c r="F1730" s="30"/>
      <c r="G1730" s="30"/>
      <c r="H1730" s="47"/>
      <c r="I1730" s="63"/>
      <c r="J1730" s="31"/>
      <c r="K1730" s="31"/>
      <c r="L1730" s="32"/>
      <c r="M1730" s="32"/>
      <c r="N1730" s="32"/>
    </row>
    <row r="1731" spans="2:14" x14ac:dyDescent="0.25">
      <c r="B1731" s="42"/>
      <c r="C1731" s="30"/>
      <c r="D1731" s="30"/>
      <c r="E1731" s="30"/>
      <c r="F1731" s="30"/>
      <c r="G1731" s="30"/>
      <c r="H1731" s="47"/>
      <c r="I1731" s="63"/>
      <c r="J1731" s="31"/>
      <c r="K1731" s="31"/>
      <c r="L1731" s="32"/>
      <c r="M1731" s="32"/>
      <c r="N1731" s="32"/>
    </row>
    <row r="1732" spans="2:14" x14ac:dyDescent="0.25">
      <c r="B1732" s="42"/>
      <c r="C1732" s="30"/>
      <c r="D1732" s="30"/>
      <c r="E1732" s="30"/>
      <c r="F1732" s="30"/>
      <c r="G1732" s="30"/>
      <c r="H1732" s="47"/>
      <c r="I1732" s="63"/>
      <c r="J1732" s="31"/>
      <c r="K1732" s="31"/>
      <c r="L1732" s="32"/>
      <c r="M1732" s="32"/>
      <c r="N1732" s="32"/>
    </row>
    <row r="1733" spans="2:14" x14ac:dyDescent="0.25">
      <c r="B1733" s="42"/>
      <c r="C1733" s="30"/>
      <c r="D1733" s="30"/>
      <c r="E1733" s="30"/>
      <c r="F1733" s="30"/>
      <c r="G1733" s="30"/>
      <c r="H1733" s="47"/>
      <c r="I1733" s="63"/>
      <c r="J1733" s="31"/>
      <c r="K1733" s="31"/>
      <c r="L1733" s="32"/>
      <c r="M1733" s="32"/>
      <c r="N1733" s="32"/>
    </row>
    <row r="1734" spans="2:14" x14ac:dyDescent="0.25">
      <c r="B1734" s="42"/>
      <c r="C1734" s="30"/>
      <c r="D1734" s="30"/>
      <c r="E1734" s="30"/>
      <c r="F1734" s="30"/>
      <c r="G1734" s="30"/>
      <c r="H1734" s="47"/>
      <c r="I1734" s="63"/>
      <c r="J1734" s="31"/>
      <c r="K1734" s="31"/>
      <c r="L1734" s="32"/>
      <c r="M1734" s="32"/>
      <c r="N1734" s="32"/>
    </row>
    <row r="1735" spans="2:14" x14ac:dyDescent="0.25">
      <c r="B1735" s="42"/>
      <c r="C1735" s="30"/>
      <c r="D1735" s="30"/>
      <c r="E1735" s="30"/>
      <c r="F1735" s="30"/>
      <c r="G1735" s="30"/>
      <c r="H1735" s="47"/>
      <c r="I1735" s="63"/>
      <c r="J1735" s="31"/>
      <c r="K1735" s="31"/>
      <c r="L1735" s="32"/>
      <c r="M1735" s="32"/>
      <c r="N1735" s="32"/>
    </row>
    <row r="1736" spans="2:14" x14ac:dyDescent="0.25">
      <c r="B1736" s="42"/>
      <c r="C1736" s="30"/>
      <c r="D1736" s="30"/>
      <c r="E1736" s="30"/>
      <c r="F1736" s="30"/>
      <c r="G1736" s="30"/>
      <c r="H1736" s="47"/>
      <c r="I1736" s="63"/>
      <c r="J1736" s="31"/>
      <c r="K1736" s="31"/>
      <c r="L1736" s="32"/>
      <c r="M1736" s="32"/>
      <c r="N1736" s="32"/>
    </row>
    <row r="1737" spans="2:14" x14ac:dyDescent="0.25">
      <c r="B1737" s="42"/>
      <c r="C1737" s="30"/>
      <c r="D1737" s="30"/>
      <c r="E1737" s="30"/>
      <c r="F1737" s="30"/>
      <c r="G1737" s="30"/>
      <c r="H1737" s="47"/>
      <c r="I1737" s="63"/>
      <c r="J1737" s="31"/>
      <c r="K1737" s="31"/>
      <c r="L1737" s="32"/>
      <c r="M1737" s="32"/>
      <c r="N1737" s="32"/>
    </row>
    <row r="1738" spans="2:14" x14ac:dyDescent="0.25">
      <c r="B1738" s="42"/>
      <c r="C1738" s="30"/>
      <c r="D1738" s="30"/>
      <c r="E1738" s="30"/>
      <c r="F1738" s="30"/>
      <c r="G1738" s="30"/>
      <c r="H1738" s="47"/>
      <c r="I1738" s="63"/>
      <c r="J1738" s="31"/>
      <c r="K1738" s="31"/>
      <c r="L1738" s="32"/>
      <c r="M1738" s="32"/>
      <c r="N1738" s="32"/>
    </row>
    <row r="1739" spans="2:14" x14ac:dyDescent="0.25">
      <c r="B1739" s="42"/>
      <c r="C1739" s="30"/>
      <c r="D1739" s="30"/>
      <c r="E1739" s="30"/>
      <c r="F1739" s="30"/>
      <c r="G1739" s="30"/>
      <c r="H1739" s="47"/>
      <c r="I1739" s="63"/>
      <c r="J1739" s="31"/>
      <c r="K1739" s="31"/>
      <c r="L1739" s="32"/>
      <c r="M1739" s="32"/>
      <c r="N1739" s="32"/>
    </row>
    <row r="1740" spans="2:14" x14ac:dyDescent="0.25">
      <c r="B1740" s="42"/>
      <c r="C1740" s="30"/>
      <c r="D1740" s="30"/>
      <c r="E1740" s="30"/>
      <c r="F1740" s="30"/>
      <c r="G1740" s="30"/>
      <c r="H1740" s="47"/>
      <c r="I1740" s="63"/>
      <c r="J1740" s="31"/>
      <c r="K1740" s="31"/>
      <c r="L1740" s="32"/>
      <c r="M1740" s="32"/>
      <c r="N1740" s="32"/>
    </row>
    <row r="1741" spans="2:14" x14ac:dyDescent="0.25">
      <c r="B1741" s="42"/>
      <c r="C1741" s="30"/>
      <c r="D1741" s="30"/>
      <c r="E1741" s="30"/>
      <c r="F1741" s="30"/>
      <c r="G1741" s="30"/>
      <c r="H1741" s="47"/>
      <c r="I1741" s="63"/>
      <c r="J1741" s="31"/>
      <c r="K1741" s="31"/>
      <c r="L1741" s="32"/>
      <c r="M1741" s="32"/>
      <c r="N1741" s="32"/>
    </row>
    <row r="1742" spans="2:14" x14ac:dyDescent="0.25">
      <c r="B1742" s="42"/>
      <c r="C1742" s="30"/>
      <c r="D1742" s="30"/>
      <c r="E1742" s="30"/>
      <c r="F1742" s="30"/>
      <c r="G1742" s="30"/>
      <c r="H1742" s="47"/>
      <c r="I1742" s="63"/>
      <c r="J1742" s="31"/>
      <c r="K1742" s="31"/>
      <c r="L1742" s="32"/>
      <c r="M1742" s="32"/>
      <c r="N1742" s="32"/>
    </row>
    <row r="1743" spans="2:14" x14ac:dyDescent="0.25">
      <c r="B1743" s="42"/>
      <c r="C1743" s="30"/>
      <c r="D1743" s="30"/>
      <c r="E1743" s="30"/>
      <c r="F1743" s="30"/>
      <c r="G1743" s="30"/>
      <c r="H1743" s="47"/>
      <c r="I1743" s="63"/>
      <c r="J1743" s="31"/>
      <c r="K1743" s="31"/>
      <c r="L1743" s="32"/>
      <c r="M1743" s="32"/>
      <c r="N1743" s="32"/>
    </row>
    <row r="1744" spans="2:14" x14ac:dyDescent="0.25">
      <c r="B1744" s="42"/>
      <c r="C1744" s="30"/>
      <c r="D1744" s="30"/>
      <c r="E1744" s="30"/>
      <c r="F1744" s="30"/>
      <c r="G1744" s="30"/>
      <c r="H1744" s="47"/>
      <c r="I1744" s="63"/>
      <c r="J1744" s="31"/>
      <c r="K1744" s="31"/>
      <c r="L1744" s="32"/>
      <c r="M1744" s="32"/>
      <c r="N1744" s="32"/>
    </row>
    <row r="1745" spans="2:14" x14ac:dyDescent="0.25">
      <c r="B1745" s="42"/>
      <c r="C1745" s="30"/>
      <c r="D1745" s="30"/>
      <c r="E1745" s="30"/>
      <c r="F1745" s="30"/>
      <c r="G1745" s="30"/>
      <c r="H1745" s="47"/>
      <c r="I1745" s="63"/>
      <c r="J1745" s="31"/>
      <c r="K1745" s="31"/>
      <c r="L1745" s="32"/>
      <c r="M1745" s="32"/>
      <c r="N1745" s="32"/>
    </row>
    <row r="1746" spans="2:14" x14ac:dyDescent="0.25">
      <c r="B1746" s="42"/>
      <c r="C1746" s="30"/>
      <c r="D1746" s="30"/>
      <c r="E1746" s="30"/>
      <c r="F1746" s="30"/>
      <c r="G1746" s="30"/>
      <c r="H1746" s="47"/>
      <c r="I1746" s="63"/>
      <c r="J1746" s="31"/>
      <c r="K1746" s="31"/>
      <c r="L1746" s="32"/>
      <c r="M1746" s="32"/>
      <c r="N1746" s="32"/>
    </row>
    <row r="1747" spans="2:14" x14ac:dyDescent="0.25">
      <c r="B1747" s="42"/>
      <c r="C1747" s="30"/>
      <c r="D1747" s="30"/>
      <c r="E1747" s="30"/>
      <c r="F1747" s="30"/>
      <c r="G1747" s="30"/>
      <c r="H1747" s="47"/>
      <c r="I1747" s="63"/>
      <c r="J1747" s="31"/>
      <c r="K1747" s="31"/>
      <c r="L1747" s="32"/>
      <c r="M1747" s="32"/>
      <c r="N1747" s="32"/>
    </row>
    <row r="1748" spans="2:14" x14ac:dyDescent="0.25">
      <c r="B1748" s="42"/>
      <c r="C1748" s="30"/>
      <c r="D1748" s="30"/>
      <c r="E1748" s="30"/>
      <c r="F1748" s="30"/>
      <c r="G1748" s="30"/>
      <c r="H1748" s="47"/>
      <c r="I1748" s="63"/>
      <c r="J1748" s="31"/>
      <c r="K1748" s="31"/>
      <c r="L1748" s="32"/>
      <c r="M1748" s="32"/>
      <c r="N1748" s="32"/>
    </row>
    <row r="1749" spans="2:14" x14ac:dyDescent="0.25">
      <c r="B1749" s="42"/>
      <c r="C1749" s="30"/>
      <c r="D1749" s="30"/>
      <c r="E1749" s="30"/>
      <c r="F1749" s="30"/>
      <c r="G1749" s="30"/>
      <c r="H1749" s="47"/>
      <c r="I1749" s="63"/>
      <c r="J1749" s="31"/>
      <c r="K1749" s="31"/>
      <c r="L1749" s="32"/>
      <c r="M1749" s="32"/>
      <c r="N1749" s="32"/>
    </row>
    <row r="1750" spans="2:14" x14ac:dyDescent="0.25">
      <c r="B1750" s="42"/>
      <c r="C1750" s="30"/>
      <c r="D1750" s="30"/>
      <c r="E1750" s="30"/>
      <c r="F1750" s="30"/>
      <c r="G1750" s="30"/>
      <c r="H1750" s="47"/>
      <c r="I1750" s="63"/>
      <c r="J1750" s="31"/>
      <c r="K1750" s="31"/>
      <c r="L1750" s="32"/>
      <c r="M1750" s="32"/>
      <c r="N1750" s="32"/>
    </row>
    <row r="1751" spans="2:14" x14ac:dyDescent="0.25">
      <c r="B1751" s="42"/>
      <c r="C1751" s="30"/>
      <c r="D1751" s="30"/>
      <c r="E1751" s="30"/>
      <c r="F1751" s="30"/>
      <c r="G1751" s="30"/>
      <c r="H1751" s="47"/>
      <c r="I1751" s="63"/>
      <c r="J1751" s="31"/>
      <c r="K1751" s="31"/>
      <c r="L1751" s="32"/>
      <c r="M1751" s="32"/>
      <c r="N1751" s="32"/>
    </row>
    <row r="1752" spans="2:14" x14ac:dyDescent="0.25">
      <c r="B1752" s="42"/>
      <c r="C1752" s="30"/>
      <c r="D1752" s="30"/>
      <c r="E1752" s="30"/>
      <c r="F1752" s="30"/>
      <c r="G1752" s="30"/>
      <c r="H1752" s="47"/>
      <c r="I1752" s="63"/>
      <c r="J1752" s="31"/>
      <c r="K1752" s="31"/>
      <c r="L1752" s="32"/>
      <c r="M1752" s="32"/>
      <c r="N1752" s="32"/>
    </row>
    <row r="1753" spans="2:14" x14ac:dyDescent="0.25">
      <c r="B1753" s="42"/>
      <c r="C1753" s="30"/>
      <c r="D1753" s="30"/>
      <c r="E1753" s="30"/>
      <c r="F1753" s="30"/>
      <c r="G1753" s="30"/>
      <c r="H1753" s="47"/>
      <c r="I1753" s="63"/>
      <c r="J1753" s="31"/>
      <c r="K1753" s="31"/>
      <c r="L1753" s="32"/>
      <c r="M1753" s="32"/>
      <c r="N1753" s="32"/>
    </row>
    <row r="1754" spans="2:14" x14ac:dyDescent="0.25">
      <c r="B1754" s="42"/>
      <c r="C1754" s="30"/>
      <c r="D1754" s="30"/>
      <c r="E1754" s="30"/>
      <c r="F1754" s="30"/>
      <c r="G1754" s="30"/>
      <c r="H1754" s="47"/>
      <c r="I1754" s="63"/>
      <c r="J1754" s="31"/>
      <c r="K1754" s="31"/>
      <c r="L1754" s="32"/>
      <c r="M1754" s="32"/>
      <c r="N1754" s="32"/>
    </row>
    <row r="1755" spans="2:14" x14ac:dyDescent="0.25">
      <c r="B1755" s="42"/>
      <c r="C1755" s="30"/>
      <c r="D1755" s="30"/>
      <c r="E1755" s="30"/>
      <c r="F1755" s="30"/>
      <c r="G1755" s="30"/>
      <c r="H1755" s="47"/>
      <c r="I1755" s="63"/>
      <c r="J1755" s="31"/>
      <c r="K1755" s="31"/>
      <c r="L1755" s="32"/>
      <c r="M1755" s="32"/>
      <c r="N1755" s="32"/>
    </row>
    <row r="1756" spans="2:14" x14ac:dyDescent="0.25">
      <c r="B1756" s="42"/>
      <c r="C1756" s="30"/>
      <c r="D1756" s="30"/>
      <c r="E1756" s="30"/>
      <c r="F1756" s="30"/>
      <c r="G1756" s="30"/>
      <c r="H1756" s="47"/>
      <c r="I1756" s="63"/>
      <c r="J1756" s="31"/>
      <c r="K1756" s="31"/>
      <c r="L1756" s="32"/>
      <c r="M1756" s="32"/>
      <c r="N1756" s="32"/>
    </row>
    <row r="1757" spans="2:14" x14ac:dyDescent="0.25">
      <c r="B1757" s="42"/>
      <c r="C1757" s="30"/>
      <c r="D1757" s="30"/>
      <c r="E1757" s="30"/>
      <c r="F1757" s="30"/>
      <c r="G1757" s="30"/>
      <c r="H1757" s="47"/>
      <c r="I1757" s="63"/>
      <c r="J1757" s="31"/>
      <c r="K1757" s="31"/>
      <c r="L1757" s="32"/>
      <c r="M1757" s="32"/>
      <c r="N1757" s="32"/>
    </row>
    <row r="1758" spans="2:14" x14ac:dyDescent="0.25">
      <c r="B1758" s="42"/>
      <c r="C1758" s="30"/>
      <c r="D1758" s="30"/>
      <c r="E1758" s="30"/>
      <c r="F1758" s="30"/>
      <c r="G1758" s="30"/>
      <c r="H1758" s="47"/>
      <c r="I1758" s="63"/>
      <c r="J1758" s="31"/>
      <c r="K1758" s="31"/>
      <c r="L1758" s="32"/>
      <c r="M1758" s="32"/>
      <c r="N1758" s="32"/>
    </row>
    <row r="1759" spans="2:14" x14ac:dyDescent="0.25">
      <c r="B1759" s="42"/>
      <c r="C1759" s="30"/>
      <c r="D1759" s="30"/>
      <c r="E1759" s="30"/>
      <c r="F1759" s="30"/>
      <c r="G1759" s="30"/>
      <c r="H1759" s="47"/>
      <c r="I1759" s="63"/>
      <c r="J1759" s="31"/>
      <c r="K1759" s="31"/>
      <c r="L1759" s="32"/>
      <c r="M1759" s="32"/>
      <c r="N1759" s="32"/>
    </row>
    <row r="1760" spans="2:14" x14ac:dyDescent="0.25">
      <c r="B1760" s="42"/>
      <c r="C1760" s="30"/>
      <c r="D1760" s="30"/>
      <c r="E1760" s="30"/>
      <c r="F1760" s="30"/>
      <c r="G1760" s="30"/>
      <c r="H1760" s="47"/>
      <c r="I1760" s="63"/>
      <c r="J1760" s="31"/>
      <c r="K1760" s="31"/>
      <c r="L1760" s="32"/>
      <c r="M1760" s="32"/>
      <c r="N1760" s="32"/>
    </row>
    <row r="1761" spans="2:14" x14ac:dyDescent="0.25">
      <c r="B1761" s="42"/>
      <c r="C1761" s="30"/>
      <c r="D1761" s="30"/>
      <c r="E1761" s="30"/>
      <c r="F1761" s="30"/>
      <c r="G1761" s="30"/>
      <c r="H1761" s="47"/>
      <c r="I1761" s="63"/>
      <c r="J1761" s="31"/>
      <c r="K1761" s="31"/>
      <c r="L1761" s="32"/>
      <c r="M1761" s="32"/>
      <c r="N1761" s="32"/>
    </row>
    <row r="1762" spans="2:14" x14ac:dyDescent="0.25">
      <c r="B1762" s="42"/>
      <c r="C1762" s="30"/>
      <c r="D1762" s="30"/>
      <c r="E1762" s="30"/>
      <c r="F1762" s="30"/>
      <c r="G1762" s="30"/>
      <c r="H1762" s="47"/>
      <c r="I1762" s="63"/>
      <c r="J1762" s="31"/>
      <c r="K1762" s="31"/>
      <c r="L1762" s="32"/>
      <c r="M1762" s="32"/>
      <c r="N1762" s="32"/>
    </row>
    <row r="1763" spans="2:14" x14ac:dyDescent="0.25">
      <c r="B1763" s="42"/>
      <c r="C1763" s="30"/>
      <c r="D1763" s="30"/>
      <c r="E1763" s="30"/>
      <c r="F1763" s="30"/>
      <c r="G1763" s="30"/>
      <c r="H1763" s="47"/>
      <c r="I1763" s="63"/>
      <c r="J1763" s="31"/>
      <c r="K1763" s="31"/>
      <c r="L1763" s="32"/>
      <c r="M1763" s="32"/>
      <c r="N1763" s="32"/>
    </row>
    <row r="1764" spans="2:14" x14ac:dyDescent="0.25">
      <c r="B1764" s="42"/>
      <c r="C1764" s="30"/>
      <c r="D1764" s="30"/>
      <c r="E1764" s="30"/>
      <c r="F1764" s="30"/>
      <c r="G1764" s="30"/>
      <c r="H1764" s="47"/>
      <c r="I1764" s="63"/>
      <c r="J1764" s="31"/>
      <c r="K1764" s="31"/>
      <c r="L1764" s="32"/>
      <c r="M1764" s="32"/>
      <c r="N1764" s="32"/>
    </row>
    <row r="1765" spans="2:14" x14ac:dyDescent="0.25">
      <c r="B1765" s="42"/>
      <c r="C1765" s="30"/>
      <c r="D1765" s="30"/>
      <c r="E1765" s="30"/>
      <c r="F1765" s="30"/>
      <c r="G1765" s="30"/>
      <c r="H1765" s="47"/>
      <c r="I1765" s="63"/>
      <c r="J1765" s="31"/>
      <c r="K1765" s="31"/>
      <c r="L1765" s="32"/>
      <c r="M1765" s="32"/>
      <c r="N1765" s="32"/>
    </row>
    <row r="1766" spans="2:14" x14ac:dyDescent="0.25">
      <c r="B1766" s="42"/>
      <c r="C1766" s="30"/>
      <c r="D1766" s="30"/>
      <c r="E1766" s="30"/>
      <c r="F1766" s="30"/>
      <c r="G1766" s="30"/>
      <c r="H1766" s="47"/>
      <c r="I1766" s="63"/>
      <c r="J1766" s="31"/>
      <c r="K1766" s="31"/>
      <c r="L1766" s="32"/>
      <c r="M1766" s="32"/>
      <c r="N1766" s="32"/>
    </row>
    <row r="1767" spans="2:14" x14ac:dyDescent="0.25">
      <c r="B1767" s="42"/>
      <c r="C1767" s="30"/>
      <c r="D1767" s="30"/>
      <c r="E1767" s="30"/>
      <c r="F1767" s="30"/>
      <c r="G1767" s="30"/>
      <c r="H1767" s="47"/>
      <c r="I1767" s="63"/>
      <c r="J1767" s="31"/>
      <c r="K1767" s="31"/>
      <c r="L1767" s="32"/>
      <c r="M1767" s="32"/>
      <c r="N1767" s="32"/>
    </row>
    <row r="1768" spans="2:14" x14ac:dyDescent="0.25">
      <c r="B1768" s="42"/>
      <c r="C1768" s="30"/>
      <c r="D1768" s="30"/>
      <c r="E1768" s="30"/>
      <c r="F1768" s="30"/>
      <c r="G1768" s="30"/>
      <c r="H1768" s="47"/>
      <c r="I1768" s="63"/>
      <c r="J1768" s="31"/>
      <c r="K1768" s="31"/>
      <c r="L1768" s="32"/>
      <c r="M1768" s="32"/>
      <c r="N1768" s="32"/>
    </row>
    <row r="1769" spans="2:14" x14ac:dyDescent="0.25">
      <c r="B1769" s="42"/>
      <c r="C1769" s="30"/>
      <c r="D1769" s="30"/>
      <c r="E1769" s="30"/>
      <c r="F1769" s="30"/>
      <c r="G1769" s="30"/>
      <c r="H1769" s="47"/>
      <c r="I1769" s="63"/>
      <c r="J1769" s="31"/>
      <c r="K1769" s="31"/>
      <c r="L1769" s="32"/>
      <c r="M1769" s="32"/>
      <c r="N1769" s="32"/>
    </row>
    <row r="1770" spans="2:14" x14ac:dyDescent="0.25">
      <c r="B1770" s="42"/>
      <c r="C1770" s="30"/>
      <c r="D1770" s="30"/>
      <c r="E1770" s="30"/>
      <c r="F1770" s="30"/>
      <c r="G1770" s="30"/>
      <c r="H1770" s="47"/>
      <c r="I1770" s="63"/>
      <c r="J1770" s="31"/>
      <c r="K1770" s="31"/>
      <c r="L1770" s="32"/>
      <c r="M1770" s="32"/>
      <c r="N1770" s="32"/>
    </row>
    <row r="1771" spans="2:14" x14ac:dyDescent="0.25">
      <c r="B1771" s="42"/>
      <c r="C1771" s="30"/>
      <c r="D1771" s="30"/>
      <c r="E1771" s="30"/>
      <c r="F1771" s="30"/>
      <c r="G1771" s="30"/>
      <c r="H1771" s="47"/>
      <c r="I1771" s="63"/>
      <c r="J1771" s="31"/>
      <c r="K1771" s="31"/>
      <c r="L1771" s="32"/>
      <c r="M1771" s="32"/>
      <c r="N1771" s="32"/>
    </row>
    <row r="1772" spans="2:14" x14ac:dyDescent="0.25">
      <c r="B1772" s="42"/>
      <c r="C1772" s="30"/>
      <c r="D1772" s="30"/>
      <c r="E1772" s="30"/>
      <c r="F1772" s="30"/>
      <c r="G1772" s="30"/>
      <c r="H1772" s="47"/>
      <c r="I1772" s="63"/>
      <c r="J1772" s="31"/>
      <c r="K1772" s="31"/>
      <c r="L1772" s="32"/>
      <c r="M1772" s="32"/>
      <c r="N1772" s="32"/>
    </row>
    <row r="1773" spans="2:14" x14ac:dyDescent="0.25">
      <c r="B1773" s="42"/>
      <c r="C1773" s="30"/>
      <c r="D1773" s="30"/>
      <c r="E1773" s="30"/>
      <c r="F1773" s="30"/>
      <c r="G1773" s="30"/>
      <c r="H1773" s="47"/>
      <c r="I1773" s="63"/>
      <c r="J1773" s="31"/>
      <c r="K1773" s="31"/>
      <c r="L1773" s="32"/>
      <c r="M1773" s="32"/>
      <c r="N1773" s="32"/>
    </row>
    <row r="1774" spans="2:14" x14ac:dyDescent="0.25">
      <c r="B1774" s="42"/>
      <c r="C1774" s="30"/>
      <c r="D1774" s="30"/>
      <c r="E1774" s="30"/>
      <c r="F1774" s="30"/>
      <c r="G1774" s="30"/>
      <c r="H1774" s="47"/>
      <c r="I1774" s="63"/>
      <c r="J1774" s="31"/>
      <c r="K1774" s="31"/>
      <c r="L1774" s="32"/>
      <c r="M1774" s="32"/>
      <c r="N1774" s="32"/>
    </row>
    <row r="1775" spans="2:14" x14ac:dyDescent="0.25">
      <c r="B1775" s="42"/>
      <c r="C1775" s="30"/>
      <c r="D1775" s="30"/>
      <c r="E1775" s="30"/>
      <c r="F1775" s="30"/>
      <c r="G1775" s="30"/>
      <c r="H1775" s="47"/>
      <c r="I1775" s="63"/>
      <c r="J1775" s="31"/>
      <c r="K1775" s="31"/>
      <c r="L1775" s="32"/>
      <c r="M1775" s="32"/>
      <c r="N1775" s="32"/>
    </row>
    <row r="1776" spans="2:14" x14ac:dyDescent="0.25">
      <c r="B1776" s="42"/>
      <c r="C1776" s="30"/>
      <c r="D1776" s="30"/>
      <c r="E1776" s="30"/>
      <c r="F1776" s="30"/>
      <c r="G1776" s="30"/>
      <c r="H1776" s="47"/>
      <c r="I1776" s="63"/>
      <c r="J1776" s="31"/>
      <c r="K1776" s="31"/>
      <c r="L1776" s="32"/>
      <c r="M1776" s="32"/>
      <c r="N1776" s="32"/>
    </row>
    <row r="1777" spans="2:14" x14ac:dyDescent="0.25">
      <c r="B1777" s="42"/>
      <c r="C1777" s="30"/>
      <c r="D1777" s="30"/>
      <c r="E1777" s="30"/>
      <c r="F1777" s="30"/>
      <c r="G1777" s="30"/>
      <c r="H1777" s="47"/>
      <c r="I1777" s="63"/>
      <c r="J1777" s="31"/>
      <c r="K1777" s="31"/>
      <c r="L1777" s="32"/>
      <c r="M1777" s="32"/>
      <c r="N1777" s="32"/>
    </row>
    <row r="1778" spans="2:14" x14ac:dyDescent="0.25">
      <c r="B1778" s="42"/>
      <c r="C1778" s="30"/>
      <c r="D1778" s="30"/>
      <c r="E1778" s="30"/>
      <c r="F1778" s="30"/>
      <c r="G1778" s="30"/>
      <c r="H1778" s="47"/>
      <c r="I1778" s="63"/>
      <c r="J1778" s="31"/>
      <c r="K1778" s="31"/>
      <c r="L1778" s="32"/>
      <c r="M1778" s="32"/>
      <c r="N1778" s="32"/>
    </row>
    <row r="1779" spans="2:14" x14ac:dyDescent="0.25">
      <c r="B1779" s="42"/>
      <c r="C1779" s="30"/>
      <c r="D1779" s="30"/>
      <c r="E1779" s="30"/>
      <c r="F1779" s="30"/>
      <c r="G1779" s="30"/>
      <c r="H1779" s="47"/>
      <c r="I1779" s="63"/>
      <c r="J1779" s="31"/>
      <c r="K1779" s="31"/>
      <c r="L1779" s="32"/>
      <c r="M1779" s="32"/>
      <c r="N1779" s="32"/>
    </row>
    <row r="1780" spans="2:14" x14ac:dyDescent="0.25">
      <c r="B1780" s="42"/>
      <c r="C1780" s="30"/>
      <c r="D1780" s="30"/>
      <c r="E1780" s="30"/>
      <c r="F1780" s="30"/>
      <c r="G1780" s="30"/>
      <c r="H1780" s="47"/>
      <c r="I1780" s="63"/>
      <c r="J1780" s="31"/>
      <c r="K1780" s="31"/>
      <c r="L1780" s="32"/>
      <c r="M1780" s="32"/>
      <c r="N1780" s="32"/>
    </row>
    <row r="1781" spans="2:14" x14ac:dyDescent="0.25">
      <c r="B1781" s="42"/>
      <c r="C1781" s="30"/>
      <c r="D1781" s="30"/>
      <c r="E1781" s="30"/>
      <c r="F1781" s="30"/>
      <c r="G1781" s="30"/>
      <c r="H1781" s="47"/>
      <c r="I1781" s="63"/>
      <c r="J1781" s="31"/>
      <c r="K1781" s="31"/>
      <c r="L1781" s="32"/>
      <c r="M1781" s="32"/>
      <c r="N1781" s="32"/>
    </row>
    <row r="1782" spans="2:14" x14ac:dyDescent="0.25">
      <c r="B1782" s="42"/>
      <c r="C1782" s="30"/>
      <c r="D1782" s="30"/>
      <c r="E1782" s="30"/>
      <c r="F1782" s="30"/>
      <c r="G1782" s="30"/>
      <c r="H1782" s="47"/>
      <c r="I1782" s="63"/>
      <c r="J1782" s="31"/>
      <c r="K1782" s="31"/>
      <c r="L1782" s="32"/>
      <c r="M1782" s="32"/>
      <c r="N1782" s="32"/>
    </row>
    <row r="1783" spans="2:14" x14ac:dyDescent="0.25">
      <c r="B1783" s="42"/>
      <c r="C1783" s="30"/>
      <c r="D1783" s="30"/>
      <c r="E1783" s="30"/>
      <c r="F1783" s="30"/>
      <c r="G1783" s="30"/>
      <c r="H1783" s="47"/>
      <c r="I1783" s="63"/>
      <c r="J1783" s="31"/>
      <c r="K1783" s="31"/>
      <c r="L1783" s="32"/>
      <c r="M1783" s="32"/>
      <c r="N1783" s="32"/>
    </row>
    <row r="1784" spans="2:14" x14ac:dyDescent="0.25">
      <c r="B1784" s="42"/>
      <c r="C1784" s="30"/>
      <c r="D1784" s="30"/>
      <c r="E1784" s="30"/>
      <c r="F1784" s="30"/>
      <c r="G1784" s="30"/>
      <c r="H1784" s="47"/>
      <c r="I1784" s="63"/>
      <c r="J1784" s="31"/>
      <c r="K1784" s="31"/>
      <c r="L1784" s="32"/>
      <c r="M1784" s="32"/>
      <c r="N1784" s="32"/>
    </row>
    <row r="1785" spans="2:14" x14ac:dyDescent="0.25">
      <c r="B1785" s="42"/>
      <c r="C1785" s="30"/>
      <c r="D1785" s="30"/>
      <c r="E1785" s="30"/>
      <c r="F1785" s="30"/>
      <c r="G1785" s="30"/>
      <c r="H1785" s="47"/>
      <c r="I1785" s="63"/>
      <c r="J1785" s="31"/>
      <c r="K1785" s="31"/>
      <c r="L1785" s="32"/>
      <c r="M1785" s="32"/>
      <c r="N1785" s="32"/>
    </row>
    <row r="1786" spans="2:14" x14ac:dyDescent="0.25">
      <c r="B1786" s="42"/>
      <c r="C1786" s="30"/>
      <c r="D1786" s="30"/>
      <c r="E1786" s="30"/>
      <c r="F1786" s="30"/>
      <c r="G1786" s="30"/>
      <c r="H1786" s="47"/>
      <c r="I1786" s="63"/>
      <c r="J1786" s="31"/>
      <c r="K1786" s="31"/>
      <c r="L1786" s="32"/>
      <c r="M1786" s="32"/>
      <c r="N1786" s="32"/>
    </row>
    <row r="1787" spans="2:14" x14ac:dyDescent="0.25">
      <c r="B1787" s="42"/>
      <c r="C1787" s="30"/>
      <c r="D1787" s="30"/>
      <c r="E1787" s="30"/>
      <c r="F1787" s="30"/>
      <c r="G1787" s="30"/>
      <c r="H1787" s="47"/>
      <c r="I1787" s="63"/>
      <c r="J1787" s="31"/>
      <c r="K1787" s="31"/>
      <c r="L1787" s="32"/>
      <c r="M1787" s="32"/>
      <c r="N1787" s="32"/>
    </row>
    <row r="1788" spans="2:14" x14ac:dyDescent="0.25">
      <c r="B1788" s="42"/>
      <c r="C1788" s="30"/>
      <c r="D1788" s="30"/>
      <c r="E1788" s="30"/>
      <c r="F1788" s="30"/>
      <c r="G1788" s="30"/>
      <c r="H1788" s="47"/>
      <c r="I1788" s="63"/>
      <c r="J1788" s="31"/>
      <c r="K1788" s="31"/>
      <c r="L1788" s="32"/>
      <c r="M1788" s="32"/>
      <c r="N1788" s="32"/>
    </row>
    <row r="1789" spans="2:14" x14ac:dyDescent="0.25">
      <c r="B1789" s="42"/>
      <c r="C1789" s="30"/>
      <c r="D1789" s="30"/>
      <c r="E1789" s="30"/>
      <c r="F1789" s="30"/>
      <c r="G1789" s="30"/>
      <c r="H1789" s="47"/>
      <c r="I1789" s="63"/>
      <c r="J1789" s="31"/>
      <c r="K1789" s="31"/>
      <c r="L1789" s="32"/>
      <c r="M1789" s="32"/>
      <c r="N1789" s="32"/>
    </row>
    <row r="1790" spans="2:14" x14ac:dyDescent="0.25">
      <c r="B1790" s="42"/>
      <c r="C1790" s="30"/>
      <c r="D1790" s="30"/>
      <c r="E1790" s="30"/>
      <c r="F1790" s="30"/>
      <c r="G1790" s="30"/>
      <c r="H1790" s="47"/>
      <c r="I1790" s="63"/>
      <c r="J1790" s="31"/>
      <c r="K1790" s="31"/>
      <c r="L1790" s="32"/>
      <c r="M1790" s="32"/>
      <c r="N1790" s="32"/>
    </row>
    <row r="1791" spans="2:14" x14ac:dyDescent="0.25">
      <c r="B1791" s="42"/>
      <c r="C1791" s="30"/>
      <c r="D1791" s="30"/>
      <c r="E1791" s="30"/>
      <c r="F1791" s="30"/>
      <c r="G1791" s="30"/>
      <c r="H1791" s="47"/>
      <c r="I1791" s="63"/>
      <c r="J1791" s="31"/>
      <c r="K1791" s="31"/>
      <c r="L1791" s="32"/>
      <c r="M1791" s="32"/>
      <c r="N1791" s="32"/>
    </row>
    <row r="1792" spans="2:14" x14ac:dyDescent="0.25">
      <c r="B1792" s="42"/>
      <c r="C1792" s="30"/>
      <c r="D1792" s="30"/>
      <c r="E1792" s="30"/>
      <c r="F1792" s="30"/>
      <c r="G1792" s="30"/>
      <c r="H1792" s="47"/>
      <c r="I1792" s="63"/>
      <c r="J1792" s="31"/>
      <c r="K1792" s="31"/>
      <c r="L1792" s="32"/>
      <c r="M1792" s="32"/>
      <c r="N1792" s="32"/>
    </row>
    <row r="1793" spans="2:14" x14ac:dyDescent="0.25">
      <c r="B1793" s="42"/>
      <c r="C1793" s="30"/>
      <c r="D1793" s="30"/>
      <c r="E1793" s="30"/>
      <c r="F1793" s="30"/>
      <c r="G1793" s="30"/>
      <c r="H1793" s="47"/>
      <c r="I1793" s="63"/>
      <c r="J1793" s="31"/>
      <c r="K1793" s="31"/>
      <c r="L1793" s="32"/>
      <c r="M1793" s="32"/>
      <c r="N1793" s="32"/>
    </row>
    <row r="1794" spans="2:14" x14ac:dyDescent="0.25">
      <c r="B1794" s="42"/>
      <c r="C1794" s="30"/>
      <c r="D1794" s="30"/>
      <c r="E1794" s="30"/>
      <c r="F1794" s="30"/>
      <c r="G1794" s="30"/>
      <c r="H1794" s="47"/>
      <c r="I1794" s="63"/>
      <c r="J1794" s="31"/>
      <c r="K1794" s="31"/>
      <c r="L1794" s="32"/>
      <c r="M1794" s="32"/>
      <c r="N1794" s="32"/>
    </row>
    <row r="1795" spans="2:14" x14ac:dyDescent="0.25">
      <c r="B1795" s="42"/>
      <c r="C1795" s="30"/>
      <c r="D1795" s="30"/>
      <c r="E1795" s="30"/>
      <c r="F1795" s="30"/>
      <c r="G1795" s="30"/>
      <c r="H1795" s="47"/>
      <c r="I1795" s="63"/>
      <c r="J1795" s="31"/>
      <c r="K1795" s="31"/>
      <c r="L1795" s="32"/>
      <c r="M1795" s="32"/>
      <c r="N1795" s="32"/>
    </row>
    <row r="1796" spans="2:14" x14ac:dyDescent="0.25">
      <c r="B1796" s="42"/>
      <c r="C1796" s="30"/>
      <c r="D1796" s="30"/>
      <c r="E1796" s="30"/>
      <c r="F1796" s="30"/>
      <c r="G1796" s="30"/>
      <c r="H1796" s="47"/>
      <c r="I1796" s="63"/>
      <c r="J1796" s="31"/>
      <c r="K1796" s="31"/>
      <c r="L1796" s="32"/>
      <c r="M1796" s="32"/>
      <c r="N1796" s="32"/>
    </row>
    <row r="1797" spans="2:14" x14ac:dyDescent="0.25">
      <c r="B1797" s="42"/>
      <c r="C1797" s="30"/>
      <c r="D1797" s="30"/>
      <c r="E1797" s="30"/>
      <c r="F1797" s="30"/>
      <c r="G1797" s="30"/>
      <c r="H1797" s="47"/>
      <c r="I1797" s="63"/>
      <c r="J1797" s="31"/>
      <c r="K1797" s="31"/>
      <c r="L1797" s="32"/>
      <c r="M1797" s="32"/>
      <c r="N1797" s="32"/>
    </row>
    <row r="1798" spans="2:14" x14ac:dyDescent="0.25">
      <c r="B1798" s="42"/>
      <c r="C1798" s="30"/>
      <c r="D1798" s="30"/>
      <c r="E1798" s="30"/>
      <c r="F1798" s="30"/>
      <c r="G1798" s="30"/>
      <c r="H1798" s="47"/>
      <c r="I1798" s="63"/>
      <c r="J1798" s="31"/>
      <c r="K1798" s="31"/>
      <c r="L1798" s="32"/>
      <c r="M1798" s="32"/>
      <c r="N1798" s="32"/>
    </row>
    <row r="1799" spans="2:14" x14ac:dyDescent="0.25">
      <c r="B1799" s="42"/>
      <c r="C1799" s="30"/>
      <c r="D1799" s="30"/>
      <c r="E1799" s="30"/>
      <c r="F1799" s="30"/>
      <c r="G1799" s="30"/>
      <c r="H1799" s="47"/>
      <c r="I1799" s="63"/>
      <c r="J1799" s="31"/>
      <c r="K1799" s="31"/>
      <c r="L1799" s="32"/>
      <c r="M1799" s="32"/>
      <c r="N1799" s="32"/>
    </row>
    <row r="1800" spans="2:14" x14ac:dyDescent="0.25">
      <c r="B1800" s="42"/>
      <c r="C1800" s="30"/>
      <c r="D1800" s="30"/>
      <c r="E1800" s="30"/>
      <c r="F1800" s="30"/>
      <c r="G1800" s="30"/>
      <c r="H1800" s="47"/>
      <c r="I1800" s="63"/>
      <c r="J1800" s="31"/>
      <c r="K1800" s="31"/>
      <c r="L1800" s="32"/>
      <c r="M1800" s="32"/>
      <c r="N1800" s="32"/>
    </row>
    <row r="1801" spans="2:14" x14ac:dyDescent="0.25">
      <c r="B1801" s="42"/>
      <c r="C1801" s="30"/>
      <c r="D1801" s="30"/>
      <c r="E1801" s="30"/>
      <c r="F1801" s="30"/>
      <c r="G1801" s="30"/>
      <c r="H1801" s="47"/>
      <c r="I1801" s="63"/>
      <c r="J1801" s="31"/>
      <c r="K1801" s="31"/>
      <c r="L1801" s="32"/>
      <c r="M1801" s="32"/>
      <c r="N1801" s="32"/>
    </row>
    <row r="1802" spans="2:14" x14ac:dyDescent="0.25">
      <c r="B1802" s="42"/>
      <c r="C1802" s="30"/>
      <c r="D1802" s="30"/>
      <c r="E1802" s="30"/>
      <c r="F1802" s="30"/>
      <c r="G1802" s="30"/>
      <c r="H1802" s="47"/>
      <c r="I1802" s="63"/>
      <c r="J1802" s="31"/>
      <c r="K1802" s="31"/>
      <c r="L1802" s="32"/>
      <c r="M1802" s="32"/>
      <c r="N1802" s="32"/>
    </row>
    <row r="1803" spans="2:14" x14ac:dyDescent="0.25">
      <c r="B1803" s="42"/>
      <c r="C1803" s="30"/>
      <c r="D1803" s="30"/>
      <c r="E1803" s="30"/>
      <c r="F1803" s="30"/>
      <c r="G1803" s="30"/>
      <c r="H1803" s="47"/>
      <c r="I1803" s="63"/>
      <c r="J1803" s="31"/>
      <c r="K1803" s="31"/>
      <c r="L1803" s="32"/>
      <c r="M1803" s="32"/>
      <c r="N1803" s="32"/>
    </row>
    <row r="1804" spans="2:14" x14ac:dyDescent="0.25">
      <c r="B1804" s="42"/>
      <c r="C1804" s="30"/>
      <c r="D1804" s="30"/>
      <c r="E1804" s="30"/>
      <c r="F1804" s="30"/>
      <c r="G1804" s="30"/>
      <c r="H1804" s="47"/>
      <c r="I1804" s="63"/>
      <c r="J1804" s="31"/>
      <c r="K1804" s="31"/>
      <c r="L1804" s="32"/>
      <c r="M1804" s="32"/>
      <c r="N1804" s="32"/>
    </row>
    <row r="1805" spans="2:14" x14ac:dyDescent="0.25">
      <c r="B1805" s="42"/>
      <c r="C1805" s="30"/>
      <c r="D1805" s="30"/>
      <c r="E1805" s="30"/>
      <c r="F1805" s="30"/>
      <c r="G1805" s="30"/>
      <c r="H1805" s="47"/>
      <c r="I1805" s="63"/>
      <c r="J1805" s="31"/>
      <c r="K1805" s="31"/>
      <c r="L1805" s="32"/>
      <c r="M1805" s="32"/>
      <c r="N1805" s="32"/>
    </row>
    <row r="1806" spans="2:14" x14ac:dyDescent="0.25">
      <c r="B1806" s="42"/>
      <c r="C1806" s="30"/>
      <c r="D1806" s="30"/>
      <c r="E1806" s="30"/>
      <c r="F1806" s="30"/>
      <c r="G1806" s="30"/>
      <c r="H1806" s="47"/>
      <c r="I1806" s="63"/>
      <c r="J1806" s="31"/>
      <c r="K1806" s="31"/>
      <c r="L1806" s="32"/>
      <c r="M1806" s="32"/>
      <c r="N1806" s="32"/>
    </row>
    <row r="1807" spans="2:14" x14ac:dyDescent="0.25">
      <c r="B1807" s="42"/>
      <c r="C1807" s="30"/>
      <c r="D1807" s="30"/>
      <c r="E1807" s="30"/>
      <c r="F1807" s="30"/>
      <c r="G1807" s="30"/>
      <c r="H1807" s="47"/>
      <c r="I1807" s="63"/>
      <c r="J1807" s="31"/>
      <c r="K1807" s="31"/>
      <c r="L1807" s="32"/>
      <c r="M1807" s="32"/>
      <c r="N1807" s="32"/>
    </row>
    <row r="1808" spans="2:14" x14ac:dyDescent="0.25">
      <c r="B1808" s="42"/>
      <c r="C1808" s="30"/>
      <c r="D1808" s="30"/>
      <c r="E1808" s="30"/>
      <c r="F1808" s="30"/>
      <c r="G1808" s="30"/>
      <c r="H1808" s="47"/>
      <c r="I1808" s="63"/>
      <c r="J1808" s="31"/>
      <c r="K1808" s="31"/>
      <c r="L1808" s="32"/>
      <c r="M1808" s="32"/>
      <c r="N1808" s="32"/>
    </row>
    <row r="1809" spans="2:14" x14ac:dyDescent="0.25">
      <c r="B1809" s="42"/>
      <c r="C1809" s="30"/>
      <c r="D1809" s="30"/>
      <c r="E1809" s="30"/>
      <c r="F1809" s="30"/>
      <c r="G1809" s="30"/>
      <c r="H1809" s="47"/>
      <c r="I1809" s="63"/>
      <c r="J1809" s="31"/>
      <c r="K1809" s="31"/>
      <c r="L1809" s="32"/>
      <c r="M1809" s="32"/>
      <c r="N1809" s="32"/>
    </row>
    <row r="1810" spans="2:14" x14ac:dyDescent="0.25">
      <c r="B1810" s="42"/>
      <c r="C1810" s="30"/>
      <c r="D1810" s="30"/>
      <c r="E1810" s="30"/>
      <c r="F1810" s="30"/>
      <c r="G1810" s="30"/>
      <c r="H1810" s="47"/>
      <c r="I1810" s="63"/>
      <c r="J1810" s="31"/>
      <c r="K1810" s="31"/>
      <c r="L1810" s="32"/>
      <c r="M1810" s="32"/>
      <c r="N1810" s="32"/>
    </row>
    <row r="1811" spans="2:14" x14ac:dyDescent="0.25">
      <c r="B1811" s="42"/>
      <c r="C1811" s="30"/>
      <c r="D1811" s="30"/>
      <c r="E1811" s="30"/>
      <c r="F1811" s="30"/>
      <c r="G1811" s="30"/>
      <c r="H1811" s="47"/>
      <c r="I1811" s="63"/>
      <c r="J1811" s="31"/>
      <c r="K1811" s="31"/>
      <c r="L1811" s="32"/>
      <c r="M1811" s="32"/>
      <c r="N1811" s="32"/>
    </row>
    <row r="1812" spans="2:14" x14ac:dyDescent="0.25">
      <c r="B1812" s="42"/>
      <c r="C1812" s="30"/>
      <c r="D1812" s="30"/>
      <c r="E1812" s="30"/>
      <c r="F1812" s="30"/>
      <c r="G1812" s="30"/>
      <c r="H1812" s="47"/>
      <c r="I1812" s="63"/>
      <c r="J1812" s="31"/>
      <c r="K1812" s="31"/>
      <c r="L1812" s="32"/>
      <c r="M1812" s="32"/>
      <c r="N1812" s="32"/>
    </row>
    <row r="1813" spans="2:14" x14ac:dyDescent="0.25">
      <c r="B1813" s="42"/>
      <c r="C1813" s="30"/>
      <c r="D1813" s="30"/>
      <c r="E1813" s="30"/>
      <c r="F1813" s="30"/>
      <c r="G1813" s="30"/>
      <c r="H1813" s="47"/>
      <c r="I1813" s="63"/>
      <c r="J1813" s="31"/>
      <c r="K1813" s="31"/>
      <c r="L1813" s="32"/>
      <c r="M1813" s="32"/>
      <c r="N1813" s="32"/>
    </row>
    <row r="1814" spans="2:14" x14ac:dyDescent="0.25">
      <c r="B1814" s="42"/>
      <c r="C1814" s="30"/>
      <c r="D1814" s="30"/>
      <c r="E1814" s="30"/>
      <c r="F1814" s="30"/>
      <c r="G1814" s="30"/>
      <c r="H1814" s="47"/>
      <c r="I1814" s="63"/>
      <c r="J1814" s="31"/>
      <c r="K1814" s="31"/>
      <c r="L1814" s="32"/>
      <c r="M1814" s="32"/>
      <c r="N1814" s="32"/>
    </row>
    <row r="1815" spans="2:14" x14ac:dyDescent="0.25">
      <c r="B1815" s="42"/>
      <c r="C1815" s="30"/>
      <c r="D1815" s="30"/>
      <c r="E1815" s="30"/>
      <c r="F1815" s="30"/>
      <c r="G1815" s="30"/>
      <c r="H1815" s="47"/>
      <c r="I1815" s="63"/>
      <c r="J1815" s="31"/>
      <c r="K1815" s="31"/>
      <c r="L1815" s="32"/>
      <c r="M1815" s="32"/>
      <c r="N1815" s="32"/>
    </row>
    <row r="1816" spans="2:14" x14ac:dyDescent="0.25">
      <c r="B1816" s="42"/>
      <c r="C1816" s="30"/>
      <c r="D1816" s="30"/>
      <c r="E1816" s="30"/>
      <c r="F1816" s="30"/>
      <c r="G1816" s="30"/>
      <c r="H1816" s="47"/>
      <c r="I1816" s="63"/>
      <c r="J1816" s="31"/>
      <c r="K1816" s="31"/>
      <c r="L1816" s="32"/>
      <c r="M1816" s="32"/>
      <c r="N1816" s="32"/>
    </row>
    <row r="1817" spans="2:14" x14ac:dyDescent="0.25">
      <c r="B1817" s="42"/>
      <c r="C1817" s="30"/>
      <c r="D1817" s="30"/>
      <c r="E1817" s="30"/>
      <c r="F1817" s="30"/>
      <c r="G1817" s="30"/>
      <c r="H1817" s="47"/>
      <c r="I1817" s="63"/>
      <c r="J1817" s="31"/>
      <c r="K1817" s="31"/>
      <c r="L1817" s="32"/>
      <c r="M1817" s="32"/>
      <c r="N1817" s="32"/>
    </row>
    <row r="1818" spans="2:14" x14ac:dyDescent="0.25">
      <c r="B1818" s="42"/>
      <c r="C1818" s="30"/>
      <c r="D1818" s="30"/>
      <c r="E1818" s="30"/>
      <c r="F1818" s="30"/>
      <c r="G1818" s="30"/>
      <c r="H1818" s="47"/>
      <c r="I1818" s="63"/>
      <c r="J1818" s="31"/>
      <c r="K1818" s="31"/>
      <c r="L1818" s="32"/>
      <c r="M1818" s="32"/>
      <c r="N1818" s="32"/>
    </row>
    <row r="1819" spans="2:14" x14ac:dyDescent="0.25">
      <c r="B1819" s="42"/>
      <c r="C1819" s="30"/>
      <c r="D1819" s="30"/>
      <c r="E1819" s="30"/>
      <c r="F1819" s="30"/>
      <c r="G1819" s="30"/>
      <c r="H1819" s="47"/>
      <c r="I1819" s="63"/>
      <c r="J1819" s="31"/>
      <c r="K1819" s="31"/>
      <c r="L1819" s="32"/>
      <c r="M1819" s="32"/>
      <c r="N1819" s="32"/>
    </row>
    <row r="1820" spans="2:14" x14ac:dyDescent="0.25">
      <c r="B1820" s="42"/>
      <c r="C1820" s="30"/>
      <c r="D1820" s="30"/>
      <c r="E1820" s="30"/>
      <c r="F1820" s="30"/>
      <c r="G1820" s="30"/>
      <c r="H1820" s="47"/>
      <c r="I1820" s="63"/>
      <c r="J1820" s="31"/>
      <c r="K1820" s="31"/>
      <c r="L1820" s="32"/>
      <c r="M1820" s="32"/>
      <c r="N1820" s="32"/>
    </row>
    <row r="1821" spans="2:14" x14ac:dyDescent="0.25">
      <c r="B1821" s="42"/>
      <c r="C1821" s="30"/>
      <c r="D1821" s="30"/>
      <c r="E1821" s="30"/>
      <c r="F1821" s="30"/>
      <c r="G1821" s="30"/>
      <c r="H1821" s="47"/>
      <c r="I1821" s="63"/>
      <c r="J1821" s="31"/>
      <c r="K1821" s="31"/>
      <c r="L1821" s="32"/>
      <c r="M1821" s="32"/>
      <c r="N1821" s="32"/>
    </row>
    <row r="1822" spans="2:14" x14ac:dyDescent="0.25">
      <c r="B1822" s="42"/>
      <c r="C1822" s="30"/>
      <c r="D1822" s="30"/>
      <c r="E1822" s="30"/>
      <c r="F1822" s="30"/>
      <c r="G1822" s="30"/>
      <c r="H1822" s="47"/>
      <c r="I1822" s="63"/>
      <c r="J1822" s="31"/>
      <c r="K1822" s="31"/>
      <c r="L1822" s="32"/>
      <c r="M1822" s="32"/>
      <c r="N1822" s="32"/>
    </row>
    <row r="1823" spans="2:14" x14ac:dyDescent="0.25">
      <c r="B1823" s="42"/>
      <c r="C1823" s="30"/>
      <c r="D1823" s="30"/>
      <c r="E1823" s="30"/>
      <c r="F1823" s="30"/>
      <c r="G1823" s="30"/>
      <c r="H1823" s="47"/>
      <c r="I1823" s="63"/>
      <c r="J1823" s="31"/>
      <c r="K1823" s="31"/>
      <c r="L1823" s="32"/>
      <c r="M1823" s="32"/>
      <c r="N1823" s="32"/>
    </row>
    <row r="1824" spans="2:14" x14ac:dyDescent="0.25">
      <c r="B1824" s="42"/>
      <c r="C1824" s="30"/>
      <c r="D1824" s="30"/>
      <c r="E1824" s="30"/>
      <c r="F1824" s="30"/>
      <c r="G1824" s="30"/>
      <c r="H1824" s="47"/>
      <c r="I1824" s="63"/>
      <c r="J1824" s="31"/>
      <c r="K1824" s="31"/>
      <c r="L1824" s="32"/>
      <c r="M1824" s="32"/>
      <c r="N1824" s="32"/>
    </row>
    <row r="1825" spans="2:14" x14ac:dyDescent="0.25">
      <c r="B1825" s="42"/>
      <c r="C1825" s="30"/>
      <c r="D1825" s="30"/>
      <c r="E1825" s="30"/>
      <c r="F1825" s="30"/>
      <c r="G1825" s="30"/>
      <c r="H1825" s="47"/>
      <c r="I1825" s="63"/>
      <c r="J1825" s="31"/>
      <c r="K1825" s="31"/>
      <c r="L1825" s="32"/>
      <c r="M1825" s="32"/>
      <c r="N1825" s="32"/>
    </row>
    <row r="1826" spans="2:14" x14ac:dyDescent="0.25">
      <c r="B1826" s="42"/>
      <c r="C1826" s="30"/>
      <c r="D1826" s="30"/>
      <c r="E1826" s="30"/>
      <c r="F1826" s="30"/>
      <c r="G1826" s="30"/>
      <c r="H1826" s="47"/>
      <c r="I1826" s="63"/>
      <c r="J1826" s="31"/>
      <c r="K1826" s="31"/>
      <c r="L1826" s="32"/>
      <c r="M1826" s="32"/>
      <c r="N1826" s="32"/>
    </row>
    <row r="1827" spans="2:14" x14ac:dyDescent="0.25">
      <c r="B1827" s="42"/>
      <c r="C1827" s="30"/>
      <c r="D1827" s="30"/>
      <c r="E1827" s="30"/>
      <c r="F1827" s="30"/>
      <c r="G1827" s="30"/>
      <c r="H1827" s="47"/>
      <c r="I1827" s="63"/>
      <c r="J1827" s="31"/>
      <c r="K1827" s="31"/>
      <c r="L1827" s="32"/>
      <c r="M1827" s="32"/>
      <c r="N1827" s="32"/>
    </row>
    <row r="1828" spans="2:14" x14ac:dyDescent="0.25">
      <c r="B1828" s="42"/>
      <c r="C1828" s="30"/>
      <c r="D1828" s="30"/>
      <c r="E1828" s="30"/>
      <c r="F1828" s="30"/>
      <c r="G1828" s="30"/>
      <c r="H1828" s="47"/>
      <c r="I1828" s="63"/>
      <c r="J1828" s="31"/>
      <c r="K1828" s="31"/>
      <c r="L1828" s="32"/>
      <c r="M1828" s="32"/>
      <c r="N1828" s="32"/>
    </row>
    <row r="1829" spans="2:14" x14ac:dyDescent="0.25">
      <c r="B1829" s="42"/>
      <c r="C1829" s="30"/>
      <c r="D1829" s="30"/>
      <c r="E1829" s="30"/>
      <c r="F1829" s="30"/>
      <c r="G1829" s="30"/>
      <c r="H1829" s="47"/>
      <c r="I1829" s="63"/>
      <c r="J1829" s="31"/>
      <c r="K1829" s="31"/>
      <c r="L1829" s="32"/>
      <c r="M1829" s="32"/>
      <c r="N1829" s="32"/>
    </row>
    <row r="1830" spans="2:14" x14ac:dyDescent="0.25">
      <c r="B1830" s="42"/>
      <c r="C1830" s="30"/>
      <c r="D1830" s="30"/>
      <c r="E1830" s="30"/>
      <c r="F1830" s="30"/>
      <c r="G1830" s="30"/>
      <c r="H1830" s="47"/>
      <c r="I1830" s="63"/>
      <c r="J1830" s="31"/>
      <c r="K1830" s="31"/>
      <c r="L1830" s="32"/>
      <c r="M1830" s="32"/>
      <c r="N1830" s="32"/>
    </row>
    <row r="1831" spans="2:14" x14ac:dyDescent="0.25">
      <c r="B1831" s="42"/>
      <c r="C1831" s="30"/>
      <c r="D1831" s="30"/>
      <c r="E1831" s="30"/>
      <c r="F1831" s="30"/>
      <c r="G1831" s="30"/>
      <c r="H1831" s="47"/>
      <c r="I1831" s="63"/>
      <c r="J1831" s="31"/>
      <c r="K1831" s="31"/>
      <c r="L1831" s="32"/>
      <c r="M1831" s="32"/>
      <c r="N1831" s="32"/>
    </row>
    <row r="1832" spans="2:14" x14ac:dyDescent="0.25">
      <c r="B1832" s="42"/>
      <c r="C1832" s="30"/>
      <c r="D1832" s="30"/>
      <c r="E1832" s="30"/>
      <c r="F1832" s="30"/>
      <c r="G1832" s="30"/>
      <c r="H1832" s="47"/>
      <c r="I1832" s="63"/>
      <c r="J1832" s="31"/>
      <c r="K1832" s="31"/>
      <c r="L1832" s="32"/>
      <c r="M1832" s="32"/>
      <c r="N1832" s="32"/>
    </row>
    <row r="1833" spans="2:14" x14ac:dyDescent="0.25">
      <c r="B1833" s="42"/>
      <c r="C1833" s="30"/>
      <c r="D1833" s="30"/>
      <c r="E1833" s="30"/>
      <c r="F1833" s="30"/>
      <c r="G1833" s="30"/>
      <c r="H1833" s="47"/>
      <c r="I1833" s="63"/>
      <c r="J1833" s="31"/>
      <c r="K1833" s="31"/>
      <c r="L1833" s="32"/>
      <c r="M1833" s="32"/>
      <c r="N1833" s="32"/>
    </row>
    <row r="1834" spans="2:14" x14ac:dyDescent="0.25">
      <c r="B1834" s="42"/>
      <c r="C1834" s="30"/>
      <c r="D1834" s="30"/>
      <c r="E1834" s="30"/>
      <c r="F1834" s="30"/>
      <c r="G1834" s="30"/>
      <c r="H1834" s="47"/>
      <c r="I1834" s="63"/>
      <c r="J1834" s="31"/>
      <c r="K1834" s="31"/>
      <c r="L1834" s="32"/>
      <c r="M1834" s="32"/>
      <c r="N1834" s="32"/>
    </row>
    <row r="1835" spans="2:14" x14ac:dyDescent="0.25">
      <c r="B1835" s="42"/>
      <c r="C1835" s="30"/>
      <c r="D1835" s="30"/>
      <c r="E1835" s="30"/>
      <c r="F1835" s="30"/>
      <c r="G1835" s="30"/>
      <c r="H1835" s="47"/>
      <c r="I1835" s="63"/>
      <c r="J1835" s="31"/>
      <c r="K1835" s="31"/>
      <c r="L1835" s="32"/>
      <c r="M1835" s="32"/>
      <c r="N1835" s="32"/>
    </row>
    <row r="1836" spans="2:14" x14ac:dyDescent="0.25">
      <c r="B1836" s="42"/>
      <c r="C1836" s="30"/>
      <c r="D1836" s="30"/>
      <c r="E1836" s="30"/>
      <c r="F1836" s="30"/>
      <c r="G1836" s="30"/>
      <c r="H1836" s="47"/>
      <c r="I1836" s="63"/>
      <c r="J1836" s="31"/>
      <c r="K1836" s="31"/>
      <c r="L1836" s="32"/>
      <c r="M1836" s="32"/>
      <c r="N1836" s="32"/>
    </row>
    <row r="1837" spans="2:14" x14ac:dyDescent="0.25">
      <c r="B1837" s="42"/>
      <c r="C1837" s="30"/>
      <c r="D1837" s="30"/>
      <c r="E1837" s="30"/>
      <c r="F1837" s="30"/>
      <c r="G1837" s="30"/>
      <c r="H1837" s="47"/>
      <c r="I1837" s="63"/>
      <c r="J1837" s="31"/>
      <c r="K1837" s="31"/>
      <c r="L1837" s="32"/>
      <c r="M1837" s="32"/>
      <c r="N1837" s="32"/>
    </row>
    <row r="1838" spans="2:14" x14ac:dyDescent="0.25">
      <c r="B1838" s="42"/>
      <c r="C1838" s="30"/>
      <c r="D1838" s="30"/>
      <c r="E1838" s="30"/>
      <c r="F1838" s="30"/>
      <c r="G1838" s="30"/>
      <c r="H1838" s="47"/>
      <c r="I1838" s="63"/>
      <c r="J1838" s="31"/>
      <c r="K1838" s="31"/>
      <c r="L1838" s="32"/>
      <c r="M1838" s="32"/>
      <c r="N1838" s="32"/>
    </row>
    <row r="1839" spans="2:14" x14ac:dyDescent="0.25">
      <c r="B1839" s="42"/>
      <c r="C1839" s="30"/>
      <c r="D1839" s="30"/>
      <c r="E1839" s="30"/>
      <c r="F1839" s="30"/>
      <c r="G1839" s="30"/>
      <c r="H1839" s="47"/>
      <c r="I1839" s="63"/>
      <c r="J1839" s="31"/>
      <c r="K1839" s="31"/>
      <c r="L1839" s="32"/>
      <c r="M1839" s="32"/>
      <c r="N1839" s="32"/>
    </row>
    <row r="1840" spans="2:14" x14ac:dyDescent="0.25">
      <c r="B1840" s="42"/>
      <c r="C1840" s="30"/>
      <c r="D1840" s="30"/>
      <c r="E1840" s="30"/>
      <c r="F1840" s="30"/>
      <c r="G1840" s="30"/>
      <c r="H1840" s="47"/>
      <c r="I1840" s="63"/>
      <c r="J1840" s="31"/>
      <c r="K1840" s="31"/>
      <c r="L1840" s="32"/>
      <c r="M1840" s="32"/>
      <c r="N1840" s="32"/>
    </row>
    <row r="1841" spans="2:14" x14ac:dyDescent="0.25">
      <c r="B1841" s="42"/>
      <c r="C1841" s="30"/>
      <c r="D1841" s="30"/>
      <c r="E1841" s="30"/>
      <c r="F1841" s="30"/>
      <c r="G1841" s="30"/>
      <c r="H1841" s="47"/>
      <c r="I1841" s="63"/>
      <c r="J1841" s="31"/>
      <c r="K1841" s="31"/>
      <c r="L1841" s="32"/>
      <c r="M1841" s="32"/>
      <c r="N1841" s="32"/>
    </row>
    <row r="1842" spans="2:14" x14ac:dyDescent="0.25">
      <c r="B1842" s="42"/>
      <c r="C1842" s="30"/>
      <c r="D1842" s="30"/>
      <c r="E1842" s="30"/>
      <c r="F1842" s="30"/>
      <c r="G1842" s="30"/>
      <c r="H1842" s="47"/>
      <c r="I1842" s="63"/>
      <c r="J1842" s="31"/>
      <c r="K1842" s="31"/>
      <c r="L1842" s="32"/>
      <c r="M1842" s="32"/>
      <c r="N1842" s="32"/>
    </row>
    <row r="1843" spans="2:14" x14ac:dyDescent="0.25">
      <c r="B1843" s="42"/>
      <c r="C1843" s="30"/>
      <c r="D1843" s="30"/>
      <c r="E1843" s="30"/>
      <c r="F1843" s="30"/>
      <c r="G1843" s="30"/>
      <c r="H1843" s="47"/>
      <c r="I1843" s="63"/>
      <c r="J1843" s="31"/>
      <c r="K1843" s="31"/>
      <c r="L1843" s="32"/>
      <c r="M1843" s="32"/>
      <c r="N1843" s="32"/>
    </row>
    <row r="1844" spans="2:14" x14ac:dyDescent="0.25">
      <c r="B1844" s="42"/>
      <c r="C1844" s="30"/>
      <c r="D1844" s="30"/>
      <c r="E1844" s="30"/>
      <c r="F1844" s="30"/>
      <c r="G1844" s="30"/>
      <c r="H1844" s="47"/>
      <c r="I1844" s="63"/>
      <c r="J1844" s="31"/>
      <c r="K1844" s="31"/>
      <c r="L1844" s="32"/>
      <c r="M1844" s="32"/>
      <c r="N1844" s="32"/>
    </row>
    <row r="1845" spans="2:14" x14ac:dyDescent="0.25">
      <c r="B1845" s="42"/>
      <c r="C1845" s="30"/>
      <c r="D1845" s="30"/>
      <c r="E1845" s="30"/>
      <c r="F1845" s="30"/>
      <c r="G1845" s="30"/>
      <c r="H1845" s="47"/>
      <c r="I1845" s="63"/>
      <c r="J1845" s="31"/>
      <c r="K1845" s="31"/>
      <c r="L1845" s="32"/>
      <c r="M1845" s="32"/>
      <c r="N1845" s="32"/>
    </row>
    <row r="1846" spans="2:14" x14ac:dyDescent="0.25">
      <c r="B1846" s="42"/>
      <c r="C1846" s="30"/>
      <c r="D1846" s="30"/>
      <c r="E1846" s="30"/>
      <c r="F1846" s="30"/>
      <c r="G1846" s="30"/>
      <c r="H1846" s="47"/>
      <c r="I1846" s="63"/>
      <c r="J1846" s="31"/>
      <c r="K1846" s="31"/>
      <c r="L1846" s="32"/>
      <c r="M1846" s="32"/>
      <c r="N1846" s="32"/>
    </row>
    <row r="1847" spans="2:14" x14ac:dyDescent="0.25">
      <c r="B1847" s="42"/>
      <c r="C1847" s="30"/>
      <c r="D1847" s="30"/>
      <c r="E1847" s="30"/>
      <c r="F1847" s="30"/>
      <c r="G1847" s="30"/>
      <c r="H1847" s="47"/>
      <c r="I1847" s="63"/>
      <c r="J1847" s="31"/>
      <c r="K1847" s="31"/>
      <c r="L1847" s="32"/>
      <c r="M1847" s="32"/>
      <c r="N1847" s="32"/>
    </row>
    <row r="1848" spans="2:14" x14ac:dyDescent="0.25">
      <c r="B1848" s="42"/>
      <c r="C1848" s="30"/>
      <c r="D1848" s="30"/>
      <c r="E1848" s="30"/>
      <c r="F1848" s="30"/>
      <c r="G1848" s="30"/>
      <c r="H1848" s="47"/>
      <c r="I1848" s="63"/>
      <c r="J1848" s="31"/>
      <c r="K1848" s="31"/>
      <c r="L1848" s="32"/>
      <c r="M1848" s="32"/>
      <c r="N1848" s="32"/>
    </row>
    <row r="1849" spans="2:14" x14ac:dyDescent="0.25">
      <c r="B1849" s="42"/>
      <c r="C1849" s="30"/>
      <c r="D1849" s="30"/>
      <c r="E1849" s="30"/>
      <c r="F1849" s="30"/>
      <c r="G1849" s="30"/>
      <c r="H1849" s="47"/>
      <c r="I1849" s="63"/>
      <c r="J1849" s="31"/>
      <c r="K1849" s="31"/>
      <c r="L1849" s="32"/>
      <c r="M1849" s="32"/>
      <c r="N1849" s="32"/>
    </row>
    <row r="1850" spans="2:14" x14ac:dyDescent="0.25">
      <c r="B1850" s="42"/>
      <c r="C1850" s="30"/>
      <c r="D1850" s="30"/>
      <c r="E1850" s="30"/>
      <c r="F1850" s="30"/>
      <c r="G1850" s="30"/>
      <c r="H1850" s="47"/>
      <c r="I1850" s="63"/>
      <c r="J1850" s="31"/>
      <c r="K1850" s="31"/>
      <c r="L1850" s="32"/>
      <c r="M1850" s="32"/>
      <c r="N1850" s="32"/>
    </row>
    <row r="1851" spans="2:14" x14ac:dyDescent="0.25">
      <c r="B1851" s="42"/>
      <c r="C1851" s="30"/>
      <c r="D1851" s="30"/>
      <c r="E1851" s="30"/>
      <c r="F1851" s="30"/>
      <c r="G1851" s="30"/>
      <c r="H1851" s="47"/>
      <c r="I1851" s="63"/>
      <c r="J1851" s="31"/>
      <c r="K1851" s="31"/>
      <c r="L1851" s="32"/>
      <c r="M1851" s="32"/>
      <c r="N1851" s="32"/>
    </row>
    <row r="1852" spans="2:14" x14ac:dyDescent="0.25">
      <c r="B1852" s="42"/>
      <c r="C1852" s="30"/>
      <c r="D1852" s="30"/>
      <c r="E1852" s="30"/>
      <c r="F1852" s="30"/>
      <c r="G1852" s="30"/>
      <c r="H1852" s="47"/>
      <c r="I1852" s="63"/>
      <c r="J1852" s="31"/>
      <c r="K1852" s="31"/>
      <c r="L1852" s="32"/>
      <c r="M1852" s="32"/>
      <c r="N1852" s="32"/>
    </row>
    <row r="1853" spans="2:14" x14ac:dyDescent="0.25">
      <c r="B1853" s="42"/>
      <c r="C1853" s="30"/>
      <c r="D1853" s="30"/>
      <c r="E1853" s="30"/>
      <c r="F1853" s="30"/>
      <c r="G1853" s="30"/>
      <c r="H1853" s="47"/>
      <c r="I1853" s="63"/>
      <c r="J1853" s="31"/>
      <c r="K1853" s="31"/>
      <c r="L1853" s="32"/>
      <c r="M1853" s="32"/>
      <c r="N1853" s="32"/>
    </row>
    <row r="1854" spans="2:14" x14ac:dyDescent="0.25">
      <c r="B1854" s="42"/>
      <c r="C1854" s="30"/>
      <c r="D1854" s="30"/>
      <c r="E1854" s="30"/>
      <c r="F1854" s="30"/>
      <c r="G1854" s="30"/>
      <c r="H1854" s="47"/>
      <c r="I1854" s="63"/>
      <c r="J1854" s="31"/>
      <c r="K1854" s="31"/>
      <c r="L1854" s="32"/>
      <c r="M1854" s="32"/>
      <c r="N1854" s="32"/>
    </row>
    <row r="1855" spans="2:14" x14ac:dyDescent="0.25">
      <c r="B1855" s="42"/>
      <c r="C1855" s="30"/>
      <c r="D1855" s="30"/>
      <c r="E1855" s="30"/>
      <c r="F1855" s="30"/>
      <c r="G1855" s="30"/>
      <c r="H1855" s="47"/>
      <c r="I1855" s="63"/>
      <c r="J1855" s="31"/>
      <c r="K1855" s="31"/>
      <c r="L1855" s="32"/>
      <c r="M1855" s="32"/>
      <c r="N1855" s="32"/>
    </row>
    <row r="1856" spans="2:14" x14ac:dyDescent="0.25">
      <c r="B1856" s="42"/>
      <c r="C1856" s="30"/>
      <c r="D1856" s="30"/>
      <c r="E1856" s="30"/>
      <c r="F1856" s="30"/>
      <c r="G1856" s="30"/>
      <c r="H1856" s="47"/>
      <c r="I1856" s="63"/>
      <c r="J1856" s="31"/>
      <c r="K1856" s="31"/>
      <c r="L1856" s="32"/>
      <c r="M1856" s="32"/>
      <c r="N1856" s="32"/>
    </row>
    <row r="1857" spans="2:14" x14ac:dyDescent="0.25">
      <c r="B1857" s="42"/>
      <c r="C1857" s="30"/>
      <c r="D1857" s="30"/>
      <c r="E1857" s="30"/>
      <c r="F1857" s="30"/>
      <c r="G1857" s="30"/>
      <c r="H1857" s="47"/>
      <c r="I1857" s="63"/>
      <c r="J1857" s="31"/>
      <c r="K1857" s="31"/>
      <c r="L1857" s="32"/>
      <c r="M1857" s="32"/>
      <c r="N1857" s="32"/>
    </row>
    <row r="1858" spans="2:14" x14ac:dyDescent="0.25">
      <c r="B1858" s="42"/>
      <c r="C1858" s="30"/>
      <c r="D1858" s="30"/>
      <c r="E1858" s="30"/>
      <c r="F1858" s="30"/>
      <c r="G1858" s="30"/>
      <c r="H1858" s="47"/>
      <c r="I1858" s="63"/>
      <c r="J1858" s="31"/>
      <c r="K1858" s="31"/>
      <c r="L1858" s="32"/>
      <c r="M1858" s="32"/>
      <c r="N1858" s="32"/>
    </row>
    <row r="1859" spans="2:14" x14ac:dyDescent="0.25">
      <c r="B1859" s="42"/>
      <c r="C1859" s="30"/>
      <c r="D1859" s="30"/>
      <c r="E1859" s="30"/>
      <c r="F1859" s="30"/>
      <c r="G1859" s="30"/>
      <c r="H1859" s="47"/>
      <c r="I1859" s="63"/>
      <c r="J1859" s="31"/>
      <c r="K1859" s="31"/>
      <c r="L1859" s="32"/>
      <c r="M1859" s="32"/>
      <c r="N1859" s="32"/>
    </row>
    <row r="1860" spans="2:14" x14ac:dyDescent="0.25">
      <c r="B1860" s="42"/>
      <c r="C1860" s="30"/>
      <c r="D1860" s="30"/>
      <c r="E1860" s="30"/>
      <c r="F1860" s="30"/>
      <c r="G1860" s="30"/>
      <c r="H1860" s="47"/>
      <c r="I1860" s="63"/>
      <c r="J1860" s="31"/>
      <c r="K1860" s="31"/>
      <c r="L1860" s="32"/>
      <c r="M1860" s="32"/>
      <c r="N1860" s="32"/>
    </row>
    <row r="1861" spans="2:14" x14ac:dyDescent="0.25">
      <c r="B1861" s="42"/>
      <c r="C1861" s="30"/>
      <c r="D1861" s="30"/>
      <c r="E1861" s="30"/>
      <c r="F1861" s="30"/>
      <c r="G1861" s="30"/>
      <c r="H1861" s="47"/>
      <c r="I1861" s="63"/>
      <c r="J1861" s="31"/>
      <c r="K1861" s="31"/>
      <c r="L1861" s="32"/>
      <c r="M1861" s="32"/>
      <c r="N1861" s="32"/>
    </row>
    <row r="1862" spans="2:14" x14ac:dyDescent="0.25">
      <c r="B1862" s="42"/>
      <c r="C1862" s="30"/>
      <c r="D1862" s="30"/>
      <c r="E1862" s="30"/>
      <c r="F1862" s="30"/>
      <c r="G1862" s="30"/>
      <c r="H1862" s="47"/>
      <c r="I1862" s="63"/>
      <c r="J1862" s="31"/>
      <c r="K1862" s="31"/>
      <c r="L1862" s="32"/>
      <c r="M1862" s="32"/>
      <c r="N1862" s="32"/>
    </row>
    <row r="1863" spans="2:14" x14ac:dyDescent="0.25">
      <c r="B1863" s="42"/>
      <c r="C1863" s="30"/>
      <c r="D1863" s="30"/>
      <c r="E1863" s="30"/>
      <c r="F1863" s="30"/>
      <c r="G1863" s="30"/>
      <c r="H1863" s="47"/>
      <c r="I1863" s="63"/>
      <c r="J1863" s="31"/>
      <c r="K1863" s="31"/>
      <c r="L1863" s="32"/>
      <c r="M1863" s="32"/>
      <c r="N1863" s="32"/>
    </row>
    <row r="1864" spans="2:14" x14ac:dyDescent="0.25">
      <c r="B1864" s="42"/>
      <c r="C1864" s="30"/>
      <c r="D1864" s="30"/>
      <c r="E1864" s="30"/>
      <c r="F1864" s="30"/>
      <c r="G1864" s="30"/>
      <c r="H1864" s="47"/>
      <c r="I1864" s="63"/>
      <c r="J1864" s="31"/>
      <c r="K1864" s="31"/>
      <c r="L1864" s="32"/>
      <c r="M1864" s="32"/>
      <c r="N1864" s="32"/>
    </row>
    <row r="1865" spans="2:14" x14ac:dyDescent="0.25">
      <c r="B1865" s="42"/>
      <c r="C1865" s="30"/>
      <c r="D1865" s="30"/>
      <c r="E1865" s="30"/>
      <c r="F1865" s="30"/>
      <c r="G1865" s="30"/>
      <c r="H1865" s="47"/>
      <c r="I1865" s="63"/>
      <c r="J1865" s="31"/>
      <c r="K1865" s="31"/>
      <c r="L1865" s="32"/>
      <c r="M1865" s="32"/>
      <c r="N1865" s="32"/>
    </row>
    <row r="1866" spans="2:14" x14ac:dyDescent="0.25">
      <c r="B1866" s="42"/>
      <c r="C1866" s="30"/>
      <c r="D1866" s="30"/>
      <c r="E1866" s="30"/>
      <c r="F1866" s="30"/>
      <c r="G1866" s="30"/>
      <c r="H1866" s="47"/>
      <c r="I1866" s="63"/>
      <c r="J1866" s="31"/>
      <c r="K1866" s="31"/>
      <c r="L1866" s="32"/>
      <c r="M1866" s="32"/>
      <c r="N1866" s="32"/>
    </row>
    <row r="1867" spans="2:14" x14ac:dyDescent="0.25">
      <c r="B1867" s="42"/>
      <c r="C1867" s="30"/>
      <c r="D1867" s="30"/>
      <c r="E1867" s="30"/>
      <c r="F1867" s="30"/>
      <c r="G1867" s="30"/>
      <c r="H1867" s="47"/>
      <c r="I1867" s="63"/>
      <c r="J1867" s="31"/>
      <c r="K1867" s="31"/>
      <c r="L1867" s="32"/>
      <c r="M1867" s="32"/>
      <c r="N1867" s="32"/>
    </row>
    <row r="1868" spans="2:14" x14ac:dyDescent="0.25">
      <c r="B1868" s="42"/>
      <c r="C1868" s="30"/>
      <c r="D1868" s="30"/>
      <c r="E1868" s="30"/>
      <c r="F1868" s="30"/>
      <c r="G1868" s="30"/>
      <c r="H1868" s="47"/>
      <c r="I1868" s="63"/>
      <c r="J1868" s="31"/>
      <c r="K1868" s="31"/>
      <c r="L1868" s="32"/>
      <c r="M1868" s="32"/>
      <c r="N1868" s="32"/>
    </row>
    <row r="1869" spans="2:14" x14ac:dyDescent="0.25">
      <c r="B1869" s="42"/>
      <c r="C1869" s="30"/>
      <c r="D1869" s="30"/>
      <c r="E1869" s="30"/>
      <c r="F1869" s="30"/>
      <c r="G1869" s="30"/>
      <c r="H1869" s="47"/>
      <c r="I1869" s="63"/>
      <c r="J1869" s="31"/>
      <c r="K1869" s="31"/>
      <c r="L1869" s="32"/>
      <c r="M1869" s="32"/>
      <c r="N1869" s="32"/>
    </row>
    <row r="1870" spans="2:14" x14ac:dyDescent="0.25">
      <c r="B1870" s="42"/>
      <c r="C1870" s="30"/>
      <c r="D1870" s="30"/>
      <c r="E1870" s="30"/>
      <c r="F1870" s="30"/>
      <c r="G1870" s="30"/>
      <c r="H1870" s="47"/>
      <c r="I1870" s="63"/>
      <c r="J1870" s="31"/>
      <c r="K1870" s="31"/>
      <c r="L1870" s="32"/>
      <c r="M1870" s="32"/>
      <c r="N1870" s="32"/>
    </row>
    <row r="1871" spans="2:14" x14ac:dyDescent="0.25">
      <c r="B1871" s="42"/>
      <c r="C1871" s="30"/>
      <c r="D1871" s="30"/>
      <c r="E1871" s="30"/>
      <c r="F1871" s="30"/>
      <c r="G1871" s="30"/>
      <c r="H1871" s="47"/>
      <c r="I1871" s="63"/>
      <c r="J1871" s="31"/>
      <c r="K1871" s="31"/>
      <c r="L1871" s="32"/>
      <c r="M1871" s="32"/>
      <c r="N1871" s="32"/>
    </row>
    <row r="1872" spans="2:14" x14ac:dyDescent="0.25">
      <c r="B1872" s="42"/>
      <c r="C1872" s="30"/>
      <c r="D1872" s="30"/>
      <c r="E1872" s="30"/>
      <c r="F1872" s="30"/>
      <c r="G1872" s="30"/>
      <c r="H1872" s="47"/>
      <c r="I1872" s="63"/>
      <c r="J1872" s="31"/>
      <c r="K1872" s="31"/>
      <c r="L1872" s="32"/>
      <c r="M1872" s="32"/>
      <c r="N1872" s="32"/>
    </row>
    <row r="1873" spans="2:14" x14ac:dyDescent="0.25">
      <c r="B1873" s="42"/>
      <c r="C1873" s="30"/>
      <c r="D1873" s="30"/>
      <c r="E1873" s="30"/>
      <c r="F1873" s="30"/>
      <c r="G1873" s="30"/>
      <c r="H1873" s="47"/>
      <c r="I1873" s="63"/>
      <c r="J1873" s="31"/>
      <c r="K1873" s="31"/>
      <c r="L1873" s="32"/>
      <c r="M1873" s="32"/>
      <c r="N1873" s="32"/>
    </row>
    <row r="1874" spans="2:14" x14ac:dyDescent="0.25">
      <c r="B1874" s="42"/>
      <c r="C1874" s="30"/>
      <c r="D1874" s="30"/>
      <c r="E1874" s="30"/>
      <c r="F1874" s="30"/>
      <c r="G1874" s="30"/>
      <c r="H1874" s="47"/>
      <c r="I1874" s="63"/>
      <c r="J1874" s="31"/>
      <c r="K1874" s="31"/>
      <c r="L1874" s="32"/>
      <c r="M1874" s="32"/>
      <c r="N1874" s="32"/>
    </row>
    <row r="1875" spans="2:14" x14ac:dyDescent="0.25">
      <c r="B1875" s="42"/>
      <c r="C1875" s="30"/>
      <c r="D1875" s="30"/>
      <c r="E1875" s="30"/>
      <c r="F1875" s="30"/>
      <c r="G1875" s="30"/>
      <c r="H1875" s="47"/>
      <c r="I1875" s="63"/>
      <c r="J1875" s="31"/>
      <c r="K1875" s="31"/>
      <c r="L1875" s="32"/>
      <c r="M1875" s="32"/>
      <c r="N1875" s="32"/>
    </row>
    <row r="1876" spans="2:14" x14ac:dyDescent="0.25">
      <c r="B1876" s="42"/>
      <c r="C1876" s="30"/>
      <c r="D1876" s="30"/>
      <c r="E1876" s="30"/>
      <c r="F1876" s="30"/>
      <c r="G1876" s="30"/>
      <c r="H1876" s="47"/>
      <c r="I1876" s="63"/>
      <c r="J1876" s="31"/>
      <c r="K1876" s="31"/>
      <c r="L1876" s="32"/>
      <c r="M1876" s="32"/>
      <c r="N1876" s="32"/>
    </row>
    <row r="1877" spans="2:14" x14ac:dyDescent="0.25">
      <c r="B1877" s="42"/>
      <c r="C1877" s="30"/>
      <c r="D1877" s="30"/>
      <c r="E1877" s="30"/>
      <c r="F1877" s="30"/>
      <c r="G1877" s="30"/>
      <c r="H1877" s="47"/>
      <c r="I1877" s="63"/>
      <c r="J1877" s="31"/>
      <c r="K1877" s="31"/>
      <c r="L1877" s="32"/>
      <c r="M1877" s="32"/>
      <c r="N1877" s="32"/>
    </row>
    <row r="1878" spans="2:14" x14ac:dyDescent="0.25">
      <c r="B1878" s="42"/>
      <c r="C1878" s="30"/>
      <c r="D1878" s="30"/>
      <c r="E1878" s="30"/>
      <c r="F1878" s="30"/>
      <c r="G1878" s="30"/>
      <c r="H1878" s="47"/>
      <c r="I1878" s="63"/>
      <c r="J1878" s="31"/>
      <c r="K1878" s="31"/>
      <c r="L1878" s="32"/>
      <c r="M1878" s="32"/>
      <c r="N1878" s="32"/>
    </row>
    <row r="1879" spans="2:14" x14ac:dyDescent="0.25">
      <c r="B1879" s="42"/>
      <c r="C1879" s="30"/>
      <c r="D1879" s="30"/>
      <c r="E1879" s="30"/>
      <c r="F1879" s="30"/>
      <c r="G1879" s="30"/>
      <c r="H1879" s="47"/>
      <c r="I1879" s="63"/>
      <c r="J1879" s="31"/>
      <c r="K1879" s="31"/>
      <c r="L1879" s="32"/>
      <c r="M1879" s="32"/>
      <c r="N1879" s="32"/>
    </row>
    <row r="1880" spans="2:14" x14ac:dyDescent="0.25">
      <c r="B1880" s="42"/>
      <c r="C1880" s="30"/>
      <c r="D1880" s="30"/>
      <c r="E1880" s="30"/>
      <c r="F1880" s="30"/>
      <c r="G1880" s="30"/>
      <c r="H1880" s="47"/>
      <c r="I1880" s="63"/>
      <c r="J1880" s="31"/>
      <c r="K1880" s="31"/>
      <c r="L1880" s="32"/>
      <c r="M1880" s="32"/>
      <c r="N1880" s="32"/>
    </row>
    <row r="1881" spans="2:14" x14ac:dyDescent="0.25">
      <c r="B1881" s="42"/>
      <c r="C1881" s="30"/>
      <c r="D1881" s="30"/>
      <c r="E1881" s="30"/>
      <c r="F1881" s="30"/>
      <c r="G1881" s="30"/>
      <c r="H1881" s="47"/>
      <c r="I1881" s="63"/>
      <c r="J1881" s="31"/>
      <c r="K1881" s="31"/>
      <c r="L1881" s="32"/>
      <c r="M1881" s="32"/>
      <c r="N1881" s="32"/>
    </row>
    <row r="1882" spans="2:14" x14ac:dyDescent="0.25">
      <c r="B1882" s="42"/>
      <c r="C1882" s="30"/>
      <c r="D1882" s="30"/>
      <c r="E1882" s="30"/>
      <c r="F1882" s="30"/>
      <c r="G1882" s="30"/>
      <c r="H1882" s="47"/>
      <c r="I1882" s="63"/>
      <c r="J1882" s="31"/>
      <c r="K1882" s="31"/>
      <c r="L1882" s="32"/>
      <c r="M1882" s="32"/>
      <c r="N1882" s="32"/>
    </row>
    <row r="1883" spans="2:14" x14ac:dyDescent="0.25">
      <c r="B1883" s="42"/>
      <c r="C1883" s="30"/>
      <c r="D1883" s="30"/>
      <c r="E1883" s="30"/>
      <c r="F1883" s="30"/>
      <c r="G1883" s="30"/>
      <c r="H1883" s="47"/>
      <c r="I1883" s="63"/>
      <c r="J1883" s="31"/>
      <c r="K1883" s="31"/>
      <c r="L1883" s="32"/>
      <c r="M1883" s="32"/>
      <c r="N1883" s="32"/>
    </row>
    <row r="1884" spans="2:14" x14ac:dyDescent="0.25">
      <c r="B1884" s="42"/>
      <c r="C1884" s="30"/>
      <c r="D1884" s="30"/>
      <c r="E1884" s="30"/>
      <c r="F1884" s="30"/>
      <c r="G1884" s="30"/>
      <c r="H1884" s="47"/>
      <c r="I1884" s="63"/>
      <c r="J1884" s="31"/>
      <c r="K1884" s="31"/>
      <c r="L1884" s="32"/>
      <c r="M1884" s="32"/>
      <c r="N1884" s="32"/>
    </row>
    <row r="1885" spans="2:14" x14ac:dyDescent="0.25">
      <c r="B1885" s="42"/>
      <c r="C1885" s="30"/>
      <c r="D1885" s="30"/>
      <c r="E1885" s="30"/>
      <c r="F1885" s="30"/>
      <c r="G1885" s="30"/>
      <c r="H1885" s="47"/>
      <c r="I1885" s="63"/>
      <c r="J1885" s="31"/>
      <c r="K1885" s="31"/>
      <c r="L1885" s="32"/>
      <c r="M1885" s="32"/>
      <c r="N1885" s="32"/>
    </row>
    <row r="1886" spans="2:14" x14ac:dyDescent="0.25">
      <c r="B1886" s="42"/>
      <c r="C1886" s="30"/>
      <c r="D1886" s="30"/>
      <c r="E1886" s="30"/>
      <c r="F1886" s="30"/>
      <c r="G1886" s="30"/>
      <c r="H1886" s="47"/>
      <c r="I1886" s="63"/>
      <c r="J1886" s="31"/>
      <c r="K1886" s="31"/>
      <c r="L1886" s="32"/>
      <c r="M1886" s="32"/>
      <c r="N1886" s="32"/>
    </row>
    <row r="1887" spans="2:14" x14ac:dyDescent="0.25">
      <c r="B1887" s="42"/>
      <c r="C1887" s="30"/>
      <c r="D1887" s="30"/>
      <c r="E1887" s="30"/>
      <c r="F1887" s="30"/>
      <c r="G1887" s="30"/>
      <c r="H1887" s="47"/>
      <c r="I1887" s="63"/>
      <c r="J1887" s="31"/>
      <c r="K1887" s="31"/>
      <c r="L1887" s="32"/>
      <c r="M1887" s="32"/>
      <c r="N1887" s="32"/>
    </row>
    <row r="1888" spans="2:14" x14ac:dyDescent="0.25">
      <c r="B1888" s="42"/>
      <c r="C1888" s="30"/>
      <c r="D1888" s="30"/>
      <c r="E1888" s="30"/>
      <c r="F1888" s="30"/>
      <c r="G1888" s="30"/>
      <c r="H1888" s="47"/>
      <c r="I1888" s="63"/>
      <c r="J1888" s="31"/>
      <c r="K1888" s="31"/>
      <c r="L1888" s="32"/>
      <c r="M1888" s="32"/>
      <c r="N1888" s="32"/>
    </row>
    <row r="1889" spans="2:14" x14ac:dyDescent="0.25">
      <c r="B1889" s="42"/>
      <c r="C1889" s="30"/>
      <c r="D1889" s="30"/>
      <c r="E1889" s="30"/>
      <c r="F1889" s="30"/>
      <c r="G1889" s="30"/>
      <c r="H1889" s="47"/>
      <c r="I1889" s="63"/>
      <c r="J1889" s="31"/>
      <c r="K1889" s="31"/>
      <c r="L1889" s="32"/>
      <c r="M1889" s="32"/>
      <c r="N1889" s="32"/>
    </row>
    <row r="1890" spans="2:14" x14ac:dyDescent="0.25">
      <c r="B1890" s="42"/>
      <c r="C1890" s="30"/>
      <c r="D1890" s="30"/>
      <c r="E1890" s="30"/>
      <c r="F1890" s="30"/>
      <c r="G1890" s="30"/>
      <c r="H1890" s="47"/>
      <c r="I1890" s="63"/>
      <c r="J1890" s="31"/>
      <c r="K1890" s="31"/>
      <c r="L1890" s="32"/>
      <c r="M1890" s="32"/>
      <c r="N1890" s="32"/>
    </row>
    <row r="1891" spans="2:14" x14ac:dyDescent="0.25">
      <c r="B1891" s="42"/>
      <c r="C1891" s="30"/>
      <c r="D1891" s="30"/>
      <c r="E1891" s="30"/>
      <c r="F1891" s="30"/>
      <c r="G1891" s="30"/>
      <c r="H1891" s="47"/>
      <c r="I1891" s="63"/>
      <c r="J1891" s="31"/>
      <c r="K1891" s="31"/>
      <c r="L1891" s="32"/>
      <c r="M1891" s="32"/>
      <c r="N1891" s="32"/>
    </row>
    <row r="1892" spans="2:14" x14ac:dyDescent="0.25">
      <c r="B1892" s="42"/>
      <c r="C1892" s="30"/>
      <c r="D1892" s="30"/>
      <c r="E1892" s="30"/>
      <c r="F1892" s="30"/>
      <c r="G1892" s="30"/>
      <c r="H1892" s="47"/>
      <c r="I1892" s="63"/>
      <c r="J1892" s="31"/>
      <c r="K1892" s="31"/>
      <c r="L1892" s="32"/>
      <c r="M1892" s="32"/>
      <c r="N1892" s="32"/>
    </row>
    <row r="1893" spans="2:14" x14ac:dyDescent="0.25">
      <c r="B1893" s="42"/>
      <c r="C1893" s="30"/>
      <c r="D1893" s="30"/>
      <c r="E1893" s="30"/>
      <c r="F1893" s="30"/>
      <c r="G1893" s="30"/>
      <c r="H1893" s="47"/>
      <c r="I1893" s="63"/>
      <c r="J1893" s="31"/>
      <c r="K1893" s="31"/>
      <c r="L1893" s="32"/>
      <c r="M1893" s="32"/>
      <c r="N1893" s="32"/>
    </row>
    <row r="1894" spans="2:14" x14ac:dyDescent="0.25">
      <c r="B1894" s="42"/>
      <c r="C1894" s="30"/>
      <c r="D1894" s="30"/>
      <c r="E1894" s="30"/>
      <c r="F1894" s="30"/>
      <c r="G1894" s="30"/>
      <c r="H1894" s="47"/>
      <c r="I1894" s="63"/>
      <c r="J1894" s="31"/>
      <c r="K1894" s="31"/>
      <c r="L1894" s="32"/>
      <c r="M1894" s="32"/>
      <c r="N1894" s="32"/>
    </row>
    <row r="1895" spans="2:14" x14ac:dyDescent="0.25">
      <c r="B1895" s="42"/>
      <c r="C1895" s="30"/>
      <c r="D1895" s="30"/>
      <c r="E1895" s="30"/>
      <c r="F1895" s="30"/>
      <c r="G1895" s="30"/>
      <c r="H1895" s="47"/>
      <c r="I1895" s="63"/>
      <c r="J1895" s="31"/>
      <c r="K1895" s="31"/>
      <c r="L1895" s="32"/>
      <c r="M1895" s="32"/>
      <c r="N1895" s="32"/>
    </row>
    <row r="1896" spans="2:14" x14ac:dyDescent="0.25">
      <c r="B1896" s="42"/>
      <c r="C1896" s="30"/>
      <c r="D1896" s="30"/>
      <c r="E1896" s="30"/>
      <c r="F1896" s="30"/>
      <c r="G1896" s="30"/>
      <c r="H1896" s="47"/>
      <c r="I1896" s="63"/>
      <c r="J1896" s="31"/>
      <c r="K1896" s="31"/>
      <c r="L1896" s="32"/>
      <c r="M1896" s="32"/>
      <c r="N1896" s="32"/>
    </row>
    <row r="1897" spans="2:14" x14ac:dyDescent="0.25">
      <c r="B1897" s="42"/>
      <c r="C1897" s="30"/>
      <c r="D1897" s="30"/>
      <c r="E1897" s="30"/>
      <c r="F1897" s="30"/>
      <c r="G1897" s="30"/>
      <c r="H1897" s="47"/>
      <c r="I1897" s="63"/>
      <c r="J1897" s="31"/>
      <c r="K1897" s="31"/>
      <c r="L1897" s="32"/>
      <c r="M1897" s="32"/>
      <c r="N1897" s="32"/>
    </row>
    <row r="1898" spans="2:14" x14ac:dyDescent="0.25">
      <c r="B1898" s="42"/>
      <c r="C1898" s="30"/>
      <c r="D1898" s="30"/>
      <c r="E1898" s="30"/>
      <c r="F1898" s="30"/>
      <c r="G1898" s="30"/>
      <c r="H1898" s="47"/>
      <c r="I1898" s="63"/>
      <c r="J1898" s="31"/>
      <c r="K1898" s="31"/>
      <c r="L1898" s="32"/>
      <c r="M1898" s="32"/>
      <c r="N1898" s="32"/>
    </row>
    <row r="1899" spans="2:14" x14ac:dyDescent="0.25">
      <c r="B1899" s="42"/>
      <c r="C1899" s="30"/>
      <c r="D1899" s="30"/>
      <c r="E1899" s="30"/>
      <c r="F1899" s="30"/>
      <c r="G1899" s="30"/>
      <c r="H1899" s="47"/>
      <c r="I1899" s="63"/>
      <c r="J1899" s="31"/>
      <c r="K1899" s="31"/>
      <c r="L1899" s="32"/>
      <c r="M1899" s="32"/>
      <c r="N1899" s="32"/>
    </row>
    <row r="1900" spans="2:14" x14ac:dyDescent="0.25">
      <c r="B1900" s="42"/>
      <c r="C1900" s="30"/>
      <c r="D1900" s="30"/>
      <c r="E1900" s="30"/>
      <c r="F1900" s="30"/>
      <c r="G1900" s="30"/>
      <c r="H1900" s="47"/>
      <c r="I1900" s="63"/>
      <c r="J1900" s="31"/>
      <c r="K1900" s="31"/>
      <c r="L1900" s="32"/>
      <c r="M1900" s="32"/>
      <c r="N1900" s="32"/>
    </row>
    <row r="1901" spans="2:14" x14ac:dyDescent="0.25">
      <c r="B1901" s="42"/>
      <c r="C1901" s="30"/>
      <c r="D1901" s="30"/>
      <c r="E1901" s="30"/>
      <c r="F1901" s="30"/>
      <c r="G1901" s="30"/>
      <c r="H1901" s="47"/>
      <c r="I1901" s="63"/>
      <c r="J1901" s="31"/>
      <c r="K1901" s="31"/>
      <c r="L1901" s="32"/>
      <c r="M1901" s="32"/>
      <c r="N1901" s="32"/>
    </row>
    <row r="1902" spans="2:14" x14ac:dyDescent="0.25">
      <c r="B1902" s="42"/>
      <c r="C1902" s="30"/>
      <c r="D1902" s="30"/>
      <c r="E1902" s="30"/>
      <c r="F1902" s="30"/>
      <c r="G1902" s="30"/>
      <c r="H1902" s="47"/>
      <c r="I1902" s="63"/>
      <c r="J1902" s="31"/>
      <c r="K1902" s="31"/>
      <c r="L1902" s="32"/>
      <c r="M1902" s="32"/>
      <c r="N1902" s="32"/>
    </row>
    <row r="1903" spans="2:14" x14ac:dyDescent="0.25">
      <c r="B1903" s="42"/>
      <c r="C1903" s="30"/>
      <c r="D1903" s="30"/>
      <c r="E1903" s="30"/>
      <c r="F1903" s="30"/>
      <c r="G1903" s="30"/>
      <c r="H1903" s="47"/>
      <c r="I1903" s="63"/>
      <c r="J1903" s="31"/>
      <c r="K1903" s="31"/>
      <c r="L1903" s="32"/>
      <c r="M1903" s="32"/>
      <c r="N1903" s="32"/>
    </row>
    <row r="1904" spans="2:14" x14ac:dyDescent="0.25">
      <c r="B1904" s="42"/>
      <c r="C1904" s="30"/>
      <c r="D1904" s="30"/>
      <c r="E1904" s="30"/>
      <c r="F1904" s="30"/>
      <c r="G1904" s="30"/>
      <c r="H1904" s="47"/>
      <c r="I1904" s="63"/>
      <c r="J1904" s="31"/>
      <c r="K1904" s="31"/>
      <c r="L1904" s="32"/>
      <c r="M1904" s="32"/>
      <c r="N1904" s="32"/>
    </row>
    <row r="1905" spans="2:14" x14ac:dyDescent="0.25">
      <c r="B1905" s="42"/>
      <c r="C1905" s="30"/>
      <c r="D1905" s="30"/>
      <c r="E1905" s="30"/>
      <c r="F1905" s="30"/>
      <c r="G1905" s="30"/>
      <c r="H1905" s="47"/>
      <c r="I1905" s="63"/>
      <c r="J1905" s="31"/>
      <c r="K1905" s="31"/>
      <c r="L1905" s="32"/>
      <c r="M1905" s="32"/>
      <c r="N1905" s="32"/>
    </row>
    <row r="1906" spans="2:14" x14ac:dyDescent="0.25">
      <c r="B1906" s="42"/>
      <c r="C1906" s="30"/>
      <c r="D1906" s="30"/>
      <c r="E1906" s="30"/>
      <c r="F1906" s="30"/>
      <c r="G1906" s="30"/>
      <c r="H1906" s="47"/>
      <c r="I1906" s="63"/>
      <c r="J1906" s="31"/>
      <c r="K1906" s="31"/>
      <c r="L1906" s="32"/>
      <c r="M1906" s="32"/>
      <c r="N1906" s="32"/>
    </row>
    <row r="1907" spans="2:14" x14ac:dyDescent="0.25">
      <c r="B1907" s="42"/>
      <c r="C1907" s="30"/>
      <c r="D1907" s="30"/>
      <c r="E1907" s="30"/>
      <c r="F1907" s="30"/>
      <c r="G1907" s="30"/>
      <c r="H1907" s="47"/>
      <c r="I1907" s="63"/>
      <c r="J1907" s="31"/>
      <c r="K1907" s="31"/>
      <c r="L1907" s="32"/>
      <c r="M1907" s="32"/>
      <c r="N1907" s="32"/>
    </row>
    <row r="1908" spans="2:14" x14ac:dyDescent="0.25">
      <c r="B1908" s="42"/>
      <c r="C1908" s="30"/>
      <c r="D1908" s="30"/>
      <c r="E1908" s="30"/>
      <c r="F1908" s="30"/>
      <c r="G1908" s="30"/>
      <c r="H1908" s="47"/>
      <c r="I1908" s="63"/>
      <c r="J1908" s="31"/>
      <c r="K1908" s="31"/>
      <c r="L1908" s="32"/>
      <c r="M1908" s="32"/>
      <c r="N1908" s="32"/>
    </row>
    <row r="1909" spans="2:14" x14ac:dyDescent="0.25">
      <c r="B1909" s="42"/>
      <c r="C1909" s="30"/>
      <c r="D1909" s="30"/>
      <c r="E1909" s="30"/>
      <c r="F1909" s="30"/>
      <c r="G1909" s="30"/>
      <c r="H1909" s="47"/>
      <c r="I1909" s="63"/>
      <c r="J1909" s="31"/>
      <c r="K1909" s="31"/>
      <c r="L1909" s="32"/>
      <c r="M1909" s="32"/>
      <c r="N1909" s="32"/>
    </row>
    <row r="1910" spans="2:14" x14ac:dyDescent="0.25">
      <c r="B1910" s="42"/>
      <c r="C1910" s="30"/>
      <c r="D1910" s="30"/>
      <c r="E1910" s="30"/>
      <c r="F1910" s="30"/>
      <c r="G1910" s="30"/>
      <c r="H1910" s="47"/>
      <c r="I1910" s="63"/>
      <c r="J1910" s="31"/>
      <c r="K1910" s="31"/>
      <c r="L1910" s="32"/>
      <c r="M1910" s="32"/>
      <c r="N1910" s="32"/>
    </row>
    <row r="1911" spans="2:14" x14ac:dyDescent="0.25">
      <c r="B1911" s="42"/>
      <c r="C1911" s="30"/>
      <c r="D1911" s="30"/>
      <c r="E1911" s="30"/>
      <c r="F1911" s="30"/>
      <c r="G1911" s="30"/>
      <c r="H1911" s="47"/>
      <c r="I1911" s="63"/>
      <c r="J1911" s="31"/>
      <c r="K1911" s="31"/>
      <c r="L1911" s="32"/>
      <c r="M1911" s="32"/>
      <c r="N1911" s="32"/>
    </row>
    <row r="1912" spans="2:14" x14ac:dyDescent="0.25">
      <c r="B1912" s="42"/>
      <c r="C1912" s="30"/>
      <c r="D1912" s="30"/>
      <c r="E1912" s="30"/>
      <c r="F1912" s="30"/>
      <c r="G1912" s="30"/>
      <c r="H1912" s="47"/>
      <c r="I1912" s="63"/>
      <c r="J1912" s="31"/>
      <c r="K1912" s="31"/>
      <c r="L1912" s="32"/>
      <c r="M1912" s="32"/>
      <c r="N1912" s="32"/>
    </row>
    <row r="1913" spans="2:14" x14ac:dyDescent="0.25">
      <c r="B1913" s="42"/>
      <c r="C1913" s="30"/>
      <c r="D1913" s="30"/>
      <c r="E1913" s="30"/>
      <c r="F1913" s="30"/>
      <c r="G1913" s="30"/>
      <c r="H1913" s="47"/>
      <c r="I1913" s="63"/>
      <c r="J1913" s="31"/>
      <c r="K1913" s="31"/>
      <c r="L1913" s="32"/>
      <c r="M1913" s="32"/>
      <c r="N1913" s="32"/>
    </row>
    <row r="1914" spans="2:14" x14ac:dyDescent="0.25">
      <c r="B1914" s="42"/>
      <c r="C1914" s="30"/>
      <c r="D1914" s="30"/>
      <c r="E1914" s="30"/>
      <c r="F1914" s="30"/>
      <c r="G1914" s="30"/>
      <c r="H1914" s="47"/>
      <c r="I1914" s="63"/>
      <c r="J1914" s="31"/>
      <c r="K1914" s="31"/>
      <c r="L1914" s="32"/>
      <c r="M1914" s="32"/>
      <c r="N1914" s="32"/>
    </row>
    <row r="1915" spans="2:14" x14ac:dyDescent="0.25">
      <c r="B1915" s="42"/>
      <c r="C1915" s="30"/>
      <c r="D1915" s="30"/>
      <c r="E1915" s="30"/>
      <c r="F1915" s="30"/>
      <c r="G1915" s="30"/>
      <c r="H1915" s="47"/>
      <c r="I1915" s="63"/>
      <c r="J1915" s="31"/>
      <c r="K1915" s="31"/>
      <c r="L1915" s="32"/>
      <c r="M1915" s="32"/>
      <c r="N1915" s="32"/>
    </row>
    <row r="1916" spans="2:14" x14ac:dyDescent="0.25">
      <c r="B1916" s="42"/>
      <c r="C1916" s="30"/>
      <c r="D1916" s="30"/>
      <c r="E1916" s="30"/>
      <c r="F1916" s="30"/>
      <c r="G1916" s="30"/>
      <c r="H1916" s="47"/>
      <c r="I1916" s="63"/>
      <c r="J1916" s="31"/>
      <c r="K1916" s="31"/>
      <c r="L1916" s="32"/>
      <c r="M1916" s="32"/>
      <c r="N1916" s="32"/>
    </row>
    <row r="1917" spans="2:14" x14ac:dyDescent="0.25">
      <c r="B1917" s="42"/>
      <c r="C1917" s="30"/>
      <c r="D1917" s="30"/>
      <c r="E1917" s="30"/>
      <c r="F1917" s="30"/>
      <c r="G1917" s="30"/>
      <c r="H1917" s="47"/>
      <c r="I1917" s="63"/>
      <c r="J1917" s="31"/>
      <c r="K1917" s="31"/>
      <c r="L1917" s="32"/>
      <c r="M1917" s="32"/>
      <c r="N1917" s="32"/>
    </row>
    <row r="1918" spans="2:14" x14ac:dyDescent="0.25">
      <c r="B1918" s="42"/>
      <c r="C1918" s="30"/>
      <c r="D1918" s="30"/>
      <c r="E1918" s="30"/>
      <c r="F1918" s="30"/>
      <c r="G1918" s="30"/>
      <c r="H1918" s="47"/>
      <c r="I1918" s="63"/>
      <c r="J1918" s="31"/>
      <c r="K1918" s="31"/>
      <c r="L1918" s="32"/>
      <c r="M1918" s="32"/>
      <c r="N1918" s="32"/>
    </row>
    <row r="1919" spans="2:14" x14ac:dyDescent="0.25">
      <c r="B1919" s="42"/>
      <c r="C1919" s="30"/>
      <c r="D1919" s="30"/>
      <c r="E1919" s="30"/>
      <c r="F1919" s="30"/>
      <c r="G1919" s="30"/>
      <c r="H1919" s="47"/>
      <c r="I1919" s="63"/>
      <c r="J1919" s="31"/>
      <c r="K1919" s="31"/>
      <c r="L1919" s="32"/>
      <c r="M1919" s="32"/>
      <c r="N1919" s="32"/>
    </row>
    <row r="1920" spans="2:14" x14ac:dyDescent="0.25">
      <c r="B1920" s="42"/>
      <c r="C1920" s="30"/>
      <c r="D1920" s="30"/>
      <c r="E1920" s="30"/>
      <c r="F1920" s="30"/>
      <c r="G1920" s="30"/>
      <c r="H1920" s="47"/>
      <c r="I1920" s="63"/>
      <c r="J1920" s="31"/>
      <c r="K1920" s="31"/>
      <c r="L1920" s="32"/>
      <c r="M1920" s="32"/>
      <c r="N1920" s="32"/>
    </row>
    <row r="1921" spans="2:14" x14ac:dyDescent="0.25">
      <c r="B1921" s="42"/>
      <c r="C1921" s="30"/>
      <c r="D1921" s="30"/>
      <c r="E1921" s="30"/>
      <c r="F1921" s="30"/>
      <c r="G1921" s="30"/>
      <c r="H1921" s="47"/>
      <c r="I1921" s="63"/>
      <c r="J1921" s="31"/>
      <c r="K1921" s="31"/>
      <c r="L1921" s="32"/>
      <c r="M1921" s="32"/>
      <c r="N1921" s="32"/>
    </row>
    <row r="1922" spans="2:14" x14ac:dyDescent="0.25">
      <c r="B1922" s="42"/>
      <c r="C1922" s="30"/>
      <c r="D1922" s="30"/>
      <c r="E1922" s="30"/>
      <c r="F1922" s="30"/>
      <c r="G1922" s="30"/>
      <c r="H1922" s="47"/>
      <c r="I1922" s="63"/>
      <c r="J1922" s="31"/>
      <c r="K1922" s="31"/>
      <c r="L1922" s="32"/>
      <c r="M1922" s="32"/>
      <c r="N1922" s="32"/>
    </row>
    <row r="1923" spans="2:14" x14ac:dyDescent="0.25">
      <c r="B1923" s="42"/>
      <c r="C1923" s="30"/>
      <c r="D1923" s="30"/>
      <c r="E1923" s="30"/>
      <c r="F1923" s="30"/>
      <c r="G1923" s="30"/>
      <c r="H1923" s="47"/>
      <c r="I1923" s="63"/>
      <c r="J1923" s="31"/>
      <c r="K1923" s="31"/>
      <c r="L1923" s="32"/>
      <c r="M1923" s="32"/>
      <c r="N1923" s="32"/>
    </row>
    <row r="1924" spans="2:14" x14ac:dyDescent="0.25">
      <c r="B1924" s="42"/>
      <c r="C1924" s="30"/>
      <c r="D1924" s="30"/>
      <c r="E1924" s="30"/>
      <c r="F1924" s="30"/>
      <c r="G1924" s="30"/>
      <c r="H1924" s="47"/>
      <c r="I1924" s="63"/>
      <c r="J1924" s="31"/>
      <c r="K1924" s="31"/>
      <c r="L1924" s="32"/>
      <c r="M1924" s="32"/>
      <c r="N1924" s="32"/>
    </row>
    <row r="1925" spans="2:14" x14ac:dyDescent="0.25">
      <c r="B1925" s="42"/>
      <c r="C1925" s="30"/>
      <c r="D1925" s="30"/>
      <c r="E1925" s="30"/>
      <c r="F1925" s="30"/>
      <c r="G1925" s="30"/>
      <c r="H1925" s="47"/>
      <c r="I1925" s="63"/>
      <c r="J1925" s="31"/>
      <c r="K1925" s="31"/>
      <c r="L1925" s="32"/>
      <c r="M1925" s="32"/>
      <c r="N1925" s="32"/>
    </row>
    <row r="1926" spans="2:14" x14ac:dyDescent="0.25">
      <c r="B1926" s="42"/>
      <c r="C1926" s="30"/>
      <c r="D1926" s="30"/>
      <c r="E1926" s="30"/>
      <c r="F1926" s="30"/>
      <c r="G1926" s="30"/>
      <c r="H1926" s="47"/>
      <c r="I1926" s="63"/>
      <c r="J1926" s="31"/>
      <c r="K1926" s="31"/>
      <c r="L1926" s="32"/>
      <c r="M1926" s="32"/>
      <c r="N1926" s="32"/>
    </row>
    <row r="1927" spans="2:14" x14ac:dyDescent="0.25">
      <c r="B1927" s="42"/>
      <c r="C1927" s="30"/>
      <c r="D1927" s="30"/>
      <c r="E1927" s="30"/>
      <c r="F1927" s="30"/>
      <c r="G1927" s="30"/>
      <c r="H1927" s="47"/>
      <c r="I1927" s="63"/>
      <c r="J1927" s="31"/>
      <c r="K1927" s="31"/>
      <c r="L1927" s="32"/>
      <c r="M1927" s="32"/>
      <c r="N1927" s="32"/>
    </row>
    <row r="1928" spans="2:14" x14ac:dyDescent="0.25">
      <c r="B1928" s="42"/>
      <c r="C1928" s="30"/>
      <c r="D1928" s="30"/>
      <c r="E1928" s="30"/>
      <c r="F1928" s="30"/>
      <c r="G1928" s="30"/>
      <c r="H1928" s="47"/>
      <c r="I1928" s="63"/>
      <c r="J1928" s="31"/>
      <c r="K1928" s="31"/>
      <c r="L1928" s="32"/>
      <c r="M1928" s="32"/>
      <c r="N1928" s="32"/>
    </row>
    <row r="1929" spans="2:14" x14ac:dyDescent="0.25">
      <c r="B1929" s="42"/>
      <c r="C1929" s="30"/>
      <c r="D1929" s="30"/>
      <c r="E1929" s="30"/>
      <c r="F1929" s="30"/>
      <c r="G1929" s="30"/>
      <c r="H1929" s="47"/>
      <c r="I1929" s="63"/>
      <c r="J1929" s="31"/>
      <c r="K1929" s="31"/>
      <c r="L1929" s="32"/>
      <c r="M1929" s="32"/>
      <c r="N1929" s="32"/>
    </row>
    <row r="1930" spans="2:14" x14ac:dyDescent="0.25">
      <c r="B1930" s="42"/>
      <c r="C1930" s="30"/>
      <c r="D1930" s="30"/>
      <c r="E1930" s="30"/>
      <c r="F1930" s="30"/>
      <c r="G1930" s="30"/>
      <c r="H1930" s="47"/>
      <c r="I1930" s="63"/>
      <c r="J1930" s="31"/>
      <c r="K1930" s="31"/>
      <c r="L1930" s="32"/>
      <c r="M1930" s="32"/>
      <c r="N1930" s="32"/>
    </row>
    <row r="1931" spans="2:14" x14ac:dyDescent="0.25">
      <c r="B1931" s="42"/>
      <c r="C1931" s="30"/>
      <c r="D1931" s="30"/>
      <c r="E1931" s="30"/>
      <c r="F1931" s="30"/>
      <c r="G1931" s="30"/>
      <c r="H1931" s="47"/>
      <c r="I1931" s="63"/>
      <c r="J1931" s="31"/>
      <c r="K1931" s="31"/>
      <c r="L1931" s="32"/>
      <c r="M1931" s="32"/>
      <c r="N1931" s="32"/>
    </row>
    <row r="1932" spans="2:14" x14ac:dyDescent="0.25">
      <c r="B1932" s="42"/>
      <c r="C1932" s="30"/>
      <c r="D1932" s="30"/>
      <c r="E1932" s="30"/>
      <c r="F1932" s="30"/>
      <c r="G1932" s="30"/>
      <c r="H1932" s="47"/>
      <c r="I1932" s="63"/>
      <c r="J1932" s="31"/>
      <c r="K1932" s="31"/>
      <c r="L1932" s="32"/>
      <c r="M1932" s="32"/>
      <c r="N1932" s="32"/>
    </row>
    <row r="1933" spans="2:14" x14ac:dyDescent="0.25">
      <c r="B1933" s="42"/>
      <c r="C1933" s="30"/>
      <c r="D1933" s="30"/>
      <c r="E1933" s="30"/>
      <c r="F1933" s="30"/>
      <c r="G1933" s="30"/>
      <c r="H1933" s="47"/>
      <c r="I1933" s="63"/>
      <c r="J1933" s="31"/>
      <c r="K1933" s="31"/>
      <c r="L1933" s="32"/>
      <c r="M1933" s="32"/>
      <c r="N1933" s="32"/>
    </row>
    <row r="1934" spans="2:14" x14ac:dyDescent="0.25">
      <c r="B1934" s="42"/>
      <c r="C1934" s="30"/>
      <c r="D1934" s="30"/>
      <c r="E1934" s="30"/>
      <c r="F1934" s="30"/>
      <c r="G1934" s="30"/>
      <c r="H1934" s="47"/>
      <c r="I1934" s="63"/>
      <c r="J1934" s="31"/>
      <c r="K1934" s="31"/>
      <c r="L1934" s="32"/>
      <c r="M1934" s="32"/>
      <c r="N1934" s="32"/>
    </row>
    <row r="1935" spans="2:14" x14ac:dyDescent="0.25">
      <c r="B1935" s="42"/>
      <c r="C1935" s="30"/>
      <c r="D1935" s="30"/>
      <c r="E1935" s="30"/>
      <c r="F1935" s="30"/>
      <c r="G1935" s="30"/>
      <c r="H1935" s="47"/>
      <c r="I1935" s="63"/>
      <c r="J1935" s="31"/>
      <c r="K1935" s="31"/>
      <c r="L1935" s="32"/>
      <c r="M1935" s="32"/>
      <c r="N1935" s="32"/>
    </row>
    <row r="1936" spans="2:14" x14ac:dyDescent="0.25">
      <c r="B1936" s="42"/>
      <c r="C1936" s="30"/>
      <c r="D1936" s="30"/>
      <c r="E1936" s="30"/>
      <c r="F1936" s="30"/>
      <c r="G1936" s="30"/>
      <c r="H1936" s="47"/>
      <c r="I1936" s="63"/>
      <c r="J1936" s="31"/>
      <c r="K1936" s="31"/>
      <c r="L1936" s="32"/>
      <c r="M1936" s="32"/>
      <c r="N1936" s="32"/>
    </row>
    <row r="1937" spans="2:14" x14ac:dyDescent="0.25">
      <c r="B1937" s="42"/>
      <c r="C1937" s="30"/>
      <c r="D1937" s="30"/>
      <c r="E1937" s="30"/>
      <c r="F1937" s="30"/>
      <c r="G1937" s="30"/>
      <c r="H1937" s="47"/>
      <c r="I1937" s="63"/>
      <c r="J1937" s="31"/>
      <c r="K1937" s="31"/>
      <c r="L1937" s="32"/>
      <c r="M1937" s="32"/>
      <c r="N1937" s="32"/>
    </row>
    <row r="1938" spans="2:14" x14ac:dyDescent="0.25">
      <c r="B1938" s="42"/>
      <c r="C1938" s="30"/>
      <c r="D1938" s="30"/>
      <c r="E1938" s="30"/>
      <c r="F1938" s="30"/>
      <c r="G1938" s="30"/>
      <c r="H1938" s="47"/>
      <c r="I1938" s="63"/>
      <c r="J1938" s="31"/>
      <c r="K1938" s="31"/>
      <c r="L1938" s="32"/>
      <c r="M1938" s="32"/>
      <c r="N1938" s="32"/>
    </row>
    <row r="1939" spans="2:14" x14ac:dyDescent="0.25">
      <c r="B1939" s="42"/>
      <c r="C1939" s="30"/>
      <c r="D1939" s="30"/>
      <c r="E1939" s="30"/>
      <c r="F1939" s="30"/>
      <c r="G1939" s="30"/>
      <c r="H1939" s="47"/>
      <c r="I1939" s="63"/>
      <c r="J1939" s="31"/>
      <c r="K1939" s="31"/>
      <c r="L1939" s="32"/>
      <c r="M1939" s="32"/>
      <c r="N1939" s="32"/>
    </row>
    <row r="1940" spans="2:14" x14ac:dyDescent="0.25">
      <c r="B1940" s="42"/>
      <c r="C1940" s="30"/>
      <c r="D1940" s="30"/>
      <c r="E1940" s="30"/>
      <c r="F1940" s="30"/>
      <c r="G1940" s="30"/>
      <c r="H1940" s="47"/>
      <c r="I1940" s="63"/>
      <c r="J1940" s="31"/>
      <c r="K1940" s="31"/>
      <c r="L1940" s="32"/>
      <c r="M1940" s="32"/>
      <c r="N1940" s="32"/>
    </row>
    <row r="1941" spans="2:14" x14ac:dyDescent="0.25">
      <c r="B1941" s="42"/>
      <c r="C1941" s="30"/>
      <c r="D1941" s="30"/>
      <c r="E1941" s="30"/>
      <c r="F1941" s="30"/>
      <c r="G1941" s="30"/>
      <c r="H1941" s="47"/>
      <c r="I1941" s="63"/>
      <c r="J1941" s="31"/>
      <c r="K1941" s="31"/>
      <c r="L1941" s="32"/>
      <c r="M1941" s="32"/>
      <c r="N1941" s="32"/>
    </row>
    <row r="1942" spans="2:14" x14ac:dyDescent="0.25">
      <c r="B1942" s="42"/>
      <c r="C1942" s="30"/>
      <c r="D1942" s="30"/>
      <c r="E1942" s="30"/>
      <c r="F1942" s="30"/>
      <c r="G1942" s="30"/>
      <c r="H1942" s="47"/>
      <c r="I1942" s="63"/>
      <c r="J1942" s="31"/>
      <c r="K1942" s="31"/>
      <c r="L1942" s="32"/>
      <c r="M1942" s="32"/>
      <c r="N1942" s="32"/>
    </row>
    <row r="1943" spans="2:14" x14ac:dyDescent="0.25">
      <c r="B1943" s="42"/>
      <c r="C1943" s="30"/>
      <c r="D1943" s="30"/>
      <c r="E1943" s="30"/>
      <c r="F1943" s="30"/>
      <c r="G1943" s="30"/>
      <c r="H1943" s="47"/>
      <c r="I1943" s="63"/>
      <c r="J1943" s="31"/>
      <c r="K1943" s="31"/>
      <c r="L1943" s="32"/>
      <c r="M1943" s="32"/>
      <c r="N1943" s="32"/>
    </row>
    <row r="1944" spans="2:14" x14ac:dyDescent="0.25">
      <c r="B1944" s="42"/>
      <c r="C1944" s="30"/>
      <c r="D1944" s="30"/>
      <c r="E1944" s="30"/>
      <c r="F1944" s="30"/>
      <c r="G1944" s="30"/>
      <c r="H1944" s="47"/>
      <c r="I1944" s="63"/>
      <c r="J1944" s="31"/>
      <c r="K1944" s="31"/>
      <c r="L1944" s="32"/>
      <c r="M1944" s="32"/>
      <c r="N1944" s="32"/>
    </row>
    <row r="1945" spans="2:14" x14ac:dyDescent="0.25">
      <c r="B1945" s="42"/>
      <c r="C1945" s="30"/>
      <c r="D1945" s="30"/>
      <c r="E1945" s="30"/>
      <c r="F1945" s="30"/>
      <c r="G1945" s="30"/>
      <c r="H1945" s="47"/>
      <c r="I1945" s="63"/>
      <c r="J1945" s="31"/>
      <c r="K1945" s="31"/>
      <c r="L1945" s="32"/>
      <c r="M1945" s="32"/>
      <c r="N1945" s="32"/>
    </row>
    <row r="1946" spans="2:14" x14ac:dyDescent="0.25">
      <c r="B1946" s="42"/>
      <c r="C1946" s="30"/>
      <c r="D1946" s="30"/>
      <c r="E1946" s="30"/>
      <c r="F1946" s="30"/>
      <c r="G1946" s="30"/>
      <c r="H1946" s="47"/>
      <c r="I1946" s="63"/>
      <c r="J1946" s="31"/>
      <c r="K1946" s="31"/>
      <c r="L1946" s="32"/>
      <c r="M1946" s="32"/>
      <c r="N1946" s="32"/>
    </row>
    <row r="1947" spans="2:14" x14ac:dyDescent="0.25">
      <c r="B1947" s="42"/>
      <c r="C1947" s="30"/>
      <c r="D1947" s="30"/>
      <c r="E1947" s="30"/>
      <c r="F1947" s="30"/>
      <c r="G1947" s="30"/>
      <c r="H1947" s="47"/>
      <c r="I1947" s="63"/>
      <c r="J1947" s="31"/>
      <c r="K1947" s="31"/>
      <c r="L1947" s="32"/>
      <c r="M1947" s="32"/>
      <c r="N1947" s="32"/>
    </row>
    <row r="1948" spans="2:14" x14ac:dyDescent="0.25">
      <c r="B1948" s="42"/>
      <c r="C1948" s="30"/>
      <c r="D1948" s="30"/>
      <c r="E1948" s="30"/>
      <c r="F1948" s="30"/>
      <c r="G1948" s="30"/>
      <c r="H1948" s="47"/>
      <c r="I1948" s="63"/>
      <c r="J1948" s="31"/>
      <c r="K1948" s="31"/>
      <c r="L1948" s="32"/>
      <c r="M1948" s="32"/>
      <c r="N1948" s="32"/>
    </row>
    <row r="1949" spans="2:14" x14ac:dyDescent="0.25">
      <c r="B1949" s="42"/>
      <c r="C1949" s="30"/>
      <c r="D1949" s="30"/>
      <c r="E1949" s="30"/>
      <c r="F1949" s="30"/>
      <c r="G1949" s="30"/>
      <c r="H1949" s="47"/>
      <c r="I1949" s="63"/>
      <c r="J1949" s="31"/>
      <c r="K1949" s="31"/>
      <c r="L1949" s="32"/>
      <c r="M1949" s="32"/>
      <c r="N1949" s="32"/>
    </row>
    <row r="1950" spans="2:14" x14ac:dyDescent="0.25">
      <c r="B1950" s="42"/>
      <c r="C1950" s="30"/>
      <c r="D1950" s="30"/>
      <c r="E1950" s="30"/>
      <c r="F1950" s="30"/>
      <c r="G1950" s="30"/>
      <c r="H1950" s="47"/>
      <c r="I1950" s="63"/>
      <c r="J1950" s="31"/>
      <c r="K1950" s="31"/>
      <c r="L1950" s="32"/>
      <c r="M1950" s="32"/>
      <c r="N1950" s="32"/>
    </row>
    <row r="1951" spans="2:14" x14ac:dyDescent="0.25">
      <c r="B1951" s="42"/>
      <c r="C1951" s="30"/>
      <c r="D1951" s="30"/>
      <c r="E1951" s="30"/>
      <c r="F1951" s="30"/>
      <c r="G1951" s="30"/>
      <c r="H1951" s="47"/>
      <c r="I1951" s="63"/>
      <c r="J1951" s="31"/>
      <c r="K1951" s="31"/>
      <c r="L1951" s="32"/>
      <c r="M1951" s="32"/>
      <c r="N1951" s="32"/>
    </row>
    <row r="1952" spans="2:14" x14ac:dyDescent="0.25">
      <c r="B1952" s="42"/>
      <c r="C1952" s="30"/>
      <c r="D1952" s="30"/>
      <c r="E1952" s="30"/>
      <c r="F1952" s="30"/>
      <c r="G1952" s="30"/>
      <c r="H1952" s="47"/>
      <c r="I1952" s="63"/>
      <c r="J1952" s="31"/>
      <c r="K1952" s="31"/>
      <c r="L1952" s="32"/>
      <c r="M1952" s="32"/>
      <c r="N1952" s="32"/>
    </row>
    <row r="1953" spans="2:14" x14ac:dyDescent="0.25">
      <c r="B1953" s="42"/>
      <c r="C1953" s="30"/>
      <c r="D1953" s="30"/>
      <c r="E1953" s="30"/>
      <c r="F1953" s="30"/>
      <c r="G1953" s="30"/>
      <c r="H1953" s="47"/>
      <c r="I1953" s="63"/>
      <c r="J1953" s="31"/>
      <c r="K1953" s="31"/>
      <c r="L1953" s="32"/>
      <c r="M1953" s="32"/>
      <c r="N1953" s="32"/>
    </row>
    <row r="1954" spans="2:14" x14ac:dyDescent="0.25">
      <c r="B1954" s="42"/>
      <c r="C1954" s="30"/>
      <c r="D1954" s="30"/>
      <c r="E1954" s="30"/>
      <c r="F1954" s="30"/>
      <c r="G1954" s="30"/>
      <c r="H1954" s="47"/>
      <c r="I1954" s="63"/>
      <c r="J1954" s="31"/>
      <c r="K1954" s="31"/>
      <c r="L1954" s="32"/>
      <c r="M1954" s="32"/>
      <c r="N1954" s="32"/>
    </row>
    <row r="1955" spans="2:14" x14ac:dyDescent="0.25">
      <c r="B1955" s="42"/>
      <c r="C1955" s="30"/>
      <c r="D1955" s="30"/>
      <c r="E1955" s="30"/>
      <c r="F1955" s="30"/>
      <c r="G1955" s="30"/>
      <c r="H1955" s="47"/>
      <c r="I1955" s="63"/>
      <c r="J1955" s="31"/>
      <c r="K1955" s="31"/>
      <c r="L1955" s="32"/>
      <c r="M1955" s="32"/>
      <c r="N1955" s="32"/>
    </row>
    <row r="1956" spans="2:14" x14ac:dyDescent="0.25">
      <c r="B1956" s="42"/>
      <c r="C1956" s="30"/>
      <c r="D1956" s="30"/>
      <c r="E1956" s="30"/>
      <c r="F1956" s="30"/>
      <c r="G1956" s="30"/>
      <c r="H1956" s="47"/>
      <c r="I1956" s="63"/>
      <c r="J1956" s="31"/>
      <c r="K1956" s="31"/>
      <c r="L1956" s="32"/>
      <c r="M1956" s="32"/>
      <c r="N1956" s="32"/>
    </row>
    <row r="1957" spans="2:14" x14ac:dyDescent="0.25">
      <c r="B1957" s="42"/>
      <c r="C1957" s="30"/>
      <c r="D1957" s="30"/>
      <c r="E1957" s="30"/>
      <c r="F1957" s="30"/>
      <c r="G1957" s="30"/>
      <c r="H1957" s="47"/>
      <c r="I1957" s="63"/>
      <c r="J1957" s="31"/>
      <c r="K1957" s="31"/>
      <c r="L1957" s="32"/>
      <c r="M1957" s="32"/>
      <c r="N1957" s="32"/>
    </row>
    <row r="1958" spans="2:14" x14ac:dyDescent="0.25">
      <c r="B1958" s="42"/>
      <c r="C1958" s="30"/>
      <c r="D1958" s="30"/>
      <c r="E1958" s="30"/>
      <c r="F1958" s="30"/>
      <c r="G1958" s="30"/>
      <c r="H1958" s="47"/>
      <c r="I1958" s="63"/>
      <c r="J1958" s="31"/>
      <c r="K1958" s="31"/>
      <c r="L1958" s="32"/>
      <c r="M1958" s="32"/>
      <c r="N1958" s="32"/>
    </row>
    <row r="1959" spans="2:14" x14ac:dyDescent="0.25">
      <c r="B1959" s="42"/>
      <c r="C1959" s="30"/>
      <c r="D1959" s="30"/>
      <c r="E1959" s="30"/>
      <c r="F1959" s="30"/>
      <c r="G1959" s="30"/>
      <c r="H1959" s="47"/>
      <c r="I1959" s="63"/>
      <c r="J1959" s="31"/>
      <c r="K1959" s="31"/>
      <c r="L1959" s="32"/>
      <c r="M1959" s="32"/>
      <c r="N1959" s="32"/>
    </row>
    <row r="1960" spans="2:14" x14ac:dyDescent="0.25">
      <c r="B1960" s="42"/>
      <c r="C1960" s="30"/>
      <c r="D1960" s="30"/>
      <c r="E1960" s="30"/>
      <c r="F1960" s="30"/>
      <c r="G1960" s="30"/>
      <c r="H1960" s="47"/>
      <c r="I1960" s="63"/>
      <c r="J1960" s="31"/>
      <c r="K1960" s="31"/>
      <c r="L1960" s="32"/>
      <c r="M1960" s="32"/>
      <c r="N1960" s="32"/>
    </row>
    <row r="1961" spans="2:14" x14ac:dyDescent="0.25">
      <c r="B1961" s="42"/>
      <c r="C1961" s="30"/>
      <c r="D1961" s="30"/>
      <c r="E1961" s="30"/>
      <c r="F1961" s="30"/>
      <c r="G1961" s="30"/>
      <c r="H1961" s="47"/>
      <c r="I1961" s="63"/>
      <c r="J1961" s="31"/>
      <c r="K1961" s="31"/>
      <c r="L1961" s="32"/>
      <c r="M1961" s="32"/>
      <c r="N1961" s="32"/>
    </row>
    <row r="1962" spans="2:14" x14ac:dyDescent="0.25">
      <c r="B1962" s="42"/>
      <c r="C1962" s="30"/>
      <c r="D1962" s="30"/>
      <c r="E1962" s="30"/>
      <c r="F1962" s="30"/>
      <c r="G1962" s="30"/>
      <c r="H1962" s="47"/>
      <c r="I1962" s="63"/>
      <c r="J1962" s="31"/>
      <c r="K1962" s="31"/>
      <c r="L1962" s="32"/>
      <c r="M1962" s="32"/>
      <c r="N1962" s="32"/>
    </row>
    <row r="1963" spans="2:14" x14ac:dyDescent="0.25">
      <c r="B1963" s="42"/>
      <c r="C1963" s="30"/>
      <c r="D1963" s="30"/>
      <c r="E1963" s="30"/>
      <c r="F1963" s="30"/>
      <c r="G1963" s="30"/>
      <c r="H1963" s="47"/>
      <c r="I1963" s="63"/>
      <c r="J1963" s="31"/>
      <c r="K1963" s="31"/>
      <c r="L1963" s="32"/>
      <c r="M1963" s="32"/>
      <c r="N1963" s="32"/>
    </row>
    <row r="1964" spans="2:14" x14ac:dyDescent="0.25">
      <c r="B1964" s="42"/>
      <c r="C1964" s="30"/>
      <c r="D1964" s="30"/>
      <c r="E1964" s="30"/>
      <c r="F1964" s="30"/>
      <c r="G1964" s="30"/>
      <c r="H1964" s="47"/>
      <c r="I1964" s="63"/>
      <c r="J1964" s="31"/>
      <c r="K1964" s="31"/>
      <c r="L1964" s="32"/>
      <c r="M1964" s="32"/>
      <c r="N1964" s="32"/>
    </row>
    <row r="1965" spans="2:14" x14ac:dyDescent="0.25">
      <c r="B1965" s="42"/>
      <c r="C1965" s="30"/>
      <c r="D1965" s="30"/>
      <c r="E1965" s="30"/>
      <c r="F1965" s="30"/>
      <c r="G1965" s="30"/>
      <c r="H1965" s="47"/>
      <c r="I1965" s="63"/>
      <c r="J1965" s="31"/>
      <c r="K1965" s="31"/>
      <c r="L1965" s="32"/>
      <c r="M1965" s="32"/>
      <c r="N1965" s="32"/>
    </row>
    <row r="1966" spans="2:14" x14ac:dyDescent="0.25">
      <c r="B1966" s="42"/>
      <c r="C1966" s="30"/>
      <c r="D1966" s="30"/>
      <c r="E1966" s="30"/>
      <c r="F1966" s="30"/>
      <c r="G1966" s="30"/>
      <c r="H1966" s="47"/>
      <c r="I1966" s="63"/>
      <c r="J1966" s="31"/>
      <c r="K1966" s="31"/>
      <c r="L1966" s="32"/>
      <c r="M1966" s="32"/>
      <c r="N1966" s="32"/>
    </row>
    <row r="1967" spans="2:14" x14ac:dyDescent="0.25">
      <c r="B1967" s="42"/>
      <c r="C1967" s="30"/>
      <c r="D1967" s="30"/>
      <c r="E1967" s="30"/>
      <c r="F1967" s="30"/>
      <c r="G1967" s="30"/>
      <c r="H1967" s="47"/>
      <c r="I1967" s="63"/>
      <c r="J1967" s="31"/>
      <c r="K1967" s="31"/>
      <c r="L1967" s="32"/>
      <c r="M1967" s="32"/>
      <c r="N1967" s="32"/>
    </row>
    <row r="1968" spans="2:14" x14ac:dyDescent="0.25">
      <c r="B1968" s="42"/>
      <c r="C1968" s="30"/>
      <c r="D1968" s="30"/>
      <c r="E1968" s="30"/>
      <c r="F1968" s="30"/>
      <c r="G1968" s="30"/>
      <c r="H1968" s="47"/>
      <c r="I1968" s="63"/>
      <c r="J1968" s="31"/>
      <c r="K1968" s="31"/>
      <c r="L1968" s="32"/>
      <c r="M1968" s="32"/>
      <c r="N1968" s="32"/>
    </row>
    <row r="1969" spans="2:14" x14ac:dyDescent="0.25">
      <c r="B1969" s="42"/>
      <c r="C1969" s="30"/>
      <c r="D1969" s="30"/>
      <c r="E1969" s="30"/>
      <c r="F1969" s="30"/>
      <c r="G1969" s="30"/>
      <c r="H1969" s="47"/>
      <c r="I1969" s="63"/>
      <c r="J1969" s="31"/>
      <c r="K1969" s="31"/>
      <c r="L1969" s="32"/>
      <c r="M1969" s="32"/>
      <c r="N1969" s="32"/>
    </row>
    <row r="1970" spans="2:14" x14ac:dyDescent="0.25">
      <c r="B1970" s="42"/>
      <c r="C1970" s="30"/>
      <c r="D1970" s="30"/>
      <c r="E1970" s="30"/>
      <c r="F1970" s="30"/>
      <c r="G1970" s="30"/>
      <c r="H1970" s="47"/>
      <c r="I1970" s="63"/>
      <c r="J1970" s="31"/>
      <c r="K1970" s="31"/>
      <c r="L1970" s="32"/>
      <c r="M1970" s="32"/>
      <c r="N1970" s="32"/>
    </row>
    <row r="1971" spans="2:14" x14ac:dyDescent="0.25">
      <c r="B1971" s="42"/>
      <c r="C1971" s="30"/>
      <c r="D1971" s="30"/>
      <c r="E1971" s="30"/>
      <c r="F1971" s="30"/>
      <c r="G1971" s="30"/>
      <c r="H1971" s="47"/>
      <c r="I1971" s="63"/>
      <c r="J1971" s="31"/>
      <c r="K1971" s="31"/>
      <c r="L1971" s="32"/>
      <c r="M1971" s="32"/>
      <c r="N1971" s="32"/>
    </row>
    <row r="1972" spans="2:14" x14ac:dyDescent="0.25">
      <c r="B1972" s="42"/>
      <c r="C1972" s="30"/>
      <c r="D1972" s="30"/>
      <c r="E1972" s="30"/>
      <c r="F1972" s="30"/>
      <c r="G1972" s="30"/>
      <c r="H1972" s="47"/>
      <c r="I1972" s="63"/>
      <c r="J1972" s="31"/>
      <c r="K1972" s="31"/>
      <c r="L1972" s="32"/>
      <c r="M1972" s="32"/>
      <c r="N1972" s="32"/>
    </row>
    <row r="1973" spans="2:14" x14ac:dyDescent="0.25">
      <c r="B1973" s="42"/>
      <c r="C1973" s="30"/>
      <c r="D1973" s="30"/>
      <c r="E1973" s="30"/>
      <c r="F1973" s="30"/>
      <c r="G1973" s="30"/>
      <c r="H1973" s="47"/>
      <c r="I1973" s="63"/>
      <c r="J1973" s="31"/>
      <c r="K1973" s="31"/>
      <c r="L1973" s="32"/>
      <c r="M1973" s="32"/>
      <c r="N1973" s="32"/>
    </row>
    <row r="1974" spans="2:14" x14ac:dyDescent="0.25">
      <c r="B1974" s="42"/>
      <c r="C1974" s="30"/>
      <c r="D1974" s="30"/>
      <c r="E1974" s="30"/>
      <c r="F1974" s="30"/>
      <c r="G1974" s="30"/>
      <c r="H1974" s="47"/>
      <c r="I1974" s="63"/>
      <c r="J1974" s="31"/>
      <c r="K1974" s="31"/>
      <c r="L1974" s="32"/>
      <c r="M1974" s="32"/>
      <c r="N1974" s="32"/>
    </row>
    <row r="1975" spans="2:14" x14ac:dyDescent="0.25">
      <c r="B1975" s="42"/>
      <c r="C1975" s="30"/>
      <c r="D1975" s="30"/>
      <c r="E1975" s="30"/>
      <c r="F1975" s="30"/>
      <c r="G1975" s="30"/>
      <c r="H1975" s="47"/>
      <c r="I1975" s="63"/>
      <c r="J1975" s="31"/>
      <c r="K1975" s="31"/>
      <c r="L1975" s="32"/>
      <c r="M1975" s="32"/>
      <c r="N1975" s="32"/>
    </row>
    <row r="1976" spans="2:14" x14ac:dyDescent="0.25">
      <c r="B1976" s="42"/>
      <c r="C1976" s="30"/>
      <c r="D1976" s="30"/>
      <c r="E1976" s="30"/>
      <c r="F1976" s="30"/>
      <c r="G1976" s="30"/>
      <c r="H1976" s="47"/>
      <c r="I1976" s="63"/>
      <c r="J1976" s="31"/>
      <c r="K1976" s="31"/>
      <c r="L1976" s="32"/>
      <c r="M1976" s="32"/>
      <c r="N1976" s="32"/>
    </row>
    <row r="1977" spans="2:14" x14ac:dyDescent="0.25">
      <c r="B1977" s="42"/>
      <c r="C1977" s="30"/>
      <c r="D1977" s="30"/>
      <c r="E1977" s="30"/>
      <c r="F1977" s="30"/>
      <c r="G1977" s="30"/>
      <c r="H1977" s="47"/>
      <c r="I1977" s="63"/>
      <c r="J1977" s="31"/>
      <c r="K1977" s="31"/>
      <c r="L1977" s="32"/>
      <c r="M1977" s="32"/>
      <c r="N1977" s="32"/>
    </row>
    <row r="1978" spans="2:14" x14ac:dyDescent="0.25">
      <c r="B1978" s="42"/>
      <c r="C1978" s="30"/>
      <c r="D1978" s="30"/>
      <c r="E1978" s="30"/>
      <c r="F1978" s="30"/>
      <c r="G1978" s="30"/>
      <c r="H1978" s="47"/>
      <c r="I1978" s="63"/>
      <c r="J1978" s="31"/>
      <c r="K1978" s="31"/>
      <c r="L1978" s="32"/>
      <c r="M1978" s="32"/>
      <c r="N1978" s="32"/>
    </row>
    <row r="1979" spans="2:14" x14ac:dyDescent="0.25">
      <c r="B1979" s="42"/>
      <c r="C1979" s="30"/>
      <c r="D1979" s="30"/>
      <c r="E1979" s="30"/>
      <c r="F1979" s="30"/>
      <c r="G1979" s="30"/>
      <c r="H1979" s="47"/>
      <c r="I1979" s="63"/>
      <c r="J1979" s="31"/>
      <c r="K1979" s="31"/>
      <c r="L1979" s="32"/>
      <c r="M1979" s="32"/>
      <c r="N1979" s="32"/>
    </row>
    <row r="1980" spans="2:14" x14ac:dyDescent="0.25">
      <c r="B1980" s="42"/>
      <c r="C1980" s="30"/>
      <c r="D1980" s="30"/>
      <c r="E1980" s="30"/>
      <c r="F1980" s="30"/>
      <c r="G1980" s="30"/>
      <c r="H1980" s="47"/>
      <c r="I1980" s="63"/>
      <c r="J1980" s="31"/>
      <c r="K1980" s="31"/>
      <c r="L1980" s="32"/>
      <c r="M1980" s="32"/>
      <c r="N1980" s="32"/>
    </row>
    <row r="1981" spans="2:14" x14ac:dyDescent="0.25">
      <c r="B1981" s="42"/>
      <c r="C1981" s="30"/>
      <c r="D1981" s="30"/>
      <c r="E1981" s="30"/>
      <c r="F1981" s="30"/>
      <c r="G1981" s="30"/>
      <c r="H1981" s="47"/>
      <c r="I1981" s="63"/>
      <c r="J1981" s="31"/>
      <c r="K1981" s="31"/>
      <c r="L1981" s="32"/>
      <c r="M1981" s="32"/>
      <c r="N1981" s="32"/>
    </row>
    <row r="1982" spans="2:14" x14ac:dyDescent="0.25">
      <c r="B1982" s="42"/>
      <c r="C1982" s="30"/>
      <c r="D1982" s="30"/>
      <c r="E1982" s="30"/>
      <c r="F1982" s="30"/>
      <c r="G1982" s="30"/>
      <c r="H1982" s="47"/>
      <c r="I1982" s="63"/>
      <c r="J1982" s="31"/>
      <c r="K1982" s="31"/>
      <c r="L1982" s="32"/>
      <c r="M1982" s="32"/>
      <c r="N1982" s="32"/>
    </row>
    <row r="1983" spans="2:14" x14ac:dyDescent="0.25">
      <c r="B1983" s="42"/>
      <c r="C1983" s="30"/>
      <c r="D1983" s="30"/>
      <c r="E1983" s="30"/>
      <c r="F1983" s="30"/>
      <c r="G1983" s="30"/>
      <c r="H1983" s="47"/>
      <c r="I1983" s="63"/>
      <c r="J1983" s="31"/>
      <c r="K1983" s="31"/>
      <c r="L1983" s="32"/>
      <c r="M1983" s="32"/>
      <c r="N1983" s="32"/>
    </row>
    <row r="1984" spans="2:14" x14ac:dyDescent="0.25">
      <c r="B1984" s="42"/>
      <c r="C1984" s="30"/>
      <c r="D1984" s="30"/>
      <c r="E1984" s="30"/>
      <c r="F1984" s="30"/>
      <c r="G1984" s="30"/>
      <c r="H1984" s="47"/>
      <c r="I1984" s="63"/>
      <c r="J1984" s="31"/>
      <c r="K1984" s="31"/>
      <c r="L1984" s="32"/>
      <c r="M1984" s="32"/>
      <c r="N1984" s="32"/>
    </row>
    <row r="1985" spans="2:14" x14ac:dyDescent="0.25">
      <c r="B1985" s="42"/>
      <c r="C1985" s="30"/>
      <c r="D1985" s="30"/>
      <c r="E1985" s="30"/>
      <c r="F1985" s="30"/>
      <c r="G1985" s="30"/>
      <c r="H1985" s="47"/>
      <c r="I1985" s="63"/>
      <c r="J1985" s="31"/>
      <c r="K1985" s="31"/>
      <c r="L1985" s="32"/>
      <c r="M1985" s="32"/>
      <c r="N1985" s="32"/>
    </row>
    <row r="1986" spans="2:14" x14ac:dyDescent="0.25">
      <c r="B1986" s="42"/>
      <c r="C1986" s="30"/>
      <c r="D1986" s="30"/>
      <c r="E1986" s="30"/>
      <c r="F1986" s="30"/>
      <c r="G1986" s="30"/>
      <c r="H1986" s="47"/>
      <c r="I1986" s="63"/>
      <c r="J1986" s="31"/>
      <c r="K1986" s="31"/>
      <c r="L1986" s="32"/>
      <c r="M1986" s="32"/>
      <c r="N1986" s="32"/>
    </row>
    <row r="1987" spans="2:14" x14ac:dyDescent="0.25">
      <c r="B1987" s="42"/>
      <c r="C1987" s="30"/>
      <c r="D1987" s="30"/>
      <c r="E1987" s="30"/>
      <c r="F1987" s="30"/>
      <c r="G1987" s="30"/>
      <c r="H1987" s="47"/>
      <c r="I1987" s="63"/>
      <c r="J1987" s="31"/>
      <c r="K1987" s="31"/>
      <c r="L1987" s="32"/>
      <c r="M1987" s="32"/>
      <c r="N1987" s="32"/>
    </row>
    <row r="1988" spans="2:14" x14ac:dyDescent="0.25">
      <c r="B1988" s="42"/>
      <c r="C1988" s="30"/>
      <c r="D1988" s="30"/>
      <c r="E1988" s="30"/>
      <c r="F1988" s="30"/>
      <c r="G1988" s="30"/>
      <c r="H1988" s="47"/>
      <c r="I1988" s="63"/>
      <c r="J1988" s="31"/>
      <c r="K1988" s="31"/>
      <c r="L1988" s="32"/>
      <c r="M1988" s="32"/>
      <c r="N1988" s="32"/>
    </row>
    <row r="1989" spans="2:14" x14ac:dyDescent="0.25">
      <c r="B1989" s="42"/>
      <c r="C1989" s="30"/>
      <c r="D1989" s="30"/>
      <c r="E1989" s="30"/>
      <c r="F1989" s="30"/>
      <c r="G1989" s="30"/>
      <c r="H1989" s="47"/>
      <c r="I1989" s="63"/>
      <c r="J1989" s="31"/>
      <c r="K1989" s="31"/>
      <c r="L1989" s="32"/>
      <c r="M1989" s="32"/>
      <c r="N1989" s="32"/>
    </row>
    <row r="1990" spans="2:14" x14ac:dyDescent="0.25">
      <c r="B1990" s="42"/>
      <c r="C1990" s="30"/>
      <c r="D1990" s="30"/>
      <c r="E1990" s="30"/>
      <c r="F1990" s="30"/>
      <c r="G1990" s="30"/>
      <c r="H1990" s="47"/>
      <c r="I1990" s="63"/>
      <c r="J1990" s="31"/>
      <c r="K1990" s="31"/>
      <c r="L1990" s="32"/>
      <c r="M1990" s="32"/>
      <c r="N1990" s="32"/>
    </row>
    <row r="1991" spans="2:14" x14ac:dyDescent="0.25">
      <c r="B1991" s="42"/>
      <c r="C1991" s="30"/>
      <c r="D1991" s="30"/>
      <c r="E1991" s="30"/>
      <c r="F1991" s="30"/>
      <c r="G1991" s="30"/>
      <c r="H1991" s="47"/>
      <c r="I1991" s="63"/>
      <c r="J1991" s="31"/>
      <c r="K1991" s="31"/>
      <c r="L1991" s="32"/>
      <c r="M1991" s="32"/>
      <c r="N1991" s="32"/>
    </row>
    <row r="1992" spans="2:14" x14ac:dyDescent="0.25">
      <c r="B1992" s="42"/>
      <c r="C1992" s="30"/>
      <c r="D1992" s="30"/>
      <c r="E1992" s="30"/>
      <c r="F1992" s="30"/>
      <c r="G1992" s="30"/>
      <c r="H1992" s="47"/>
      <c r="I1992" s="63"/>
      <c r="J1992" s="31"/>
      <c r="K1992" s="31"/>
      <c r="L1992" s="32"/>
      <c r="M1992" s="32"/>
      <c r="N1992" s="32"/>
    </row>
    <row r="1993" spans="2:14" x14ac:dyDescent="0.25">
      <c r="B1993" s="42"/>
      <c r="C1993" s="30"/>
      <c r="D1993" s="30"/>
      <c r="E1993" s="30"/>
      <c r="F1993" s="30"/>
      <c r="G1993" s="30"/>
      <c r="H1993" s="47"/>
      <c r="I1993" s="63"/>
      <c r="J1993" s="31"/>
      <c r="K1993" s="31"/>
      <c r="L1993" s="32"/>
      <c r="M1993" s="32"/>
      <c r="N1993" s="32"/>
    </row>
    <row r="1994" spans="2:14" x14ac:dyDescent="0.25">
      <c r="B1994" s="42"/>
      <c r="C1994" s="30"/>
      <c r="D1994" s="30"/>
      <c r="E1994" s="30"/>
      <c r="F1994" s="30"/>
      <c r="G1994" s="30"/>
      <c r="H1994" s="47"/>
      <c r="I1994" s="63"/>
      <c r="J1994" s="31"/>
      <c r="K1994" s="31"/>
      <c r="L1994" s="32"/>
      <c r="M1994" s="32"/>
      <c r="N1994" s="32"/>
    </row>
    <row r="1995" spans="2:14" x14ac:dyDescent="0.25">
      <c r="B1995" s="42"/>
      <c r="C1995" s="30"/>
      <c r="D1995" s="30"/>
      <c r="E1995" s="30"/>
      <c r="F1995" s="30"/>
      <c r="G1995" s="30"/>
      <c r="H1995" s="47"/>
      <c r="I1995" s="63"/>
      <c r="J1995" s="31"/>
      <c r="K1995" s="31"/>
      <c r="L1995" s="32"/>
      <c r="M1995" s="32"/>
      <c r="N1995" s="32"/>
    </row>
    <row r="1996" spans="2:14" x14ac:dyDescent="0.25">
      <c r="B1996" s="42"/>
      <c r="C1996" s="30"/>
      <c r="D1996" s="30"/>
      <c r="E1996" s="30"/>
      <c r="F1996" s="30"/>
      <c r="G1996" s="30"/>
      <c r="H1996" s="47"/>
      <c r="I1996" s="63"/>
      <c r="J1996" s="31"/>
      <c r="K1996" s="31"/>
      <c r="L1996" s="32"/>
      <c r="M1996" s="32"/>
      <c r="N1996" s="32"/>
    </row>
    <row r="1997" spans="2:14" x14ac:dyDescent="0.25">
      <c r="B1997" s="42"/>
      <c r="C1997" s="30"/>
      <c r="D1997" s="30"/>
      <c r="E1997" s="30"/>
      <c r="F1997" s="30"/>
      <c r="G1997" s="30"/>
      <c r="H1997" s="47"/>
      <c r="I1997" s="63"/>
      <c r="J1997" s="31"/>
      <c r="K1997" s="31"/>
      <c r="L1997" s="32"/>
      <c r="M1997" s="32"/>
      <c r="N1997" s="32"/>
    </row>
    <row r="1998" spans="2:14" x14ac:dyDescent="0.25">
      <c r="B1998" s="42"/>
      <c r="C1998" s="30"/>
      <c r="D1998" s="30"/>
      <c r="E1998" s="30"/>
      <c r="F1998" s="30"/>
      <c r="G1998" s="30"/>
      <c r="H1998" s="47"/>
      <c r="I1998" s="63"/>
      <c r="J1998" s="31"/>
      <c r="K1998" s="31"/>
      <c r="L1998" s="32"/>
      <c r="M1998" s="32"/>
      <c r="N1998" s="32"/>
    </row>
    <row r="1999" spans="2:14" x14ac:dyDescent="0.25">
      <c r="B1999" s="42"/>
      <c r="C1999" s="30"/>
      <c r="D1999" s="30"/>
      <c r="E1999" s="30"/>
      <c r="F1999" s="30"/>
      <c r="G1999" s="30"/>
      <c r="H1999" s="47"/>
      <c r="I1999" s="63"/>
      <c r="J1999" s="31"/>
      <c r="K1999" s="31"/>
      <c r="L1999" s="32"/>
      <c r="M1999" s="32"/>
      <c r="N1999" s="32"/>
    </row>
    <row r="2000" spans="2:14" x14ac:dyDescent="0.25">
      <c r="B2000" s="42"/>
      <c r="C2000" s="30"/>
      <c r="D2000" s="30"/>
      <c r="E2000" s="30"/>
      <c r="F2000" s="30"/>
      <c r="G2000" s="30"/>
      <c r="H2000" s="47"/>
      <c r="I2000" s="63"/>
      <c r="J2000" s="31"/>
      <c r="K2000" s="31"/>
      <c r="L2000" s="32"/>
      <c r="M2000" s="32"/>
      <c r="N2000" s="32"/>
    </row>
    <row r="2001" spans="2:14" x14ac:dyDescent="0.25">
      <c r="B2001" s="42"/>
      <c r="C2001" s="30"/>
      <c r="D2001" s="30"/>
      <c r="E2001" s="30"/>
      <c r="F2001" s="30"/>
      <c r="G2001" s="30"/>
      <c r="H2001" s="47"/>
      <c r="I2001" s="63"/>
      <c r="J2001" s="31"/>
      <c r="K2001" s="31"/>
      <c r="L2001" s="32"/>
      <c r="M2001" s="32"/>
      <c r="N2001" s="32"/>
    </row>
    <row r="2002" spans="2:14" x14ac:dyDescent="0.25">
      <c r="B2002" s="42"/>
      <c r="C2002" s="30"/>
      <c r="D2002" s="30"/>
      <c r="E2002" s="30"/>
      <c r="F2002" s="30"/>
      <c r="G2002" s="30"/>
      <c r="H2002" s="47"/>
      <c r="I2002" s="63"/>
      <c r="J2002" s="31"/>
      <c r="K2002" s="31"/>
      <c r="L2002" s="32"/>
      <c r="M2002" s="32"/>
      <c r="N2002" s="32"/>
    </row>
    <row r="2003" spans="2:14" x14ac:dyDescent="0.25">
      <c r="B2003" s="42"/>
      <c r="C2003" s="30"/>
      <c r="D2003" s="30"/>
      <c r="E2003" s="30"/>
      <c r="F2003" s="30"/>
      <c r="G2003" s="30"/>
      <c r="H2003" s="47"/>
      <c r="I2003" s="63"/>
      <c r="J2003" s="31"/>
      <c r="K2003" s="31"/>
      <c r="L2003" s="32"/>
      <c r="M2003" s="32"/>
      <c r="N2003" s="32"/>
    </row>
    <row r="2004" spans="2:14" x14ac:dyDescent="0.25">
      <c r="B2004" s="42"/>
      <c r="C2004" s="30"/>
      <c r="D2004" s="30"/>
      <c r="E2004" s="30"/>
      <c r="F2004" s="30"/>
      <c r="G2004" s="30"/>
      <c r="H2004" s="47"/>
      <c r="I2004" s="63"/>
      <c r="J2004" s="31"/>
      <c r="K2004" s="31"/>
      <c r="L2004" s="32"/>
      <c r="M2004" s="32"/>
      <c r="N2004" s="32"/>
    </row>
    <row r="2005" spans="2:14" x14ac:dyDescent="0.25">
      <c r="B2005" s="42"/>
      <c r="C2005" s="30"/>
      <c r="D2005" s="30"/>
      <c r="E2005" s="30"/>
      <c r="F2005" s="30"/>
      <c r="G2005" s="30"/>
      <c r="H2005" s="47"/>
      <c r="I2005" s="63"/>
      <c r="J2005" s="31"/>
      <c r="K2005" s="31"/>
      <c r="L2005" s="32"/>
      <c r="M2005" s="32"/>
      <c r="N2005" s="32"/>
    </row>
    <row r="2006" spans="2:14" x14ac:dyDescent="0.25">
      <c r="B2006" s="42"/>
      <c r="C2006" s="30"/>
      <c r="D2006" s="30"/>
      <c r="E2006" s="30"/>
      <c r="F2006" s="30"/>
      <c r="G2006" s="30"/>
      <c r="H2006" s="47"/>
      <c r="I2006" s="63"/>
      <c r="J2006" s="31"/>
      <c r="K2006" s="31"/>
      <c r="L2006" s="32"/>
      <c r="M2006" s="32"/>
      <c r="N2006" s="32"/>
    </row>
    <row r="2007" spans="2:14" x14ac:dyDescent="0.25">
      <c r="B2007" s="42"/>
      <c r="C2007" s="30"/>
      <c r="D2007" s="30"/>
      <c r="E2007" s="30"/>
      <c r="F2007" s="30"/>
      <c r="G2007" s="30"/>
      <c r="H2007" s="47"/>
      <c r="I2007" s="63"/>
      <c r="J2007" s="31"/>
      <c r="K2007" s="31"/>
      <c r="L2007" s="32"/>
      <c r="M2007" s="32"/>
      <c r="N2007" s="32"/>
    </row>
    <row r="2008" spans="2:14" x14ac:dyDescent="0.25">
      <c r="B2008" s="42"/>
      <c r="C2008" s="30"/>
      <c r="D2008" s="30"/>
      <c r="E2008" s="30"/>
      <c r="F2008" s="30"/>
      <c r="G2008" s="30"/>
      <c r="H2008" s="47"/>
      <c r="I2008" s="63"/>
      <c r="J2008" s="31"/>
      <c r="K2008" s="31"/>
      <c r="L2008" s="32"/>
      <c r="M2008" s="32"/>
      <c r="N2008" s="32"/>
    </row>
    <row r="2009" spans="2:14" x14ac:dyDescent="0.25">
      <c r="B2009" s="42"/>
      <c r="C2009" s="30"/>
      <c r="D2009" s="30"/>
      <c r="E2009" s="30"/>
      <c r="F2009" s="30"/>
      <c r="G2009" s="30"/>
      <c r="H2009" s="47"/>
      <c r="I2009" s="63"/>
      <c r="J2009" s="31"/>
      <c r="K2009" s="31"/>
      <c r="L2009" s="32"/>
      <c r="M2009" s="32"/>
      <c r="N2009" s="32"/>
    </row>
    <row r="2010" spans="2:14" x14ac:dyDescent="0.25">
      <c r="B2010" s="42"/>
      <c r="C2010" s="30"/>
      <c r="D2010" s="30"/>
      <c r="E2010" s="30"/>
      <c r="F2010" s="30"/>
      <c r="G2010" s="30"/>
      <c r="H2010" s="47"/>
      <c r="I2010" s="63"/>
      <c r="J2010" s="31"/>
      <c r="K2010" s="31"/>
      <c r="L2010" s="32"/>
      <c r="M2010" s="32"/>
      <c r="N2010" s="32"/>
    </row>
    <row r="2011" spans="2:14" x14ac:dyDescent="0.25">
      <c r="B2011" s="42"/>
      <c r="C2011" s="30"/>
      <c r="D2011" s="30"/>
      <c r="E2011" s="30"/>
      <c r="F2011" s="30"/>
      <c r="G2011" s="30"/>
      <c r="H2011" s="47"/>
      <c r="I2011" s="63"/>
      <c r="J2011" s="31"/>
      <c r="K2011" s="31"/>
      <c r="L2011" s="32"/>
      <c r="M2011" s="32"/>
      <c r="N2011" s="32"/>
    </row>
    <row r="2012" spans="2:14" x14ac:dyDescent="0.25">
      <c r="B2012" s="42"/>
      <c r="C2012" s="30"/>
      <c r="D2012" s="30"/>
      <c r="E2012" s="30"/>
      <c r="F2012" s="30"/>
      <c r="G2012" s="30"/>
      <c r="H2012" s="47"/>
      <c r="I2012" s="63"/>
      <c r="J2012" s="31"/>
      <c r="K2012" s="31"/>
      <c r="L2012" s="32"/>
      <c r="M2012" s="32"/>
      <c r="N2012" s="32"/>
    </row>
    <row r="2013" spans="2:14" x14ac:dyDescent="0.25">
      <c r="B2013" s="42"/>
      <c r="C2013" s="30"/>
      <c r="D2013" s="30"/>
      <c r="E2013" s="30"/>
      <c r="F2013" s="30"/>
      <c r="G2013" s="30"/>
      <c r="H2013" s="47"/>
      <c r="I2013" s="63"/>
      <c r="J2013" s="31"/>
      <c r="K2013" s="31"/>
      <c r="L2013" s="32"/>
      <c r="M2013" s="32"/>
      <c r="N2013" s="32"/>
    </row>
    <row r="2014" spans="2:14" x14ac:dyDescent="0.25">
      <c r="B2014" s="42"/>
      <c r="C2014" s="30"/>
      <c r="D2014" s="30"/>
      <c r="E2014" s="30"/>
      <c r="F2014" s="30"/>
      <c r="G2014" s="30"/>
      <c r="H2014" s="47"/>
      <c r="I2014" s="63"/>
      <c r="J2014" s="31"/>
      <c r="K2014" s="31"/>
      <c r="L2014" s="32"/>
      <c r="M2014" s="32"/>
      <c r="N2014" s="32"/>
    </row>
    <row r="2015" spans="2:14" x14ac:dyDescent="0.25">
      <c r="B2015" s="42"/>
      <c r="C2015" s="30"/>
      <c r="D2015" s="30"/>
      <c r="E2015" s="30"/>
      <c r="F2015" s="30"/>
      <c r="G2015" s="30"/>
      <c r="H2015" s="47"/>
      <c r="I2015" s="63"/>
      <c r="J2015" s="31"/>
      <c r="K2015" s="31"/>
      <c r="L2015" s="32"/>
      <c r="M2015" s="32"/>
      <c r="N2015" s="32"/>
    </row>
    <row r="2016" spans="2:14" x14ac:dyDescent="0.25">
      <c r="B2016" s="42"/>
      <c r="C2016" s="30"/>
      <c r="D2016" s="30"/>
      <c r="E2016" s="30"/>
      <c r="F2016" s="30"/>
      <c r="G2016" s="30"/>
      <c r="H2016" s="47"/>
      <c r="I2016" s="63"/>
      <c r="J2016" s="31"/>
      <c r="K2016" s="31"/>
      <c r="L2016" s="32"/>
      <c r="M2016" s="32"/>
      <c r="N2016" s="32"/>
    </row>
    <row r="2017" spans="2:14" x14ac:dyDescent="0.25">
      <c r="B2017" s="42"/>
      <c r="C2017" s="30"/>
      <c r="D2017" s="30"/>
      <c r="E2017" s="30"/>
      <c r="F2017" s="30"/>
      <c r="G2017" s="30"/>
      <c r="H2017" s="47"/>
      <c r="I2017" s="63"/>
      <c r="J2017" s="31"/>
      <c r="K2017" s="31"/>
      <c r="L2017" s="32"/>
      <c r="M2017" s="32"/>
      <c r="N2017" s="32"/>
    </row>
    <row r="2018" spans="2:14" x14ac:dyDescent="0.25">
      <c r="B2018" s="42"/>
      <c r="C2018" s="30"/>
      <c r="D2018" s="30"/>
      <c r="E2018" s="30"/>
      <c r="F2018" s="30"/>
      <c r="G2018" s="30"/>
      <c r="H2018" s="47"/>
      <c r="I2018" s="63"/>
      <c r="J2018" s="31"/>
      <c r="K2018" s="31"/>
      <c r="L2018" s="32"/>
      <c r="M2018" s="32"/>
      <c r="N2018" s="32"/>
    </row>
    <row r="2019" spans="2:14" x14ac:dyDescent="0.25">
      <c r="B2019" s="42"/>
      <c r="C2019" s="30"/>
      <c r="D2019" s="30"/>
      <c r="E2019" s="30"/>
      <c r="F2019" s="30"/>
      <c r="G2019" s="30"/>
      <c r="H2019" s="47"/>
      <c r="I2019" s="63"/>
      <c r="J2019" s="31"/>
      <c r="K2019" s="31"/>
      <c r="L2019" s="32"/>
      <c r="M2019" s="32"/>
      <c r="N2019" s="32"/>
    </row>
    <row r="2020" spans="2:14" x14ac:dyDescent="0.25">
      <c r="B2020" s="42"/>
      <c r="C2020" s="30"/>
      <c r="D2020" s="30"/>
      <c r="E2020" s="30"/>
      <c r="F2020" s="30"/>
      <c r="G2020" s="30"/>
      <c r="H2020" s="47"/>
      <c r="I2020" s="63"/>
      <c r="J2020" s="31"/>
      <c r="K2020" s="31"/>
      <c r="L2020" s="32"/>
      <c r="M2020" s="32"/>
      <c r="N2020" s="32"/>
    </row>
    <row r="2021" spans="2:14" x14ac:dyDescent="0.25">
      <c r="B2021" s="42"/>
      <c r="C2021" s="30"/>
      <c r="D2021" s="30"/>
      <c r="E2021" s="30"/>
      <c r="F2021" s="30"/>
      <c r="G2021" s="30"/>
      <c r="H2021" s="47"/>
      <c r="I2021" s="63"/>
      <c r="J2021" s="31"/>
      <c r="K2021" s="31"/>
      <c r="L2021" s="32"/>
      <c r="M2021" s="32"/>
      <c r="N2021" s="32"/>
    </row>
    <row r="2022" spans="2:14" x14ac:dyDescent="0.25">
      <c r="B2022" s="42"/>
      <c r="C2022" s="30"/>
      <c r="D2022" s="30"/>
      <c r="E2022" s="30"/>
      <c r="F2022" s="30"/>
      <c r="G2022" s="30"/>
      <c r="H2022" s="47"/>
      <c r="I2022" s="63"/>
      <c r="J2022" s="31"/>
      <c r="K2022" s="31"/>
      <c r="L2022" s="32"/>
      <c r="M2022" s="32"/>
      <c r="N2022" s="32"/>
    </row>
    <row r="2023" spans="2:14" x14ac:dyDescent="0.25">
      <c r="B2023" s="42"/>
      <c r="C2023" s="30"/>
      <c r="D2023" s="30"/>
      <c r="E2023" s="30"/>
      <c r="F2023" s="30"/>
      <c r="G2023" s="30"/>
      <c r="H2023" s="47"/>
      <c r="I2023" s="63"/>
      <c r="J2023" s="31"/>
      <c r="K2023" s="31"/>
      <c r="L2023" s="32"/>
      <c r="M2023" s="32"/>
      <c r="N2023" s="32"/>
    </row>
    <row r="2024" spans="2:14" x14ac:dyDescent="0.25">
      <c r="B2024" s="42"/>
      <c r="C2024" s="30"/>
      <c r="D2024" s="30"/>
      <c r="E2024" s="30"/>
      <c r="F2024" s="30"/>
      <c r="G2024" s="30"/>
      <c r="H2024" s="47"/>
      <c r="I2024" s="63"/>
      <c r="J2024" s="31"/>
      <c r="K2024" s="31"/>
      <c r="L2024" s="32"/>
      <c r="M2024" s="32"/>
      <c r="N2024" s="32"/>
    </row>
    <row r="2025" spans="2:14" x14ac:dyDescent="0.25">
      <c r="B2025" s="42"/>
      <c r="C2025" s="30"/>
      <c r="D2025" s="30"/>
      <c r="E2025" s="30"/>
      <c r="F2025" s="30"/>
      <c r="G2025" s="30"/>
      <c r="H2025" s="47"/>
      <c r="I2025" s="63"/>
      <c r="J2025" s="31"/>
      <c r="K2025" s="31"/>
      <c r="L2025" s="32"/>
      <c r="M2025" s="32"/>
      <c r="N2025" s="32"/>
    </row>
    <row r="2026" spans="2:14" x14ac:dyDescent="0.25">
      <c r="B2026" s="42"/>
      <c r="C2026" s="30"/>
      <c r="D2026" s="30"/>
      <c r="E2026" s="30"/>
      <c r="F2026" s="30"/>
      <c r="G2026" s="30"/>
      <c r="H2026" s="47"/>
      <c r="I2026" s="63"/>
      <c r="J2026" s="31"/>
      <c r="K2026" s="31"/>
      <c r="L2026" s="32"/>
      <c r="M2026" s="32"/>
      <c r="N2026" s="32"/>
    </row>
    <row r="2027" spans="2:14" x14ac:dyDescent="0.25">
      <c r="B2027" s="42"/>
      <c r="C2027" s="30"/>
      <c r="D2027" s="30"/>
      <c r="E2027" s="30"/>
      <c r="F2027" s="30"/>
      <c r="G2027" s="30"/>
      <c r="H2027" s="47"/>
      <c r="I2027" s="63"/>
      <c r="J2027" s="31"/>
      <c r="K2027" s="31"/>
      <c r="L2027" s="32"/>
      <c r="M2027" s="32"/>
      <c r="N2027" s="32"/>
    </row>
    <row r="2028" spans="2:14" x14ac:dyDescent="0.25">
      <c r="B2028" s="42"/>
      <c r="C2028" s="30"/>
      <c r="D2028" s="30"/>
      <c r="E2028" s="30"/>
      <c r="F2028" s="30"/>
      <c r="G2028" s="30"/>
      <c r="H2028" s="47"/>
      <c r="I2028" s="63"/>
      <c r="J2028" s="31"/>
      <c r="K2028" s="31"/>
      <c r="L2028" s="32"/>
      <c r="M2028" s="32"/>
      <c r="N2028" s="32"/>
    </row>
    <row r="2029" spans="2:14" x14ac:dyDescent="0.25">
      <c r="B2029" s="42"/>
      <c r="C2029" s="30"/>
      <c r="D2029" s="30"/>
      <c r="E2029" s="30"/>
      <c r="F2029" s="30"/>
      <c r="G2029" s="30"/>
      <c r="H2029" s="47"/>
      <c r="I2029" s="63"/>
      <c r="J2029" s="31"/>
      <c r="K2029" s="31"/>
      <c r="L2029" s="32"/>
      <c r="M2029" s="32"/>
      <c r="N2029" s="32"/>
    </row>
    <row r="2030" spans="2:14" x14ac:dyDescent="0.25">
      <c r="B2030" s="42"/>
      <c r="C2030" s="30"/>
      <c r="D2030" s="30"/>
      <c r="E2030" s="30"/>
      <c r="F2030" s="30"/>
      <c r="G2030" s="30"/>
      <c r="H2030" s="47"/>
      <c r="I2030" s="63"/>
      <c r="J2030" s="31"/>
      <c r="K2030" s="31"/>
      <c r="L2030" s="32"/>
      <c r="M2030" s="32"/>
      <c r="N2030" s="32"/>
    </row>
    <row r="2031" spans="2:14" x14ac:dyDescent="0.25">
      <c r="B2031" s="42"/>
      <c r="C2031" s="30"/>
      <c r="D2031" s="30"/>
      <c r="E2031" s="30"/>
      <c r="F2031" s="30"/>
      <c r="G2031" s="30"/>
      <c r="H2031" s="47"/>
      <c r="I2031" s="63"/>
      <c r="J2031" s="31"/>
      <c r="K2031" s="31"/>
      <c r="L2031" s="32"/>
      <c r="M2031" s="32"/>
      <c r="N2031" s="32"/>
    </row>
    <row r="2032" spans="2:14" x14ac:dyDescent="0.25">
      <c r="B2032" s="42"/>
      <c r="C2032" s="30"/>
      <c r="D2032" s="30"/>
      <c r="E2032" s="30"/>
      <c r="F2032" s="30"/>
      <c r="G2032" s="30"/>
      <c r="H2032" s="47"/>
      <c r="I2032" s="63"/>
      <c r="J2032" s="31"/>
      <c r="K2032" s="31"/>
      <c r="L2032" s="32"/>
      <c r="M2032" s="32"/>
      <c r="N2032" s="32"/>
    </row>
    <row r="2033" spans="2:14" x14ac:dyDescent="0.25">
      <c r="B2033" s="42"/>
      <c r="C2033" s="30"/>
      <c r="D2033" s="30"/>
      <c r="E2033" s="30"/>
      <c r="F2033" s="30"/>
      <c r="G2033" s="30"/>
      <c r="H2033" s="47"/>
      <c r="I2033" s="63"/>
      <c r="J2033" s="31"/>
      <c r="K2033" s="31"/>
      <c r="L2033" s="32"/>
      <c r="M2033" s="32"/>
      <c r="N2033" s="32"/>
    </row>
    <row r="2034" spans="2:14" x14ac:dyDescent="0.25">
      <c r="B2034" s="42"/>
      <c r="C2034" s="30"/>
      <c r="D2034" s="30"/>
      <c r="E2034" s="30"/>
      <c r="F2034" s="30"/>
      <c r="G2034" s="30"/>
      <c r="H2034" s="47"/>
      <c r="I2034" s="63"/>
      <c r="J2034" s="31"/>
      <c r="K2034" s="31"/>
      <c r="L2034" s="32"/>
      <c r="M2034" s="32"/>
      <c r="N2034" s="32"/>
    </row>
    <row r="2035" spans="2:14" x14ac:dyDescent="0.25">
      <c r="B2035" s="42"/>
      <c r="C2035" s="30"/>
      <c r="D2035" s="30"/>
      <c r="E2035" s="30"/>
      <c r="F2035" s="30"/>
      <c r="G2035" s="30"/>
      <c r="H2035" s="47"/>
      <c r="I2035" s="63"/>
      <c r="J2035" s="31"/>
      <c r="K2035" s="31"/>
      <c r="L2035" s="32"/>
      <c r="M2035" s="32"/>
      <c r="N2035" s="32"/>
    </row>
    <row r="2036" spans="2:14" x14ac:dyDescent="0.25">
      <c r="B2036" s="42"/>
      <c r="C2036" s="30"/>
      <c r="D2036" s="30"/>
      <c r="E2036" s="30"/>
      <c r="F2036" s="30"/>
      <c r="G2036" s="30"/>
      <c r="H2036" s="47"/>
      <c r="I2036" s="63"/>
      <c r="J2036" s="31"/>
      <c r="K2036" s="31"/>
      <c r="L2036" s="32"/>
      <c r="M2036" s="32"/>
      <c r="N2036" s="32"/>
    </row>
    <row r="2037" spans="2:14" x14ac:dyDescent="0.25">
      <c r="B2037" s="42"/>
      <c r="C2037" s="30"/>
      <c r="D2037" s="30"/>
      <c r="E2037" s="30"/>
      <c r="F2037" s="30"/>
      <c r="G2037" s="30"/>
      <c r="H2037" s="47"/>
      <c r="I2037" s="63"/>
      <c r="J2037" s="31"/>
      <c r="K2037" s="31"/>
      <c r="L2037" s="32"/>
      <c r="M2037" s="32"/>
      <c r="N2037" s="32"/>
    </row>
    <row r="2038" spans="2:14" x14ac:dyDescent="0.25">
      <c r="B2038" s="42"/>
      <c r="C2038" s="30"/>
      <c r="D2038" s="30"/>
      <c r="E2038" s="30"/>
      <c r="F2038" s="30"/>
      <c r="G2038" s="30"/>
      <c r="H2038" s="47"/>
      <c r="I2038" s="63"/>
      <c r="J2038" s="31"/>
      <c r="K2038" s="31"/>
      <c r="L2038" s="32"/>
      <c r="M2038" s="32"/>
      <c r="N2038" s="32"/>
    </row>
    <row r="2039" spans="2:14" x14ac:dyDescent="0.25">
      <c r="B2039" s="42"/>
      <c r="C2039" s="30"/>
      <c r="D2039" s="30"/>
      <c r="E2039" s="30"/>
      <c r="F2039" s="30"/>
      <c r="G2039" s="30"/>
      <c r="H2039" s="47"/>
      <c r="I2039" s="63"/>
      <c r="J2039" s="31"/>
      <c r="K2039" s="31"/>
      <c r="L2039" s="32"/>
      <c r="M2039" s="32"/>
      <c r="N2039" s="32"/>
    </row>
    <row r="2040" spans="2:14" x14ac:dyDescent="0.25">
      <c r="B2040" s="42"/>
      <c r="C2040" s="30"/>
      <c r="D2040" s="30"/>
      <c r="E2040" s="30"/>
      <c r="F2040" s="30"/>
      <c r="G2040" s="30"/>
      <c r="H2040" s="47"/>
      <c r="I2040" s="63"/>
      <c r="J2040" s="31"/>
      <c r="K2040" s="31"/>
      <c r="L2040" s="32"/>
      <c r="M2040" s="32"/>
      <c r="N2040" s="32"/>
    </row>
    <row r="2041" spans="2:14" x14ac:dyDescent="0.25">
      <c r="B2041" s="42"/>
      <c r="C2041" s="30"/>
      <c r="D2041" s="30"/>
      <c r="E2041" s="30"/>
      <c r="F2041" s="30"/>
      <c r="G2041" s="30"/>
      <c r="H2041" s="47"/>
      <c r="I2041" s="63"/>
      <c r="J2041" s="31"/>
      <c r="K2041" s="31"/>
      <c r="L2041" s="32"/>
      <c r="M2041" s="32"/>
      <c r="N2041" s="32"/>
    </row>
    <row r="2042" spans="2:14" x14ac:dyDescent="0.25">
      <c r="B2042" s="42"/>
      <c r="C2042" s="30"/>
      <c r="D2042" s="30"/>
      <c r="E2042" s="30"/>
      <c r="F2042" s="30"/>
      <c r="G2042" s="30"/>
      <c r="H2042" s="47"/>
      <c r="I2042" s="63"/>
      <c r="J2042" s="31"/>
      <c r="K2042" s="31"/>
      <c r="L2042" s="32"/>
      <c r="M2042" s="32"/>
      <c r="N2042" s="32"/>
    </row>
    <row r="2043" spans="2:14" x14ac:dyDescent="0.25">
      <c r="B2043" s="42"/>
      <c r="C2043" s="30"/>
      <c r="D2043" s="30"/>
      <c r="E2043" s="30"/>
      <c r="F2043" s="30"/>
      <c r="G2043" s="30"/>
      <c r="H2043" s="47"/>
      <c r="I2043" s="63"/>
      <c r="J2043" s="31"/>
      <c r="K2043" s="31"/>
      <c r="L2043" s="32"/>
      <c r="M2043" s="32"/>
      <c r="N2043" s="32"/>
    </row>
    <row r="2044" spans="2:14" x14ac:dyDescent="0.25">
      <c r="B2044" s="42"/>
      <c r="C2044" s="30"/>
      <c r="D2044" s="30"/>
      <c r="E2044" s="30"/>
      <c r="F2044" s="30"/>
      <c r="G2044" s="30"/>
      <c r="H2044" s="47"/>
      <c r="I2044" s="63"/>
      <c r="J2044" s="31"/>
      <c r="K2044" s="31"/>
      <c r="L2044" s="32"/>
      <c r="M2044" s="32"/>
      <c r="N2044" s="32"/>
    </row>
    <row r="2045" spans="2:14" x14ac:dyDescent="0.25">
      <c r="B2045" s="42"/>
      <c r="C2045" s="30"/>
      <c r="D2045" s="30"/>
      <c r="E2045" s="30"/>
      <c r="F2045" s="30"/>
      <c r="G2045" s="30"/>
      <c r="H2045" s="47"/>
      <c r="I2045" s="63"/>
      <c r="J2045" s="31"/>
      <c r="K2045" s="31"/>
      <c r="L2045" s="32"/>
      <c r="M2045" s="32"/>
      <c r="N2045" s="32"/>
    </row>
    <row r="2046" spans="2:14" x14ac:dyDescent="0.25">
      <c r="B2046" s="42"/>
      <c r="C2046" s="30"/>
      <c r="D2046" s="30"/>
      <c r="E2046" s="30"/>
      <c r="F2046" s="30"/>
      <c r="G2046" s="30"/>
      <c r="H2046" s="47"/>
      <c r="I2046" s="63"/>
      <c r="J2046" s="31"/>
      <c r="K2046" s="31"/>
      <c r="L2046" s="32"/>
      <c r="M2046" s="32"/>
      <c r="N2046" s="32"/>
    </row>
    <row r="2047" spans="2:14" x14ac:dyDescent="0.25">
      <c r="B2047" s="42"/>
      <c r="C2047" s="30"/>
      <c r="D2047" s="30"/>
      <c r="E2047" s="30"/>
      <c r="F2047" s="30"/>
      <c r="G2047" s="30"/>
      <c r="H2047" s="47"/>
      <c r="I2047" s="63"/>
      <c r="J2047" s="31"/>
      <c r="K2047" s="31"/>
      <c r="L2047" s="32"/>
      <c r="M2047" s="32"/>
      <c r="N2047" s="32"/>
    </row>
    <row r="2048" spans="2:14" x14ac:dyDescent="0.25">
      <c r="B2048" s="42"/>
      <c r="C2048" s="30"/>
      <c r="D2048" s="30"/>
      <c r="E2048" s="30"/>
      <c r="F2048" s="30"/>
      <c r="G2048" s="30"/>
      <c r="H2048" s="47"/>
      <c r="I2048" s="63"/>
      <c r="J2048" s="31"/>
      <c r="K2048" s="31"/>
      <c r="L2048" s="32"/>
      <c r="M2048" s="32"/>
      <c r="N2048" s="32"/>
    </row>
    <row r="2049" spans="2:14" x14ac:dyDescent="0.25">
      <c r="B2049" s="42"/>
      <c r="C2049" s="30"/>
      <c r="D2049" s="30"/>
      <c r="E2049" s="30"/>
      <c r="F2049" s="30"/>
      <c r="G2049" s="30"/>
      <c r="H2049" s="47"/>
      <c r="I2049" s="63"/>
      <c r="J2049" s="31"/>
      <c r="K2049" s="31"/>
      <c r="L2049" s="32"/>
      <c r="M2049" s="32"/>
      <c r="N2049" s="32"/>
    </row>
    <row r="2050" spans="2:14" x14ac:dyDescent="0.25">
      <c r="B2050" s="42"/>
      <c r="C2050" s="30"/>
      <c r="D2050" s="30"/>
      <c r="E2050" s="30"/>
      <c r="F2050" s="30"/>
      <c r="G2050" s="30"/>
      <c r="H2050" s="47"/>
      <c r="I2050" s="63"/>
      <c r="J2050" s="31"/>
      <c r="K2050" s="31"/>
      <c r="L2050" s="32"/>
      <c r="M2050" s="32"/>
      <c r="N2050" s="32"/>
    </row>
    <row r="2051" spans="2:14" x14ac:dyDescent="0.25">
      <c r="B2051" s="42"/>
      <c r="C2051" s="30"/>
      <c r="D2051" s="30"/>
      <c r="E2051" s="30"/>
      <c r="F2051" s="30"/>
      <c r="G2051" s="30"/>
      <c r="H2051" s="47"/>
      <c r="I2051" s="63"/>
      <c r="J2051" s="31"/>
      <c r="K2051" s="31"/>
      <c r="L2051" s="32"/>
      <c r="M2051" s="32"/>
      <c r="N2051" s="32"/>
    </row>
    <row r="2052" spans="2:14" x14ac:dyDescent="0.25">
      <c r="B2052" s="42"/>
      <c r="C2052" s="30"/>
      <c r="D2052" s="30"/>
      <c r="E2052" s="30"/>
      <c r="F2052" s="30"/>
      <c r="G2052" s="30"/>
      <c r="H2052" s="47"/>
      <c r="I2052" s="63"/>
      <c r="J2052" s="31"/>
      <c r="K2052" s="31"/>
      <c r="L2052" s="32"/>
      <c r="M2052" s="32"/>
      <c r="N2052" s="32"/>
    </row>
    <row r="2053" spans="2:14" x14ac:dyDescent="0.25">
      <c r="B2053" s="42"/>
      <c r="C2053" s="30"/>
      <c r="D2053" s="30"/>
      <c r="E2053" s="30"/>
      <c r="F2053" s="30"/>
      <c r="G2053" s="30"/>
      <c r="H2053" s="47"/>
      <c r="I2053" s="63"/>
      <c r="J2053" s="31"/>
      <c r="K2053" s="31"/>
      <c r="L2053" s="32"/>
      <c r="M2053" s="32"/>
      <c r="N2053" s="32"/>
    </row>
    <row r="2054" spans="2:14" x14ac:dyDescent="0.25">
      <c r="B2054" s="42"/>
      <c r="C2054" s="30"/>
      <c r="D2054" s="30"/>
      <c r="E2054" s="30"/>
      <c r="F2054" s="30"/>
      <c r="G2054" s="30"/>
      <c r="H2054" s="47"/>
      <c r="I2054" s="63"/>
      <c r="J2054" s="31"/>
      <c r="K2054" s="31"/>
      <c r="L2054" s="32"/>
      <c r="M2054" s="32"/>
      <c r="N2054" s="32"/>
    </row>
    <row r="2055" spans="2:14" x14ac:dyDescent="0.25">
      <c r="B2055" s="42"/>
      <c r="C2055" s="30"/>
      <c r="D2055" s="30"/>
      <c r="E2055" s="30"/>
      <c r="F2055" s="30"/>
      <c r="G2055" s="30"/>
      <c r="H2055" s="47"/>
      <c r="I2055" s="63"/>
      <c r="J2055" s="31"/>
      <c r="K2055" s="31"/>
      <c r="L2055" s="32"/>
      <c r="M2055" s="32"/>
      <c r="N2055" s="32"/>
    </row>
    <row r="2056" spans="2:14" x14ac:dyDescent="0.25">
      <c r="B2056" s="42"/>
      <c r="C2056" s="30"/>
      <c r="D2056" s="30"/>
      <c r="E2056" s="30"/>
      <c r="F2056" s="30"/>
      <c r="G2056" s="30"/>
      <c r="H2056" s="47"/>
      <c r="I2056" s="63"/>
      <c r="J2056" s="31"/>
      <c r="K2056" s="31"/>
      <c r="L2056" s="32"/>
      <c r="M2056" s="32"/>
      <c r="N2056" s="32"/>
    </row>
    <row r="2057" spans="2:14" x14ac:dyDescent="0.25">
      <c r="B2057" s="42"/>
      <c r="C2057" s="30"/>
      <c r="D2057" s="30"/>
      <c r="E2057" s="30"/>
      <c r="F2057" s="30"/>
      <c r="G2057" s="30"/>
      <c r="H2057" s="47"/>
      <c r="I2057" s="63"/>
      <c r="J2057" s="31"/>
      <c r="K2057" s="31"/>
      <c r="L2057" s="32"/>
      <c r="M2057" s="32"/>
      <c r="N2057" s="32"/>
    </row>
    <row r="2058" spans="2:14" x14ac:dyDescent="0.25">
      <c r="B2058" s="42"/>
      <c r="C2058" s="30"/>
      <c r="D2058" s="30"/>
      <c r="E2058" s="30"/>
      <c r="F2058" s="30"/>
      <c r="G2058" s="30"/>
      <c r="H2058" s="47"/>
      <c r="I2058" s="63"/>
      <c r="J2058" s="31"/>
      <c r="K2058" s="31"/>
      <c r="L2058" s="32"/>
      <c r="M2058" s="32"/>
      <c r="N2058" s="32"/>
    </row>
    <row r="2059" spans="2:14" x14ac:dyDescent="0.25">
      <c r="B2059" s="42"/>
      <c r="C2059" s="30"/>
      <c r="D2059" s="30"/>
      <c r="E2059" s="30"/>
      <c r="F2059" s="30"/>
      <c r="G2059" s="30"/>
      <c r="H2059" s="47"/>
      <c r="I2059" s="63"/>
      <c r="J2059" s="31"/>
      <c r="K2059" s="31"/>
      <c r="L2059" s="32"/>
      <c r="M2059" s="32"/>
      <c r="N2059" s="32"/>
    </row>
    <row r="2060" spans="2:14" x14ac:dyDescent="0.25">
      <c r="B2060" s="42"/>
      <c r="C2060" s="30"/>
      <c r="D2060" s="30"/>
      <c r="E2060" s="30"/>
      <c r="F2060" s="30"/>
      <c r="G2060" s="30"/>
      <c r="H2060" s="47"/>
      <c r="I2060" s="63"/>
      <c r="J2060" s="31"/>
      <c r="K2060" s="31"/>
      <c r="L2060" s="32"/>
      <c r="M2060" s="32"/>
      <c r="N2060" s="32"/>
    </row>
    <row r="2061" spans="2:14" x14ac:dyDescent="0.25">
      <c r="B2061" s="42"/>
      <c r="C2061" s="30"/>
      <c r="D2061" s="30"/>
      <c r="E2061" s="30"/>
      <c r="F2061" s="30"/>
      <c r="G2061" s="30"/>
      <c r="H2061" s="47"/>
      <c r="I2061" s="63"/>
      <c r="J2061" s="31"/>
      <c r="K2061" s="31"/>
      <c r="L2061" s="32"/>
      <c r="M2061" s="32"/>
      <c r="N2061" s="32"/>
    </row>
    <row r="2062" spans="2:14" x14ac:dyDescent="0.25">
      <c r="B2062" s="42"/>
      <c r="C2062" s="30"/>
      <c r="D2062" s="30"/>
      <c r="E2062" s="30"/>
      <c r="F2062" s="30"/>
      <c r="G2062" s="30"/>
      <c r="H2062" s="47"/>
      <c r="I2062" s="63"/>
      <c r="J2062" s="31"/>
      <c r="K2062" s="31"/>
      <c r="L2062" s="32"/>
      <c r="M2062" s="32"/>
      <c r="N2062" s="32"/>
    </row>
    <row r="2063" spans="2:14" x14ac:dyDescent="0.25">
      <c r="B2063" s="42"/>
      <c r="C2063" s="30"/>
      <c r="D2063" s="30"/>
      <c r="E2063" s="30"/>
      <c r="F2063" s="30"/>
      <c r="G2063" s="30"/>
      <c r="H2063" s="47"/>
      <c r="I2063" s="63"/>
      <c r="J2063" s="31"/>
      <c r="K2063" s="31"/>
      <c r="L2063" s="32"/>
      <c r="M2063" s="32"/>
      <c r="N2063" s="32"/>
    </row>
    <row r="2064" spans="2:14" x14ac:dyDescent="0.25">
      <c r="B2064" s="42"/>
      <c r="C2064" s="30"/>
      <c r="D2064" s="30"/>
      <c r="E2064" s="30"/>
      <c r="F2064" s="30"/>
      <c r="G2064" s="30"/>
      <c r="H2064" s="47"/>
      <c r="I2064" s="63"/>
      <c r="J2064" s="31"/>
      <c r="K2064" s="31"/>
      <c r="L2064" s="32"/>
      <c r="M2064" s="32"/>
      <c r="N2064" s="32"/>
    </row>
    <row r="2065" spans="2:14" x14ac:dyDescent="0.25">
      <c r="B2065" s="42"/>
      <c r="C2065" s="30"/>
      <c r="D2065" s="30"/>
      <c r="E2065" s="30"/>
      <c r="F2065" s="30"/>
      <c r="G2065" s="30"/>
      <c r="H2065" s="47"/>
      <c r="I2065" s="63"/>
      <c r="J2065" s="31"/>
      <c r="K2065" s="31"/>
      <c r="L2065" s="32"/>
      <c r="M2065" s="32"/>
      <c r="N2065" s="32"/>
    </row>
    <row r="2066" spans="2:14" x14ac:dyDescent="0.25">
      <c r="B2066" s="42"/>
      <c r="C2066" s="30"/>
      <c r="D2066" s="30"/>
      <c r="E2066" s="30"/>
      <c r="F2066" s="30"/>
      <c r="G2066" s="30"/>
      <c r="H2066" s="47"/>
      <c r="I2066" s="63"/>
      <c r="J2066" s="31"/>
      <c r="K2066" s="31"/>
      <c r="L2066" s="32"/>
      <c r="M2066" s="32"/>
      <c r="N2066" s="32"/>
    </row>
    <row r="2067" spans="2:14" x14ac:dyDescent="0.25">
      <c r="B2067" s="42"/>
      <c r="C2067" s="30"/>
      <c r="D2067" s="30"/>
      <c r="E2067" s="30"/>
      <c r="F2067" s="30"/>
      <c r="G2067" s="30"/>
      <c r="H2067" s="47"/>
      <c r="I2067" s="63"/>
      <c r="J2067" s="31"/>
      <c r="K2067" s="31"/>
      <c r="L2067" s="32"/>
      <c r="M2067" s="32"/>
      <c r="N2067" s="32"/>
    </row>
    <row r="2068" spans="2:14" x14ac:dyDescent="0.25">
      <c r="B2068" s="42"/>
      <c r="C2068" s="30"/>
      <c r="D2068" s="30"/>
      <c r="E2068" s="30"/>
      <c r="F2068" s="30"/>
      <c r="G2068" s="30"/>
      <c r="H2068" s="47"/>
      <c r="I2068" s="63"/>
      <c r="J2068" s="31"/>
      <c r="K2068" s="31"/>
      <c r="L2068" s="32"/>
      <c r="M2068" s="32"/>
      <c r="N2068" s="32"/>
    </row>
    <row r="2069" spans="2:14" x14ac:dyDescent="0.25">
      <c r="B2069" s="42"/>
      <c r="C2069" s="30"/>
      <c r="D2069" s="30"/>
      <c r="E2069" s="30"/>
      <c r="F2069" s="30"/>
      <c r="G2069" s="30"/>
      <c r="H2069" s="47"/>
      <c r="I2069" s="63"/>
      <c r="J2069" s="31"/>
      <c r="K2069" s="31"/>
      <c r="L2069" s="32"/>
      <c r="M2069" s="32"/>
      <c r="N2069" s="32"/>
    </row>
    <row r="2070" spans="2:14" x14ac:dyDescent="0.25">
      <c r="B2070" s="42"/>
      <c r="C2070" s="30"/>
      <c r="D2070" s="30"/>
      <c r="E2070" s="30"/>
      <c r="F2070" s="30"/>
      <c r="G2070" s="30"/>
      <c r="H2070" s="47"/>
      <c r="I2070" s="63"/>
      <c r="J2070" s="31"/>
      <c r="K2070" s="31"/>
      <c r="L2070" s="32"/>
      <c r="M2070" s="32"/>
      <c r="N2070" s="32"/>
    </row>
    <row r="2071" spans="2:14" x14ac:dyDescent="0.25">
      <c r="B2071" s="42"/>
      <c r="C2071" s="30"/>
      <c r="D2071" s="30"/>
      <c r="E2071" s="30"/>
      <c r="F2071" s="30"/>
      <c r="G2071" s="30"/>
      <c r="H2071" s="47"/>
      <c r="I2071" s="63"/>
      <c r="J2071" s="31"/>
      <c r="K2071" s="31"/>
      <c r="L2071" s="32"/>
      <c r="M2071" s="32"/>
      <c r="N2071" s="32"/>
    </row>
    <row r="2072" spans="2:14" x14ac:dyDescent="0.25">
      <c r="B2072" s="42"/>
      <c r="C2072" s="30"/>
      <c r="D2072" s="30"/>
      <c r="E2072" s="30"/>
      <c r="F2072" s="30"/>
      <c r="G2072" s="30"/>
      <c r="H2072" s="47"/>
      <c r="I2072" s="63"/>
      <c r="J2072" s="31"/>
      <c r="K2072" s="31"/>
      <c r="L2072" s="32"/>
      <c r="M2072" s="32"/>
      <c r="N2072" s="32"/>
    </row>
    <row r="2073" spans="2:14" x14ac:dyDescent="0.25">
      <c r="B2073" s="42"/>
      <c r="C2073" s="30"/>
      <c r="D2073" s="30"/>
      <c r="E2073" s="30"/>
      <c r="F2073" s="30"/>
      <c r="G2073" s="30"/>
      <c r="H2073" s="47"/>
      <c r="I2073" s="63"/>
      <c r="J2073" s="31"/>
      <c r="K2073" s="31"/>
      <c r="L2073" s="32"/>
      <c r="M2073" s="32"/>
      <c r="N2073" s="32"/>
    </row>
    <row r="2074" spans="2:14" x14ac:dyDescent="0.25">
      <c r="B2074" s="42"/>
      <c r="C2074" s="30"/>
      <c r="D2074" s="30"/>
      <c r="E2074" s="30"/>
      <c r="F2074" s="30"/>
      <c r="G2074" s="30"/>
      <c r="H2074" s="47"/>
      <c r="I2074" s="63"/>
      <c r="J2074" s="31"/>
      <c r="K2074" s="31"/>
      <c r="L2074" s="32"/>
      <c r="M2074" s="32"/>
      <c r="N2074" s="32"/>
    </row>
    <row r="2075" spans="2:14" x14ac:dyDescent="0.25">
      <c r="B2075" s="42"/>
      <c r="C2075" s="30"/>
      <c r="D2075" s="30"/>
      <c r="E2075" s="30"/>
      <c r="F2075" s="30"/>
      <c r="G2075" s="30"/>
      <c r="H2075" s="47"/>
      <c r="I2075" s="63"/>
      <c r="J2075" s="31"/>
      <c r="K2075" s="31"/>
      <c r="L2075" s="32"/>
      <c r="M2075" s="32"/>
      <c r="N2075" s="32"/>
    </row>
    <row r="2076" spans="2:14" x14ac:dyDescent="0.25">
      <c r="B2076" s="42"/>
      <c r="C2076" s="30"/>
      <c r="D2076" s="30"/>
      <c r="E2076" s="30"/>
      <c r="F2076" s="30"/>
      <c r="G2076" s="30"/>
      <c r="H2076" s="47"/>
      <c r="I2076" s="63"/>
      <c r="J2076" s="31"/>
      <c r="K2076" s="31"/>
      <c r="L2076" s="32"/>
      <c r="M2076" s="32"/>
      <c r="N2076" s="32"/>
    </row>
    <row r="2077" spans="2:14" x14ac:dyDescent="0.25">
      <c r="B2077" s="42"/>
      <c r="C2077" s="30"/>
      <c r="D2077" s="30"/>
      <c r="E2077" s="30"/>
      <c r="F2077" s="30"/>
      <c r="G2077" s="30"/>
      <c r="H2077" s="47"/>
      <c r="I2077" s="63"/>
      <c r="J2077" s="31"/>
      <c r="K2077" s="31"/>
      <c r="L2077" s="32"/>
      <c r="M2077" s="32"/>
      <c r="N2077" s="32"/>
    </row>
    <row r="2078" spans="2:14" x14ac:dyDescent="0.25">
      <c r="B2078" s="42"/>
      <c r="C2078" s="30"/>
      <c r="D2078" s="30"/>
      <c r="E2078" s="30"/>
      <c r="F2078" s="30"/>
      <c r="G2078" s="30"/>
      <c r="H2078" s="47"/>
      <c r="I2078" s="63"/>
      <c r="J2078" s="31"/>
      <c r="K2078" s="31"/>
      <c r="L2078" s="32"/>
      <c r="M2078" s="32"/>
      <c r="N2078" s="32"/>
    </row>
    <row r="2079" spans="2:14" x14ac:dyDescent="0.25">
      <c r="B2079" s="42"/>
      <c r="C2079" s="30"/>
      <c r="D2079" s="30"/>
      <c r="E2079" s="30"/>
      <c r="F2079" s="30"/>
      <c r="G2079" s="30"/>
      <c r="H2079" s="47"/>
      <c r="I2079" s="63"/>
      <c r="J2079" s="31"/>
      <c r="K2079" s="31"/>
      <c r="L2079" s="32"/>
      <c r="M2079" s="32"/>
      <c r="N2079" s="32"/>
    </row>
    <row r="2080" spans="2:14" x14ac:dyDescent="0.25">
      <c r="B2080" s="42"/>
      <c r="C2080" s="30"/>
      <c r="D2080" s="30"/>
      <c r="E2080" s="30"/>
      <c r="F2080" s="30"/>
      <c r="G2080" s="30"/>
      <c r="H2080" s="47"/>
      <c r="I2080" s="63"/>
      <c r="J2080" s="31"/>
      <c r="K2080" s="31"/>
      <c r="L2080" s="32"/>
      <c r="M2080" s="32"/>
      <c r="N2080" s="32"/>
    </row>
    <row r="2081" spans="2:14" x14ac:dyDescent="0.25">
      <c r="B2081" s="42"/>
      <c r="C2081" s="30"/>
      <c r="D2081" s="30"/>
      <c r="E2081" s="30"/>
      <c r="F2081" s="30"/>
      <c r="G2081" s="30"/>
      <c r="H2081" s="47"/>
      <c r="I2081" s="63"/>
      <c r="J2081" s="31"/>
      <c r="K2081" s="31"/>
      <c r="L2081" s="32"/>
      <c r="M2081" s="32"/>
      <c r="N2081" s="32"/>
    </row>
    <row r="2082" spans="2:14" x14ac:dyDescent="0.25">
      <c r="B2082" s="42"/>
      <c r="C2082" s="30"/>
      <c r="D2082" s="30"/>
      <c r="E2082" s="30"/>
      <c r="F2082" s="30"/>
      <c r="G2082" s="30"/>
      <c r="H2082" s="47"/>
      <c r="I2082" s="63"/>
      <c r="J2082" s="31"/>
      <c r="K2082" s="31"/>
      <c r="L2082" s="32"/>
      <c r="M2082" s="32"/>
      <c r="N2082" s="32"/>
    </row>
    <row r="2083" spans="2:14" x14ac:dyDescent="0.25">
      <c r="B2083" s="42"/>
      <c r="C2083" s="30"/>
      <c r="D2083" s="30"/>
      <c r="E2083" s="30"/>
      <c r="F2083" s="30"/>
      <c r="G2083" s="30"/>
      <c r="H2083" s="47"/>
      <c r="I2083" s="63"/>
      <c r="J2083" s="31"/>
      <c r="K2083" s="31"/>
      <c r="L2083" s="32"/>
      <c r="M2083" s="32"/>
      <c r="N2083" s="32"/>
    </row>
    <row r="2084" spans="2:14" x14ac:dyDescent="0.25">
      <c r="B2084" s="42"/>
      <c r="C2084" s="30"/>
      <c r="D2084" s="30"/>
      <c r="E2084" s="30"/>
      <c r="F2084" s="30"/>
      <c r="G2084" s="30"/>
      <c r="H2084" s="47"/>
      <c r="I2084" s="63"/>
      <c r="J2084" s="31"/>
      <c r="K2084" s="31"/>
      <c r="L2084" s="32"/>
      <c r="M2084" s="32"/>
      <c r="N2084" s="32"/>
    </row>
    <row r="2085" spans="2:14" x14ac:dyDescent="0.25">
      <c r="B2085" s="42"/>
      <c r="C2085" s="30"/>
      <c r="D2085" s="30"/>
      <c r="E2085" s="30"/>
      <c r="F2085" s="30"/>
      <c r="G2085" s="30"/>
      <c r="H2085" s="47"/>
      <c r="I2085" s="63"/>
      <c r="J2085" s="31"/>
      <c r="K2085" s="31"/>
      <c r="L2085" s="32"/>
      <c r="M2085" s="32"/>
      <c r="N2085" s="32"/>
    </row>
    <row r="2086" spans="2:14" x14ac:dyDescent="0.25">
      <c r="B2086" s="42"/>
      <c r="C2086" s="30"/>
      <c r="D2086" s="30"/>
      <c r="E2086" s="30"/>
      <c r="F2086" s="30"/>
      <c r="G2086" s="30"/>
      <c r="H2086" s="47"/>
      <c r="I2086" s="63"/>
      <c r="J2086" s="31"/>
      <c r="K2086" s="31"/>
      <c r="L2086" s="32"/>
      <c r="M2086" s="32"/>
      <c r="N2086" s="32"/>
    </row>
    <row r="2087" spans="2:14" x14ac:dyDescent="0.25">
      <c r="B2087" s="42"/>
      <c r="C2087" s="30"/>
      <c r="D2087" s="30"/>
      <c r="E2087" s="30"/>
      <c r="F2087" s="30"/>
      <c r="G2087" s="30"/>
      <c r="H2087" s="47"/>
      <c r="I2087" s="63"/>
      <c r="J2087" s="31"/>
      <c r="K2087" s="31"/>
      <c r="L2087" s="32"/>
      <c r="M2087" s="32"/>
      <c r="N2087" s="32"/>
    </row>
    <row r="2088" spans="2:14" x14ac:dyDescent="0.25">
      <c r="B2088" s="42"/>
      <c r="C2088" s="30"/>
      <c r="D2088" s="30"/>
      <c r="E2088" s="30"/>
      <c r="F2088" s="30"/>
      <c r="G2088" s="30"/>
      <c r="H2088" s="47"/>
      <c r="I2088" s="63"/>
      <c r="J2088" s="31"/>
      <c r="K2088" s="31"/>
      <c r="L2088" s="32"/>
      <c r="M2088" s="32"/>
      <c r="N2088" s="32"/>
    </row>
    <row r="2089" spans="2:14" x14ac:dyDescent="0.25">
      <c r="B2089" s="42"/>
      <c r="C2089" s="30"/>
      <c r="D2089" s="30"/>
      <c r="E2089" s="30"/>
      <c r="F2089" s="30"/>
      <c r="G2089" s="30"/>
      <c r="H2089" s="47"/>
      <c r="I2089" s="63"/>
      <c r="J2089" s="31"/>
      <c r="K2089" s="31"/>
      <c r="L2089" s="32"/>
      <c r="M2089" s="32"/>
      <c r="N2089" s="32"/>
    </row>
    <row r="2090" spans="2:14" x14ac:dyDescent="0.25">
      <c r="B2090" s="42"/>
      <c r="C2090" s="30"/>
      <c r="D2090" s="30"/>
      <c r="E2090" s="30"/>
      <c r="F2090" s="30"/>
      <c r="G2090" s="30"/>
      <c r="H2090" s="47"/>
      <c r="I2090" s="63"/>
      <c r="J2090" s="31"/>
      <c r="K2090" s="31"/>
      <c r="L2090" s="32"/>
      <c r="M2090" s="32"/>
      <c r="N2090" s="32"/>
    </row>
    <row r="2091" spans="2:14" x14ac:dyDescent="0.25">
      <c r="B2091" s="42"/>
      <c r="C2091" s="30"/>
      <c r="D2091" s="30"/>
      <c r="E2091" s="30"/>
      <c r="F2091" s="30"/>
      <c r="G2091" s="30"/>
      <c r="H2091" s="47"/>
      <c r="I2091" s="63"/>
      <c r="J2091" s="31"/>
      <c r="K2091" s="31"/>
      <c r="L2091" s="32"/>
      <c r="M2091" s="32"/>
      <c r="N2091" s="32"/>
    </row>
    <row r="2092" spans="2:14" x14ac:dyDescent="0.25">
      <c r="B2092" s="42"/>
      <c r="C2092" s="30"/>
      <c r="D2092" s="30"/>
      <c r="E2092" s="30"/>
      <c r="F2092" s="30"/>
      <c r="G2092" s="30"/>
      <c r="H2092" s="47"/>
      <c r="I2092" s="63"/>
      <c r="J2092" s="31"/>
      <c r="K2092" s="31"/>
      <c r="L2092" s="32"/>
      <c r="M2092" s="32"/>
      <c r="N2092" s="32"/>
    </row>
    <row r="2093" spans="2:14" x14ac:dyDescent="0.25">
      <c r="B2093" s="42"/>
      <c r="C2093" s="30"/>
      <c r="D2093" s="30"/>
      <c r="E2093" s="30"/>
      <c r="F2093" s="30"/>
      <c r="G2093" s="30"/>
      <c r="H2093" s="47"/>
      <c r="I2093" s="63"/>
      <c r="J2093" s="31"/>
      <c r="K2093" s="31"/>
      <c r="L2093" s="32"/>
      <c r="M2093" s="32"/>
      <c r="N2093" s="32"/>
    </row>
    <row r="2094" spans="2:14" x14ac:dyDescent="0.25">
      <c r="B2094" s="42"/>
      <c r="C2094" s="30"/>
      <c r="D2094" s="30"/>
      <c r="E2094" s="30"/>
      <c r="F2094" s="30"/>
      <c r="G2094" s="30"/>
      <c r="H2094" s="47"/>
      <c r="I2094" s="63"/>
      <c r="J2094" s="31"/>
      <c r="K2094" s="31"/>
      <c r="L2094" s="32"/>
      <c r="M2094" s="32"/>
      <c r="N2094" s="32"/>
    </row>
    <row r="2095" spans="2:14" x14ac:dyDescent="0.25">
      <c r="B2095" s="42"/>
      <c r="C2095" s="30"/>
      <c r="D2095" s="30"/>
      <c r="E2095" s="30"/>
      <c r="F2095" s="30"/>
      <c r="G2095" s="30"/>
      <c r="H2095" s="47"/>
      <c r="I2095" s="63"/>
      <c r="J2095" s="31"/>
      <c r="K2095" s="31"/>
      <c r="L2095" s="32"/>
      <c r="M2095" s="32"/>
      <c r="N2095" s="32"/>
    </row>
    <row r="2096" spans="2:14" x14ac:dyDescent="0.25">
      <c r="B2096" s="42"/>
      <c r="C2096" s="30"/>
      <c r="D2096" s="30"/>
      <c r="E2096" s="30"/>
      <c r="F2096" s="30"/>
      <c r="G2096" s="30"/>
      <c r="H2096" s="47"/>
      <c r="I2096" s="63"/>
      <c r="J2096" s="31"/>
      <c r="K2096" s="31"/>
      <c r="L2096" s="32"/>
      <c r="M2096" s="32"/>
      <c r="N2096" s="32"/>
    </row>
    <row r="2097" spans="2:14" x14ac:dyDescent="0.25">
      <c r="B2097" s="42"/>
      <c r="C2097" s="30"/>
      <c r="D2097" s="30"/>
      <c r="E2097" s="30"/>
      <c r="F2097" s="30"/>
      <c r="G2097" s="30"/>
      <c r="H2097" s="47"/>
      <c r="I2097" s="63"/>
      <c r="J2097" s="31"/>
      <c r="K2097" s="31"/>
      <c r="L2097" s="32"/>
      <c r="M2097" s="32"/>
      <c r="N2097" s="32"/>
    </row>
    <row r="2098" spans="2:14" x14ac:dyDescent="0.25">
      <c r="B2098" s="42"/>
      <c r="C2098" s="30"/>
      <c r="D2098" s="30"/>
      <c r="E2098" s="30"/>
      <c r="F2098" s="30"/>
      <c r="G2098" s="30"/>
      <c r="H2098" s="47"/>
      <c r="I2098" s="63"/>
      <c r="J2098" s="31"/>
      <c r="K2098" s="31"/>
      <c r="L2098" s="32"/>
      <c r="M2098" s="32"/>
      <c r="N2098" s="32"/>
    </row>
    <row r="2099" spans="2:14" x14ac:dyDescent="0.25">
      <c r="B2099" s="42"/>
      <c r="C2099" s="30"/>
      <c r="D2099" s="30"/>
      <c r="E2099" s="30"/>
      <c r="F2099" s="30"/>
      <c r="G2099" s="30"/>
      <c r="H2099" s="47"/>
      <c r="I2099" s="63"/>
      <c r="J2099" s="31"/>
      <c r="K2099" s="31"/>
      <c r="L2099" s="32"/>
      <c r="M2099" s="32"/>
      <c r="N2099" s="32"/>
    </row>
    <row r="2100" spans="2:14" x14ac:dyDescent="0.25">
      <c r="B2100" s="42"/>
      <c r="C2100" s="30"/>
      <c r="D2100" s="30"/>
      <c r="E2100" s="30"/>
      <c r="F2100" s="30"/>
      <c r="G2100" s="30"/>
      <c r="H2100" s="47"/>
      <c r="I2100" s="63"/>
      <c r="J2100" s="31"/>
      <c r="K2100" s="31"/>
      <c r="L2100" s="32"/>
      <c r="M2100" s="32"/>
      <c r="N2100" s="32"/>
    </row>
    <row r="2101" spans="2:14" x14ac:dyDescent="0.25">
      <c r="B2101" s="42"/>
      <c r="C2101" s="30"/>
      <c r="D2101" s="30"/>
      <c r="E2101" s="30"/>
      <c r="F2101" s="30"/>
      <c r="G2101" s="30"/>
      <c r="H2101" s="47"/>
      <c r="I2101" s="63"/>
      <c r="J2101" s="31"/>
      <c r="K2101" s="31"/>
      <c r="L2101" s="32"/>
      <c r="M2101" s="32"/>
      <c r="N2101" s="32"/>
    </row>
    <row r="2102" spans="2:14" x14ac:dyDescent="0.25">
      <c r="B2102" s="42"/>
      <c r="C2102" s="30"/>
      <c r="D2102" s="30"/>
      <c r="E2102" s="30"/>
      <c r="F2102" s="30"/>
      <c r="G2102" s="30"/>
      <c r="H2102" s="47"/>
      <c r="I2102" s="63"/>
      <c r="J2102" s="31"/>
      <c r="K2102" s="31"/>
      <c r="L2102" s="32"/>
      <c r="M2102" s="32"/>
      <c r="N2102" s="32"/>
    </row>
    <row r="2103" spans="2:14" x14ac:dyDescent="0.25">
      <c r="B2103" s="42"/>
      <c r="C2103" s="30"/>
      <c r="D2103" s="30"/>
      <c r="E2103" s="30"/>
      <c r="F2103" s="30"/>
      <c r="G2103" s="30"/>
      <c r="H2103" s="47"/>
      <c r="I2103" s="63"/>
      <c r="J2103" s="31"/>
      <c r="K2103" s="31"/>
      <c r="L2103" s="32"/>
      <c r="M2103" s="32"/>
      <c r="N2103" s="32"/>
    </row>
    <row r="2104" spans="2:14" x14ac:dyDescent="0.25">
      <c r="B2104" s="42"/>
      <c r="C2104" s="30"/>
      <c r="D2104" s="30"/>
      <c r="E2104" s="30"/>
      <c r="F2104" s="30"/>
      <c r="G2104" s="30"/>
      <c r="H2104" s="47"/>
      <c r="I2104" s="63"/>
      <c r="J2104" s="31"/>
      <c r="K2104" s="31"/>
      <c r="L2104" s="32"/>
      <c r="M2104" s="32"/>
      <c r="N2104" s="32"/>
    </row>
    <row r="2105" spans="2:14" x14ac:dyDescent="0.25">
      <c r="B2105" s="42"/>
      <c r="C2105" s="30"/>
      <c r="D2105" s="30"/>
      <c r="E2105" s="30"/>
      <c r="F2105" s="30"/>
      <c r="G2105" s="30"/>
      <c r="H2105" s="47"/>
      <c r="I2105" s="63"/>
      <c r="J2105" s="31"/>
      <c r="K2105" s="31"/>
      <c r="L2105" s="32"/>
      <c r="M2105" s="32"/>
      <c r="N2105" s="32"/>
    </row>
    <row r="2106" spans="2:14" x14ac:dyDescent="0.25">
      <c r="B2106" s="42"/>
      <c r="C2106" s="30"/>
      <c r="D2106" s="30"/>
      <c r="E2106" s="30"/>
      <c r="F2106" s="30"/>
      <c r="G2106" s="30"/>
      <c r="H2106" s="47"/>
      <c r="I2106" s="63"/>
      <c r="J2106" s="31"/>
      <c r="K2106" s="31"/>
      <c r="L2106" s="32"/>
      <c r="M2106" s="32"/>
      <c r="N2106" s="32"/>
    </row>
    <row r="2107" spans="2:14" x14ac:dyDescent="0.25">
      <c r="B2107" s="42"/>
      <c r="C2107" s="30"/>
      <c r="D2107" s="30"/>
      <c r="E2107" s="30"/>
      <c r="F2107" s="30"/>
      <c r="G2107" s="30"/>
      <c r="H2107" s="47"/>
      <c r="I2107" s="63"/>
      <c r="J2107" s="31"/>
      <c r="K2107" s="31"/>
      <c r="L2107" s="32"/>
      <c r="M2107" s="32"/>
      <c r="N2107" s="32"/>
    </row>
    <row r="2108" spans="2:14" x14ac:dyDescent="0.25">
      <c r="B2108" s="42"/>
      <c r="C2108" s="30"/>
      <c r="D2108" s="30"/>
      <c r="E2108" s="30"/>
      <c r="F2108" s="30"/>
      <c r="G2108" s="30"/>
      <c r="H2108" s="47"/>
      <c r="I2108" s="63"/>
      <c r="J2108" s="31"/>
      <c r="K2108" s="31"/>
      <c r="L2108" s="32"/>
      <c r="M2108" s="32"/>
      <c r="N2108" s="32"/>
    </row>
    <row r="2109" spans="2:14" x14ac:dyDescent="0.25">
      <c r="B2109" s="42"/>
      <c r="C2109" s="30"/>
      <c r="D2109" s="30"/>
      <c r="E2109" s="30"/>
      <c r="F2109" s="30"/>
      <c r="G2109" s="30"/>
      <c r="H2109" s="47"/>
      <c r="I2109" s="63"/>
      <c r="J2109" s="31"/>
      <c r="K2109" s="31"/>
      <c r="L2109" s="32"/>
      <c r="M2109" s="32"/>
      <c r="N2109" s="32"/>
    </row>
    <row r="2110" spans="2:14" x14ac:dyDescent="0.25">
      <c r="B2110" s="42"/>
      <c r="C2110" s="30"/>
      <c r="D2110" s="30"/>
      <c r="E2110" s="30"/>
      <c r="F2110" s="30"/>
      <c r="G2110" s="30"/>
      <c r="H2110" s="47"/>
      <c r="I2110" s="63"/>
      <c r="J2110" s="31"/>
      <c r="K2110" s="31"/>
      <c r="L2110" s="32"/>
      <c r="M2110" s="32"/>
      <c r="N2110" s="32"/>
    </row>
    <row r="2111" spans="2:14" x14ac:dyDescent="0.25">
      <c r="B2111" s="42"/>
      <c r="C2111" s="30"/>
      <c r="D2111" s="30"/>
      <c r="E2111" s="30"/>
      <c r="F2111" s="30"/>
      <c r="G2111" s="30"/>
      <c r="H2111" s="47"/>
      <c r="I2111" s="63"/>
      <c r="J2111" s="31"/>
      <c r="K2111" s="31"/>
      <c r="L2111" s="32"/>
      <c r="M2111" s="32"/>
      <c r="N2111" s="32"/>
    </row>
    <row r="2112" spans="2:14" x14ac:dyDescent="0.25">
      <c r="B2112" s="42"/>
      <c r="C2112" s="30"/>
      <c r="D2112" s="30"/>
      <c r="E2112" s="30"/>
      <c r="F2112" s="30"/>
      <c r="G2112" s="30"/>
      <c r="H2112" s="47"/>
      <c r="I2112" s="63"/>
      <c r="J2112" s="31"/>
      <c r="K2112" s="31"/>
      <c r="L2112" s="32"/>
      <c r="M2112" s="32"/>
      <c r="N2112" s="32"/>
    </row>
    <row r="2113" spans="2:14" x14ac:dyDescent="0.25">
      <c r="B2113" s="42"/>
      <c r="C2113" s="30"/>
      <c r="D2113" s="30"/>
      <c r="E2113" s="30"/>
      <c r="F2113" s="30"/>
      <c r="G2113" s="30"/>
      <c r="H2113" s="47"/>
      <c r="I2113" s="63"/>
      <c r="J2113" s="31"/>
      <c r="K2113" s="31"/>
      <c r="L2113" s="32"/>
      <c r="M2113" s="32"/>
      <c r="N2113" s="32"/>
    </row>
    <row r="2114" spans="2:14" x14ac:dyDescent="0.25">
      <c r="B2114" s="42"/>
      <c r="C2114" s="30"/>
      <c r="D2114" s="30"/>
      <c r="E2114" s="30"/>
      <c r="F2114" s="30"/>
      <c r="G2114" s="30"/>
      <c r="H2114" s="47"/>
      <c r="I2114" s="63"/>
      <c r="J2114" s="31"/>
      <c r="K2114" s="31"/>
      <c r="L2114" s="32"/>
      <c r="M2114" s="32"/>
      <c r="N2114" s="32"/>
    </row>
    <row r="2115" spans="2:14" x14ac:dyDescent="0.25">
      <c r="B2115" s="42"/>
      <c r="C2115" s="30"/>
      <c r="D2115" s="30"/>
      <c r="E2115" s="30"/>
      <c r="F2115" s="30"/>
      <c r="G2115" s="30"/>
      <c r="H2115" s="47"/>
      <c r="I2115" s="63"/>
      <c r="J2115" s="31"/>
      <c r="K2115" s="31"/>
      <c r="L2115" s="32"/>
      <c r="M2115" s="32"/>
      <c r="N2115" s="32"/>
    </row>
    <row r="2116" spans="2:14" x14ac:dyDescent="0.25">
      <c r="B2116" s="42"/>
      <c r="C2116" s="30"/>
      <c r="D2116" s="30"/>
      <c r="E2116" s="30"/>
      <c r="F2116" s="30"/>
      <c r="G2116" s="30"/>
      <c r="H2116" s="47"/>
      <c r="I2116" s="63"/>
      <c r="J2116" s="31"/>
      <c r="K2116" s="31"/>
      <c r="L2116" s="32"/>
      <c r="M2116" s="32"/>
      <c r="N2116" s="32"/>
    </row>
    <row r="2117" spans="2:14" x14ac:dyDescent="0.25">
      <c r="B2117" s="42"/>
      <c r="C2117" s="30"/>
      <c r="D2117" s="30"/>
      <c r="E2117" s="30"/>
      <c r="F2117" s="30"/>
      <c r="G2117" s="30"/>
      <c r="H2117" s="47"/>
      <c r="I2117" s="63"/>
      <c r="J2117" s="31"/>
      <c r="K2117" s="31"/>
      <c r="L2117" s="32"/>
      <c r="M2117" s="32"/>
      <c r="N2117" s="32"/>
    </row>
    <row r="2118" spans="2:14" x14ac:dyDescent="0.25">
      <c r="B2118" s="42"/>
      <c r="C2118" s="30"/>
      <c r="D2118" s="30"/>
      <c r="E2118" s="30"/>
      <c r="F2118" s="30"/>
      <c r="G2118" s="30"/>
      <c r="H2118" s="47"/>
      <c r="I2118" s="63"/>
      <c r="J2118" s="31"/>
      <c r="K2118" s="31"/>
      <c r="L2118" s="32"/>
      <c r="M2118" s="32"/>
      <c r="N2118" s="32"/>
    </row>
    <row r="2119" spans="2:14" x14ac:dyDescent="0.25">
      <c r="B2119" s="42"/>
      <c r="C2119" s="30"/>
      <c r="D2119" s="30"/>
      <c r="E2119" s="30"/>
      <c r="F2119" s="30"/>
      <c r="G2119" s="30"/>
      <c r="H2119" s="47"/>
      <c r="I2119" s="63"/>
      <c r="J2119" s="31"/>
      <c r="K2119" s="31"/>
      <c r="L2119" s="32"/>
      <c r="M2119" s="32"/>
      <c r="N2119" s="32"/>
    </row>
    <row r="2120" spans="2:14" x14ac:dyDescent="0.25">
      <c r="B2120" s="42"/>
      <c r="C2120" s="30"/>
      <c r="D2120" s="30"/>
      <c r="E2120" s="30"/>
      <c r="F2120" s="30"/>
      <c r="G2120" s="30"/>
      <c r="H2120" s="47"/>
      <c r="I2120" s="63"/>
      <c r="J2120" s="31"/>
      <c r="K2120" s="31"/>
      <c r="L2120" s="32"/>
      <c r="M2120" s="32"/>
      <c r="N2120" s="32"/>
    </row>
    <row r="2121" spans="2:14" x14ac:dyDescent="0.25">
      <c r="B2121" s="42"/>
      <c r="C2121" s="30"/>
      <c r="D2121" s="30"/>
      <c r="E2121" s="30"/>
      <c r="F2121" s="30"/>
      <c r="G2121" s="30"/>
      <c r="H2121" s="47"/>
      <c r="I2121" s="63"/>
      <c r="J2121" s="31"/>
      <c r="K2121" s="31"/>
      <c r="L2121" s="32"/>
      <c r="M2121" s="32"/>
      <c r="N2121" s="32"/>
    </row>
    <row r="2122" spans="2:14" x14ac:dyDescent="0.25">
      <c r="B2122" s="42"/>
      <c r="C2122" s="30"/>
      <c r="D2122" s="30"/>
      <c r="E2122" s="30"/>
      <c r="F2122" s="30"/>
      <c r="G2122" s="30"/>
      <c r="H2122" s="47"/>
      <c r="I2122" s="63"/>
      <c r="J2122" s="31"/>
      <c r="K2122" s="31"/>
      <c r="L2122" s="32"/>
      <c r="M2122" s="32"/>
      <c r="N2122" s="32"/>
    </row>
    <row r="2123" spans="2:14" x14ac:dyDescent="0.25">
      <c r="B2123" s="42"/>
      <c r="C2123" s="30"/>
      <c r="D2123" s="30"/>
      <c r="E2123" s="30"/>
      <c r="F2123" s="30"/>
      <c r="G2123" s="30"/>
      <c r="H2123" s="47"/>
      <c r="I2123" s="63"/>
      <c r="J2123" s="31"/>
      <c r="K2123" s="31"/>
      <c r="L2123" s="32"/>
      <c r="M2123" s="32"/>
      <c r="N2123" s="32"/>
    </row>
    <row r="2124" spans="2:14" x14ac:dyDescent="0.25">
      <c r="B2124" s="42"/>
      <c r="C2124" s="30"/>
      <c r="D2124" s="30"/>
      <c r="E2124" s="30"/>
      <c r="F2124" s="30"/>
      <c r="G2124" s="30"/>
      <c r="H2124" s="47"/>
      <c r="I2124" s="63"/>
      <c r="J2124" s="31"/>
      <c r="K2124" s="31"/>
      <c r="L2124" s="32"/>
      <c r="M2124" s="32"/>
      <c r="N2124" s="32"/>
    </row>
    <row r="2125" spans="2:14" x14ac:dyDescent="0.25">
      <c r="B2125" s="42"/>
      <c r="C2125" s="30"/>
      <c r="D2125" s="30"/>
      <c r="E2125" s="30"/>
      <c r="F2125" s="30"/>
      <c r="G2125" s="30"/>
      <c r="H2125" s="47"/>
      <c r="I2125" s="63"/>
      <c r="J2125" s="31"/>
      <c r="K2125" s="31"/>
      <c r="L2125" s="32"/>
      <c r="M2125" s="32"/>
      <c r="N2125" s="32"/>
    </row>
    <row r="2126" spans="2:14" x14ac:dyDescent="0.25">
      <c r="B2126" s="42"/>
      <c r="C2126" s="30"/>
      <c r="D2126" s="30"/>
      <c r="E2126" s="30"/>
      <c r="F2126" s="30"/>
      <c r="G2126" s="30"/>
      <c r="H2126" s="47"/>
      <c r="I2126" s="63"/>
      <c r="J2126" s="31"/>
      <c r="K2126" s="31"/>
      <c r="L2126" s="32"/>
      <c r="M2126" s="32"/>
      <c r="N2126" s="32"/>
    </row>
    <row r="2127" spans="2:14" x14ac:dyDescent="0.25">
      <c r="B2127" s="42"/>
      <c r="C2127" s="30"/>
      <c r="D2127" s="30"/>
      <c r="E2127" s="30"/>
      <c r="F2127" s="30"/>
      <c r="G2127" s="30"/>
      <c r="H2127" s="47"/>
      <c r="I2127" s="63"/>
      <c r="J2127" s="31"/>
      <c r="K2127" s="31"/>
      <c r="L2127" s="32"/>
      <c r="M2127" s="32"/>
      <c r="N2127" s="32"/>
    </row>
    <row r="2128" spans="2:14" x14ac:dyDescent="0.25">
      <c r="B2128" s="42"/>
      <c r="C2128" s="30"/>
      <c r="D2128" s="30"/>
      <c r="E2128" s="30"/>
      <c r="F2128" s="30"/>
      <c r="G2128" s="30"/>
      <c r="H2128" s="47"/>
      <c r="I2128" s="63"/>
      <c r="J2128" s="31"/>
      <c r="K2128" s="31"/>
      <c r="L2128" s="32"/>
      <c r="M2128" s="32"/>
      <c r="N2128" s="32"/>
    </row>
    <row r="2129" spans="2:14" x14ac:dyDescent="0.25">
      <c r="B2129" s="42"/>
      <c r="C2129" s="30"/>
      <c r="D2129" s="30"/>
      <c r="E2129" s="30"/>
      <c r="F2129" s="30"/>
      <c r="G2129" s="30"/>
      <c r="H2129" s="47"/>
      <c r="I2129" s="63"/>
      <c r="J2129" s="31"/>
      <c r="K2129" s="31"/>
      <c r="L2129" s="32"/>
      <c r="M2129" s="32"/>
      <c r="N2129" s="32"/>
    </row>
    <row r="2130" spans="2:14" x14ac:dyDescent="0.25">
      <c r="B2130" s="42"/>
      <c r="C2130" s="30"/>
      <c r="D2130" s="30"/>
      <c r="E2130" s="30"/>
      <c r="F2130" s="30"/>
      <c r="G2130" s="30"/>
      <c r="H2130" s="47"/>
      <c r="I2130" s="63"/>
      <c r="J2130" s="31"/>
      <c r="K2130" s="31"/>
      <c r="L2130" s="32"/>
      <c r="M2130" s="32"/>
      <c r="N2130" s="32"/>
    </row>
    <row r="2131" spans="2:14" x14ac:dyDescent="0.25">
      <c r="B2131" s="42"/>
      <c r="C2131" s="30"/>
      <c r="D2131" s="30"/>
      <c r="E2131" s="30"/>
      <c r="F2131" s="30"/>
      <c r="G2131" s="30"/>
      <c r="H2131" s="47"/>
      <c r="I2131" s="63"/>
      <c r="J2131" s="31"/>
      <c r="K2131" s="31"/>
      <c r="L2131" s="32"/>
      <c r="M2131" s="32"/>
      <c r="N2131" s="32"/>
    </row>
    <row r="2132" spans="2:14" x14ac:dyDescent="0.25">
      <c r="B2132" s="42"/>
      <c r="C2132" s="30"/>
      <c r="D2132" s="30"/>
      <c r="E2132" s="30"/>
      <c r="F2132" s="30"/>
      <c r="G2132" s="30"/>
      <c r="H2132" s="47"/>
      <c r="I2132" s="63"/>
      <c r="J2132" s="31"/>
      <c r="K2132" s="31"/>
      <c r="L2132" s="32"/>
      <c r="M2132" s="32"/>
      <c r="N2132" s="32"/>
    </row>
    <row r="2133" spans="2:14" x14ac:dyDescent="0.25">
      <c r="B2133" s="42"/>
      <c r="C2133" s="30"/>
      <c r="D2133" s="30"/>
      <c r="E2133" s="30"/>
      <c r="F2133" s="30"/>
      <c r="G2133" s="30"/>
      <c r="H2133" s="47"/>
      <c r="I2133" s="63"/>
      <c r="J2133" s="31"/>
      <c r="K2133" s="31"/>
      <c r="L2133" s="32"/>
      <c r="M2133" s="32"/>
      <c r="N2133" s="32"/>
    </row>
    <row r="2134" spans="2:14" x14ac:dyDescent="0.25">
      <c r="B2134" s="42"/>
      <c r="C2134" s="30"/>
      <c r="D2134" s="30"/>
      <c r="E2134" s="30"/>
      <c r="F2134" s="30"/>
      <c r="G2134" s="30"/>
      <c r="H2134" s="47"/>
      <c r="I2134" s="63"/>
      <c r="J2134" s="31"/>
      <c r="K2134" s="31"/>
      <c r="L2134" s="32"/>
      <c r="M2134" s="32"/>
      <c r="N2134" s="32"/>
    </row>
    <row r="2135" spans="2:14" x14ac:dyDescent="0.25">
      <c r="B2135" s="42"/>
      <c r="C2135" s="30"/>
      <c r="D2135" s="30"/>
      <c r="E2135" s="30"/>
      <c r="F2135" s="30"/>
      <c r="G2135" s="30"/>
      <c r="H2135" s="47"/>
      <c r="I2135" s="63"/>
      <c r="J2135" s="31"/>
      <c r="K2135" s="31"/>
      <c r="L2135" s="32"/>
      <c r="M2135" s="32"/>
      <c r="N2135" s="32"/>
    </row>
    <row r="2136" spans="2:14" x14ac:dyDescent="0.25">
      <c r="B2136" s="42"/>
      <c r="C2136" s="30"/>
      <c r="D2136" s="30"/>
      <c r="E2136" s="30"/>
      <c r="F2136" s="30"/>
      <c r="G2136" s="30"/>
      <c r="H2136" s="47"/>
      <c r="I2136" s="63"/>
      <c r="J2136" s="31"/>
      <c r="K2136" s="31"/>
      <c r="L2136" s="32"/>
      <c r="M2136" s="32"/>
      <c r="N2136" s="32"/>
    </row>
    <row r="2137" spans="2:14" x14ac:dyDescent="0.25">
      <c r="B2137" s="42"/>
      <c r="C2137" s="30"/>
      <c r="D2137" s="30"/>
      <c r="E2137" s="30"/>
      <c r="F2137" s="30"/>
      <c r="G2137" s="30"/>
      <c r="H2137" s="47"/>
      <c r="I2137" s="63"/>
      <c r="J2137" s="31"/>
      <c r="K2137" s="31"/>
      <c r="L2137" s="32"/>
      <c r="M2137" s="32"/>
      <c r="N2137" s="32"/>
    </row>
    <row r="2138" spans="2:14" x14ac:dyDescent="0.25">
      <c r="B2138" s="42"/>
      <c r="C2138" s="30"/>
      <c r="D2138" s="30"/>
      <c r="E2138" s="30"/>
      <c r="F2138" s="30"/>
      <c r="G2138" s="30"/>
      <c r="H2138" s="47"/>
      <c r="I2138" s="63"/>
      <c r="J2138" s="31"/>
      <c r="K2138" s="31"/>
      <c r="L2138" s="32"/>
      <c r="M2138" s="32"/>
      <c r="N2138" s="32"/>
    </row>
    <row r="2139" spans="2:14" x14ac:dyDescent="0.25">
      <c r="B2139" s="42"/>
      <c r="C2139" s="30"/>
      <c r="D2139" s="30"/>
      <c r="E2139" s="30"/>
      <c r="F2139" s="30"/>
      <c r="G2139" s="30"/>
      <c r="H2139" s="47"/>
      <c r="I2139" s="63"/>
      <c r="J2139" s="31"/>
      <c r="K2139" s="31"/>
      <c r="L2139" s="32"/>
      <c r="M2139" s="32"/>
      <c r="N2139" s="32"/>
    </row>
    <row r="2140" spans="2:14" x14ac:dyDescent="0.25">
      <c r="B2140" s="42"/>
      <c r="C2140" s="30"/>
      <c r="D2140" s="30"/>
      <c r="E2140" s="30"/>
      <c r="F2140" s="30"/>
      <c r="G2140" s="30"/>
      <c r="H2140" s="47"/>
      <c r="I2140" s="63"/>
      <c r="J2140" s="31"/>
      <c r="K2140" s="31"/>
      <c r="L2140" s="32"/>
      <c r="M2140" s="32"/>
      <c r="N2140" s="32"/>
    </row>
    <row r="2141" spans="2:14" x14ac:dyDescent="0.25">
      <c r="B2141" s="42"/>
      <c r="C2141" s="30"/>
      <c r="D2141" s="30"/>
      <c r="E2141" s="30"/>
      <c r="F2141" s="30"/>
      <c r="G2141" s="30"/>
      <c r="H2141" s="47"/>
      <c r="I2141" s="63"/>
      <c r="J2141" s="31"/>
      <c r="K2141" s="31"/>
      <c r="L2141" s="32"/>
      <c r="M2141" s="32"/>
      <c r="N2141" s="32"/>
    </row>
    <row r="2142" spans="2:14" x14ac:dyDescent="0.25">
      <c r="B2142" s="42"/>
      <c r="C2142" s="30"/>
      <c r="D2142" s="30"/>
      <c r="E2142" s="30"/>
      <c r="F2142" s="30"/>
      <c r="G2142" s="30"/>
      <c r="H2142" s="47"/>
      <c r="I2142" s="63"/>
      <c r="J2142" s="31"/>
      <c r="K2142" s="31"/>
      <c r="L2142" s="32"/>
      <c r="M2142" s="32"/>
      <c r="N2142" s="32"/>
    </row>
    <row r="2143" spans="2:14" x14ac:dyDescent="0.25">
      <c r="B2143" s="42"/>
      <c r="C2143" s="30"/>
      <c r="D2143" s="30"/>
      <c r="E2143" s="30"/>
      <c r="F2143" s="30"/>
      <c r="G2143" s="30"/>
      <c r="H2143" s="47"/>
      <c r="I2143" s="63"/>
      <c r="J2143" s="31"/>
      <c r="K2143" s="31"/>
      <c r="L2143" s="32"/>
      <c r="M2143" s="32"/>
      <c r="N2143" s="32"/>
    </row>
    <row r="2144" spans="2:14" x14ac:dyDescent="0.25">
      <c r="B2144" s="42"/>
      <c r="C2144" s="30"/>
      <c r="D2144" s="30"/>
      <c r="E2144" s="30"/>
      <c r="F2144" s="30"/>
      <c r="G2144" s="30"/>
      <c r="H2144" s="47"/>
      <c r="I2144" s="63"/>
      <c r="J2144" s="31"/>
      <c r="K2144" s="31"/>
      <c r="L2144" s="32"/>
      <c r="M2144" s="32"/>
      <c r="N2144" s="32"/>
    </row>
    <row r="2145" spans="2:14" x14ac:dyDescent="0.25">
      <c r="B2145" s="42"/>
      <c r="C2145" s="30"/>
      <c r="D2145" s="30"/>
      <c r="E2145" s="30"/>
      <c r="F2145" s="30"/>
      <c r="G2145" s="30"/>
      <c r="H2145" s="47"/>
      <c r="I2145" s="63"/>
      <c r="J2145" s="31"/>
      <c r="K2145" s="31"/>
      <c r="L2145" s="32"/>
      <c r="M2145" s="32"/>
      <c r="N2145" s="32"/>
    </row>
    <row r="2146" spans="2:14" x14ac:dyDescent="0.25">
      <c r="B2146" s="42"/>
      <c r="C2146" s="30"/>
      <c r="D2146" s="30"/>
      <c r="E2146" s="30"/>
      <c r="F2146" s="30"/>
      <c r="G2146" s="30"/>
      <c r="H2146" s="47"/>
      <c r="I2146" s="63"/>
      <c r="J2146" s="31"/>
      <c r="K2146" s="31"/>
      <c r="L2146" s="32"/>
      <c r="M2146" s="32"/>
      <c r="N2146" s="32"/>
    </row>
    <row r="2147" spans="2:14" x14ac:dyDescent="0.25">
      <c r="B2147" s="42"/>
      <c r="C2147" s="30"/>
      <c r="D2147" s="30"/>
      <c r="E2147" s="30"/>
      <c r="F2147" s="30"/>
      <c r="G2147" s="30"/>
      <c r="H2147" s="47"/>
      <c r="I2147" s="63"/>
      <c r="J2147" s="31"/>
      <c r="K2147" s="31"/>
      <c r="L2147" s="32"/>
      <c r="M2147" s="32"/>
      <c r="N2147" s="32"/>
    </row>
    <row r="2148" spans="2:14" x14ac:dyDescent="0.25">
      <c r="B2148" s="42"/>
      <c r="C2148" s="30"/>
      <c r="D2148" s="30"/>
      <c r="E2148" s="30"/>
      <c r="F2148" s="30"/>
      <c r="G2148" s="30"/>
      <c r="H2148" s="47"/>
      <c r="I2148" s="63"/>
      <c r="J2148" s="31"/>
      <c r="K2148" s="31"/>
      <c r="L2148" s="32"/>
      <c r="M2148" s="32"/>
      <c r="N2148" s="32"/>
    </row>
    <row r="2149" spans="2:14" x14ac:dyDescent="0.25">
      <c r="B2149" s="42"/>
      <c r="C2149" s="30"/>
      <c r="D2149" s="30"/>
      <c r="E2149" s="30"/>
      <c r="F2149" s="30"/>
      <c r="G2149" s="30"/>
      <c r="H2149" s="47"/>
      <c r="I2149" s="63"/>
      <c r="J2149" s="31"/>
      <c r="K2149" s="31"/>
      <c r="L2149" s="32"/>
      <c r="M2149" s="32"/>
      <c r="N2149" s="32"/>
    </row>
    <row r="2150" spans="2:14" x14ac:dyDescent="0.25">
      <c r="B2150" s="42"/>
      <c r="C2150" s="30"/>
      <c r="D2150" s="30"/>
      <c r="E2150" s="30"/>
      <c r="F2150" s="30"/>
      <c r="G2150" s="30"/>
      <c r="H2150" s="47"/>
      <c r="I2150" s="63"/>
      <c r="J2150" s="31"/>
      <c r="K2150" s="31"/>
      <c r="L2150" s="32"/>
      <c r="M2150" s="32"/>
      <c r="N2150" s="32"/>
    </row>
    <row r="2151" spans="2:14" x14ac:dyDescent="0.25">
      <c r="B2151" s="42"/>
      <c r="C2151" s="30"/>
      <c r="D2151" s="30"/>
      <c r="E2151" s="30"/>
      <c r="F2151" s="30"/>
      <c r="G2151" s="30"/>
      <c r="H2151" s="47"/>
      <c r="I2151" s="63"/>
      <c r="J2151" s="31"/>
      <c r="K2151" s="31"/>
      <c r="L2151" s="32"/>
      <c r="M2151" s="32"/>
      <c r="N2151" s="32"/>
    </row>
    <row r="2152" spans="2:14" x14ac:dyDescent="0.25">
      <c r="B2152" s="42"/>
      <c r="C2152" s="30"/>
      <c r="D2152" s="30"/>
      <c r="E2152" s="30"/>
      <c r="F2152" s="30"/>
      <c r="G2152" s="30"/>
      <c r="H2152" s="47"/>
      <c r="I2152" s="63"/>
      <c r="J2152" s="31"/>
      <c r="K2152" s="31"/>
      <c r="L2152" s="32"/>
      <c r="M2152" s="32"/>
      <c r="N2152" s="32"/>
    </row>
    <row r="2153" spans="2:14" x14ac:dyDescent="0.25">
      <c r="B2153" s="42"/>
      <c r="C2153" s="30"/>
      <c r="D2153" s="30"/>
      <c r="E2153" s="30"/>
      <c r="F2153" s="30"/>
      <c r="G2153" s="30"/>
      <c r="H2153" s="47"/>
      <c r="I2153" s="63"/>
      <c r="J2153" s="31"/>
      <c r="K2153" s="31"/>
      <c r="L2153" s="32"/>
      <c r="M2153" s="32"/>
      <c r="N2153" s="32"/>
    </row>
    <row r="2154" spans="2:14" x14ac:dyDescent="0.25">
      <c r="B2154" s="42"/>
      <c r="C2154" s="30"/>
      <c r="D2154" s="30"/>
      <c r="E2154" s="30"/>
      <c r="F2154" s="30"/>
      <c r="G2154" s="30"/>
      <c r="H2154" s="47"/>
      <c r="I2154" s="63"/>
      <c r="J2154" s="31"/>
      <c r="K2154" s="31"/>
      <c r="L2154" s="32"/>
      <c r="M2154" s="32"/>
      <c r="N2154" s="32"/>
    </row>
    <row r="2155" spans="2:14" x14ac:dyDescent="0.25">
      <c r="B2155" s="42"/>
      <c r="C2155" s="30"/>
      <c r="D2155" s="30"/>
      <c r="E2155" s="30"/>
      <c r="F2155" s="30"/>
      <c r="G2155" s="30"/>
      <c r="H2155" s="47"/>
      <c r="I2155" s="63"/>
      <c r="J2155" s="31"/>
      <c r="K2155" s="31"/>
      <c r="L2155" s="32"/>
      <c r="M2155" s="32"/>
      <c r="N2155" s="32"/>
    </row>
    <row r="2156" spans="2:14" x14ac:dyDescent="0.25">
      <c r="B2156" s="42"/>
      <c r="C2156" s="30"/>
      <c r="D2156" s="30"/>
      <c r="E2156" s="30"/>
      <c r="F2156" s="30"/>
      <c r="G2156" s="30"/>
      <c r="H2156" s="47"/>
      <c r="I2156" s="63"/>
      <c r="J2156" s="31"/>
      <c r="K2156" s="31"/>
      <c r="L2156" s="32"/>
      <c r="M2156" s="32"/>
      <c r="N2156" s="32"/>
    </row>
    <row r="2157" spans="2:14" x14ac:dyDescent="0.25">
      <c r="B2157" s="42"/>
      <c r="C2157" s="30"/>
      <c r="D2157" s="30"/>
      <c r="E2157" s="30"/>
      <c r="F2157" s="30"/>
      <c r="G2157" s="30"/>
      <c r="H2157" s="47"/>
      <c r="I2157" s="63"/>
      <c r="J2157" s="31"/>
      <c r="K2157" s="31"/>
      <c r="L2157" s="32"/>
      <c r="M2157" s="32"/>
      <c r="N2157" s="32"/>
    </row>
    <row r="2158" spans="2:14" x14ac:dyDescent="0.25">
      <c r="B2158" s="42"/>
      <c r="C2158" s="30"/>
      <c r="D2158" s="30"/>
      <c r="E2158" s="30"/>
      <c r="F2158" s="30"/>
      <c r="G2158" s="30"/>
      <c r="H2158" s="47"/>
      <c r="I2158" s="63"/>
      <c r="J2158" s="31"/>
      <c r="K2158" s="31"/>
      <c r="L2158" s="32"/>
      <c r="M2158" s="32"/>
      <c r="N2158" s="32"/>
    </row>
    <row r="2159" spans="2:14" x14ac:dyDescent="0.25">
      <c r="B2159" s="42"/>
      <c r="C2159" s="30"/>
      <c r="D2159" s="30"/>
      <c r="E2159" s="30"/>
      <c r="F2159" s="30"/>
      <c r="G2159" s="30"/>
      <c r="H2159" s="47"/>
      <c r="I2159" s="63"/>
      <c r="J2159" s="31"/>
      <c r="K2159" s="31"/>
      <c r="L2159" s="32"/>
      <c r="M2159" s="32"/>
      <c r="N2159" s="32"/>
    </row>
    <row r="2160" spans="2:14" x14ac:dyDescent="0.25">
      <c r="B2160" s="42"/>
      <c r="C2160" s="30"/>
      <c r="D2160" s="30"/>
      <c r="E2160" s="30"/>
      <c r="F2160" s="30"/>
      <c r="G2160" s="30"/>
      <c r="H2160" s="47"/>
      <c r="I2160" s="63"/>
      <c r="J2160" s="31"/>
      <c r="K2160" s="31"/>
      <c r="L2160" s="32"/>
      <c r="M2160" s="32"/>
      <c r="N2160" s="32"/>
    </row>
    <row r="2161" spans="2:14" x14ac:dyDescent="0.25">
      <c r="B2161" s="42"/>
      <c r="C2161" s="30"/>
      <c r="D2161" s="30"/>
      <c r="E2161" s="30"/>
      <c r="F2161" s="30"/>
      <c r="G2161" s="30"/>
      <c r="H2161" s="47"/>
      <c r="I2161" s="63"/>
      <c r="J2161" s="31"/>
      <c r="K2161" s="31"/>
      <c r="L2161" s="32"/>
      <c r="M2161" s="32"/>
      <c r="N2161" s="32"/>
    </row>
    <row r="2162" spans="2:14" x14ac:dyDescent="0.25">
      <c r="B2162" s="42"/>
      <c r="C2162" s="30"/>
      <c r="D2162" s="30"/>
      <c r="E2162" s="30"/>
      <c r="F2162" s="30"/>
      <c r="G2162" s="30"/>
      <c r="H2162" s="47"/>
      <c r="I2162" s="63"/>
      <c r="J2162" s="31"/>
      <c r="K2162" s="31"/>
      <c r="L2162" s="32"/>
      <c r="M2162" s="32"/>
      <c r="N2162" s="32"/>
    </row>
    <row r="2163" spans="2:14" x14ac:dyDescent="0.25">
      <c r="B2163" s="42"/>
      <c r="C2163" s="30"/>
      <c r="D2163" s="30"/>
      <c r="E2163" s="30"/>
      <c r="F2163" s="30"/>
      <c r="G2163" s="30"/>
      <c r="H2163" s="47"/>
      <c r="I2163" s="63"/>
      <c r="J2163" s="31"/>
      <c r="K2163" s="31"/>
      <c r="L2163" s="32"/>
      <c r="M2163" s="32"/>
      <c r="N2163" s="32"/>
    </row>
    <row r="2164" spans="2:14" x14ac:dyDescent="0.25">
      <c r="B2164" s="42"/>
      <c r="C2164" s="30"/>
      <c r="D2164" s="30"/>
      <c r="E2164" s="30"/>
      <c r="F2164" s="30"/>
      <c r="G2164" s="30"/>
      <c r="H2164" s="47"/>
      <c r="I2164" s="63"/>
      <c r="J2164" s="31"/>
      <c r="K2164" s="31"/>
      <c r="L2164" s="32"/>
      <c r="M2164" s="32"/>
      <c r="N2164" s="32"/>
    </row>
    <row r="2165" spans="2:14" x14ac:dyDescent="0.25">
      <c r="B2165" s="42"/>
      <c r="C2165" s="30"/>
      <c r="D2165" s="30"/>
      <c r="E2165" s="30"/>
      <c r="F2165" s="30"/>
      <c r="G2165" s="30"/>
      <c r="H2165" s="47"/>
      <c r="I2165" s="63"/>
      <c r="J2165" s="31"/>
      <c r="K2165" s="31"/>
      <c r="L2165" s="32"/>
      <c r="M2165" s="32"/>
      <c r="N2165" s="32"/>
    </row>
    <row r="2166" spans="2:14" x14ac:dyDescent="0.25">
      <c r="B2166" s="42"/>
      <c r="C2166" s="30"/>
      <c r="D2166" s="30"/>
      <c r="E2166" s="30"/>
      <c r="F2166" s="30"/>
      <c r="G2166" s="30"/>
      <c r="H2166" s="47"/>
      <c r="I2166" s="63"/>
      <c r="J2166" s="31"/>
      <c r="K2166" s="31"/>
      <c r="L2166" s="32"/>
      <c r="M2166" s="32"/>
      <c r="N2166" s="32"/>
    </row>
    <row r="2167" spans="2:14" x14ac:dyDescent="0.25">
      <c r="B2167" s="42"/>
      <c r="C2167" s="30"/>
      <c r="D2167" s="30"/>
      <c r="E2167" s="30"/>
      <c r="F2167" s="30"/>
      <c r="G2167" s="30"/>
      <c r="H2167" s="47"/>
      <c r="I2167" s="63"/>
      <c r="J2167" s="31"/>
      <c r="K2167" s="31"/>
      <c r="L2167" s="32"/>
      <c r="M2167" s="32"/>
      <c r="N2167" s="32"/>
    </row>
    <row r="2168" spans="2:14" x14ac:dyDescent="0.25">
      <c r="B2168" s="42"/>
      <c r="C2168" s="30"/>
      <c r="D2168" s="30"/>
      <c r="E2168" s="30"/>
      <c r="F2168" s="30"/>
      <c r="G2168" s="30"/>
      <c r="H2168" s="47"/>
      <c r="I2168" s="63"/>
      <c r="J2168" s="31"/>
      <c r="K2168" s="31"/>
      <c r="L2168" s="32"/>
      <c r="M2168" s="32"/>
      <c r="N2168" s="32"/>
    </row>
    <row r="2169" spans="2:14" x14ac:dyDescent="0.25">
      <c r="B2169" s="42"/>
      <c r="C2169" s="30"/>
      <c r="D2169" s="30"/>
      <c r="E2169" s="30"/>
      <c r="F2169" s="30"/>
      <c r="G2169" s="30"/>
      <c r="H2169" s="47"/>
      <c r="I2169" s="63"/>
      <c r="J2169" s="31"/>
      <c r="K2169" s="31"/>
      <c r="L2169" s="32"/>
      <c r="M2169" s="32"/>
      <c r="N2169" s="32"/>
    </row>
    <row r="2170" spans="2:14" x14ac:dyDescent="0.25">
      <c r="B2170" s="42"/>
      <c r="C2170" s="30"/>
      <c r="D2170" s="30"/>
      <c r="E2170" s="30"/>
      <c r="F2170" s="30"/>
      <c r="G2170" s="30"/>
      <c r="H2170" s="47"/>
      <c r="I2170" s="63"/>
      <c r="J2170" s="31"/>
      <c r="K2170" s="31"/>
      <c r="L2170" s="32"/>
      <c r="M2170" s="32"/>
      <c r="N2170" s="32"/>
    </row>
    <row r="2171" spans="2:14" x14ac:dyDescent="0.25">
      <c r="B2171" s="42"/>
      <c r="C2171" s="30"/>
      <c r="D2171" s="30"/>
      <c r="E2171" s="30"/>
      <c r="F2171" s="30"/>
      <c r="G2171" s="30"/>
      <c r="H2171" s="47"/>
      <c r="I2171" s="63"/>
      <c r="J2171" s="31"/>
      <c r="K2171" s="31"/>
      <c r="L2171" s="32"/>
      <c r="M2171" s="32"/>
      <c r="N2171" s="32"/>
    </row>
    <row r="2172" spans="2:14" x14ac:dyDescent="0.25">
      <c r="B2172" s="42"/>
      <c r="C2172" s="30"/>
      <c r="D2172" s="30"/>
      <c r="E2172" s="30"/>
      <c r="F2172" s="30"/>
      <c r="G2172" s="30"/>
      <c r="H2172" s="47"/>
      <c r="I2172" s="63"/>
      <c r="J2172" s="31"/>
      <c r="K2172" s="31"/>
      <c r="L2172" s="32"/>
      <c r="M2172" s="32"/>
      <c r="N2172" s="32"/>
    </row>
    <row r="2173" spans="2:14" x14ac:dyDescent="0.25">
      <c r="B2173" s="42"/>
      <c r="C2173" s="30"/>
      <c r="D2173" s="30"/>
      <c r="E2173" s="30"/>
      <c r="F2173" s="30"/>
      <c r="G2173" s="30"/>
      <c r="H2173" s="47"/>
      <c r="I2173" s="63"/>
      <c r="J2173" s="31"/>
      <c r="K2173" s="31"/>
      <c r="L2173" s="32"/>
      <c r="M2173" s="32"/>
      <c r="N2173" s="32"/>
    </row>
    <row r="2174" spans="2:14" x14ac:dyDescent="0.25">
      <c r="B2174" s="42"/>
      <c r="C2174" s="30"/>
      <c r="D2174" s="30"/>
      <c r="E2174" s="30"/>
      <c r="F2174" s="30"/>
      <c r="G2174" s="30"/>
      <c r="H2174" s="47"/>
      <c r="I2174" s="63"/>
      <c r="J2174" s="31"/>
      <c r="K2174" s="31"/>
      <c r="L2174" s="32"/>
      <c r="M2174" s="32"/>
      <c r="N2174" s="32"/>
    </row>
    <row r="2175" spans="2:14" x14ac:dyDescent="0.25">
      <c r="B2175" s="42"/>
      <c r="C2175" s="30"/>
      <c r="D2175" s="30"/>
      <c r="E2175" s="30"/>
      <c r="F2175" s="30"/>
      <c r="G2175" s="30"/>
      <c r="H2175" s="47"/>
      <c r="I2175" s="63"/>
      <c r="J2175" s="31"/>
      <c r="K2175" s="31"/>
      <c r="L2175" s="32"/>
      <c r="M2175" s="32"/>
      <c r="N2175" s="32"/>
    </row>
    <row r="2176" spans="2:14" x14ac:dyDescent="0.25">
      <c r="B2176" s="42"/>
      <c r="C2176" s="30"/>
      <c r="D2176" s="30"/>
      <c r="E2176" s="30"/>
      <c r="F2176" s="30"/>
      <c r="G2176" s="30"/>
      <c r="H2176" s="47"/>
      <c r="I2176" s="63"/>
      <c r="J2176" s="31"/>
      <c r="K2176" s="31"/>
      <c r="L2176" s="32"/>
      <c r="M2176" s="32"/>
      <c r="N2176" s="32"/>
    </row>
    <row r="2177" spans="2:14" x14ac:dyDescent="0.25">
      <c r="B2177" s="42"/>
      <c r="C2177" s="30"/>
      <c r="D2177" s="30"/>
      <c r="E2177" s="30"/>
      <c r="F2177" s="30"/>
      <c r="G2177" s="30"/>
      <c r="H2177" s="47"/>
      <c r="I2177" s="63"/>
      <c r="J2177" s="31"/>
      <c r="K2177" s="31"/>
      <c r="L2177" s="32"/>
      <c r="M2177" s="32"/>
      <c r="N2177" s="32"/>
    </row>
    <row r="2178" spans="2:14" x14ac:dyDescent="0.25">
      <c r="B2178" s="42"/>
      <c r="C2178" s="30"/>
      <c r="D2178" s="30"/>
      <c r="E2178" s="30"/>
      <c r="F2178" s="30"/>
      <c r="G2178" s="30"/>
      <c r="H2178" s="47"/>
      <c r="I2178" s="63"/>
      <c r="J2178" s="31"/>
      <c r="K2178" s="31"/>
      <c r="L2178" s="32"/>
      <c r="M2178" s="32"/>
      <c r="N2178" s="32"/>
    </row>
    <row r="2179" spans="2:14" x14ac:dyDescent="0.25">
      <c r="B2179" s="42"/>
      <c r="C2179" s="30"/>
      <c r="D2179" s="30"/>
      <c r="E2179" s="30"/>
      <c r="F2179" s="30"/>
      <c r="G2179" s="30"/>
      <c r="H2179" s="47"/>
      <c r="I2179" s="63"/>
      <c r="J2179" s="31"/>
      <c r="K2179" s="31"/>
      <c r="L2179" s="32"/>
      <c r="M2179" s="32"/>
      <c r="N2179" s="32"/>
    </row>
    <row r="2180" spans="2:14" x14ac:dyDescent="0.25">
      <c r="B2180" s="42"/>
      <c r="C2180" s="30"/>
      <c r="D2180" s="30"/>
      <c r="E2180" s="30"/>
      <c r="F2180" s="30"/>
      <c r="G2180" s="30"/>
      <c r="H2180" s="47"/>
      <c r="I2180" s="63"/>
      <c r="J2180" s="31"/>
      <c r="K2180" s="31"/>
      <c r="L2180" s="32"/>
      <c r="M2180" s="32"/>
      <c r="N2180" s="32"/>
    </row>
    <row r="2181" spans="2:14" x14ac:dyDescent="0.25">
      <c r="B2181" s="42"/>
      <c r="C2181" s="30"/>
      <c r="D2181" s="30"/>
      <c r="E2181" s="30"/>
      <c r="F2181" s="30"/>
      <c r="G2181" s="30"/>
      <c r="H2181" s="47"/>
      <c r="I2181" s="63"/>
      <c r="J2181" s="31"/>
      <c r="K2181" s="31"/>
      <c r="L2181" s="32"/>
      <c r="M2181" s="32"/>
      <c r="N2181" s="32"/>
    </row>
    <row r="2182" spans="2:14" x14ac:dyDescent="0.25">
      <c r="B2182" s="42"/>
      <c r="C2182" s="30"/>
      <c r="D2182" s="30"/>
      <c r="E2182" s="30"/>
      <c r="F2182" s="30"/>
      <c r="G2182" s="30"/>
      <c r="H2182" s="47"/>
      <c r="I2182" s="63"/>
      <c r="J2182" s="31"/>
      <c r="K2182" s="31"/>
      <c r="L2182" s="32"/>
      <c r="M2182" s="32"/>
      <c r="N2182" s="32"/>
    </row>
    <row r="2183" spans="2:14" x14ac:dyDescent="0.25">
      <c r="B2183" s="42"/>
      <c r="C2183" s="30"/>
      <c r="D2183" s="30"/>
      <c r="E2183" s="30"/>
      <c r="F2183" s="30"/>
      <c r="G2183" s="30"/>
      <c r="H2183" s="47"/>
      <c r="I2183" s="63"/>
      <c r="J2183" s="31"/>
      <c r="K2183" s="31"/>
      <c r="L2183" s="32"/>
      <c r="M2183" s="32"/>
      <c r="N2183" s="32"/>
    </row>
    <row r="2184" spans="2:14" x14ac:dyDescent="0.25">
      <c r="B2184" s="42"/>
      <c r="C2184" s="30"/>
      <c r="D2184" s="30"/>
      <c r="E2184" s="30"/>
      <c r="F2184" s="30"/>
      <c r="G2184" s="30"/>
      <c r="H2184" s="47"/>
      <c r="I2184" s="63"/>
      <c r="J2184" s="31"/>
      <c r="K2184" s="31"/>
      <c r="L2184" s="32"/>
      <c r="M2184" s="32"/>
      <c r="N2184" s="32"/>
    </row>
    <row r="2185" spans="2:14" x14ac:dyDescent="0.25">
      <c r="B2185" s="42"/>
      <c r="C2185" s="30"/>
      <c r="D2185" s="30"/>
      <c r="E2185" s="30"/>
      <c r="F2185" s="30"/>
      <c r="G2185" s="30"/>
      <c r="H2185" s="47"/>
      <c r="I2185" s="63"/>
      <c r="J2185" s="31"/>
      <c r="K2185" s="31"/>
      <c r="L2185" s="32"/>
      <c r="M2185" s="32"/>
      <c r="N2185" s="32"/>
    </row>
    <row r="2186" spans="2:14" x14ac:dyDescent="0.25">
      <c r="B2186" s="42"/>
      <c r="C2186" s="30"/>
      <c r="D2186" s="30"/>
      <c r="E2186" s="30"/>
      <c r="F2186" s="30"/>
      <c r="G2186" s="30"/>
      <c r="H2186" s="47"/>
      <c r="I2186" s="63"/>
      <c r="J2186" s="31"/>
      <c r="K2186" s="31"/>
      <c r="L2186" s="32"/>
      <c r="M2186" s="32"/>
      <c r="N2186" s="32"/>
    </row>
    <row r="2187" spans="2:14" x14ac:dyDescent="0.25">
      <c r="B2187" s="42"/>
      <c r="C2187" s="30"/>
      <c r="D2187" s="30"/>
      <c r="E2187" s="30"/>
      <c r="F2187" s="30"/>
      <c r="G2187" s="30"/>
      <c r="H2187" s="47"/>
      <c r="I2187" s="63"/>
      <c r="J2187" s="31"/>
      <c r="K2187" s="31"/>
      <c r="L2187" s="32"/>
      <c r="M2187" s="32"/>
      <c r="N2187" s="32"/>
    </row>
    <row r="2188" spans="2:14" x14ac:dyDescent="0.25">
      <c r="B2188" s="42"/>
      <c r="C2188" s="30"/>
      <c r="D2188" s="30"/>
      <c r="E2188" s="30"/>
      <c r="F2188" s="30"/>
      <c r="G2188" s="30"/>
      <c r="H2188" s="47"/>
      <c r="I2188" s="63"/>
      <c r="J2188" s="31"/>
      <c r="K2188" s="31"/>
      <c r="L2188" s="32"/>
      <c r="M2188" s="32"/>
      <c r="N2188" s="32"/>
    </row>
    <row r="2189" spans="2:14" x14ac:dyDescent="0.25">
      <c r="B2189" s="42"/>
      <c r="C2189" s="30"/>
      <c r="D2189" s="30"/>
      <c r="E2189" s="30"/>
      <c r="F2189" s="30"/>
      <c r="G2189" s="30"/>
      <c r="H2189" s="47"/>
      <c r="I2189" s="63"/>
      <c r="J2189" s="31"/>
      <c r="K2189" s="31"/>
      <c r="L2189" s="32"/>
      <c r="M2189" s="32"/>
      <c r="N2189" s="32"/>
    </row>
    <row r="2190" spans="2:14" x14ac:dyDescent="0.25">
      <c r="B2190" s="42"/>
      <c r="C2190" s="30"/>
      <c r="D2190" s="30"/>
      <c r="E2190" s="30"/>
      <c r="F2190" s="30"/>
      <c r="G2190" s="30"/>
      <c r="H2190" s="47"/>
      <c r="I2190" s="63"/>
      <c r="J2190" s="31"/>
      <c r="K2190" s="31"/>
      <c r="L2190" s="32"/>
      <c r="M2190" s="32"/>
      <c r="N2190" s="32"/>
    </row>
    <row r="2191" spans="2:14" x14ac:dyDescent="0.25">
      <c r="B2191" s="42"/>
      <c r="C2191" s="30"/>
      <c r="D2191" s="30"/>
      <c r="E2191" s="30"/>
      <c r="F2191" s="30"/>
      <c r="G2191" s="30"/>
      <c r="H2191" s="47"/>
      <c r="I2191" s="63"/>
      <c r="J2191" s="31"/>
      <c r="K2191" s="31"/>
      <c r="L2191" s="32"/>
      <c r="M2191" s="32"/>
      <c r="N2191" s="32"/>
    </row>
    <row r="2192" spans="2:14" x14ac:dyDescent="0.25">
      <c r="B2192" s="42"/>
      <c r="C2192" s="30"/>
      <c r="D2192" s="30"/>
      <c r="E2192" s="30"/>
      <c r="F2192" s="30"/>
      <c r="G2192" s="30"/>
      <c r="H2192" s="47"/>
      <c r="I2192" s="63"/>
      <c r="J2192" s="31"/>
      <c r="K2192" s="31"/>
      <c r="L2192" s="32"/>
      <c r="M2192" s="32"/>
      <c r="N2192" s="32"/>
    </row>
    <row r="2193" spans="2:14" x14ac:dyDescent="0.25">
      <c r="B2193" s="42"/>
      <c r="C2193" s="30"/>
      <c r="D2193" s="30"/>
      <c r="E2193" s="30"/>
      <c r="F2193" s="30"/>
      <c r="G2193" s="30"/>
      <c r="H2193" s="47"/>
      <c r="I2193" s="63"/>
      <c r="J2193" s="31"/>
      <c r="K2193" s="31"/>
      <c r="L2193" s="32"/>
      <c r="M2193" s="32"/>
      <c r="N2193" s="32"/>
    </row>
    <row r="2194" spans="2:14" x14ac:dyDescent="0.25">
      <c r="B2194" s="42"/>
      <c r="C2194" s="30"/>
      <c r="D2194" s="30"/>
      <c r="E2194" s="30"/>
      <c r="F2194" s="30"/>
      <c r="G2194" s="30"/>
      <c r="H2194" s="47"/>
      <c r="I2194" s="63"/>
      <c r="J2194" s="31"/>
      <c r="K2194" s="31"/>
      <c r="L2194" s="32"/>
      <c r="M2194" s="32"/>
      <c r="N2194" s="32"/>
    </row>
    <row r="2195" spans="2:14" x14ac:dyDescent="0.25">
      <c r="B2195" s="42"/>
      <c r="C2195" s="30"/>
      <c r="D2195" s="30"/>
      <c r="E2195" s="30"/>
      <c r="F2195" s="30"/>
      <c r="G2195" s="30"/>
      <c r="H2195" s="47"/>
      <c r="I2195" s="63"/>
      <c r="J2195" s="31"/>
      <c r="K2195" s="31"/>
      <c r="L2195" s="32"/>
      <c r="M2195" s="32"/>
      <c r="N2195" s="32"/>
    </row>
    <row r="2196" spans="2:14" x14ac:dyDescent="0.25">
      <c r="B2196" s="42"/>
      <c r="C2196" s="30"/>
      <c r="D2196" s="30"/>
      <c r="E2196" s="30"/>
      <c r="F2196" s="30"/>
      <c r="G2196" s="30"/>
      <c r="H2196" s="47"/>
      <c r="I2196" s="63"/>
      <c r="J2196" s="31"/>
      <c r="K2196" s="31"/>
      <c r="L2196" s="32"/>
      <c r="M2196" s="32"/>
      <c r="N2196" s="32"/>
    </row>
    <row r="2197" spans="2:14" x14ac:dyDescent="0.25">
      <c r="B2197" s="42"/>
      <c r="C2197" s="30"/>
      <c r="D2197" s="30"/>
      <c r="E2197" s="30"/>
      <c r="F2197" s="30"/>
      <c r="G2197" s="30"/>
      <c r="H2197" s="47"/>
      <c r="I2197" s="63"/>
      <c r="J2197" s="31"/>
      <c r="K2197" s="31"/>
      <c r="L2197" s="32"/>
      <c r="M2197" s="32"/>
      <c r="N2197" s="32"/>
    </row>
    <row r="2198" spans="2:14" x14ac:dyDescent="0.25">
      <c r="B2198" s="42"/>
      <c r="C2198" s="30"/>
      <c r="D2198" s="30"/>
      <c r="E2198" s="30"/>
      <c r="F2198" s="30"/>
      <c r="G2198" s="30"/>
      <c r="H2198" s="47"/>
      <c r="I2198" s="63"/>
      <c r="J2198" s="31"/>
      <c r="K2198" s="31"/>
      <c r="L2198" s="32"/>
      <c r="M2198" s="32"/>
      <c r="N2198" s="32"/>
    </row>
    <row r="2199" spans="2:14" x14ac:dyDescent="0.25">
      <c r="B2199" s="42"/>
      <c r="C2199" s="30"/>
      <c r="D2199" s="30"/>
      <c r="E2199" s="30"/>
      <c r="F2199" s="30"/>
      <c r="G2199" s="30"/>
      <c r="H2199" s="47"/>
      <c r="I2199" s="63"/>
      <c r="J2199" s="31"/>
      <c r="K2199" s="31"/>
      <c r="L2199" s="32"/>
      <c r="M2199" s="32"/>
      <c r="N2199" s="32"/>
    </row>
    <row r="2200" spans="2:14" x14ac:dyDescent="0.25">
      <c r="B2200" s="42"/>
      <c r="C2200" s="30"/>
      <c r="D2200" s="30"/>
      <c r="E2200" s="30"/>
      <c r="F2200" s="30"/>
      <c r="G2200" s="30"/>
      <c r="H2200" s="47"/>
      <c r="I2200" s="63"/>
      <c r="J2200" s="31"/>
      <c r="K2200" s="31"/>
      <c r="L2200" s="32"/>
      <c r="M2200" s="32"/>
      <c r="N2200" s="32"/>
    </row>
    <row r="2201" spans="2:14" x14ac:dyDescent="0.25">
      <c r="B2201" s="42"/>
      <c r="C2201" s="30"/>
      <c r="D2201" s="30"/>
      <c r="E2201" s="30"/>
      <c r="F2201" s="30"/>
      <c r="G2201" s="30"/>
      <c r="H2201" s="47"/>
      <c r="I2201" s="63"/>
      <c r="J2201" s="31"/>
      <c r="K2201" s="31"/>
      <c r="L2201" s="32"/>
      <c r="M2201" s="32"/>
      <c r="N2201" s="32"/>
    </row>
    <row r="2202" spans="2:14" x14ac:dyDescent="0.25">
      <c r="B2202" s="42"/>
      <c r="C2202" s="30"/>
      <c r="D2202" s="30"/>
      <c r="E2202" s="30"/>
      <c r="F2202" s="30"/>
      <c r="G2202" s="30"/>
      <c r="H2202" s="47"/>
      <c r="I2202" s="63"/>
      <c r="J2202" s="31"/>
      <c r="K2202" s="31"/>
      <c r="L2202" s="32"/>
      <c r="M2202" s="32"/>
      <c r="N2202" s="32"/>
    </row>
    <row r="2203" spans="2:14" x14ac:dyDescent="0.25">
      <c r="B2203" s="42"/>
      <c r="C2203" s="30"/>
      <c r="D2203" s="30"/>
      <c r="E2203" s="30"/>
      <c r="F2203" s="30"/>
      <c r="G2203" s="30"/>
      <c r="H2203" s="47"/>
      <c r="I2203" s="63"/>
      <c r="J2203" s="31"/>
      <c r="K2203" s="31"/>
      <c r="L2203" s="32"/>
      <c r="M2203" s="32"/>
      <c r="N2203" s="32"/>
    </row>
    <row r="2204" spans="2:14" x14ac:dyDescent="0.25">
      <c r="B2204" s="42"/>
      <c r="C2204" s="30"/>
      <c r="D2204" s="30"/>
      <c r="E2204" s="30"/>
      <c r="F2204" s="30"/>
      <c r="G2204" s="30"/>
      <c r="H2204" s="47"/>
      <c r="I2204" s="63"/>
      <c r="J2204" s="31"/>
      <c r="K2204" s="31"/>
      <c r="L2204" s="32"/>
      <c r="M2204" s="32"/>
      <c r="N2204" s="32"/>
    </row>
    <row r="2205" spans="2:14" x14ac:dyDescent="0.25">
      <c r="B2205" s="42"/>
      <c r="C2205" s="30"/>
      <c r="D2205" s="30"/>
      <c r="E2205" s="30"/>
      <c r="F2205" s="30"/>
      <c r="G2205" s="30"/>
      <c r="H2205" s="47"/>
      <c r="I2205" s="63"/>
      <c r="J2205" s="31"/>
      <c r="K2205" s="31"/>
      <c r="L2205" s="32"/>
      <c r="M2205" s="32"/>
      <c r="N2205" s="32"/>
    </row>
    <row r="2206" spans="2:14" x14ac:dyDescent="0.25">
      <c r="B2206" s="42"/>
      <c r="C2206" s="30"/>
      <c r="D2206" s="30"/>
      <c r="E2206" s="30"/>
      <c r="F2206" s="30"/>
      <c r="G2206" s="30"/>
      <c r="H2206" s="47"/>
      <c r="I2206" s="63"/>
      <c r="J2206" s="31"/>
      <c r="K2206" s="31"/>
      <c r="L2206" s="32"/>
      <c r="M2206" s="32"/>
      <c r="N2206" s="32"/>
    </row>
    <row r="2207" spans="2:14" x14ac:dyDescent="0.25">
      <c r="B2207" s="42"/>
      <c r="C2207" s="30"/>
      <c r="D2207" s="30"/>
      <c r="E2207" s="30"/>
      <c r="F2207" s="30"/>
      <c r="G2207" s="30"/>
      <c r="H2207" s="47"/>
      <c r="I2207" s="63"/>
      <c r="J2207" s="31"/>
      <c r="K2207" s="31"/>
      <c r="L2207" s="32"/>
      <c r="M2207" s="32"/>
      <c r="N2207" s="32"/>
    </row>
    <row r="2208" spans="2:14" x14ac:dyDescent="0.25">
      <c r="B2208" s="42"/>
      <c r="C2208" s="30"/>
      <c r="D2208" s="30"/>
      <c r="E2208" s="30"/>
      <c r="F2208" s="30"/>
      <c r="G2208" s="30"/>
      <c r="H2208" s="47"/>
      <c r="I2208" s="63"/>
      <c r="J2208" s="31"/>
      <c r="K2208" s="31"/>
      <c r="L2208" s="32"/>
      <c r="M2208" s="32"/>
      <c r="N2208" s="32"/>
    </row>
    <row r="2209" spans="2:14" x14ac:dyDescent="0.25">
      <c r="B2209" s="42"/>
      <c r="C2209" s="30"/>
      <c r="D2209" s="30"/>
      <c r="E2209" s="30"/>
      <c r="F2209" s="30"/>
      <c r="G2209" s="30"/>
      <c r="H2209" s="47"/>
      <c r="I2209" s="63"/>
      <c r="J2209" s="31"/>
      <c r="K2209" s="31"/>
      <c r="L2209" s="32"/>
      <c r="M2209" s="32"/>
      <c r="N2209" s="32"/>
    </row>
    <row r="2210" spans="2:14" x14ac:dyDescent="0.25">
      <c r="B2210" s="42"/>
      <c r="C2210" s="30"/>
      <c r="D2210" s="30"/>
      <c r="E2210" s="30"/>
      <c r="F2210" s="30"/>
      <c r="G2210" s="30"/>
      <c r="H2210" s="47"/>
      <c r="I2210" s="63"/>
      <c r="J2210" s="31"/>
      <c r="K2210" s="31"/>
      <c r="L2210" s="32"/>
      <c r="M2210" s="32"/>
      <c r="N2210" s="32"/>
    </row>
    <row r="2211" spans="2:14" x14ac:dyDescent="0.25">
      <c r="B2211" s="42"/>
      <c r="C2211" s="30"/>
      <c r="D2211" s="30"/>
      <c r="E2211" s="30"/>
      <c r="F2211" s="30"/>
      <c r="G2211" s="30"/>
      <c r="H2211" s="47"/>
      <c r="I2211" s="63"/>
      <c r="J2211" s="31"/>
      <c r="K2211" s="31"/>
      <c r="L2211" s="32"/>
      <c r="M2211" s="32"/>
      <c r="N2211" s="32"/>
    </row>
    <row r="2212" spans="2:14" x14ac:dyDescent="0.25">
      <c r="B2212" s="42"/>
      <c r="C2212" s="30"/>
      <c r="D2212" s="30"/>
      <c r="E2212" s="30"/>
      <c r="F2212" s="30"/>
      <c r="G2212" s="30"/>
      <c r="H2212" s="47"/>
      <c r="I2212" s="63"/>
      <c r="J2212" s="31"/>
      <c r="K2212" s="31"/>
      <c r="L2212" s="32"/>
      <c r="M2212" s="32"/>
      <c r="N2212" s="32"/>
    </row>
    <row r="2213" spans="2:14" x14ac:dyDescent="0.25">
      <c r="B2213" s="42"/>
      <c r="C2213" s="30"/>
      <c r="D2213" s="30"/>
      <c r="E2213" s="30"/>
      <c r="F2213" s="30"/>
      <c r="G2213" s="30"/>
      <c r="H2213" s="47"/>
      <c r="I2213" s="63"/>
      <c r="J2213" s="31"/>
      <c r="K2213" s="31"/>
      <c r="L2213" s="32"/>
      <c r="M2213" s="32"/>
      <c r="N2213" s="32"/>
    </row>
    <row r="2214" spans="2:14" x14ac:dyDescent="0.25">
      <c r="B2214" s="42"/>
      <c r="C2214" s="30"/>
      <c r="D2214" s="30"/>
      <c r="E2214" s="30"/>
      <c r="F2214" s="30"/>
      <c r="G2214" s="30"/>
      <c r="H2214" s="47"/>
      <c r="I2214" s="63"/>
      <c r="J2214" s="31"/>
      <c r="K2214" s="31"/>
      <c r="L2214" s="32"/>
      <c r="M2214" s="32"/>
      <c r="N2214" s="32"/>
    </row>
    <row r="2215" spans="2:14" x14ac:dyDescent="0.25">
      <c r="B2215" s="42"/>
      <c r="C2215" s="30"/>
      <c r="D2215" s="30"/>
      <c r="E2215" s="30"/>
      <c r="F2215" s="30"/>
      <c r="G2215" s="30"/>
      <c r="H2215" s="47"/>
      <c r="I2215" s="63"/>
      <c r="J2215" s="31"/>
      <c r="K2215" s="31"/>
      <c r="L2215" s="32"/>
      <c r="M2215" s="32"/>
      <c r="N2215" s="32"/>
    </row>
    <row r="2216" spans="2:14" x14ac:dyDescent="0.25">
      <c r="B2216" s="42"/>
      <c r="C2216" s="30"/>
      <c r="D2216" s="30"/>
      <c r="E2216" s="30"/>
      <c r="F2216" s="30"/>
      <c r="G2216" s="30"/>
      <c r="H2216" s="47"/>
      <c r="I2216" s="63"/>
      <c r="J2216" s="31"/>
      <c r="K2216" s="31"/>
      <c r="L2216" s="32"/>
      <c r="M2216" s="32"/>
      <c r="N2216" s="32"/>
    </row>
    <row r="2217" spans="2:14" x14ac:dyDescent="0.25">
      <c r="B2217" s="42"/>
      <c r="C2217" s="30"/>
      <c r="D2217" s="30"/>
      <c r="E2217" s="30"/>
      <c r="F2217" s="30"/>
      <c r="G2217" s="30"/>
      <c r="H2217" s="47"/>
      <c r="I2217" s="63"/>
      <c r="J2217" s="31"/>
      <c r="K2217" s="31"/>
      <c r="L2217" s="32"/>
      <c r="M2217" s="32"/>
      <c r="N2217" s="32"/>
    </row>
    <row r="2218" spans="2:14" x14ac:dyDescent="0.25">
      <c r="B2218" s="42"/>
      <c r="C2218" s="30"/>
      <c r="D2218" s="30"/>
      <c r="E2218" s="30"/>
      <c r="F2218" s="30"/>
      <c r="G2218" s="30"/>
      <c r="H2218" s="47"/>
      <c r="I2218" s="63"/>
      <c r="J2218" s="31"/>
      <c r="K2218" s="31"/>
      <c r="L2218" s="32"/>
      <c r="M2218" s="32"/>
      <c r="N2218" s="32"/>
    </row>
    <row r="2219" spans="2:14" x14ac:dyDescent="0.25">
      <c r="B2219" s="42"/>
      <c r="C2219" s="30"/>
      <c r="D2219" s="30"/>
      <c r="E2219" s="30"/>
      <c r="F2219" s="30"/>
      <c r="G2219" s="30"/>
      <c r="H2219" s="47"/>
      <c r="I2219" s="63"/>
      <c r="J2219" s="31"/>
      <c r="K2219" s="31"/>
      <c r="L2219" s="32"/>
      <c r="M2219" s="32"/>
      <c r="N2219" s="32"/>
    </row>
    <row r="2220" spans="2:14" x14ac:dyDescent="0.25">
      <c r="B2220" s="42"/>
      <c r="C2220" s="30"/>
      <c r="D2220" s="30"/>
      <c r="E2220" s="30"/>
      <c r="F2220" s="30"/>
      <c r="G2220" s="30"/>
      <c r="H2220" s="47"/>
      <c r="I2220" s="63"/>
      <c r="J2220" s="31"/>
      <c r="K2220" s="31"/>
      <c r="L2220" s="32"/>
      <c r="M2220" s="32"/>
      <c r="N2220" s="32"/>
    </row>
    <row r="2221" spans="2:14" x14ac:dyDescent="0.25">
      <c r="B2221" s="42"/>
      <c r="C2221" s="30"/>
      <c r="D2221" s="30"/>
      <c r="E2221" s="30"/>
      <c r="F2221" s="30"/>
      <c r="G2221" s="30"/>
      <c r="H2221" s="47"/>
      <c r="I2221" s="63"/>
      <c r="J2221" s="31"/>
      <c r="K2221" s="31"/>
      <c r="L2221" s="32"/>
      <c r="M2221" s="32"/>
      <c r="N2221" s="32"/>
    </row>
    <row r="2222" spans="2:14" x14ac:dyDescent="0.25">
      <c r="B2222" s="42"/>
      <c r="C2222" s="30"/>
      <c r="D2222" s="30"/>
      <c r="E2222" s="30"/>
      <c r="F2222" s="30"/>
      <c r="G2222" s="30"/>
      <c r="H2222" s="47"/>
      <c r="I2222" s="63"/>
      <c r="J2222" s="31"/>
      <c r="K2222" s="31"/>
      <c r="L2222" s="32"/>
      <c r="M2222" s="32"/>
      <c r="N2222" s="32"/>
    </row>
    <row r="2223" spans="2:14" x14ac:dyDescent="0.25">
      <c r="B2223" s="42"/>
      <c r="C2223" s="30"/>
      <c r="D2223" s="30"/>
      <c r="E2223" s="30"/>
      <c r="F2223" s="30"/>
      <c r="G2223" s="30"/>
      <c r="H2223" s="47"/>
      <c r="I2223" s="63"/>
      <c r="J2223" s="31"/>
      <c r="K2223" s="31"/>
      <c r="L2223" s="32"/>
      <c r="M2223" s="32"/>
      <c r="N2223" s="32"/>
    </row>
    <row r="2224" spans="2:14" x14ac:dyDescent="0.25">
      <c r="B2224" s="42"/>
      <c r="C2224" s="30"/>
      <c r="D2224" s="30"/>
      <c r="E2224" s="30"/>
      <c r="F2224" s="30"/>
      <c r="G2224" s="30"/>
      <c r="H2224" s="47"/>
      <c r="I2224" s="63"/>
      <c r="J2224" s="31"/>
      <c r="K2224" s="31"/>
      <c r="L2224" s="32"/>
      <c r="M2224" s="32"/>
      <c r="N2224" s="32"/>
    </row>
    <row r="2225" spans="2:14" x14ac:dyDescent="0.25">
      <c r="B2225" s="42"/>
      <c r="C2225" s="30"/>
      <c r="D2225" s="30"/>
      <c r="E2225" s="30"/>
      <c r="F2225" s="30"/>
      <c r="G2225" s="30"/>
      <c r="H2225" s="47"/>
      <c r="I2225" s="63"/>
      <c r="J2225" s="31"/>
      <c r="K2225" s="31"/>
      <c r="L2225" s="32"/>
      <c r="M2225" s="32"/>
      <c r="N2225" s="32"/>
    </row>
    <row r="2226" spans="2:14" x14ac:dyDescent="0.25">
      <c r="B2226" s="42"/>
      <c r="C2226" s="30"/>
      <c r="D2226" s="30"/>
      <c r="E2226" s="30"/>
      <c r="F2226" s="30"/>
      <c r="G2226" s="30"/>
      <c r="H2226" s="47"/>
      <c r="I2226" s="63"/>
      <c r="J2226" s="31"/>
      <c r="K2226" s="31"/>
      <c r="L2226" s="32"/>
      <c r="M2226" s="32"/>
      <c r="N2226" s="32"/>
    </row>
    <row r="2227" spans="2:14" x14ac:dyDescent="0.25">
      <c r="B2227" s="42"/>
      <c r="C2227" s="30"/>
      <c r="D2227" s="30"/>
      <c r="E2227" s="30"/>
      <c r="F2227" s="30"/>
      <c r="G2227" s="30"/>
      <c r="H2227" s="47"/>
      <c r="I2227" s="63"/>
      <c r="J2227" s="31"/>
      <c r="K2227" s="31"/>
      <c r="L2227" s="32"/>
      <c r="M2227" s="32"/>
      <c r="N2227" s="32"/>
    </row>
    <row r="2228" spans="2:14" x14ac:dyDescent="0.25">
      <c r="B2228" s="42"/>
      <c r="C2228" s="30"/>
      <c r="D2228" s="30"/>
      <c r="E2228" s="30"/>
      <c r="F2228" s="30"/>
      <c r="G2228" s="30"/>
      <c r="H2228" s="47"/>
      <c r="I2228" s="63"/>
      <c r="J2228" s="31"/>
      <c r="K2228" s="31"/>
      <c r="L2228" s="32"/>
      <c r="M2228" s="32"/>
      <c r="N2228" s="32"/>
    </row>
    <row r="2229" spans="2:14" x14ac:dyDescent="0.25">
      <c r="B2229" s="42"/>
      <c r="C2229" s="30"/>
      <c r="D2229" s="30"/>
      <c r="E2229" s="30"/>
      <c r="F2229" s="30"/>
      <c r="G2229" s="30"/>
      <c r="H2229" s="47"/>
      <c r="I2229" s="63"/>
      <c r="J2229" s="31"/>
      <c r="K2229" s="31"/>
      <c r="L2229" s="32"/>
      <c r="M2229" s="32"/>
      <c r="N2229" s="32"/>
    </row>
    <row r="2230" spans="2:14" x14ac:dyDescent="0.25">
      <c r="B2230" s="42"/>
      <c r="C2230" s="30"/>
      <c r="D2230" s="30"/>
      <c r="E2230" s="30"/>
      <c r="F2230" s="30"/>
      <c r="G2230" s="30"/>
      <c r="H2230" s="47"/>
      <c r="I2230" s="63"/>
      <c r="J2230" s="31"/>
      <c r="K2230" s="31"/>
      <c r="L2230" s="32"/>
      <c r="M2230" s="32"/>
      <c r="N2230" s="32"/>
    </row>
    <row r="2231" spans="2:14" x14ac:dyDescent="0.25">
      <c r="B2231" s="42"/>
      <c r="C2231" s="30"/>
      <c r="D2231" s="30"/>
      <c r="E2231" s="30"/>
      <c r="F2231" s="30"/>
      <c r="G2231" s="30"/>
      <c r="H2231" s="47"/>
      <c r="I2231" s="63"/>
      <c r="J2231" s="31"/>
      <c r="K2231" s="31"/>
      <c r="L2231" s="32"/>
      <c r="M2231" s="32"/>
      <c r="N2231" s="32"/>
    </row>
    <row r="2232" spans="2:14" x14ac:dyDescent="0.25">
      <c r="B2232" s="42"/>
      <c r="C2232" s="30"/>
      <c r="D2232" s="30"/>
      <c r="E2232" s="30"/>
      <c r="F2232" s="30"/>
      <c r="G2232" s="30"/>
      <c r="H2232" s="47"/>
      <c r="I2232" s="63"/>
      <c r="J2232" s="31"/>
      <c r="K2232" s="31"/>
      <c r="L2232" s="32"/>
      <c r="M2232" s="32"/>
      <c r="N2232" s="32"/>
    </row>
    <row r="2233" spans="2:14" x14ac:dyDescent="0.25">
      <c r="B2233" s="42"/>
      <c r="C2233" s="30"/>
      <c r="D2233" s="30"/>
      <c r="E2233" s="30"/>
      <c r="F2233" s="30"/>
      <c r="G2233" s="30"/>
      <c r="H2233" s="47"/>
      <c r="I2233" s="63"/>
      <c r="J2233" s="31"/>
      <c r="K2233" s="31"/>
      <c r="L2233" s="32"/>
      <c r="M2233" s="32"/>
      <c r="N2233" s="32"/>
    </row>
    <row r="2234" spans="2:14" x14ac:dyDescent="0.25">
      <c r="B2234" s="42"/>
      <c r="C2234" s="30"/>
      <c r="D2234" s="30"/>
      <c r="E2234" s="30"/>
      <c r="F2234" s="30"/>
      <c r="G2234" s="30"/>
      <c r="H2234" s="47"/>
      <c r="I2234" s="63"/>
      <c r="J2234" s="31"/>
      <c r="K2234" s="31"/>
      <c r="L2234" s="32"/>
      <c r="M2234" s="32"/>
      <c r="N2234" s="32"/>
    </row>
    <row r="2235" spans="2:14" x14ac:dyDescent="0.25">
      <c r="B2235" s="42"/>
      <c r="C2235" s="30"/>
      <c r="D2235" s="30"/>
      <c r="E2235" s="30"/>
      <c r="F2235" s="30"/>
      <c r="G2235" s="30"/>
      <c r="H2235" s="47"/>
      <c r="I2235" s="63"/>
      <c r="J2235" s="31"/>
      <c r="K2235" s="31"/>
      <c r="L2235" s="32"/>
      <c r="M2235" s="32"/>
      <c r="N2235" s="32"/>
    </row>
    <row r="2236" spans="2:14" x14ac:dyDescent="0.25">
      <c r="B2236" s="42"/>
      <c r="C2236" s="30"/>
      <c r="D2236" s="30"/>
      <c r="E2236" s="30"/>
      <c r="F2236" s="30"/>
      <c r="G2236" s="30"/>
      <c r="H2236" s="47"/>
      <c r="I2236" s="63"/>
      <c r="J2236" s="31"/>
      <c r="K2236" s="31"/>
      <c r="L2236" s="32"/>
      <c r="M2236" s="32"/>
      <c r="N2236" s="32"/>
    </row>
    <row r="2237" spans="2:14" x14ac:dyDescent="0.25">
      <c r="B2237" s="42"/>
      <c r="C2237" s="30"/>
      <c r="D2237" s="30"/>
      <c r="E2237" s="30"/>
      <c r="F2237" s="30"/>
      <c r="G2237" s="30"/>
      <c r="H2237" s="47"/>
      <c r="I2237" s="63"/>
      <c r="J2237" s="31"/>
      <c r="K2237" s="31"/>
      <c r="L2237" s="32"/>
      <c r="M2237" s="32"/>
      <c r="N2237" s="32"/>
    </row>
    <row r="2238" spans="2:14" x14ac:dyDescent="0.25">
      <c r="B2238" s="42"/>
      <c r="C2238" s="30"/>
      <c r="D2238" s="30"/>
      <c r="E2238" s="30"/>
      <c r="F2238" s="30"/>
      <c r="G2238" s="30"/>
      <c r="H2238" s="47"/>
      <c r="I2238" s="63"/>
      <c r="J2238" s="31"/>
      <c r="K2238" s="31"/>
      <c r="L2238" s="32"/>
      <c r="M2238" s="32"/>
      <c r="N2238" s="32"/>
    </row>
    <row r="2239" spans="2:14" x14ac:dyDescent="0.25">
      <c r="B2239" s="42"/>
      <c r="C2239" s="30"/>
      <c r="D2239" s="30"/>
      <c r="E2239" s="30"/>
      <c r="F2239" s="30"/>
      <c r="G2239" s="30"/>
      <c r="H2239" s="47"/>
      <c r="I2239" s="63"/>
      <c r="J2239" s="31"/>
      <c r="K2239" s="31"/>
      <c r="L2239" s="32"/>
      <c r="M2239" s="32"/>
      <c r="N2239" s="32"/>
    </row>
    <row r="2240" spans="2:14" x14ac:dyDescent="0.25">
      <c r="B2240" s="42"/>
      <c r="C2240" s="30"/>
      <c r="D2240" s="30"/>
      <c r="E2240" s="30"/>
      <c r="F2240" s="30"/>
      <c r="G2240" s="30"/>
      <c r="H2240" s="47"/>
      <c r="I2240" s="63"/>
      <c r="J2240" s="31"/>
      <c r="K2240" s="31"/>
      <c r="L2240" s="32"/>
      <c r="M2240" s="32"/>
      <c r="N2240" s="32"/>
    </row>
    <row r="2241" spans="2:14" x14ac:dyDescent="0.25">
      <c r="B2241" s="42"/>
      <c r="C2241" s="30"/>
      <c r="D2241" s="30"/>
      <c r="E2241" s="30"/>
      <c r="F2241" s="30"/>
      <c r="G2241" s="30"/>
      <c r="H2241" s="47"/>
      <c r="I2241" s="63"/>
      <c r="J2241" s="31"/>
      <c r="K2241" s="31"/>
      <c r="L2241" s="32"/>
      <c r="M2241" s="32"/>
      <c r="N2241" s="32"/>
    </row>
    <row r="2242" spans="2:14" x14ac:dyDescent="0.25">
      <c r="B2242" s="42"/>
      <c r="C2242" s="30"/>
      <c r="D2242" s="30"/>
      <c r="E2242" s="30"/>
      <c r="F2242" s="30"/>
      <c r="G2242" s="30"/>
      <c r="H2242" s="47"/>
      <c r="I2242" s="63"/>
      <c r="J2242" s="31"/>
      <c r="K2242" s="31"/>
      <c r="L2242" s="32"/>
      <c r="M2242" s="32"/>
      <c r="N2242" s="32"/>
    </row>
    <row r="2243" spans="2:14" x14ac:dyDescent="0.25">
      <c r="B2243" s="42"/>
      <c r="C2243" s="30"/>
      <c r="D2243" s="30"/>
      <c r="E2243" s="30"/>
      <c r="F2243" s="30"/>
      <c r="G2243" s="30"/>
      <c r="H2243" s="47"/>
      <c r="I2243" s="63"/>
      <c r="J2243" s="31"/>
      <c r="K2243" s="31"/>
      <c r="L2243" s="32"/>
      <c r="M2243" s="32"/>
      <c r="N2243" s="32"/>
    </row>
    <row r="2244" spans="2:14" x14ac:dyDescent="0.25">
      <c r="B2244" s="42"/>
      <c r="C2244" s="30"/>
      <c r="D2244" s="30"/>
      <c r="E2244" s="30"/>
      <c r="F2244" s="30"/>
      <c r="G2244" s="30"/>
      <c r="H2244" s="47"/>
      <c r="I2244" s="63"/>
      <c r="J2244" s="31"/>
      <c r="K2244" s="31"/>
      <c r="L2244" s="32"/>
      <c r="M2244" s="32"/>
      <c r="N2244" s="32"/>
    </row>
    <row r="2245" spans="2:14" x14ac:dyDescent="0.25">
      <c r="B2245" s="42"/>
      <c r="C2245" s="30"/>
      <c r="D2245" s="30"/>
      <c r="E2245" s="30"/>
      <c r="F2245" s="30"/>
      <c r="G2245" s="30"/>
      <c r="H2245" s="47"/>
      <c r="I2245" s="63"/>
      <c r="J2245" s="31"/>
      <c r="K2245" s="31"/>
      <c r="L2245" s="32"/>
      <c r="M2245" s="32"/>
      <c r="N2245" s="32"/>
    </row>
    <row r="2246" spans="2:14" x14ac:dyDescent="0.25">
      <c r="B2246" s="42"/>
      <c r="C2246" s="30"/>
      <c r="D2246" s="30"/>
      <c r="E2246" s="30"/>
      <c r="F2246" s="30"/>
      <c r="G2246" s="30"/>
      <c r="H2246" s="47"/>
      <c r="I2246" s="63"/>
      <c r="J2246" s="31"/>
      <c r="K2246" s="31"/>
      <c r="L2246" s="32"/>
      <c r="M2246" s="32"/>
      <c r="N2246" s="32"/>
    </row>
    <row r="2247" spans="2:14" x14ac:dyDescent="0.25">
      <c r="B2247" s="42"/>
      <c r="C2247" s="30"/>
      <c r="D2247" s="30"/>
      <c r="E2247" s="30"/>
      <c r="F2247" s="30"/>
      <c r="G2247" s="30"/>
      <c r="H2247" s="47"/>
      <c r="I2247" s="63"/>
      <c r="J2247" s="31"/>
      <c r="K2247" s="31"/>
      <c r="L2247" s="32"/>
      <c r="M2247" s="32"/>
      <c r="N2247" s="32"/>
    </row>
    <row r="2248" spans="2:14" x14ac:dyDescent="0.25">
      <c r="B2248" s="42"/>
      <c r="C2248" s="30"/>
      <c r="D2248" s="30"/>
      <c r="E2248" s="30"/>
      <c r="F2248" s="30"/>
      <c r="G2248" s="30"/>
      <c r="H2248" s="47"/>
      <c r="I2248" s="63"/>
      <c r="J2248" s="31"/>
      <c r="K2248" s="31"/>
      <c r="L2248" s="32"/>
      <c r="M2248" s="32"/>
      <c r="N2248" s="32"/>
    </row>
    <row r="2249" spans="2:14" x14ac:dyDescent="0.25">
      <c r="B2249" s="42"/>
      <c r="C2249" s="30"/>
      <c r="D2249" s="30"/>
      <c r="E2249" s="30"/>
      <c r="F2249" s="30"/>
      <c r="G2249" s="30"/>
      <c r="H2249" s="47"/>
      <c r="I2249" s="63"/>
      <c r="J2249" s="31"/>
      <c r="K2249" s="31"/>
      <c r="L2249" s="32"/>
      <c r="M2249" s="32"/>
      <c r="N2249" s="32"/>
    </row>
    <row r="2250" spans="2:14" x14ac:dyDescent="0.25">
      <c r="B2250" s="42"/>
      <c r="C2250" s="30"/>
      <c r="D2250" s="30"/>
      <c r="E2250" s="30"/>
      <c r="F2250" s="30"/>
      <c r="G2250" s="30"/>
      <c r="H2250" s="47"/>
      <c r="I2250" s="63"/>
      <c r="J2250" s="31"/>
      <c r="K2250" s="31"/>
      <c r="L2250" s="32"/>
      <c r="M2250" s="32"/>
      <c r="N2250" s="32"/>
    </row>
    <row r="2251" spans="2:14" x14ac:dyDescent="0.25">
      <c r="B2251" s="42"/>
      <c r="C2251" s="30"/>
      <c r="D2251" s="30"/>
      <c r="E2251" s="30"/>
      <c r="F2251" s="30"/>
      <c r="G2251" s="30"/>
      <c r="H2251" s="47"/>
      <c r="I2251" s="63"/>
      <c r="J2251" s="31"/>
      <c r="K2251" s="31"/>
      <c r="L2251" s="32"/>
      <c r="M2251" s="32"/>
      <c r="N2251" s="32"/>
    </row>
    <row r="2252" spans="2:14" x14ac:dyDescent="0.25">
      <c r="B2252" s="42"/>
      <c r="C2252" s="30"/>
      <c r="D2252" s="30"/>
      <c r="E2252" s="30"/>
      <c r="F2252" s="30"/>
      <c r="G2252" s="30"/>
      <c r="H2252" s="47"/>
      <c r="I2252" s="63"/>
      <c r="J2252" s="31"/>
      <c r="K2252" s="31"/>
      <c r="L2252" s="32"/>
      <c r="M2252" s="32"/>
      <c r="N2252" s="32"/>
    </row>
    <row r="2253" spans="2:14" x14ac:dyDescent="0.25">
      <c r="B2253" s="42"/>
      <c r="C2253" s="30"/>
      <c r="D2253" s="30"/>
      <c r="E2253" s="30"/>
      <c r="F2253" s="30"/>
      <c r="G2253" s="30"/>
      <c r="H2253" s="47"/>
      <c r="I2253" s="63"/>
      <c r="J2253" s="31"/>
      <c r="K2253" s="31"/>
      <c r="L2253" s="32"/>
      <c r="M2253" s="32"/>
      <c r="N2253" s="32"/>
    </row>
    <row r="2254" spans="2:14" x14ac:dyDescent="0.25">
      <c r="B2254" s="42"/>
      <c r="C2254" s="30"/>
      <c r="D2254" s="30"/>
      <c r="E2254" s="30"/>
      <c r="F2254" s="30"/>
      <c r="G2254" s="30"/>
      <c r="H2254" s="47"/>
      <c r="I2254" s="63"/>
      <c r="J2254" s="31"/>
      <c r="K2254" s="31"/>
      <c r="L2254" s="32"/>
      <c r="M2254" s="32"/>
      <c r="N2254" s="32"/>
    </row>
    <row r="2255" spans="2:14" x14ac:dyDescent="0.25">
      <c r="B2255" s="42"/>
      <c r="C2255" s="30"/>
      <c r="D2255" s="30"/>
      <c r="E2255" s="30"/>
      <c r="F2255" s="30"/>
      <c r="G2255" s="30"/>
      <c r="H2255" s="47"/>
      <c r="I2255" s="63"/>
      <c r="J2255" s="31"/>
      <c r="K2255" s="31"/>
      <c r="L2255" s="32"/>
      <c r="M2255" s="32"/>
      <c r="N2255" s="32"/>
    </row>
    <row r="2256" spans="2:14" x14ac:dyDescent="0.25">
      <c r="B2256" s="42"/>
      <c r="C2256" s="30"/>
      <c r="D2256" s="30"/>
      <c r="E2256" s="30"/>
      <c r="F2256" s="30"/>
      <c r="G2256" s="30"/>
      <c r="H2256" s="47"/>
      <c r="I2256" s="63"/>
      <c r="J2256" s="31"/>
      <c r="K2256" s="31"/>
      <c r="L2256" s="32"/>
      <c r="M2256" s="32"/>
      <c r="N2256" s="32"/>
    </row>
    <row r="2257" spans="2:14" x14ac:dyDescent="0.25">
      <c r="B2257" s="42"/>
      <c r="C2257" s="30"/>
      <c r="D2257" s="30"/>
      <c r="E2257" s="30"/>
      <c r="F2257" s="30"/>
      <c r="G2257" s="30"/>
      <c r="H2257" s="47"/>
      <c r="I2257" s="63"/>
      <c r="J2257" s="31"/>
      <c r="K2257" s="31"/>
      <c r="L2257" s="32"/>
      <c r="M2257" s="32"/>
      <c r="N2257" s="32"/>
    </row>
    <row r="2258" spans="2:14" x14ac:dyDescent="0.25">
      <c r="B2258" s="42"/>
      <c r="C2258" s="30"/>
      <c r="D2258" s="30"/>
      <c r="E2258" s="30"/>
      <c r="F2258" s="30"/>
      <c r="G2258" s="30"/>
      <c r="H2258" s="47"/>
      <c r="I2258" s="63"/>
      <c r="J2258" s="31"/>
      <c r="K2258" s="31"/>
      <c r="L2258" s="32"/>
      <c r="M2258" s="32"/>
      <c r="N2258" s="32"/>
    </row>
    <row r="2259" spans="2:14" x14ac:dyDescent="0.25">
      <c r="B2259" s="42"/>
      <c r="C2259" s="30"/>
      <c r="D2259" s="30"/>
      <c r="E2259" s="30"/>
      <c r="F2259" s="30"/>
      <c r="G2259" s="30"/>
      <c r="H2259" s="47"/>
      <c r="I2259" s="63"/>
      <c r="J2259" s="31"/>
      <c r="K2259" s="31"/>
      <c r="L2259" s="32"/>
      <c r="M2259" s="32"/>
      <c r="N2259" s="32"/>
    </row>
    <row r="2260" spans="2:14" x14ac:dyDescent="0.25">
      <c r="B2260" s="42"/>
      <c r="C2260" s="30"/>
      <c r="D2260" s="30"/>
      <c r="E2260" s="30"/>
      <c r="F2260" s="30"/>
      <c r="G2260" s="30"/>
      <c r="H2260" s="47"/>
      <c r="I2260" s="63"/>
      <c r="J2260" s="31"/>
      <c r="K2260" s="31"/>
      <c r="L2260" s="32"/>
      <c r="M2260" s="32"/>
      <c r="N2260" s="32"/>
    </row>
    <row r="2261" spans="2:14" x14ac:dyDescent="0.25">
      <c r="B2261" s="42"/>
      <c r="C2261" s="30"/>
      <c r="D2261" s="30"/>
      <c r="E2261" s="30"/>
      <c r="F2261" s="30"/>
      <c r="G2261" s="30"/>
      <c r="H2261" s="47"/>
      <c r="I2261" s="63"/>
      <c r="J2261" s="31"/>
      <c r="K2261" s="31"/>
      <c r="L2261" s="32"/>
      <c r="M2261" s="32"/>
      <c r="N2261" s="32"/>
    </row>
    <row r="2262" spans="2:14" x14ac:dyDescent="0.25">
      <c r="B2262" s="42"/>
      <c r="C2262" s="30"/>
      <c r="D2262" s="30"/>
      <c r="E2262" s="30"/>
      <c r="F2262" s="30"/>
      <c r="G2262" s="30"/>
      <c r="H2262" s="47"/>
      <c r="I2262" s="63"/>
      <c r="J2262" s="31"/>
      <c r="K2262" s="31"/>
      <c r="L2262" s="32"/>
      <c r="M2262" s="32"/>
      <c r="N2262" s="32"/>
    </row>
    <row r="2263" spans="2:14" x14ac:dyDescent="0.25">
      <c r="B2263" s="42"/>
      <c r="C2263" s="30"/>
      <c r="D2263" s="30"/>
      <c r="E2263" s="30"/>
      <c r="F2263" s="30"/>
      <c r="G2263" s="30"/>
      <c r="H2263" s="47"/>
      <c r="I2263" s="63"/>
      <c r="J2263" s="31"/>
      <c r="K2263" s="31"/>
      <c r="L2263" s="32"/>
      <c r="M2263" s="32"/>
      <c r="N2263" s="32"/>
    </row>
    <row r="2264" spans="2:14" x14ac:dyDescent="0.25">
      <c r="B2264" s="42"/>
      <c r="C2264" s="30"/>
      <c r="D2264" s="30"/>
      <c r="E2264" s="30"/>
      <c r="F2264" s="30"/>
      <c r="G2264" s="30"/>
      <c r="H2264" s="47"/>
      <c r="I2264" s="63"/>
      <c r="J2264" s="31"/>
      <c r="K2264" s="31"/>
      <c r="L2264" s="32"/>
      <c r="M2264" s="32"/>
      <c r="N2264" s="32"/>
    </row>
    <row r="2265" spans="2:14" x14ac:dyDescent="0.25">
      <c r="B2265" s="42"/>
      <c r="C2265" s="30"/>
      <c r="D2265" s="30"/>
      <c r="E2265" s="30"/>
      <c r="F2265" s="30"/>
      <c r="G2265" s="30"/>
      <c r="H2265" s="47"/>
      <c r="I2265" s="63"/>
      <c r="J2265" s="31"/>
      <c r="K2265" s="31"/>
      <c r="L2265" s="32"/>
      <c r="M2265" s="32"/>
      <c r="N2265" s="32"/>
    </row>
    <row r="2266" spans="2:14" x14ac:dyDescent="0.25">
      <c r="B2266" s="42"/>
      <c r="C2266" s="30"/>
      <c r="D2266" s="30"/>
      <c r="E2266" s="30"/>
      <c r="F2266" s="30"/>
      <c r="G2266" s="30"/>
      <c r="H2266" s="47"/>
      <c r="I2266" s="63"/>
      <c r="J2266" s="31"/>
      <c r="K2266" s="31"/>
      <c r="L2266" s="32"/>
      <c r="M2266" s="32"/>
      <c r="N2266" s="32"/>
    </row>
    <row r="2267" spans="2:14" x14ac:dyDescent="0.25">
      <c r="B2267" s="42"/>
      <c r="C2267" s="30"/>
      <c r="D2267" s="30"/>
      <c r="E2267" s="30"/>
      <c r="F2267" s="30"/>
      <c r="G2267" s="30"/>
      <c r="H2267" s="47"/>
      <c r="I2267" s="63"/>
      <c r="J2267" s="31"/>
      <c r="K2267" s="31"/>
      <c r="L2267" s="32"/>
      <c r="M2267" s="32"/>
      <c r="N2267" s="32"/>
    </row>
    <row r="2268" spans="2:14" x14ac:dyDescent="0.25">
      <c r="B2268" s="42"/>
      <c r="C2268" s="30"/>
      <c r="D2268" s="30"/>
      <c r="E2268" s="30"/>
      <c r="F2268" s="30"/>
      <c r="G2268" s="30"/>
      <c r="H2268" s="47"/>
      <c r="I2268" s="63"/>
      <c r="J2268" s="31"/>
      <c r="K2268" s="31"/>
      <c r="L2268" s="32"/>
      <c r="M2268" s="32"/>
      <c r="N2268" s="32"/>
    </row>
    <row r="2269" spans="2:14" x14ac:dyDescent="0.25">
      <c r="B2269" s="42"/>
      <c r="C2269" s="30"/>
      <c r="D2269" s="30"/>
      <c r="E2269" s="30"/>
      <c r="F2269" s="30"/>
      <c r="G2269" s="30"/>
      <c r="H2269" s="47"/>
      <c r="I2269" s="63"/>
      <c r="J2269" s="31"/>
      <c r="K2269" s="31"/>
      <c r="L2269" s="32"/>
      <c r="M2269" s="32"/>
      <c r="N2269" s="32"/>
    </row>
    <row r="2270" spans="2:14" x14ac:dyDescent="0.25">
      <c r="B2270" s="42"/>
      <c r="C2270" s="30"/>
      <c r="D2270" s="30"/>
      <c r="E2270" s="30"/>
      <c r="F2270" s="30"/>
      <c r="G2270" s="30"/>
      <c r="H2270" s="47"/>
      <c r="I2270" s="63"/>
      <c r="J2270" s="31"/>
      <c r="K2270" s="31"/>
      <c r="L2270" s="32"/>
      <c r="M2270" s="32"/>
      <c r="N2270" s="32"/>
    </row>
    <row r="2271" spans="2:14" x14ac:dyDescent="0.25">
      <c r="B2271" s="42"/>
      <c r="C2271" s="30"/>
      <c r="D2271" s="30"/>
      <c r="E2271" s="30"/>
      <c r="F2271" s="30"/>
      <c r="G2271" s="30"/>
      <c r="H2271" s="47"/>
      <c r="I2271" s="63"/>
      <c r="J2271" s="31"/>
      <c r="K2271" s="31"/>
      <c r="L2271" s="32"/>
      <c r="M2271" s="32"/>
      <c r="N2271" s="32"/>
    </row>
    <row r="2272" spans="2:14" x14ac:dyDescent="0.25">
      <c r="B2272" s="42"/>
      <c r="C2272" s="30"/>
      <c r="D2272" s="30"/>
      <c r="E2272" s="30"/>
      <c r="F2272" s="30"/>
      <c r="G2272" s="30"/>
      <c r="H2272" s="47"/>
      <c r="I2272" s="63"/>
      <c r="J2272" s="31"/>
      <c r="K2272" s="31"/>
      <c r="L2272" s="32"/>
      <c r="M2272" s="32"/>
      <c r="N2272" s="32"/>
    </row>
    <row r="2273" spans="2:14" x14ac:dyDescent="0.25">
      <c r="B2273" s="42"/>
      <c r="C2273" s="30"/>
      <c r="D2273" s="30"/>
      <c r="E2273" s="30"/>
      <c r="F2273" s="30"/>
      <c r="G2273" s="30"/>
      <c r="H2273" s="47"/>
      <c r="I2273" s="63"/>
      <c r="J2273" s="31"/>
      <c r="K2273" s="31"/>
      <c r="L2273" s="32"/>
      <c r="M2273" s="32"/>
      <c r="N2273" s="32"/>
    </row>
    <row r="2274" spans="2:14" x14ac:dyDescent="0.25">
      <c r="B2274" s="42"/>
      <c r="C2274" s="30"/>
      <c r="D2274" s="30"/>
      <c r="E2274" s="30"/>
      <c r="F2274" s="30"/>
      <c r="G2274" s="30"/>
      <c r="H2274" s="47"/>
      <c r="I2274" s="63"/>
      <c r="J2274" s="31"/>
      <c r="K2274" s="31"/>
      <c r="L2274" s="32"/>
      <c r="M2274" s="32"/>
      <c r="N2274" s="32"/>
    </row>
    <row r="2275" spans="2:14" x14ac:dyDescent="0.25">
      <c r="B2275" s="42"/>
      <c r="C2275" s="30"/>
      <c r="D2275" s="30"/>
      <c r="E2275" s="30"/>
      <c r="F2275" s="30"/>
      <c r="G2275" s="30"/>
      <c r="H2275" s="47"/>
      <c r="I2275" s="63"/>
      <c r="J2275" s="31"/>
      <c r="K2275" s="31"/>
      <c r="L2275" s="32"/>
      <c r="M2275" s="32"/>
      <c r="N2275" s="32"/>
    </row>
    <row r="2276" spans="2:14" x14ac:dyDescent="0.25">
      <c r="B2276" s="42"/>
      <c r="C2276" s="30"/>
      <c r="D2276" s="30"/>
      <c r="E2276" s="30"/>
      <c r="F2276" s="30"/>
      <c r="G2276" s="30"/>
      <c r="H2276" s="47"/>
      <c r="I2276" s="63"/>
      <c r="J2276" s="31"/>
      <c r="K2276" s="31"/>
      <c r="L2276" s="32"/>
      <c r="M2276" s="32"/>
      <c r="N2276" s="32"/>
    </row>
    <row r="2277" spans="2:14" x14ac:dyDescent="0.25">
      <c r="B2277" s="42"/>
      <c r="C2277" s="30"/>
      <c r="D2277" s="30"/>
      <c r="E2277" s="30"/>
      <c r="F2277" s="30"/>
      <c r="G2277" s="30"/>
      <c r="H2277" s="47"/>
      <c r="I2277" s="63"/>
      <c r="J2277" s="31"/>
      <c r="K2277" s="31"/>
      <c r="L2277" s="32"/>
      <c r="M2277" s="32"/>
      <c r="N2277" s="32"/>
    </row>
    <row r="2278" spans="2:14" x14ac:dyDescent="0.25">
      <c r="B2278" s="42"/>
      <c r="C2278" s="30"/>
      <c r="D2278" s="30"/>
      <c r="E2278" s="30"/>
      <c r="F2278" s="30"/>
      <c r="G2278" s="30"/>
      <c r="H2278" s="47"/>
      <c r="I2278" s="63"/>
      <c r="J2278" s="31"/>
      <c r="K2278" s="31"/>
      <c r="L2278" s="32"/>
      <c r="M2278" s="32"/>
      <c r="N2278" s="32"/>
    </row>
    <row r="2279" spans="2:14" x14ac:dyDescent="0.25">
      <c r="B2279" s="42"/>
      <c r="C2279" s="30"/>
      <c r="D2279" s="30"/>
      <c r="E2279" s="30"/>
      <c r="F2279" s="30"/>
      <c r="G2279" s="30"/>
      <c r="H2279" s="47"/>
      <c r="I2279" s="63"/>
      <c r="J2279" s="31"/>
      <c r="K2279" s="31"/>
      <c r="L2279" s="32"/>
      <c r="M2279" s="32"/>
      <c r="N2279" s="32"/>
    </row>
    <row r="2280" spans="2:14" x14ac:dyDescent="0.25">
      <c r="B2280" s="42"/>
      <c r="C2280" s="30"/>
      <c r="D2280" s="30"/>
      <c r="E2280" s="30"/>
      <c r="F2280" s="30"/>
      <c r="G2280" s="30"/>
      <c r="H2280" s="47"/>
      <c r="I2280" s="63"/>
      <c r="J2280" s="31"/>
      <c r="K2280" s="31"/>
      <c r="L2280" s="32"/>
      <c r="M2280" s="32"/>
      <c r="N2280" s="32"/>
    </row>
    <row r="2281" spans="2:14" x14ac:dyDescent="0.25">
      <c r="B2281" s="42"/>
      <c r="C2281" s="30"/>
      <c r="D2281" s="30"/>
      <c r="E2281" s="30"/>
      <c r="F2281" s="30"/>
      <c r="G2281" s="30"/>
      <c r="H2281" s="47"/>
      <c r="I2281" s="63"/>
      <c r="J2281" s="31"/>
      <c r="K2281" s="31"/>
      <c r="L2281" s="32"/>
      <c r="M2281" s="32"/>
      <c r="N2281" s="32"/>
    </row>
    <row r="2282" spans="2:14" x14ac:dyDescent="0.25">
      <c r="B2282" s="42"/>
      <c r="C2282" s="30"/>
      <c r="D2282" s="30"/>
      <c r="E2282" s="30"/>
      <c r="F2282" s="30"/>
      <c r="G2282" s="30"/>
      <c r="H2282" s="47"/>
      <c r="I2282" s="63"/>
      <c r="J2282" s="31"/>
      <c r="K2282" s="31"/>
      <c r="L2282" s="32"/>
      <c r="M2282" s="32"/>
      <c r="N2282" s="32"/>
    </row>
    <row r="2283" spans="2:14" x14ac:dyDescent="0.25">
      <c r="B2283" s="42"/>
      <c r="C2283" s="30"/>
      <c r="D2283" s="30"/>
      <c r="E2283" s="30"/>
      <c r="F2283" s="30"/>
      <c r="G2283" s="30"/>
      <c r="H2283" s="47"/>
      <c r="I2283" s="63"/>
      <c r="J2283" s="31"/>
      <c r="K2283" s="31"/>
      <c r="L2283" s="32"/>
      <c r="M2283" s="32"/>
      <c r="N2283" s="32"/>
    </row>
    <row r="2284" spans="2:14" x14ac:dyDescent="0.25">
      <c r="B2284" s="42"/>
      <c r="C2284" s="30"/>
      <c r="D2284" s="30"/>
      <c r="E2284" s="30"/>
      <c r="F2284" s="30"/>
      <c r="G2284" s="30"/>
      <c r="H2284" s="47"/>
      <c r="I2284" s="63"/>
      <c r="J2284" s="31"/>
      <c r="K2284" s="31"/>
      <c r="L2284" s="32"/>
      <c r="M2284" s="32"/>
      <c r="N2284" s="32"/>
    </row>
    <row r="2285" spans="2:14" x14ac:dyDescent="0.25">
      <c r="B2285" s="42"/>
      <c r="C2285" s="30"/>
      <c r="D2285" s="30"/>
      <c r="E2285" s="30"/>
      <c r="F2285" s="30"/>
      <c r="G2285" s="30"/>
      <c r="H2285" s="47"/>
      <c r="I2285" s="63"/>
      <c r="J2285" s="31"/>
      <c r="K2285" s="31"/>
      <c r="L2285" s="32"/>
      <c r="M2285" s="32"/>
      <c r="N2285" s="32"/>
    </row>
    <row r="2286" spans="2:14" x14ac:dyDescent="0.25">
      <c r="B2286" s="42"/>
      <c r="C2286" s="30"/>
      <c r="D2286" s="30"/>
      <c r="E2286" s="30"/>
      <c r="F2286" s="30"/>
      <c r="G2286" s="30"/>
      <c r="H2286" s="47"/>
      <c r="I2286" s="63"/>
      <c r="J2286" s="31"/>
      <c r="K2286" s="31"/>
      <c r="L2286" s="32"/>
      <c r="M2286" s="32"/>
      <c r="N2286" s="32"/>
    </row>
    <row r="2287" spans="2:14" x14ac:dyDescent="0.25">
      <c r="B2287" s="42"/>
      <c r="C2287" s="30"/>
      <c r="D2287" s="30"/>
      <c r="E2287" s="30"/>
      <c r="F2287" s="30"/>
      <c r="G2287" s="30"/>
      <c r="H2287" s="47"/>
      <c r="I2287" s="63"/>
      <c r="J2287" s="31"/>
      <c r="K2287" s="31"/>
      <c r="L2287" s="32"/>
      <c r="M2287" s="32"/>
      <c r="N2287" s="32"/>
    </row>
    <row r="2288" spans="2:14" x14ac:dyDescent="0.25">
      <c r="B2288" s="42"/>
      <c r="C2288" s="30"/>
      <c r="D2288" s="30"/>
      <c r="E2288" s="30"/>
      <c r="F2288" s="30"/>
      <c r="G2288" s="30"/>
      <c r="H2288" s="47"/>
      <c r="I2288" s="63"/>
      <c r="J2288" s="31"/>
      <c r="K2288" s="31"/>
      <c r="L2288" s="32"/>
      <c r="M2288" s="32"/>
      <c r="N2288" s="32"/>
    </row>
    <row r="2289" spans="2:14" x14ac:dyDescent="0.25">
      <c r="B2289" s="42"/>
      <c r="C2289" s="30"/>
      <c r="D2289" s="30"/>
      <c r="E2289" s="30"/>
      <c r="F2289" s="30"/>
      <c r="G2289" s="30"/>
      <c r="H2289" s="47"/>
      <c r="I2289" s="63"/>
      <c r="J2289" s="31"/>
      <c r="K2289" s="31"/>
      <c r="L2289" s="32"/>
      <c r="M2289" s="32"/>
      <c r="N2289" s="32"/>
    </row>
    <row r="2290" spans="2:14" x14ac:dyDescent="0.25">
      <c r="B2290" s="42"/>
      <c r="C2290" s="30"/>
      <c r="D2290" s="30"/>
      <c r="E2290" s="30"/>
      <c r="F2290" s="30"/>
      <c r="G2290" s="30"/>
      <c r="H2290" s="47"/>
      <c r="I2290" s="63"/>
      <c r="J2290" s="31"/>
      <c r="K2290" s="31"/>
      <c r="L2290" s="32"/>
      <c r="M2290" s="32"/>
      <c r="N2290" s="32"/>
    </row>
    <row r="2291" spans="2:14" x14ac:dyDescent="0.25">
      <c r="B2291" s="42"/>
      <c r="C2291" s="30"/>
      <c r="D2291" s="30"/>
      <c r="E2291" s="30"/>
      <c r="F2291" s="30"/>
      <c r="G2291" s="30"/>
      <c r="H2291" s="47"/>
      <c r="I2291" s="63"/>
      <c r="J2291" s="31"/>
      <c r="K2291" s="31"/>
      <c r="L2291" s="32"/>
      <c r="M2291" s="32"/>
      <c r="N2291" s="32"/>
    </row>
    <row r="2292" spans="2:14" x14ac:dyDescent="0.25">
      <c r="B2292" s="42"/>
      <c r="C2292" s="30"/>
      <c r="D2292" s="30"/>
      <c r="E2292" s="30"/>
      <c r="F2292" s="30"/>
      <c r="G2292" s="30"/>
      <c r="H2292" s="47"/>
      <c r="I2292" s="63"/>
      <c r="J2292" s="31"/>
      <c r="K2292" s="31"/>
      <c r="L2292" s="32"/>
      <c r="M2292" s="32"/>
      <c r="N2292" s="32"/>
    </row>
    <row r="2293" spans="2:14" x14ac:dyDescent="0.25">
      <c r="B2293" s="42"/>
      <c r="C2293" s="30"/>
      <c r="D2293" s="30"/>
      <c r="E2293" s="30"/>
      <c r="F2293" s="30"/>
      <c r="G2293" s="30"/>
      <c r="H2293" s="47"/>
      <c r="I2293" s="63"/>
      <c r="J2293" s="31"/>
      <c r="K2293" s="31"/>
      <c r="L2293" s="32"/>
      <c r="M2293" s="32"/>
      <c r="N2293" s="32"/>
    </row>
    <row r="2294" spans="2:14" x14ac:dyDescent="0.25">
      <c r="B2294" s="42"/>
      <c r="C2294" s="30"/>
      <c r="D2294" s="30"/>
      <c r="E2294" s="30"/>
      <c r="F2294" s="30"/>
      <c r="G2294" s="30"/>
      <c r="H2294" s="47"/>
      <c r="I2294" s="63"/>
      <c r="J2294" s="31"/>
      <c r="K2294" s="31"/>
      <c r="L2294" s="32"/>
      <c r="M2294" s="32"/>
      <c r="N2294" s="32"/>
    </row>
    <row r="2295" spans="2:14" x14ac:dyDescent="0.25">
      <c r="B2295" s="42"/>
      <c r="C2295" s="30"/>
      <c r="D2295" s="30"/>
      <c r="E2295" s="30"/>
      <c r="F2295" s="30"/>
      <c r="G2295" s="30"/>
      <c r="H2295" s="47"/>
      <c r="I2295" s="63"/>
      <c r="J2295" s="31"/>
      <c r="K2295" s="31"/>
      <c r="L2295" s="32"/>
      <c r="M2295" s="32"/>
      <c r="N2295" s="32"/>
    </row>
    <row r="2296" spans="2:14" x14ac:dyDescent="0.25">
      <c r="B2296" s="42"/>
      <c r="C2296" s="30"/>
      <c r="D2296" s="30"/>
      <c r="E2296" s="30"/>
      <c r="F2296" s="30"/>
      <c r="G2296" s="30"/>
      <c r="H2296" s="47"/>
      <c r="I2296" s="63"/>
      <c r="J2296" s="31"/>
      <c r="K2296" s="31"/>
      <c r="L2296" s="32"/>
      <c r="M2296" s="32"/>
      <c r="N2296" s="32"/>
    </row>
    <row r="2297" spans="2:14" x14ac:dyDescent="0.25">
      <c r="B2297" s="42"/>
      <c r="C2297" s="30"/>
      <c r="D2297" s="30"/>
      <c r="E2297" s="30"/>
      <c r="F2297" s="30"/>
      <c r="G2297" s="30"/>
      <c r="H2297" s="47"/>
      <c r="I2297" s="63"/>
      <c r="J2297" s="31"/>
      <c r="K2297" s="31"/>
      <c r="L2297" s="32"/>
      <c r="M2297" s="32"/>
      <c r="N2297" s="32"/>
    </row>
    <row r="2298" spans="2:14" x14ac:dyDescent="0.25">
      <c r="B2298" s="42"/>
      <c r="C2298" s="30"/>
      <c r="D2298" s="30"/>
      <c r="E2298" s="30"/>
      <c r="F2298" s="30"/>
      <c r="G2298" s="30"/>
      <c r="H2298" s="47"/>
      <c r="I2298" s="63"/>
      <c r="J2298" s="31"/>
      <c r="K2298" s="31"/>
      <c r="L2298" s="32"/>
      <c r="M2298" s="32"/>
      <c r="N2298" s="32"/>
    </row>
    <row r="2299" spans="2:14" x14ac:dyDescent="0.25">
      <c r="B2299" s="42"/>
      <c r="C2299" s="30"/>
      <c r="D2299" s="30"/>
      <c r="E2299" s="30"/>
      <c r="F2299" s="30"/>
      <c r="G2299" s="30"/>
      <c r="H2299" s="47"/>
      <c r="I2299" s="63"/>
      <c r="J2299" s="31"/>
      <c r="K2299" s="31"/>
      <c r="L2299" s="32"/>
      <c r="M2299" s="32"/>
      <c r="N2299" s="32"/>
    </row>
    <row r="2300" spans="2:14" x14ac:dyDescent="0.25">
      <c r="B2300" s="42"/>
      <c r="C2300" s="30"/>
      <c r="D2300" s="30"/>
      <c r="E2300" s="30"/>
      <c r="F2300" s="30"/>
      <c r="G2300" s="30"/>
      <c r="H2300" s="47"/>
      <c r="I2300" s="63"/>
      <c r="J2300" s="31"/>
      <c r="K2300" s="31"/>
      <c r="L2300" s="32"/>
      <c r="M2300" s="32"/>
      <c r="N2300" s="32"/>
    </row>
    <row r="2301" spans="2:14" x14ac:dyDescent="0.25">
      <c r="B2301" s="42"/>
      <c r="C2301" s="30"/>
      <c r="D2301" s="30"/>
      <c r="E2301" s="30"/>
      <c r="F2301" s="30"/>
      <c r="G2301" s="30"/>
      <c r="H2301" s="47"/>
      <c r="I2301" s="63"/>
      <c r="J2301" s="31"/>
      <c r="K2301" s="31"/>
      <c r="L2301" s="32"/>
      <c r="M2301" s="32"/>
      <c r="N2301" s="32"/>
    </row>
    <row r="2302" spans="2:14" x14ac:dyDescent="0.25">
      <c r="B2302" s="42"/>
      <c r="C2302" s="30"/>
      <c r="D2302" s="30"/>
      <c r="E2302" s="30"/>
      <c r="F2302" s="30"/>
      <c r="G2302" s="30"/>
      <c r="H2302" s="47"/>
      <c r="I2302" s="63"/>
      <c r="J2302" s="31"/>
      <c r="K2302" s="31"/>
      <c r="L2302" s="32"/>
      <c r="M2302" s="32"/>
      <c r="N2302" s="32"/>
    </row>
    <row r="2303" spans="2:14" x14ac:dyDescent="0.25">
      <c r="B2303" s="42"/>
      <c r="C2303" s="30"/>
      <c r="D2303" s="30"/>
      <c r="E2303" s="30"/>
      <c r="F2303" s="30"/>
      <c r="G2303" s="30"/>
      <c r="H2303" s="47"/>
      <c r="I2303" s="63"/>
      <c r="J2303" s="31"/>
      <c r="K2303" s="31"/>
      <c r="L2303" s="32"/>
      <c r="M2303" s="32"/>
      <c r="N2303" s="32"/>
    </row>
    <row r="2304" spans="2:14" x14ac:dyDescent="0.25">
      <c r="B2304" s="42"/>
      <c r="C2304" s="30"/>
      <c r="D2304" s="30"/>
      <c r="E2304" s="30"/>
      <c r="F2304" s="30"/>
      <c r="G2304" s="30"/>
      <c r="H2304" s="47"/>
      <c r="I2304" s="63"/>
      <c r="J2304" s="31"/>
      <c r="K2304" s="31"/>
      <c r="L2304" s="32"/>
      <c r="M2304" s="32"/>
      <c r="N2304" s="32"/>
    </row>
    <row r="2305" spans="2:14" x14ac:dyDescent="0.25">
      <c r="B2305" s="42"/>
      <c r="C2305" s="30"/>
      <c r="D2305" s="30"/>
      <c r="E2305" s="30"/>
      <c r="F2305" s="30"/>
      <c r="G2305" s="30"/>
      <c r="H2305" s="47"/>
      <c r="I2305" s="63"/>
      <c r="J2305" s="31"/>
      <c r="K2305" s="31"/>
      <c r="L2305" s="32"/>
      <c r="M2305" s="32"/>
      <c r="N2305" s="32"/>
    </row>
    <row r="2306" spans="2:14" x14ac:dyDescent="0.25">
      <c r="B2306" s="42"/>
      <c r="C2306" s="30"/>
      <c r="D2306" s="30"/>
      <c r="E2306" s="30"/>
      <c r="F2306" s="30"/>
      <c r="G2306" s="30"/>
      <c r="H2306" s="47"/>
      <c r="I2306" s="63"/>
      <c r="J2306" s="31"/>
      <c r="K2306" s="31"/>
      <c r="L2306" s="32"/>
      <c r="M2306" s="32"/>
      <c r="N2306" s="32"/>
    </row>
    <row r="2307" spans="2:14" x14ac:dyDescent="0.25">
      <c r="B2307" s="42"/>
      <c r="C2307" s="30"/>
      <c r="D2307" s="30"/>
      <c r="E2307" s="30"/>
      <c r="F2307" s="30"/>
      <c r="G2307" s="30"/>
      <c r="H2307" s="47"/>
      <c r="I2307" s="63"/>
      <c r="J2307" s="31"/>
      <c r="K2307" s="31"/>
      <c r="L2307" s="32"/>
      <c r="M2307" s="32"/>
      <c r="N2307" s="32"/>
    </row>
    <row r="2308" spans="2:14" x14ac:dyDescent="0.25">
      <c r="B2308" s="42"/>
      <c r="C2308" s="30"/>
      <c r="D2308" s="30"/>
      <c r="E2308" s="30"/>
      <c r="F2308" s="30"/>
      <c r="G2308" s="30"/>
      <c r="H2308" s="47"/>
      <c r="I2308" s="63"/>
      <c r="J2308" s="31"/>
      <c r="K2308" s="31"/>
      <c r="L2308" s="32"/>
      <c r="M2308" s="32"/>
      <c r="N2308" s="32"/>
    </row>
    <row r="2309" spans="2:14" x14ac:dyDescent="0.25">
      <c r="B2309" s="42"/>
      <c r="C2309" s="30"/>
      <c r="D2309" s="30"/>
      <c r="E2309" s="30"/>
      <c r="F2309" s="30"/>
      <c r="G2309" s="30"/>
      <c r="H2309" s="47"/>
      <c r="I2309" s="63"/>
      <c r="J2309" s="31"/>
      <c r="K2309" s="31"/>
      <c r="L2309" s="32"/>
      <c r="M2309" s="32"/>
      <c r="N2309" s="32"/>
    </row>
    <row r="2310" spans="2:14" x14ac:dyDescent="0.25">
      <c r="B2310" s="42"/>
      <c r="C2310" s="30"/>
      <c r="D2310" s="30"/>
      <c r="E2310" s="30"/>
      <c r="F2310" s="30"/>
      <c r="G2310" s="30"/>
      <c r="H2310" s="47"/>
      <c r="I2310" s="63"/>
      <c r="J2310" s="31"/>
      <c r="K2310" s="31"/>
      <c r="L2310" s="32"/>
      <c r="M2310" s="32"/>
      <c r="N2310" s="32"/>
    </row>
    <row r="2311" spans="2:14" x14ac:dyDescent="0.25">
      <c r="B2311" s="42"/>
      <c r="C2311" s="30"/>
      <c r="D2311" s="30"/>
      <c r="E2311" s="30"/>
      <c r="F2311" s="30"/>
      <c r="G2311" s="30"/>
      <c r="H2311" s="47"/>
      <c r="I2311" s="63"/>
      <c r="J2311" s="31"/>
      <c r="K2311" s="31"/>
      <c r="L2311" s="32"/>
      <c r="M2311" s="32"/>
      <c r="N2311" s="32"/>
    </row>
    <row r="2312" spans="2:14" x14ac:dyDescent="0.25">
      <c r="B2312" s="42"/>
      <c r="C2312" s="30"/>
      <c r="D2312" s="30"/>
      <c r="E2312" s="30"/>
      <c r="F2312" s="30"/>
      <c r="G2312" s="30"/>
      <c r="H2312" s="47"/>
      <c r="I2312" s="63"/>
      <c r="J2312" s="31"/>
      <c r="K2312" s="31"/>
      <c r="L2312" s="32"/>
      <c r="M2312" s="32"/>
      <c r="N2312" s="32"/>
    </row>
    <row r="2313" spans="2:14" x14ac:dyDescent="0.25">
      <c r="B2313" s="42"/>
      <c r="C2313" s="30"/>
      <c r="D2313" s="30"/>
      <c r="E2313" s="30"/>
      <c r="F2313" s="30"/>
      <c r="G2313" s="30"/>
      <c r="H2313" s="47"/>
      <c r="I2313" s="63"/>
      <c r="J2313" s="31"/>
      <c r="K2313" s="31"/>
      <c r="L2313" s="32"/>
      <c r="M2313" s="32"/>
      <c r="N2313" s="32"/>
    </row>
    <row r="2314" spans="2:14" x14ac:dyDescent="0.25">
      <c r="B2314" s="42"/>
      <c r="C2314" s="30"/>
      <c r="D2314" s="30"/>
      <c r="E2314" s="30"/>
      <c r="F2314" s="30"/>
      <c r="G2314" s="30"/>
      <c r="H2314" s="47"/>
      <c r="I2314" s="63"/>
      <c r="J2314" s="31"/>
      <c r="K2314" s="31"/>
      <c r="L2314" s="32"/>
      <c r="M2314" s="32"/>
      <c r="N2314" s="32"/>
    </row>
    <row r="2315" spans="2:14" x14ac:dyDescent="0.25">
      <c r="B2315" s="42"/>
      <c r="C2315" s="30"/>
      <c r="D2315" s="30"/>
      <c r="E2315" s="30"/>
      <c r="F2315" s="30"/>
      <c r="G2315" s="30"/>
      <c r="H2315" s="47"/>
      <c r="I2315" s="63"/>
      <c r="J2315" s="31"/>
      <c r="K2315" s="31"/>
      <c r="L2315" s="32"/>
      <c r="M2315" s="32"/>
      <c r="N2315" s="32"/>
    </row>
    <row r="2316" spans="2:14" x14ac:dyDescent="0.25">
      <c r="B2316" s="42"/>
      <c r="C2316" s="30"/>
      <c r="D2316" s="30"/>
      <c r="E2316" s="30"/>
      <c r="F2316" s="30"/>
      <c r="G2316" s="30"/>
      <c r="H2316" s="47"/>
      <c r="I2316" s="63"/>
      <c r="J2316" s="31"/>
      <c r="K2316" s="31"/>
      <c r="L2316" s="32"/>
      <c r="M2316" s="32"/>
      <c r="N2316" s="32"/>
    </row>
    <row r="2317" spans="2:14" x14ac:dyDescent="0.25">
      <c r="B2317" s="42"/>
      <c r="C2317" s="30"/>
      <c r="D2317" s="30"/>
      <c r="E2317" s="30"/>
      <c r="F2317" s="30"/>
      <c r="G2317" s="30"/>
      <c r="H2317" s="47"/>
      <c r="I2317" s="63"/>
      <c r="J2317" s="31"/>
      <c r="K2317" s="31"/>
      <c r="L2317" s="32"/>
      <c r="M2317" s="32"/>
      <c r="N2317" s="32"/>
    </row>
    <row r="2318" spans="2:14" x14ac:dyDescent="0.25">
      <c r="B2318" s="42"/>
      <c r="C2318" s="30"/>
      <c r="D2318" s="30"/>
      <c r="E2318" s="30"/>
      <c r="F2318" s="30"/>
      <c r="G2318" s="30"/>
      <c r="H2318" s="47"/>
      <c r="I2318" s="63"/>
      <c r="J2318" s="31"/>
      <c r="K2318" s="31"/>
      <c r="L2318" s="32"/>
      <c r="M2318" s="32"/>
      <c r="N2318" s="32"/>
    </row>
    <row r="2319" spans="2:14" x14ac:dyDescent="0.25">
      <c r="B2319" s="42"/>
      <c r="C2319" s="30"/>
      <c r="D2319" s="30"/>
      <c r="E2319" s="30"/>
      <c r="F2319" s="30"/>
      <c r="G2319" s="30"/>
      <c r="H2319" s="47"/>
      <c r="I2319" s="63"/>
      <c r="J2319" s="31"/>
      <c r="K2319" s="31"/>
      <c r="L2319" s="32"/>
      <c r="M2319" s="32"/>
      <c r="N2319" s="32"/>
    </row>
    <row r="2320" spans="2:14" x14ac:dyDescent="0.25">
      <c r="B2320" s="42"/>
      <c r="C2320" s="30"/>
      <c r="D2320" s="30"/>
      <c r="E2320" s="30"/>
      <c r="F2320" s="30"/>
      <c r="G2320" s="30"/>
      <c r="H2320" s="47"/>
      <c r="I2320" s="63"/>
      <c r="J2320" s="31"/>
      <c r="K2320" s="31"/>
      <c r="L2320" s="32"/>
      <c r="M2320" s="32"/>
      <c r="N2320" s="32"/>
    </row>
    <row r="2321" spans="2:14" x14ac:dyDescent="0.25">
      <c r="B2321" s="42"/>
      <c r="C2321" s="30"/>
      <c r="D2321" s="30"/>
      <c r="E2321" s="30"/>
      <c r="F2321" s="30"/>
      <c r="G2321" s="30"/>
      <c r="H2321" s="47"/>
      <c r="I2321" s="63"/>
      <c r="J2321" s="31"/>
      <c r="K2321" s="31"/>
      <c r="L2321" s="32"/>
      <c r="M2321" s="32"/>
      <c r="N2321" s="32"/>
    </row>
    <row r="2322" spans="2:14" x14ac:dyDescent="0.25">
      <c r="B2322" s="42"/>
      <c r="C2322" s="30"/>
      <c r="D2322" s="30"/>
      <c r="E2322" s="30"/>
      <c r="F2322" s="30"/>
      <c r="G2322" s="30"/>
      <c r="H2322" s="47"/>
      <c r="I2322" s="63"/>
      <c r="J2322" s="31"/>
      <c r="K2322" s="31"/>
      <c r="L2322" s="32"/>
      <c r="M2322" s="32"/>
      <c r="N2322" s="32"/>
    </row>
    <row r="2323" spans="2:14" x14ac:dyDescent="0.25">
      <c r="B2323" s="42"/>
      <c r="C2323" s="30"/>
      <c r="D2323" s="30"/>
      <c r="E2323" s="30"/>
      <c r="F2323" s="30"/>
      <c r="G2323" s="30"/>
      <c r="H2323" s="47"/>
      <c r="I2323" s="63"/>
      <c r="J2323" s="31"/>
      <c r="K2323" s="31"/>
      <c r="L2323" s="32"/>
      <c r="M2323" s="32"/>
      <c r="N2323" s="32"/>
    </row>
    <row r="2324" spans="2:14" x14ac:dyDescent="0.25">
      <c r="B2324" s="42"/>
      <c r="C2324" s="30"/>
      <c r="D2324" s="30"/>
      <c r="E2324" s="30"/>
      <c r="F2324" s="30"/>
      <c r="G2324" s="30"/>
      <c r="H2324" s="47"/>
      <c r="I2324" s="63"/>
      <c r="J2324" s="31"/>
      <c r="K2324" s="31"/>
      <c r="L2324" s="32"/>
      <c r="M2324" s="32"/>
      <c r="N2324" s="32"/>
    </row>
    <row r="2325" spans="2:14" x14ac:dyDescent="0.25">
      <c r="B2325" s="42"/>
      <c r="C2325" s="30"/>
      <c r="D2325" s="30"/>
      <c r="E2325" s="30"/>
      <c r="F2325" s="30"/>
      <c r="G2325" s="30"/>
      <c r="H2325" s="47"/>
      <c r="I2325" s="63"/>
      <c r="J2325" s="31"/>
      <c r="K2325" s="31"/>
      <c r="L2325" s="32"/>
      <c r="M2325" s="32"/>
      <c r="N2325" s="32"/>
    </row>
    <row r="2326" spans="2:14" x14ac:dyDescent="0.25">
      <c r="B2326" s="42"/>
      <c r="C2326" s="30"/>
      <c r="D2326" s="30"/>
      <c r="E2326" s="30"/>
      <c r="F2326" s="30"/>
      <c r="G2326" s="30"/>
      <c r="H2326" s="47"/>
      <c r="I2326" s="63"/>
      <c r="J2326" s="31"/>
      <c r="K2326" s="31"/>
      <c r="L2326" s="32"/>
      <c r="M2326" s="32"/>
      <c r="N2326" s="32"/>
    </row>
    <row r="2327" spans="2:14" x14ac:dyDescent="0.25">
      <c r="B2327" s="42"/>
      <c r="C2327" s="30"/>
      <c r="D2327" s="30"/>
      <c r="E2327" s="30"/>
      <c r="F2327" s="30"/>
      <c r="G2327" s="30"/>
      <c r="H2327" s="47"/>
      <c r="I2327" s="63"/>
      <c r="J2327" s="31"/>
      <c r="K2327" s="31"/>
      <c r="L2327" s="32"/>
      <c r="M2327" s="32"/>
      <c r="N2327" s="32"/>
    </row>
    <row r="2328" spans="2:14" x14ac:dyDescent="0.25">
      <c r="B2328" s="42"/>
      <c r="C2328" s="30"/>
      <c r="D2328" s="30"/>
      <c r="E2328" s="30"/>
      <c r="F2328" s="30"/>
      <c r="G2328" s="30"/>
      <c r="H2328" s="47"/>
      <c r="I2328" s="63"/>
      <c r="J2328" s="31"/>
      <c r="K2328" s="31"/>
      <c r="L2328" s="32"/>
      <c r="M2328" s="32"/>
      <c r="N2328" s="32"/>
    </row>
    <row r="2329" spans="2:14" x14ac:dyDescent="0.25">
      <c r="B2329" s="42"/>
      <c r="C2329" s="30"/>
      <c r="D2329" s="30"/>
      <c r="E2329" s="30"/>
      <c r="F2329" s="30"/>
      <c r="G2329" s="30"/>
      <c r="H2329" s="47"/>
      <c r="I2329" s="63"/>
      <c r="J2329" s="31"/>
      <c r="K2329" s="31"/>
      <c r="L2329" s="32"/>
      <c r="M2329" s="32"/>
      <c r="N2329" s="32"/>
    </row>
    <row r="2330" spans="2:14" x14ac:dyDescent="0.25">
      <c r="B2330" s="42"/>
      <c r="C2330" s="30"/>
      <c r="D2330" s="30"/>
      <c r="E2330" s="30"/>
      <c r="F2330" s="30"/>
      <c r="G2330" s="30"/>
      <c r="H2330" s="47"/>
      <c r="I2330" s="63"/>
      <c r="J2330" s="31"/>
      <c r="K2330" s="31"/>
      <c r="L2330" s="32"/>
      <c r="M2330" s="32"/>
      <c r="N2330" s="32"/>
    </row>
    <row r="2331" spans="2:14" x14ac:dyDescent="0.25">
      <c r="B2331" s="42"/>
      <c r="C2331" s="30"/>
      <c r="D2331" s="30"/>
      <c r="E2331" s="30"/>
      <c r="F2331" s="30"/>
      <c r="G2331" s="30"/>
      <c r="H2331" s="47"/>
      <c r="I2331" s="63"/>
      <c r="J2331" s="31"/>
      <c r="K2331" s="31"/>
      <c r="L2331" s="32"/>
      <c r="M2331" s="32"/>
      <c r="N2331" s="32"/>
    </row>
    <row r="2332" spans="2:14" x14ac:dyDescent="0.25">
      <c r="B2332" s="42"/>
      <c r="C2332" s="30"/>
      <c r="D2332" s="30"/>
      <c r="E2332" s="30"/>
      <c r="F2332" s="30"/>
      <c r="G2332" s="30"/>
      <c r="H2332" s="47"/>
      <c r="I2332" s="63"/>
      <c r="J2332" s="31"/>
      <c r="K2332" s="31"/>
      <c r="L2332" s="32"/>
      <c r="M2332" s="32"/>
      <c r="N2332" s="32"/>
    </row>
    <row r="2333" spans="2:14" x14ac:dyDescent="0.25">
      <c r="B2333" s="42"/>
      <c r="C2333" s="30"/>
      <c r="D2333" s="30"/>
      <c r="E2333" s="30"/>
      <c r="F2333" s="30"/>
      <c r="G2333" s="30"/>
      <c r="H2333" s="47"/>
      <c r="I2333" s="63"/>
      <c r="J2333" s="31"/>
      <c r="K2333" s="31"/>
      <c r="L2333" s="32"/>
      <c r="M2333" s="32"/>
      <c r="N2333" s="32"/>
    </row>
    <row r="2334" spans="2:14" x14ac:dyDescent="0.25">
      <c r="B2334" s="42"/>
      <c r="C2334" s="30"/>
      <c r="D2334" s="30"/>
      <c r="E2334" s="30"/>
      <c r="F2334" s="30"/>
      <c r="G2334" s="30"/>
      <c r="H2334" s="47"/>
      <c r="I2334" s="63"/>
      <c r="J2334" s="31"/>
      <c r="K2334" s="31"/>
      <c r="L2334" s="32"/>
      <c r="M2334" s="32"/>
      <c r="N2334" s="32"/>
    </row>
    <row r="2335" spans="2:14" x14ac:dyDescent="0.25">
      <c r="B2335" s="42"/>
      <c r="C2335" s="30"/>
      <c r="D2335" s="30"/>
      <c r="E2335" s="30"/>
      <c r="F2335" s="30"/>
      <c r="G2335" s="30"/>
      <c r="H2335" s="47"/>
      <c r="I2335" s="63"/>
      <c r="J2335" s="31"/>
      <c r="K2335" s="31"/>
      <c r="L2335" s="32"/>
      <c r="M2335" s="32"/>
      <c r="N2335" s="32"/>
    </row>
    <row r="2336" spans="2:14" x14ac:dyDescent="0.25">
      <c r="B2336" s="42"/>
      <c r="C2336" s="30"/>
      <c r="D2336" s="30"/>
      <c r="E2336" s="30"/>
      <c r="F2336" s="30"/>
      <c r="G2336" s="30"/>
      <c r="H2336" s="47"/>
      <c r="I2336" s="63"/>
      <c r="J2336" s="31"/>
      <c r="K2336" s="31"/>
      <c r="L2336" s="32"/>
      <c r="M2336" s="32"/>
      <c r="N2336" s="32"/>
    </row>
    <row r="2337" spans="2:14" x14ac:dyDescent="0.25">
      <c r="B2337" s="42"/>
      <c r="C2337" s="30"/>
      <c r="D2337" s="30"/>
      <c r="E2337" s="30"/>
      <c r="F2337" s="30"/>
      <c r="G2337" s="30"/>
      <c r="H2337" s="47"/>
      <c r="I2337" s="63"/>
      <c r="J2337" s="31"/>
      <c r="K2337" s="31"/>
      <c r="L2337" s="32"/>
      <c r="M2337" s="32"/>
      <c r="N2337" s="32"/>
    </row>
    <row r="2338" spans="2:14" x14ac:dyDescent="0.25">
      <c r="B2338" s="42"/>
      <c r="C2338" s="30"/>
      <c r="D2338" s="30"/>
      <c r="E2338" s="30"/>
      <c r="F2338" s="30"/>
      <c r="G2338" s="30"/>
      <c r="H2338" s="47"/>
      <c r="I2338" s="63"/>
      <c r="J2338" s="31"/>
      <c r="K2338" s="31"/>
      <c r="L2338" s="32"/>
      <c r="M2338" s="32"/>
      <c r="N2338" s="32"/>
    </row>
    <row r="2339" spans="2:14" x14ac:dyDescent="0.25">
      <c r="B2339" s="42"/>
      <c r="C2339" s="30"/>
      <c r="D2339" s="30"/>
      <c r="E2339" s="30"/>
      <c r="F2339" s="30"/>
      <c r="G2339" s="30"/>
      <c r="H2339" s="47"/>
      <c r="I2339" s="63"/>
      <c r="J2339" s="31"/>
      <c r="K2339" s="31"/>
      <c r="L2339" s="32"/>
      <c r="M2339" s="32"/>
      <c r="N2339" s="32"/>
    </row>
    <row r="2340" spans="2:14" x14ac:dyDescent="0.25">
      <c r="B2340" s="42"/>
      <c r="C2340" s="30"/>
      <c r="D2340" s="30"/>
      <c r="E2340" s="30"/>
      <c r="F2340" s="30"/>
      <c r="G2340" s="30"/>
      <c r="H2340" s="47"/>
      <c r="I2340" s="63"/>
      <c r="J2340" s="31"/>
      <c r="K2340" s="31"/>
      <c r="L2340" s="32"/>
      <c r="M2340" s="32"/>
      <c r="N2340" s="32"/>
    </row>
    <row r="2341" spans="2:14" x14ac:dyDescent="0.25">
      <c r="B2341" s="42"/>
      <c r="C2341" s="30"/>
      <c r="D2341" s="30"/>
      <c r="E2341" s="30"/>
      <c r="F2341" s="30"/>
      <c r="G2341" s="30"/>
      <c r="H2341" s="47"/>
      <c r="I2341" s="63"/>
      <c r="J2341" s="31"/>
      <c r="K2341" s="31"/>
      <c r="L2341" s="32"/>
      <c r="M2341" s="32"/>
      <c r="N2341" s="32"/>
    </row>
    <row r="2342" spans="2:14" x14ac:dyDescent="0.25">
      <c r="B2342" s="42"/>
      <c r="C2342" s="30"/>
      <c r="D2342" s="30"/>
      <c r="E2342" s="30"/>
      <c r="F2342" s="30"/>
      <c r="G2342" s="30"/>
      <c r="H2342" s="47"/>
      <c r="I2342" s="63"/>
      <c r="J2342" s="31"/>
      <c r="K2342" s="31"/>
      <c r="L2342" s="32"/>
      <c r="M2342" s="32"/>
      <c r="N2342" s="32"/>
    </row>
    <row r="2343" spans="2:14" x14ac:dyDescent="0.25">
      <c r="B2343" s="42"/>
      <c r="C2343" s="30"/>
      <c r="D2343" s="30"/>
      <c r="E2343" s="30"/>
      <c r="F2343" s="30"/>
      <c r="G2343" s="30"/>
      <c r="H2343" s="47"/>
      <c r="I2343" s="63"/>
      <c r="J2343" s="31"/>
      <c r="K2343" s="31"/>
      <c r="L2343" s="32"/>
      <c r="M2343" s="32"/>
      <c r="N2343" s="32"/>
    </row>
    <row r="2344" spans="2:14" x14ac:dyDescent="0.25">
      <c r="B2344" s="42"/>
      <c r="C2344" s="30"/>
      <c r="D2344" s="30"/>
      <c r="E2344" s="30"/>
      <c r="F2344" s="30"/>
      <c r="G2344" s="30"/>
      <c r="H2344" s="47"/>
      <c r="I2344" s="63"/>
      <c r="J2344" s="31"/>
      <c r="K2344" s="31"/>
      <c r="L2344" s="32"/>
      <c r="M2344" s="32"/>
      <c r="N2344" s="32"/>
    </row>
    <row r="2345" spans="2:14" x14ac:dyDescent="0.25">
      <c r="B2345" s="42"/>
      <c r="C2345" s="30"/>
      <c r="D2345" s="30"/>
      <c r="E2345" s="30"/>
      <c r="F2345" s="30"/>
      <c r="G2345" s="30"/>
      <c r="H2345" s="47"/>
      <c r="I2345" s="63"/>
      <c r="J2345" s="31"/>
      <c r="K2345" s="31"/>
      <c r="L2345" s="32"/>
      <c r="M2345" s="32"/>
      <c r="N2345" s="32"/>
    </row>
    <row r="2346" spans="2:14" x14ac:dyDescent="0.25">
      <c r="B2346" s="42"/>
      <c r="C2346" s="30"/>
      <c r="D2346" s="30"/>
      <c r="E2346" s="30"/>
      <c r="F2346" s="30"/>
      <c r="G2346" s="30"/>
      <c r="H2346" s="47"/>
      <c r="I2346" s="63"/>
      <c r="J2346" s="31"/>
      <c r="K2346" s="31"/>
      <c r="L2346" s="32"/>
      <c r="M2346" s="32"/>
      <c r="N2346" s="32"/>
    </row>
    <row r="2347" spans="2:14" x14ac:dyDescent="0.25">
      <c r="B2347" s="42"/>
      <c r="C2347" s="30"/>
      <c r="D2347" s="30"/>
      <c r="E2347" s="30"/>
      <c r="F2347" s="30"/>
      <c r="G2347" s="30"/>
      <c r="H2347" s="47"/>
      <c r="I2347" s="63"/>
      <c r="J2347" s="31"/>
      <c r="K2347" s="31"/>
      <c r="L2347" s="32"/>
      <c r="M2347" s="32"/>
      <c r="N2347" s="32"/>
    </row>
    <row r="2348" spans="2:14" x14ac:dyDescent="0.25">
      <c r="B2348" s="42"/>
      <c r="C2348" s="30"/>
      <c r="D2348" s="30"/>
      <c r="E2348" s="30"/>
      <c r="F2348" s="30"/>
      <c r="G2348" s="30"/>
      <c r="H2348" s="47"/>
      <c r="I2348" s="63"/>
      <c r="J2348" s="31"/>
      <c r="K2348" s="31"/>
      <c r="L2348" s="32"/>
      <c r="M2348" s="32"/>
      <c r="N2348" s="32"/>
    </row>
    <row r="2349" spans="2:14" x14ac:dyDescent="0.25">
      <c r="B2349" s="42"/>
      <c r="C2349" s="30"/>
      <c r="D2349" s="30"/>
      <c r="E2349" s="30"/>
      <c r="F2349" s="30"/>
      <c r="G2349" s="30"/>
      <c r="H2349" s="47"/>
      <c r="I2349" s="63"/>
      <c r="J2349" s="31"/>
      <c r="K2349" s="31"/>
      <c r="L2349" s="32"/>
      <c r="M2349" s="32"/>
      <c r="N2349" s="32"/>
    </row>
    <row r="2350" spans="2:14" x14ac:dyDescent="0.25">
      <c r="B2350" s="42"/>
      <c r="C2350" s="30"/>
      <c r="D2350" s="30"/>
      <c r="E2350" s="30"/>
      <c r="F2350" s="30"/>
      <c r="G2350" s="30"/>
      <c r="H2350" s="47"/>
      <c r="I2350" s="63"/>
      <c r="J2350" s="31"/>
      <c r="K2350" s="31"/>
      <c r="L2350" s="32"/>
      <c r="M2350" s="32"/>
      <c r="N2350" s="32"/>
    </row>
    <row r="2351" spans="2:14" x14ac:dyDescent="0.25">
      <c r="B2351" s="42"/>
      <c r="C2351" s="30"/>
      <c r="D2351" s="30"/>
      <c r="E2351" s="30"/>
      <c r="F2351" s="30"/>
      <c r="G2351" s="30"/>
      <c r="H2351" s="47"/>
      <c r="I2351" s="63"/>
      <c r="J2351" s="31"/>
      <c r="K2351" s="31"/>
      <c r="L2351" s="32"/>
      <c r="M2351" s="32"/>
      <c r="N2351" s="32"/>
    </row>
    <row r="2352" spans="2:14" x14ac:dyDescent="0.25">
      <c r="B2352" s="42"/>
      <c r="C2352" s="30"/>
      <c r="D2352" s="30"/>
      <c r="E2352" s="30"/>
      <c r="F2352" s="30"/>
      <c r="G2352" s="30"/>
      <c r="H2352" s="47"/>
      <c r="I2352" s="63"/>
      <c r="J2352" s="31"/>
      <c r="K2352" s="31"/>
      <c r="L2352" s="32"/>
      <c r="M2352" s="32"/>
      <c r="N2352" s="32"/>
    </row>
    <row r="2353" spans="2:14" x14ac:dyDescent="0.25">
      <c r="B2353" s="42"/>
      <c r="C2353" s="30"/>
      <c r="D2353" s="30"/>
      <c r="E2353" s="30"/>
      <c r="F2353" s="30"/>
      <c r="G2353" s="30"/>
      <c r="H2353" s="47"/>
      <c r="I2353" s="63"/>
      <c r="J2353" s="31"/>
      <c r="K2353" s="31"/>
      <c r="L2353" s="32"/>
      <c r="M2353" s="32"/>
      <c r="N2353" s="32"/>
    </row>
    <row r="2354" spans="2:14" x14ac:dyDescent="0.25">
      <c r="B2354" s="42"/>
      <c r="C2354" s="30"/>
      <c r="D2354" s="30"/>
      <c r="E2354" s="30"/>
      <c r="F2354" s="30"/>
      <c r="G2354" s="30"/>
      <c r="H2354" s="47"/>
      <c r="I2354" s="63"/>
      <c r="J2354" s="31"/>
      <c r="K2354" s="31"/>
      <c r="L2354" s="32"/>
      <c r="M2354" s="32"/>
      <c r="N2354" s="32"/>
    </row>
    <row r="2355" spans="2:14" x14ac:dyDescent="0.25">
      <c r="B2355" s="42"/>
      <c r="C2355" s="30"/>
      <c r="D2355" s="30"/>
      <c r="E2355" s="30"/>
      <c r="F2355" s="30"/>
      <c r="G2355" s="30"/>
      <c r="H2355" s="47"/>
      <c r="I2355" s="63"/>
      <c r="J2355" s="31"/>
      <c r="K2355" s="31"/>
      <c r="L2355" s="32"/>
      <c r="M2355" s="32"/>
      <c r="N2355" s="32"/>
    </row>
    <row r="2356" spans="2:14" x14ac:dyDescent="0.25">
      <c r="B2356" s="42"/>
      <c r="C2356" s="30"/>
      <c r="D2356" s="30"/>
      <c r="E2356" s="30"/>
      <c r="F2356" s="30"/>
      <c r="G2356" s="30"/>
      <c r="H2356" s="47"/>
      <c r="I2356" s="63"/>
      <c r="J2356" s="31"/>
      <c r="K2356" s="31"/>
      <c r="L2356" s="32"/>
      <c r="M2356" s="32"/>
      <c r="N2356" s="32"/>
    </row>
    <row r="2357" spans="2:14" x14ac:dyDescent="0.25">
      <c r="B2357" s="42"/>
      <c r="C2357" s="30"/>
      <c r="D2357" s="30"/>
      <c r="E2357" s="30"/>
      <c r="F2357" s="30"/>
      <c r="G2357" s="30"/>
      <c r="H2357" s="47"/>
      <c r="I2357" s="63"/>
      <c r="J2357" s="31"/>
      <c r="K2357" s="31"/>
      <c r="L2357" s="32"/>
      <c r="M2357" s="32"/>
      <c r="N2357" s="32"/>
    </row>
    <row r="2358" spans="2:14" x14ac:dyDescent="0.25">
      <c r="B2358" s="42"/>
      <c r="C2358" s="30"/>
      <c r="D2358" s="30"/>
      <c r="E2358" s="30"/>
      <c r="F2358" s="30"/>
      <c r="G2358" s="30"/>
      <c r="H2358" s="47"/>
      <c r="I2358" s="63"/>
      <c r="J2358" s="31"/>
      <c r="K2358" s="31"/>
      <c r="L2358" s="32"/>
      <c r="M2358" s="32"/>
      <c r="N2358" s="32"/>
    </row>
    <row r="2359" spans="2:14" x14ac:dyDescent="0.25">
      <c r="B2359" s="42"/>
      <c r="C2359" s="30"/>
      <c r="D2359" s="30"/>
      <c r="E2359" s="30"/>
      <c r="F2359" s="30"/>
      <c r="G2359" s="30"/>
      <c r="H2359" s="47"/>
      <c r="I2359" s="63"/>
      <c r="J2359" s="31"/>
      <c r="K2359" s="31"/>
      <c r="L2359" s="32"/>
      <c r="M2359" s="32"/>
      <c r="N2359" s="32"/>
    </row>
    <row r="2360" spans="2:14" x14ac:dyDescent="0.25">
      <c r="B2360" s="42"/>
      <c r="C2360" s="30"/>
      <c r="D2360" s="30"/>
      <c r="E2360" s="30"/>
      <c r="F2360" s="30"/>
      <c r="G2360" s="30"/>
      <c r="H2360" s="47"/>
      <c r="I2360" s="63"/>
      <c r="J2360" s="31"/>
      <c r="K2360" s="31"/>
      <c r="L2360" s="32"/>
      <c r="M2360" s="32"/>
      <c r="N2360" s="32"/>
    </row>
    <row r="2361" spans="2:14" x14ac:dyDescent="0.25">
      <c r="B2361" s="42"/>
      <c r="C2361" s="30"/>
      <c r="D2361" s="30"/>
      <c r="E2361" s="30"/>
      <c r="F2361" s="30"/>
      <c r="G2361" s="30"/>
      <c r="H2361" s="47"/>
      <c r="I2361" s="63"/>
      <c r="J2361" s="31"/>
      <c r="K2361" s="31"/>
      <c r="L2361" s="32"/>
      <c r="M2361" s="32"/>
      <c r="N2361" s="32"/>
    </row>
    <row r="2362" spans="2:14" x14ac:dyDescent="0.25">
      <c r="B2362" s="42"/>
      <c r="C2362" s="30"/>
      <c r="D2362" s="30"/>
      <c r="E2362" s="30"/>
      <c r="F2362" s="30"/>
      <c r="G2362" s="30"/>
      <c r="H2362" s="47"/>
      <c r="I2362" s="63"/>
      <c r="J2362" s="31"/>
      <c r="K2362" s="31"/>
      <c r="L2362" s="32"/>
      <c r="M2362" s="32"/>
      <c r="N2362" s="32"/>
    </row>
    <row r="2363" spans="2:14" x14ac:dyDescent="0.25">
      <c r="B2363" s="42"/>
      <c r="C2363" s="30"/>
      <c r="D2363" s="30"/>
      <c r="E2363" s="30"/>
      <c r="F2363" s="30"/>
      <c r="G2363" s="30"/>
      <c r="H2363" s="47"/>
      <c r="I2363" s="63"/>
      <c r="J2363" s="31"/>
      <c r="K2363" s="31"/>
      <c r="L2363" s="32"/>
      <c r="M2363" s="32"/>
      <c r="N2363" s="32"/>
    </row>
    <row r="2364" spans="2:14" x14ac:dyDescent="0.25">
      <c r="B2364" s="42"/>
      <c r="C2364" s="30"/>
      <c r="D2364" s="30"/>
      <c r="E2364" s="30"/>
      <c r="F2364" s="30"/>
      <c r="G2364" s="30"/>
      <c r="H2364" s="47"/>
      <c r="I2364" s="63"/>
      <c r="J2364" s="31"/>
      <c r="K2364" s="31"/>
      <c r="L2364" s="32"/>
      <c r="M2364" s="32"/>
      <c r="N2364" s="32"/>
    </row>
    <row r="2365" spans="2:14" x14ac:dyDescent="0.25">
      <c r="B2365" s="42"/>
      <c r="C2365" s="30"/>
      <c r="D2365" s="30"/>
      <c r="E2365" s="30"/>
      <c r="F2365" s="30"/>
      <c r="G2365" s="30"/>
      <c r="H2365" s="47"/>
      <c r="I2365" s="63"/>
      <c r="J2365" s="31"/>
      <c r="K2365" s="31"/>
      <c r="L2365" s="32"/>
      <c r="M2365" s="32"/>
      <c r="N2365" s="32"/>
    </row>
    <row r="2366" spans="2:14" x14ac:dyDescent="0.25">
      <c r="B2366" s="42"/>
      <c r="C2366" s="30"/>
      <c r="D2366" s="30"/>
      <c r="E2366" s="30"/>
      <c r="F2366" s="30"/>
      <c r="G2366" s="30"/>
      <c r="H2366" s="47"/>
      <c r="I2366" s="63"/>
      <c r="J2366" s="31"/>
      <c r="K2366" s="31"/>
      <c r="L2366" s="32"/>
      <c r="M2366" s="32"/>
      <c r="N2366" s="32"/>
    </row>
    <row r="2367" spans="2:14" x14ac:dyDescent="0.25">
      <c r="B2367" s="42"/>
      <c r="C2367" s="30"/>
      <c r="D2367" s="30"/>
      <c r="E2367" s="30"/>
      <c r="F2367" s="30"/>
      <c r="G2367" s="30"/>
      <c r="H2367" s="47"/>
      <c r="I2367" s="63"/>
      <c r="J2367" s="31"/>
      <c r="K2367" s="31"/>
      <c r="L2367" s="32"/>
      <c r="M2367" s="32"/>
      <c r="N2367" s="32"/>
    </row>
    <row r="2368" spans="2:14" x14ac:dyDescent="0.25">
      <c r="B2368" s="42"/>
      <c r="C2368" s="30"/>
      <c r="D2368" s="30"/>
      <c r="E2368" s="30"/>
      <c r="F2368" s="30"/>
      <c r="G2368" s="30"/>
      <c r="H2368" s="47"/>
      <c r="I2368" s="63"/>
      <c r="J2368" s="31"/>
      <c r="K2368" s="31"/>
      <c r="L2368" s="32"/>
      <c r="M2368" s="32"/>
      <c r="N2368" s="32"/>
    </row>
    <row r="2369" spans="2:14" x14ac:dyDescent="0.25">
      <c r="B2369" s="42"/>
      <c r="C2369" s="30"/>
      <c r="D2369" s="30"/>
      <c r="E2369" s="30"/>
      <c r="F2369" s="30"/>
      <c r="G2369" s="30"/>
      <c r="H2369" s="47"/>
      <c r="I2369" s="63"/>
      <c r="J2369" s="31"/>
      <c r="K2369" s="31"/>
      <c r="L2369" s="32"/>
      <c r="M2369" s="32"/>
      <c r="N2369" s="32"/>
    </row>
    <row r="2370" spans="2:14" x14ac:dyDescent="0.25">
      <c r="B2370" s="42"/>
      <c r="C2370" s="30"/>
      <c r="D2370" s="30"/>
      <c r="E2370" s="30"/>
      <c r="F2370" s="30"/>
      <c r="G2370" s="30"/>
      <c r="H2370" s="47"/>
      <c r="I2370" s="63"/>
      <c r="J2370" s="31"/>
      <c r="K2370" s="31"/>
      <c r="L2370" s="32"/>
      <c r="M2370" s="32"/>
      <c r="N2370" s="32"/>
    </row>
    <row r="2371" spans="2:14" x14ac:dyDescent="0.25">
      <c r="B2371" s="42"/>
      <c r="C2371" s="30"/>
      <c r="D2371" s="30"/>
      <c r="E2371" s="30"/>
      <c r="F2371" s="30"/>
      <c r="G2371" s="30"/>
      <c r="H2371" s="47"/>
      <c r="I2371" s="63"/>
      <c r="J2371" s="31"/>
      <c r="K2371" s="31"/>
      <c r="L2371" s="32"/>
      <c r="M2371" s="32"/>
      <c r="N2371" s="32"/>
    </row>
    <row r="2372" spans="2:14" x14ac:dyDescent="0.25">
      <c r="B2372" s="42"/>
      <c r="C2372" s="30"/>
      <c r="D2372" s="30"/>
      <c r="E2372" s="30"/>
      <c r="F2372" s="30"/>
      <c r="G2372" s="30"/>
      <c r="H2372" s="47"/>
      <c r="I2372" s="63"/>
      <c r="J2372" s="31"/>
      <c r="K2372" s="31"/>
      <c r="L2372" s="32"/>
      <c r="M2372" s="32"/>
      <c r="N2372" s="32"/>
    </row>
    <row r="2373" spans="2:14" x14ac:dyDescent="0.25">
      <c r="B2373" s="42"/>
      <c r="C2373" s="30"/>
      <c r="D2373" s="30"/>
      <c r="E2373" s="30"/>
      <c r="F2373" s="30"/>
      <c r="G2373" s="30"/>
      <c r="H2373" s="47"/>
      <c r="I2373" s="63"/>
      <c r="J2373" s="31"/>
      <c r="K2373" s="31"/>
      <c r="L2373" s="32"/>
      <c r="M2373" s="32"/>
      <c r="N2373" s="32"/>
    </row>
    <row r="2374" spans="2:14" x14ac:dyDescent="0.25">
      <c r="B2374" s="42"/>
      <c r="C2374" s="30"/>
      <c r="D2374" s="30"/>
      <c r="E2374" s="30"/>
      <c r="F2374" s="30"/>
      <c r="G2374" s="30"/>
      <c r="H2374" s="47"/>
      <c r="I2374" s="63"/>
      <c r="J2374" s="31"/>
      <c r="K2374" s="31"/>
      <c r="L2374" s="32"/>
      <c r="M2374" s="32"/>
      <c r="N2374" s="32"/>
    </row>
    <row r="2375" spans="2:14" x14ac:dyDescent="0.25">
      <c r="B2375" s="42"/>
      <c r="C2375" s="30"/>
      <c r="D2375" s="30"/>
      <c r="E2375" s="30"/>
      <c r="F2375" s="30"/>
      <c r="G2375" s="30"/>
      <c r="H2375" s="47"/>
      <c r="I2375" s="63"/>
      <c r="J2375" s="31"/>
      <c r="K2375" s="31"/>
      <c r="L2375" s="32"/>
      <c r="M2375" s="32"/>
      <c r="N2375" s="32"/>
    </row>
    <row r="2376" spans="2:14" x14ac:dyDescent="0.25">
      <c r="B2376" s="42"/>
      <c r="C2376" s="30"/>
      <c r="D2376" s="30"/>
      <c r="E2376" s="30"/>
      <c r="F2376" s="30"/>
      <c r="G2376" s="30"/>
      <c r="H2376" s="47"/>
      <c r="I2376" s="63"/>
      <c r="J2376" s="31"/>
      <c r="K2376" s="31"/>
      <c r="L2376" s="32"/>
      <c r="M2376" s="32"/>
      <c r="N2376" s="32"/>
    </row>
    <row r="2377" spans="2:14" x14ac:dyDescent="0.25">
      <c r="B2377" s="42"/>
      <c r="C2377" s="30"/>
      <c r="D2377" s="30"/>
      <c r="E2377" s="30"/>
      <c r="F2377" s="30"/>
      <c r="G2377" s="30"/>
      <c r="H2377" s="47"/>
      <c r="I2377" s="63"/>
      <c r="J2377" s="31"/>
      <c r="K2377" s="31"/>
      <c r="L2377" s="32"/>
      <c r="M2377" s="32"/>
      <c r="N2377" s="32"/>
    </row>
    <row r="2378" spans="2:14" x14ac:dyDescent="0.25">
      <c r="B2378" s="42"/>
      <c r="C2378" s="30"/>
      <c r="D2378" s="30"/>
      <c r="E2378" s="30"/>
      <c r="F2378" s="30"/>
      <c r="G2378" s="30"/>
      <c r="H2378" s="47"/>
      <c r="I2378" s="63"/>
      <c r="J2378" s="31"/>
      <c r="K2378" s="31"/>
      <c r="L2378" s="32"/>
      <c r="M2378" s="32"/>
      <c r="N2378" s="32"/>
    </row>
    <row r="2379" spans="2:14" x14ac:dyDescent="0.25">
      <c r="B2379" s="42"/>
      <c r="C2379" s="30"/>
      <c r="D2379" s="30"/>
      <c r="E2379" s="30"/>
      <c r="F2379" s="30"/>
      <c r="G2379" s="30"/>
      <c r="H2379" s="47"/>
      <c r="I2379" s="63"/>
      <c r="J2379" s="31"/>
      <c r="K2379" s="31"/>
      <c r="L2379" s="32"/>
      <c r="M2379" s="32"/>
      <c r="N2379" s="32"/>
    </row>
    <row r="2380" spans="2:14" x14ac:dyDescent="0.25">
      <c r="B2380" s="42"/>
      <c r="C2380" s="30"/>
      <c r="D2380" s="30"/>
      <c r="E2380" s="30"/>
      <c r="F2380" s="30"/>
      <c r="G2380" s="30"/>
      <c r="H2380" s="47"/>
      <c r="I2380" s="63"/>
      <c r="J2380" s="31"/>
      <c r="K2380" s="31"/>
      <c r="L2380" s="32"/>
      <c r="M2380" s="32"/>
      <c r="N2380" s="32"/>
    </row>
    <row r="2381" spans="2:14" x14ac:dyDescent="0.25">
      <c r="B2381" s="42"/>
      <c r="C2381" s="30"/>
      <c r="D2381" s="30"/>
      <c r="E2381" s="30"/>
      <c r="F2381" s="30"/>
      <c r="G2381" s="30"/>
      <c r="H2381" s="47"/>
      <c r="I2381" s="63"/>
      <c r="J2381" s="31"/>
      <c r="K2381" s="31"/>
      <c r="L2381" s="32"/>
      <c r="M2381" s="32"/>
      <c r="N2381" s="32"/>
    </row>
    <row r="2382" spans="2:14" x14ac:dyDescent="0.25">
      <c r="B2382" s="42"/>
      <c r="C2382" s="30"/>
      <c r="D2382" s="30"/>
      <c r="E2382" s="30"/>
      <c r="F2382" s="30"/>
      <c r="G2382" s="30"/>
      <c r="H2382" s="47"/>
      <c r="I2382" s="63"/>
      <c r="J2382" s="31"/>
      <c r="K2382" s="31"/>
      <c r="L2382" s="32"/>
      <c r="M2382" s="32"/>
      <c r="N2382" s="32"/>
    </row>
    <row r="2383" spans="2:14" x14ac:dyDescent="0.25">
      <c r="B2383" s="42"/>
      <c r="C2383" s="30"/>
      <c r="D2383" s="30"/>
      <c r="E2383" s="30"/>
      <c r="F2383" s="30"/>
      <c r="G2383" s="30"/>
      <c r="H2383" s="47"/>
      <c r="I2383" s="63"/>
      <c r="J2383" s="31"/>
      <c r="K2383" s="31"/>
      <c r="L2383" s="32"/>
      <c r="M2383" s="32"/>
      <c r="N2383" s="32"/>
    </row>
    <row r="2384" spans="2:14" x14ac:dyDescent="0.25">
      <c r="B2384" s="42"/>
      <c r="C2384" s="30"/>
      <c r="D2384" s="30"/>
      <c r="E2384" s="30"/>
      <c r="F2384" s="30"/>
      <c r="G2384" s="30"/>
      <c r="H2384" s="47"/>
      <c r="I2384" s="63"/>
      <c r="J2384" s="31"/>
      <c r="K2384" s="31"/>
      <c r="L2384" s="32"/>
      <c r="M2384" s="32"/>
      <c r="N2384" s="32"/>
    </row>
    <row r="2385" spans="2:14" x14ac:dyDescent="0.25">
      <c r="B2385" s="42"/>
      <c r="C2385" s="30"/>
      <c r="D2385" s="30"/>
      <c r="E2385" s="30"/>
      <c r="F2385" s="30"/>
      <c r="G2385" s="30"/>
      <c r="H2385" s="47"/>
      <c r="I2385" s="63"/>
      <c r="J2385" s="31"/>
      <c r="K2385" s="31"/>
      <c r="L2385" s="32"/>
      <c r="M2385" s="32"/>
      <c r="N2385" s="32"/>
    </row>
    <row r="2386" spans="2:14" x14ac:dyDescent="0.25">
      <c r="B2386" s="42"/>
      <c r="C2386" s="30"/>
      <c r="D2386" s="30"/>
      <c r="E2386" s="30"/>
      <c r="F2386" s="30"/>
      <c r="G2386" s="30"/>
      <c r="H2386" s="47"/>
      <c r="I2386" s="63"/>
      <c r="J2386" s="31"/>
      <c r="K2386" s="31"/>
      <c r="L2386" s="32"/>
      <c r="M2386" s="32"/>
      <c r="N2386" s="32"/>
    </row>
    <row r="2387" spans="2:14" x14ac:dyDescent="0.25">
      <c r="B2387" s="42"/>
      <c r="C2387" s="30"/>
      <c r="D2387" s="30"/>
      <c r="E2387" s="30"/>
      <c r="F2387" s="30"/>
      <c r="G2387" s="30"/>
      <c r="H2387" s="47"/>
      <c r="I2387" s="63"/>
      <c r="J2387" s="31"/>
      <c r="K2387" s="31"/>
      <c r="L2387" s="32"/>
      <c r="M2387" s="32"/>
      <c r="N2387" s="32"/>
    </row>
    <row r="2388" spans="2:14" x14ac:dyDescent="0.25">
      <c r="B2388" s="42"/>
      <c r="C2388" s="30"/>
      <c r="D2388" s="30"/>
      <c r="E2388" s="30"/>
      <c r="F2388" s="30"/>
      <c r="G2388" s="30"/>
      <c r="H2388" s="47"/>
      <c r="I2388" s="63"/>
      <c r="J2388" s="31"/>
      <c r="K2388" s="31"/>
      <c r="L2388" s="32"/>
      <c r="M2388" s="32"/>
      <c r="N2388" s="32"/>
    </row>
    <row r="2389" spans="2:14" x14ac:dyDescent="0.25">
      <c r="B2389" s="42"/>
      <c r="C2389" s="30"/>
      <c r="D2389" s="30"/>
      <c r="E2389" s="30"/>
      <c r="F2389" s="30"/>
      <c r="G2389" s="30"/>
      <c r="H2389" s="47"/>
      <c r="I2389" s="63"/>
      <c r="J2389" s="31"/>
      <c r="K2389" s="31"/>
      <c r="L2389" s="32"/>
      <c r="M2389" s="32"/>
      <c r="N2389" s="32"/>
    </row>
    <row r="2390" spans="2:14" x14ac:dyDescent="0.25">
      <c r="B2390" s="42"/>
      <c r="C2390" s="30"/>
      <c r="D2390" s="30"/>
      <c r="E2390" s="30"/>
      <c r="F2390" s="30"/>
      <c r="G2390" s="30"/>
      <c r="H2390" s="47"/>
      <c r="I2390" s="63"/>
      <c r="J2390" s="31"/>
      <c r="K2390" s="31"/>
      <c r="L2390" s="32"/>
      <c r="M2390" s="32"/>
      <c r="N2390" s="32"/>
    </row>
    <row r="2391" spans="2:14" x14ac:dyDescent="0.25">
      <c r="B2391" s="42"/>
      <c r="C2391" s="30"/>
      <c r="D2391" s="30"/>
      <c r="E2391" s="30"/>
      <c r="F2391" s="30"/>
      <c r="G2391" s="30"/>
      <c r="H2391" s="47"/>
      <c r="I2391" s="63"/>
      <c r="J2391" s="31"/>
      <c r="K2391" s="31"/>
      <c r="L2391" s="32"/>
      <c r="M2391" s="32"/>
      <c r="N2391" s="32"/>
    </row>
    <row r="2392" spans="2:14" x14ac:dyDescent="0.25">
      <c r="B2392" s="42"/>
      <c r="C2392" s="30"/>
      <c r="D2392" s="30"/>
      <c r="E2392" s="30"/>
      <c r="F2392" s="30"/>
      <c r="G2392" s="30"/>
      <c r="H2392" s="47"/>
      <c r="I2392" s="63"/>
      <c r="J2392" s="31"/>
      <c r="K2392" s="31"/>
      <c r="L2392" s="32"/>
      <c r="M2392" s="32"/>
      <c r="N2392" s="32"/>
    </row>
    <row r="2393" spans="2:14" x14ac:dyDescent="0.25">
      <c r="B2393" s="42"/>
      <c r="C2393" s="30"/>
      <c r="D2393" s="30"/>
      <c r="E2393" s="30"/>
      <c r="F2393" s="30"/>
      <c r="G2393" s="30"/>
      <c r="H2393" s="47"/>
      <c r="I2393" s="63"/>
      <c r="J2393" s="31"/>
      <c r="K2393" s="31"/>
      <c r="L2393" s="32"/>
      <c r="M2393" s="32"/>
      <c r="N2393" s="32"/>
    </row>
    <row r="2394" spans="2:14" x14ac:dyDescent="0.25">
      <c r="B2394" s="42"/>
      <c r="C2394" s="30"/>
      <c r="D2394" s="30"/>
      <c r="E2394" s="30"/>
      <c r="F2394" s="30"/>
      <c r="G2394" s="30"/>
      <c r="H2394" s="47"/>
      <c r="I2394" s="63"/>
      <c r="J2394" s="31"/>
      <c r="K2394" s="31"/>
      <c r="L2394" s="32"/>
      <c r="M2394" s="32"/>
      <c r="N2394" s="32"/>
    </row>
    <row r="2395" spans="2:14" x14ac:dyDescent="0.25">
      <c r="B2395" s="42"/>
      <c r="C2395" s="30"/>
      <c r="D2395" s="30"/>
      <c r="E2395" s="30"/>
      <c r="F2395" s="30"/>
      <c r="G2395" s="30"/>
      <c r="H2395" s="47"/>
      <c r="I2395" s="63"/>
      <c r="J2395" s="31"/>
      <c r="K2395" s="31"/>
      <c r="L2395" s="32"/>
      <c r="M2395" s="32"/>
      <c r="N2395" s="32"/>
    </row>
    <row r="2396" spans="2:14" x14ac:dyDescent="0.25">
      <c r="B2396" s="42"/>
      <c r="C2396" s="30"/>
      <c r="D2396" s="30"/>
      <c r="E2396" s="30"/>
      <c r="F2396" s="30"/>
      <c r="G2396" s="30"/>
      <c r="H2396" s="47"/>
      <c r="I2396" s="63"/>
      <c r="J2396" s="31"/>
      <c r="K2396" s="31"/>
      <c r="L2396" s="32"/>
      <c r="M2396" s="32"/>
      <c r="N2396" s="32"/>
    </row>
    <row r="2397" spans="2:14" x14ac:dyDescent="0.25">
      <c r="B2397" s="42"/>
      <c r="C2397" s="30"/>
      <c r="D2397" s="30"/>
      <c r="E2397" s="30"/>
      <c r="F2397" s="30"/>
      <c r="G2397" s="30"/>
      <c r="H2397" s="47"/>
      <c r="I2397" s="63"/>
      <c r="J2397" s="31"/>
      <c r="K2397" s="31"/>
      <c r="L2397" s="32"/>
      <c r="M2397" s="32"/>
      <c r="N2397" s="32"/>
    </row>
    <row r="2398" spans="2:14" x14ac:dyDescent="0.25">
      <c r="B2398" s="42"/>
      <c r="C2398" s="30"/>
      <c r="D2398" s="30"/>
      <c r="E2398" s="30"/>
      <c r="F2398" s="30"/>
      <c r="G2398" s="30"/>
      <c r="H2398" s="47"/>
      <c r="I2398" s="63"/>
      <c r="J2398" s="31"/>
      <c r="K2398" s="31"/>
      <c r="L2398" s="32"/>
      <c r="M2398" s="32"/>
      <c r="N2398" s="32"/>
    </row>
    <row r="2399" spans="2:14" x14ac:dyDescent="0.25">
      <c r="B2399" s="42"/>
      <c r="C2399" s="30"/>
      <c r="D2399" s="30"/>
      <c r="E2399" s="30"/>
      <c r="F2399" s="30"/>
      <c r="G2399" s="30"/>
      <c r="H2399" s="47"/>
      <c r="I2399" s="63"/>
      <c r="J2399" s="31"/>
      <c r="K2399" s="31"/>
      <c r="L2399" s="32"/>
      <c r="M2399" s="32"/>
      <c r="N2399" s="32"/>
    </row>
    <row r="2400" spans="2:14" x14ac:dyDescent="0.25">
      <c r="B2400" s="42"/>
      <c r="C2400" s="30"/>
      <c r="D2400" s="30"/>
      <c r="E2400" s="30"/>
      <c r="F2400" s="30"/>
      <c r="G2400" s="30"/>
      <c r="H2400" s="47"/>
      <c r="I2400" s="63"/>
      <c r="J2400" s="31"/>
      <c r="K2400" s="31"/>
      <c r="L2400" s="32"/>
      <c r="M2400" s="32"/>
      <c r="N2400" s="32"/>
    </row>
    <row r="2401" spans="2:14" x14ac:dyDescent="0.25">
      <c r="B2401" s="42"/>
      <c r="C2401" s="30"/>
      <c r="D2401" s="30"/>
      <c r="E2401" s="30"/>
      <c r="F2401" s="30"/>
      <c r="G2401" s="30"/>
      <c r="H2401" s="47"/>
      <c r="I2401" s="63"/>
      <c r="J2401" s="31"/>
      <c r="K2401" s="31"/>
      <c r="L2401" s="32"/>
      <c r="M2401" s="32"/>
      <c r="N2401" s="32"/>
    </row>
    <row r="2402" spans="2:14" x14ac:dyDescent="0.25">
      <c r="B2402" s="42"/>
      <c r="C2402" s="30"/>
      <c r="D2402" s="30"/>
      <c r="E2402" s="30"/>
      <c r="F2402" s="30"/>
      <c r="G2402" s="30"/>
      <c r="H2402" s="47"/>
      <c r="I2402" s="63"/>
      <c r="J2402" s="31"/>
      <c r="K2402" s="31"/>
      <c r="L2402" s="32"/>
      <c r="M2402" s="32"/>
      <c r="N2402" s="32"/>
    </row>
    <row r="2403" spans="2:14" x14ac:dyDescent="0.25">
      <c r="B2403" s="42"/>
      <c r="C2403" s="30"/>
      <c r="D2403" s="30"/>
      <c r="E2403" s="30"/>
      <c r="F2403" s="30"/>
      <c r="G2403" s="30"/>
      <c r="H2403" s="47"/>
      <c r="I2403" s="63"/>
      <c r="J2403" s="31"/>
      <c r="K2403" s="31"/>
      <c r="L2403" s="32"/>
      <c r="M2403" s="32"/>
      <c r="N2403" s="32"/>
    </row>
    <row r="2404" spans="2:14" x14ac:dyDescent="0.25">
      <c r="B2404" s="42"/>
      <c r="C2404" s="30"/>
      <c r="D2404" s="30"/>
      <c r="E2404" s="30"/>
      <c r="F2404" s="30"/>
      <c r="G2404" s="30"/>
      <c r="H2404" s="47"/>
      <c r="I2404" s="63"/>
      <c r="J2404" s="31"/>
      <c r="K2404" s="31"/>
      <c r="L2404" s="32"/>
      <c r="M2404" s="32"/>
      <c r="N2404" s="32"/>
    </row>
    <row r="2405" spans="2:14" x14ac:dyDescent="0.25">
      <c r="B2405" s="42"/>
      <c r="C2405" s="30"/>
      <c r="D2405" s="30"/>
      <c r="E2405" s="30"/>
      <c r="F2405" s="30"/>
      <c r="G2405" s="30"/>
      <c r="H2405" s="47"/>
      <c r="I2405" s="63"/>
      <c r="J2405" s="31"/>
      <c r="K2405" s="31"/>
      <c r="L2405" s="32"/>
      <c r="M2405" s="32"/>
      <c r="N2405" s="32"/>
    </row>
    <row r="2406" spans="2:14" x14ac:dyDescent="0.25">
      <c r="B2406" s="42"/>
      <c r="C2406" s="30"/>
      <c r="D2406" s="30"/>
      <c r="E2406" s="30"/>
      <c r="F2406" s="30"/>
      <c r="G2406" s="30"/>
      <c r="H2406" s="47"/>
      <c r="I2406" s="63"/>
      <c r="J2406" s="31"/>
      <c r="K2406" s="31"/>
      <c r="L2406" s="32"/>
      <c r="M2406" s="32"/>
      <c r="N2406" s="32"/>
    </row>
    <row r="2407" spans="2:14" x14ac:dyDescent="0.25">
      <c r="B2407" s="42"/>
      <c r="C2407" s="30"/>
      <c r="D2407" s="30"/>
      <c r="E2407" s="30"/>
      <c r="F2407" s="30"/>
      <c r="G2407" s="30"/>
      <c r="H2407" s="47"/>
      <c r="I2407" s="63"/>
      <c r="J2407" s="31"/>
      <c r="K2407" s="31"/>
      <c r="L2407" s="32"/>
      <c r="M2407" s="32"/>
      <c r="N2407" s="32"/>
    </row>
    <row r="2408" spans="2:14" x14ac:dyDescent="0.25">
      <c r="B2408" s="42"/>
      <c r="C2408" s="30"/>
      <c r="D2408" s="30"/>
      <c r="E2408" s="30"/>
      <c r="F2408" s="30"/>
      <c r="G2408" s="30"/>
      <c r="H2408" s="47"/>
      <c r="I2408" s="63"/>
      <c r="J2408" s="31"/>
      <c r="K2408" s="31"/>
      <c r="L2408" s="32"/>
      <c r="M2408" s="32"/>
      <c r="N2408" s="32"/>
    </row>
    <row r="2409" spans="2:14" x14ac:dyDescent="0.25">
      <c r="B2409" s="42"/>
      <c r="C2409" s="30"/>
      <c r="D2409" s="30"/>
      <c r="E2409" s="30"/>
      <c r="F2409" s="30"/>
      <c r="G2409" s="30"/>
      <c r="H2409" s="47"/>
      <c r="I2409" s="63"/>
      <c r="J2409" s="31"/>
      <c r="K2409" s="31"/>
      <c r="L2409" s="32"/>
      <c r="M2409" s="32"/>
      <c r="N2409" s="32"/>
    </row>
    <row r="2410" spans="2:14" x14ac:dyDescent="0.25">
      <c r="B2410" s="42"/>
      <c r="C2410" s="30"/>
      <c r="D2410" s="30"/>
      <c r="E2410" s="30"/>
      <c r="F2410" s="30"/>
      <c r="G2410" s="30"/>
      <c r="H2410" s="47"/>
      <c r="I2410" s="63"/>
      <c r="J2410" s="31"/>
      <c r="K2410" s="31"/>
      <c r="L2410" s="32"/>
      <c r="M2410" s="32"/>
      <c r="N2410" s="32"/>
    </row>
    <row r="2411" spans="2:14" x14ac:dyDescent="0.25">
      <c r="B2411" s="42"/>
      <c r="C2411" s="30"/>
      <c r="D2411" s="30"/>
      <c r="E2411" s="30"/>
      <c r="F2411" s="30"/>
      <c r="G2411" s="30"/>
      <c r="H2411" s="47"/>
      <c r="I2411" s="63"/>
      <c r="J2411" s="31"/>
      <c r="K2411" s="31"/>
      <c r="L2411" s="32"/>
      <c r="M2411" s="32"/>
      <c r="N2411" s="32"/>
    </row>
    <row r="2412" spans="2:14" x14ac:dyDescent="0.25">
      <c r="B2412" s="42"/>
      <c r="C2412" s="30"/>
      <c r="D2412" s="30"/>
      <c r="E2412" s="30"/>
      <c r="F2412" s="30"/>
      <c r="G2412" s="30"/>
      <c r="H2412" s="47"/>
      <c r="I2412" s="63"/>
      <c r="J2412" s="31"/>
      <c r="K2412" s="31"/>
      <c r="L2412" s="32"/>
      <c r="M2412" s="32"/>
      <c r="N2412" s="32"/>
    </row>
    <row r="2413" spans="2:14" x14ac:dyDescent="0.25">
      <c r="B2413" s="42"/>
      <c r="C2413" s="30"/>
      <c r="D2413" s="30"/>
      <c r="E2413" s="30"/>
      <c r="F2413" s="30"/>
      <c r="G2413" s="30"/>
      <c r="H2413" s="47"/>
      <c r="I2413" s="63"/>
      <c r="J2413" s="31"/>
      <c r="K2413" s="31"/>
      <c r="L2413" s="32"/>
      <c r="M2413" s="32"/>
      <c r="N2413" s="32"/>
    </row>
    <row r="2414" spans="2:14" x14ac:dyDescent="0.25">
      <c r="B2414" s="42"/>
      <c r="C2414" s="30"/>
      <c r="D2414" s="30"/>
      <c r="E2414" s="30"/>
      <c r="F2414" s="30"/>
      <c r="G2414" s="30"/>
      <c r="H2414" s="47"/>
      <c r="I2414" s="63"/>
      <c r="J2414" s="31"/>
      <c r="K2414" s="31"/>
      <c r="L2414" s="32"/>
      <c r="M2414" s="32"/>
      <c r="N2414" s="32"/>
    </row>
    <row r="2415" spans="2:14" x14ac:dyDescent="0.25">
      <c r="B2415" s="42"/>
      <c r="C2415" s="30"/>
      <c r="D2415" s="30"/>
      <c r="E2415" s="30"/>
      <c r="F2415" s="30"/>
      <c r="G2415" s="30"/>
      <c r="H2415" s="47"/>
      <c r="I2415" s="63"/>
      <c r="J2415" s="31"/>
      <c r="K2415" s="31"/>
      <c r="L2415" s="32"/>
      <c r="M2415" s="32"/>
      <c r="N2415" s="32"/>
    </row>
    <row r="2416" spans="2:14" x14ac:dyDescent="0.25">
      <c r="B2416" s="42"/>
      <c r="C2416" s="30"/>
      <c r="D2416" s="30"/>
      <c r="E2416" s="30"/>
      <c r="F2416" s="30"/>
      <c r="G2416" s="30"/>
      <c r="H2416" s="47"/>
      <c r="I2416" s="63"/>
      <c r="J2416" s="31"/>
      <c r="K2416" s="31"/>
      <c r="L2416" s="32"/>
      <c r="M2416" s="32"/>
      <c r="N2416" s="32"/>
    </row>
    <row r="2417" spans="2:14" x14ac:dyDescent="0.25">
      <c r="B2417" s="42"/>
      <c r="C2417" s="30"/>
      <c r="D2417" s="30"/>
      <c r="E2417" s="30"/>
      <c r="F2417" s="30"/>
      <c r="G2417" s="30"/>
      <c r="H2417" s="47"/>
      <c r="I2417" s="63"/>
      <c r="J2417" s="31"/>
      <c r="K2417" s="31"/>
      <c r="L2417" s="32"/>
      <c r="M2417" s="32"/>
      <c r="N2417" s="32"/>
    </row>
    <row r="2418" spans="2:14" x14ac:dyDescent="0.25">
      <c r="B2418" s="42"/>
      <c r="C2418" s="30"/>
      <c r="D2418" s="30"/>
      <c r="E2418" s="30"/>
      <c r="F2418" s="30"/>
      <c r="G2418" s="30"/>
      <c r="H2418" s="47"/>
      <c r="I2418" s="63"/>
      <c r="J2418" s="31"/>
      <c r="K2418" s="31"/>
      <c r="L2418" s="32"/>
      <c r="M2418" s="32"/>
      <c r="N2418" s="32"/>
    </row>
    <row r="2419" spans="2:14" x14ac:dyDescent="0.25">
      <c r="B2419" s="42"/>
      <c r="C2419" s="30"/>
      <c r="D2419" s="30"/>
      <c r="E2419" s="30"/>
      <c r="F2419" s="30"/>
      <c r="G2419" s="30"/>
      <c r="H2419" s="47"/>
      <c r="I2419" s="63"/>
      <c r="J2419" s="31"/>
      <c r="K2419" s="31"/>
      <c r="L2419" s="32"/>
      <c r="M2419" s="32"/>
      <c r="N2419" s="32"/>
    </row>
    <row r="2420" spans="2:14" x14ac:dyDescent="0.25">
      <c r="B2420" s="42"/>
      <c r="C2420" s="30"/>
      <c r="D2420" s="30"/>
      <c r="E2420" s="30"/>
      <c r="F2420" s="30"/>
      <c r="G2420" s="30"/>
      <c r="H2420" s="47"/>
      <c r="I2420" s="63"/>
      <c r="J2420" s="31"/>
      <c r="K2420" s="31"/>
      <c r="L2420" s="32"/>
      <c r="M2420" s="32"/>
      <c r="N2420" s="32"/>
    </row>
    <row r="2421" spans="2:14" x14ac:dyDescent="0.25">
      <c r="B2421" s="42"/>
      <c r="C2421" s="30"/>
      <c r="D2421" s="30"/>
      <c r="E2421" s="30"/>
      <c r="F2421" s="30"/>
      <c r="G2421" s="30"/>
      <c r="H2421" s="47"/>
      <c r="I2421" s="63"/>
      <c r="J2421" s="31"/>
      <c r="K2421" s="31"/>
      <c r="L2421" s="32"/>
      <c r="M2421" s="32"/>
      <c r="N2421" s="32"/>
    </row>
    <row r="2422" spans="2:14" x14ac:dyDescent="0.25">
      <c r="B2422" s="42"/>
      <c r="C2422" s="30"/>
      <c r="D2422" s="30"/>
      <c r="E2422" s="30"/>
      <c r="F2422" s="30"/>
      <c r="G2422" s="30"/>
      <c r="H2422" s="47"/>
      <c r="I2422" s="63"/>
      <c r="J2422" s="31"/>
      <c r="K2422" s="31"/>
      <c r="L2422" s="32"/>
      <c r="M2422" s="32"/>
      <c r="N2422" s="32"/>
    </row>
    <row r="2423" spans="2:14" x14ac:dyDescent="0.25">
      <c r="B2423" s="42"/>
      <c r="C2423" s="30"/>
      <c r="D2423" s="30"/>
      <c r="E2423" s="30"/>
      <c r="F2423" s="30"/>
      <c r="G2423" s="30"/>
      <c r="H2423" s="47"/>
      <c r="I2423" s="63"/>
      <c r="J2423" s="31"/>
      <c r="K2423" s="31"/>
      <c r="L2423" s="32"/>
      <c r="M2423" s="32"/>
      <c r="N2423" s="32"/>
    </row>
    <row r="2424" spans="2:14" x14ac:dyDescent="0.25">
      <c r="B2424" s="42"/>
      <c r="C2424" s="30"/>
      <c r="D2424" s="30"/>
      <c r="E2424" s="30"/>
      <c r="F2424" s="30"/>
      <c r="G2424" s="30"/>
      <c r="H2424" s="47"/>
      <c r="I2424" s="63"/>
      <c r="J2424" s="31"/>
      <c r="K2424" s="31"/>
      <c r="L2424" s="32"/>
      <c r="M2424" s="32"/>
      <c r="N2424" s="32"/>
    </row>
    <row r="2425" spans="2:14" x14ac:dyDescent="0.25">
      <c r="B2425" s="42"/>
      <c r="C2425" s="30"/>
      <c r="D2425" s="30"/>
      <c r="E2425" s="30"/>
      <c r="F2425" s="30"/>
      <c r="G2425" s="30"/>
      <c r="H2425" s="47"/>
      <c r="I2425" s="63"/>
      <c r="J2425" s="31"/>
      <c r="K2425" s="31"/>
      <c r="L2425" s="32"/>
      <c r="M2425" s="32"/>
      <c r="N2425" s="32"/>
    </row>
    <row r="2426" spans="2:14" x14ac:dyDescent="0.25">
      <c r="B2426" s="42"/>
      <c r="C2426" s="30"/>
      <c r="D2426" s="30"/>
      <c r="E2426" s="30"/>
      <c r="F2426" s="30"/>
      <c r="G2426" s="30"/>
      <c r="H2426" s="47"/>
      <c r="I2426" s="63"/>
      <c r="J2426" s="31"/>
      <c r="K2426" s="31"/>
      <c r="L2426" s="32"/>
      <c r="M2426" s="32"/>
      <c r="N2426" s="32"/>
    </row>
    <row r="2427" spans="2:14" x14ac:dyDescent="0.25">
      <c r="B2427" s="42"/>
      <c r="C2427" s="30"/>
      <c r="D2427" s="30"/>
      <c r="E2427" s="30"/>
      <c r="F2427" s="30"/>
      <c r="G2427" s="30"/>
      <c r="H2427" s="47"/>
      <c r="I2427" s="63"/>
      <c r="J2427" s="31"/>
      <c r="K2427" s="31"/>
      <c r="L2427" s="32"/>
      <c r="M2427" s="32"/>
      <c r="N2427" s="32"/>
    </row>
    <row r="2428" spans="2:14" x14ac:dyDescent="0.25">
      <c r="B2428" s="42"/>
      <c r="C2428" s="30"/>
      <c r="D2428" s="30"/>
      <c r="E2428" s="30"/>
      <c r="F2428" s="30"/>
      <c r="G2428" s="30"/>
      <c r="H2428" s="47"/>
      <c r="I2428" s="63"/>
      <c r="J2428" s="31"/>
      <c r="K2428" s="31"/>
      <c r="L2428" s="32"/>
      <c r="M2428" s="32"/>
      <c r="N2428" s="32"/>
    </row>
    <row r="2429" spans="2:14" x14ac:dyDescent="0.25">
      <c r="B2429" s="42"/>
      <c r="C2429" s="30"/>
      <c r="D2429" s="30"/>
      <c r="E2429" s="30"/>
      <c r="F2429" s="30"/>
      <c r="G2429" s="30"/>
      <c r="H2429" s="47"/>
      <c r="I2429" s="63"/>
      <c r="J2429" s="31"/>
      <c r="K2429" s="31"/>
      <c r="L2429" s="32"/>
      <c r="M2429" s="32"/>
      <c r="N2429" s="32"/>
    </row>
    <row r="2430" spans="2:14" x14ac:dyDescent="0.25">
      <c r="B2430" s="42"/>
      <c r="C2430" s="30"/>
      <c r="D2430" s="30"/>
      <c r="E2430" s="30"/>
      <c r="F2430" s="30"/>
      <c r="G2430" s="30"/>
      <c r="H2430" s="47"/>
      <c r="I2430" s="63"/>
      <c r="J2430" s="31"/>
      <c r="K2430" s="31"/>
      <c r="L2430" s="32"/>
      <c r="M2430" s="32"/>
      <c r="N2430" s="32"/>
    </row>
    <row r="2431" spans="2:14" x14ac:dyDescent="0.25">
      <c r="B2431" s="42"/>
      <c r="C2431" s="30"/>
      <c r="D2431" s="30"/>
      <c r="E2431" s="30"/>
      <c r="F2431" s="30"/>
      <c r="G2431" s="30"/>
      <c r="H2431" s="47"/>
      <c r="I2431" s="63"/>
      <c r="J2431" s="31"/>
      <c r="K2431" s="31"/>
      <c r="L2431" s="32"/>
      <c r="M2431" s="32"/>
      <c r="N2431" s="32"/>
    </row>
    <row r="2432" spans="2:14" x14ac:dyDescent="0.25">
      <c r="B2432" s="42"/>
      <c r="C2432" s="30"/>
      <c r="D2432" s="30"/>
      <c r="E2432" s="30"/>
      <c r="F2432" s="30"/>
      <c r="G2432" s="30"/>
      <c r="H2432" s="47"/>
      <c r="I2432" s="63"/>
      <c r="J2432" s="31"/>
      <c r="K2432" s="31"/>
      <c r="L2432" s="32"/>
      <c r="M2432" s="32"/>
      <c r="N2432" s="32"/>
    </row>
    <row r="2433" spans="2:14" x14ac:dyDescent="0.25">
      <c r="B2433" s="42"/>
      <c r="C2433" s="30"/>
      <c r="D2433" s="30"/>
      <c r="E2433" s="30"/>
      <c r="F2433" s="30"/>
      <c r="G2433" s="30"/>
      <c r="H2433" s="47"/>
      <c r="I2433" s="63"/>
      <c r="J2433" s="31"/>
      <c r="K2433" s="31"/>
      <c r="L2433" s="32"/>
      <c r="M2433" s="32"/>
      <c r="N2433" s="32"/>
    </row>
    <row r="2434" spans="2:14" x14ac:dyDescent="0.25">
      <c r="B2434" s="42"/>
      <c r="C2434" s="30"/>
      <c r="D2434" s="30"/>
      <c r="E2434" s="30"/>
      <c r="F2434" s="30"/>
      <c r="G2434" s="30"/>
      <c r="H2434" s="47"/>
      <c r="I2434" s="63"/>
      <c r="J2434" s="31"/>
      <c r="K2434" s="31"/>
      <c r="L2434" s="32"/>
      <c r="M2434" s="32"/>
      <c r="N2434" s="32"/>
    </row>
    <row r="2435" spans="2:14" x14ac:dyDescent="0.25">
      <c r="B2435" s="42"/>
      <c r="C2435" s="30"/>
      <c r="D2435" s="30"/>
      <c r="E2435" s="30"/>
      <c r="F2435" s="30"/>
      <c r="G2435" s="30"/>
      <c r="H2435" s="47"/>
      <c r="I2435" s="63"/>
      <c r="J2435" s="31"/>
      <c r="K2435" s="31"/>
      <c r="L2435" s="32"/>
      <c r="M2435" s="32"/>
      <c r="N2435" s="32"/>
    </row>
    <row r="2436" spans="2:14" x14ac:dyDescent="0.25">
      <c r="B2436" s="42"/>
      <c r="C2436" s="30"/>
      <c r="D2436" s="30"/>
      <c r="E2436" s="30"/>
      <c r="F2436" s="30"/>
      <c r="G2436" s="30"/>
      <c r="H2436" s="47"/>
      <c r="I2436" s="63"/>
      <c r="J2436" s="31"/>
      <c r="K2436" s="31"/>
      <c r="L2436" s="32"/>
      <c r="M2436" s="32"/>
      <c r="N2436" s="32"/>
    </row>
    <row r="2437" spans="2:14" x14ac:dyDescent="0.25">
      <c r="B2437" s="42"/>
      <c r="C2437" s="30"/>
      <c r="D2437" s="30"/>
      <c r="E2437" s="30"/>
      <c r="F2437" s="30"/>
      <c r="G2437" s="30"/>
      <c r="H2437" s="47"/>
      <c r="I2437" s="63"/>
      <c r="J2437" s="31"/>
      <c r="K2437" s="31"/>
      <c r="L2437" s="32"/>
      <c r="M2437" s="32"/>
      <c r="N2437" s="32"/>
    </row>
    <row r="2438" spans="2:14" x14ac:dyDescent="0.25">
      <c r="B2438" s="42"/>
      <c r="C2438" s="30"/>
      <c r="D2438" s="30"/>
      <c r="E2438" s="30"/>
      <c r="F2438" s="30"/>
      <c r="G2438" s="30"/>
      <c r="H2438" s="47"/>
      <c r="I2438" s="63"/>
      <c r="J2438" s="31"/>
      <c r="K2438" s="31"/>
      <c r="L2438" s="32"/>
      <c r="M2438" s="32"/>
      <c r="N2438" s="32"/>
    </row>
    <row r="2439" spans="2:14" x14ac:dyDescent="0.25">
      <c r="B2439" s="42"/>
      <c r="C2439" s="30"/>
      <c r="D2439" s="30"/>
      <c r="E2439" s="30"/>
      <c r="F2439" s="30"/>
      <c r="G2439" s="30"/>
      <c r="H2439" s="47"/>
      <c r="I2439" s="63"/>
      <c r="J2439" s="31"/>
      <c r="K2439" s="31"/>
      <c r="L2439" s="32"/>
      <c r="M2439" s="32"/>
      <c r="N2439" s="32"/>
    </row>
    <row r="2440" spans="2:14" x14ac:dyDescent="0.25">
      <c r="B2440" s="42"/>
      <c r="C2440" s="30"/>
      <c r="D2440" s="30"/>
      <c r="E2440" s="30"/>
      <c r="F2440" s="30"/>
      <c r="G2440" s="30"/>
      <c r="H2440" s="47"/>
      <c r="I2440" s="63"/>
      <c r="J2440" s="31"/>
      <c r="K2440" s="31"/>
      <c r="L2440" s="32"/>
      <c r="M2440" s="32"/>
      <c r="N2440" s="32"/>
    </row>
    <row r="2441" spans="2:14" x14ac:dyDescent="0.25">
      <c r="B2441" s="42"/>
      <c r="C2441" s="30"/>
      <c r="D2441" s="30"/>
      <c r="E2441" s="30"/>
      <c r="F2441" s="30"/>
      <c r="G2441" s="30"/>
      <c r="H2441" s="47"/>
      <c r="I2441" s="63"/>
      <c r="J2441" s="31"/>
      <c r="K2441" s="31"/>
      <c r="L2441" s="32"/>
      <c r="M2441" s="32"/>
      <c r="N2441" s="32"/>
    </row>
    <row r="2442" spans="2:14" x14ac:dyDescent="0.25">
      <c r="B2442" s="42"/>
      <c r="C2442" s="30"/>
      <c r="D2442" s="30"/>
      <c r="E2442" s="30"/>
      <c r="F2442" s="30"/>
      <c r="G2442" s="30"/>
      <c r="H2442" s="47"/>
      <c r="I2442" s="63"/>
      <c r="J2442" s="31"/>
      <c r="K2442" s="31"/>
      <c r="L2442" s="32"/>
      <c r="M2442" s="32"/>
      <c r="N2442" s="32"/>
    </row>
    <row r="2443" spans="2:14" x14ac:dyDescent="0.25">
      <c r="B2443" s="42"/>
      <c r="C2443" s="30"/>
      <c r="D2443" s="30"/>
      <c r="E2443" s="30"/>
      <c r="F2443" s="30"/>
      <c r="G2443" s="30"/>
      <c r="H2443" s="47"/>
      <c r="I2443" s="63"/>
      <c r="J2443" s="31"/>
      <c r="K2443" s="31"/>
      <c r="L2443" s="32"/>
      <c r="M2443" s="32"/>
      <c r="N2443" s="32"/>
    </row>
    <row r="2444" spans="2:14" x14ac:dyDescent="0.25">
      <c r="B2444" s="42"/>
      <c r="C2444" s="30"/>
      <c r="D2444" s="30"/>
      <c r="E2444" s="30"/>
      <c r="F2444" s="30"/>
      <c r="G2444" s="30"/>
      <c r="H2444" s="47"/>
      <c r="I2444" s="63"/>
      <c r="J2444" s="31"/>
      <c r="K2444" s="31"/>
      <c r="L2444" s="32"/>
      <c r="M2444" s="32"/>
      <c r="N2444" s="32"/>
    </row>
    <row r="2445" spans="2:14" x14ac:dyDescent="0.25">
      <c r="B2445" s="42"/>
      <c r="C2445" s="30"/>
      <c r="D2445" s="30"/>
      <c r="E2445" s="30"/>
      <c r="F2445" s="30"/>
      <c r="G2445" s="30"/>
      <c r="H2445" s="47"/>
      <c r="I2445" s="63"/>
      <c r="J2445" s="31"/>
      <c r="K2445" s="31"/>
      <c r="L2445" s="32"/>
      <c r="M2445" s="32"/>
      <c r="N2445" s="32"/>
    </row>
    <row r="2446" spans="2:14" x14ac:dyDescent="0.25">
      <c r="B2446" s="42"/>
      <c r="C2446" s="30"/>
      <c r="D2446" s="30"/>
      <c r="E2446" s="30"/>
      <c r="F2446" s="30"/>
      <c r="G2446" s="30"/>
      <c r="H2446" s="47"/>
      <c r="I2446" s="63"/>
      <c r="J2446" s="31"/>
      <c r="K2446" s="31"/>
      <c r="L2446" s="32"/>
      <c r="M2446" s="32"/>
      <c r="N2446" s="32"/>
    </row>
    <row r="2447" spans="2:14" x14ac:dyDescent="0.25">
      <c r="B2447" s="42"/>
      <c r="C2447" s="30"/>
      <c r="D2447" s="30"/>
      <c r="E2447" s="30"/>
      <c r="F2447" s="30"/>
      <c r="G2447" s="30"/>
      <c r="H2447" s="47"/>
      <c r="I2447" s="63"/>
      <c r="J2447" s="31"/>
      <c r="K2447" s="31"/>
      <c r="L2447" s="32"/>
      <c r="M2447" s="32"/>
      <c r="N2447" s="32"/>
    </row>
    <row r="2448" spans="2:14" x14ac:dyDescent="0.25">
      <c r="B2448" s="42"/>
      <c r="C2448" s="30"/>
      <c r="D2448" s="30"/>
      <c r="E2448" s="30"/>
      <c r="F2448" s="30"/>
      <c r="G2448" s="30"/>
      <c r="H2448" s="47"/>
      <c r="I2448" s="63"/>
      <c r="J2448" s="31"/>
      <c r="K2448" s="31"/>
      <c r="L2448" s="32"/>
      <c r="M2448" s="32"/>
      <c r="N2448" s="32"/>
    </row>
    <row r="2449" spans="2:14" x14ac:dyDescent="0.25">
      <c r="B2449" s="42"/>
      <c r="C2449" s="30"/>
      <c r="D2449" s="30"/>
      <c r="E2449" s="30"/>
      <c r="F2449" s="30"/>
      <c r="G2449" s="30"/>
      <c r="H2449" s="47"/>
      <c r="I2449" s="63"/>
      <c r="J2449" s="31"/>
      <c r="K2449" s="31"/>
      <c r="L2449" s="32"/>
      <c r="M2449" s="32"/>
      <c r="N2449" s="32"/>
    </row>
    <row r="2450" spans="2:14" x14ac:dyDescent="0.25">
      <c r="B2450" s="42"/>
      <c r="C2450" s="30"/>
      <c r="D2450" s="30"/>
      <c r="E2450" s="30"/>
      <c r="F2450" s="30"/>
      <c r="G2450" s="30"/>
      <c r="H2450" s="47"/>
      <c r="I2450" s="63"/>
      <c r="J2450" s="31"/>
      <c r="K2450" s="31"/>
      <c r="L2450" s="32"/>
      <c r="M2450" s="32"/>
      <c r="N2450" s="32"/>
    </row>
    <row r="2451" spans="2:14" x14ac:dyDescent="0.25">
      <c r="B2451" s="42"/>
      <c r="C2451" s="30"/>
      <c r="D2451" s="30"/>
      <c r="E2451" s="30"/>
      <c r="F2451" s="30"/>
      <c r="G2451" s="30"/>
      <c r="H2451" s="47"/>
      <c r="I2451" s="63"/>
      <c r="J2451" s="31"/>
      <c r="K2451" s="31"/>
      <c r="L2451" s="32"/>
      <c r="M2451" s="32"/>
      <c r="N2451" s="32"/>
    </row>
    <row r="2452" spans="2:14" x14ac:dyDescent="0.25">
      <c r="B2452" s="42"/>
      <c r="C2452" s="30"/>
      <c r="D2452" s="30"/>
      <c r="E2452" s="30"/>
      <c r="F2452" s="30"/>
      <c r="G2452" s="30"/>
      <c r="H2452" s="47"/>
      <c r="I2452" s="63"/>
      <c r="J2452" s="31"/>
      <c r="K2452" s="31"/>
      <c r="L2452" s="32"/>
      <c r="M2452" s="32"/>
      <c r="N2452" s="32"/>
    </row>
    <row r="2453" spans="2:14" x14ac:dyDescent="0.25">
      <c r="B2453" s="42"/>
      <c r="C2453" s="30"/>
      <c r="D2453" s="30"/>
      <c r="E2453" s="30"/>
      <c r="F2453" s="30"/>
      <c r="G2453" s="30"/>
      <c r="H2453" s="47"/>
      <c r="I2453" s="63"/>
      <c r="J2453" s="31"/>
      <c r="K2453" s="31"/>
      <c r="L2453" s="32"/>
      <c r="M2453" s="32"/>
      <c r="N2453" s="32"/>
    </row>
    <row r="2454" spans="2:14" x14ac:dyDescent="0.25">
      <c r="B2454" s="42"/>
      <c r="C2454" s="30"/>
      <c r="D2454" s="30"/>
      <c r="E2454" s="30"/>
      <c r="F2454" s="30"/>
      <c r="G2454" s="30"/>
      <c r="H2454" s="47"/>
      <c r="I2454" s="63"/>
      <c r="J2454" s="31"/>
      <c r="K2454" s="31"/>
      <c r="L2454" s="32"/>
      <c r="M2454" s="32"/>
      <c r="N2454" s="32"/>
    </row>
    <row r="2455" spans="2:14" x14ac:dyDescent="0.25">
      <c r="B2455" s="42"/>
      <c r="C2455" s="30"/>
      <c r="D2455" s="30"/>
      <c r="E2455" s="30"/>
      <c r="F2455" s="30"/>
      <c r="G2455" s="30"/>
      <c r="H2455" s="47"/>
      <c r="I2455" s="63"/>
      <c r="J2455" s="31"/>
      <c r="K2455" s="31"/>
      <c r="L2455" s="32"/>
      <c r="M2455" s="32"/>
      <c r="N2455" s="32"/>
    </row>
    <row r="2456" spans="2:14" x14ac:dyDescent="0.25">
      <c r="B2456" s="42"/>
      <c r="C2456" s="30"/>
      <c r="D2456" s="30"/>
      <c r="E2456" s="30"/>
      <c r="F2456" s="30"/>
      <c r="G2456" s="30"/>
      <c r="H2456" s="47"/>
      <c r="I2456" s="63"/>
      <c r="J2456" s="31"/>
      <c r="K2456" s="31"/>
      <c r="L2456" s="32"/>
      <c r="M2456" s="32"/>
      <c r="N2456" s="32"/>
    </row>
    <row r="2457" spans="2:14" x14ac:dyDescent="0.25">
      <c r="B2457" s="42"/>
      <c r="C2457" s="30"/>
      <c r="D2457" s="30"/>
      <c r="E2457" s="30"/>
      <c r="F2457" s="30"/>
      <c r="G2457" s="30"/>
      <c r="H2457" s="47"/>
      <c r="I2457" s="63"/>
      <c r="J2457" s="31"/>
      <c r="K2457" s="31"/>
      <c r="L2457" s="32"/>
      <c r="M2457" s="32"/>
      <c r="N2457" s="32"/>
    </row>
    <row r="2458" spans="2:14" x14ac:dyDescent="0.25">
      <c r="B2458" s="42"/>
      <c r="C2458" s="30"/>
      <c r="D2458" s="30"/>
      <c r="E2458" s="30"/>
      <c r="F2458" s="30"/>
      <c r="G2458" s="30"/>
      <c r="H2458" s="47"/>
      <c r="I2458" s="63"/>
      <c r="J2458" s="31"/>
      <c r="K2458" s="31"/>
      <c r="L2458" s="32"/>
      <c r="M2458" s="32"/>
      <c r="N2458" s="32"/>
    </row>
    <row r="2459" spans="2:14" x14ac:dyDescent="0.25">
      <c r="B2459" s="42"/>
      <c r="C2459" s="30"/>
      <c r="D2459" s="30"/>
      <c r="E2459" s="30"/>
      <c r="F2459" s="30"/>
      <c r="G2459" s="30"/>
      <c r="H2459" s="47"/>
      <c r="I2459" s="63"/>
      <c r="J2459" s="31"/>
      <c r="K2459" s="31"/>
      <c r="L2459" s="32"/>
      <c r="M2459" s="32"/>
      <c r="N2459" s="32"/>
    </row>
    <row r="2460" spans="2:14" x14ac:dyDescent="0.25">
      <c r="B2460" s="42"/>
      <c r="C2460" s="30"/>
      <c r="D2460" s="30"/>
      <c r="E2460" s="30"/>
      <c r="F2460" s="30"/>
      <c r="G2460" s="30"/>
      <c r="H2460" s="47"/>
      <c r="I2460" s="63"/>
      <c r="J2460" s="31"/>
      <c r="K2460" s="31"/>
      <c r="L2460" s="32"/>
      <c r="M2460" s="32"/>
      <c r="N2460" s="32"/>
    </row>
    <row r="2461" spans="2:14" x14ac:dyDescent="0.25">
      <c r="B2461" s="42"/>
      <c r="C2461" s="30"/>
      <c r="D2461" s="30"/>
      <c r="E2461" s="30"/>
      <c r="F2461" s="30"/>
      <c r="G2461" s="30"/>
      <c r="H2461" s="47"/>
      <c r="I2461" s="63"/>
      <c r="J2461" s="31"/>
      <c r="K2461" s="31"/>
      <c r="L2461" s="32"/>
      <c r="M2461" s="32"/>
      <c r="N2461" s="32"/>
    </row>
    <row r="2462" spans="2:14" x14ac:dyDescent="0.25">
      <c r="B2462" s="42"/>
      <c r="C2462" s="30"/>
      <c r="D2462" s="30"/>
      <c r="E2462" s="30"/>
      <c r="F2462" s="30"/>
      <c r="G2462" s="30"/>
      <c r="H2462" s="47"/>
      <c r="I2462" s="63"/>
      <c r="J2462" s="31"/>
      <c r="K2462" s="31"/>
      <c r="L2462" s="32"/>
      <c r="M2462" s="32"/>
      <c r="N2462" s="32"/>
    </row>
    <row r="2463" spans="2:14" x14ac:dyDescent="0.25">
      <c r="B2463" s="42"/>
      <c r="C2463" s="30"/>
      <c r="D2463" s="30"/>
      <c r="E2463" s="30"/>
      <c r="F2463" s="30"/>
      <c r="G2463" s="30"/>
      <c r="H2463" s="47"/>
      <c r="I2463" s="63"/>
      <c r="J2463" s="31"/>
      <c r="K2463" s="31"/>
      <c r="L2463" s="32"/>
      <c r="M2463" s="32"/>
      <c r="N2463" s="32"/>
    </row>
    <row r="2464" spans="2:14" x14ac:dyDescent="0.25">
      <c r="B2464" s="42"/>
      <c r="C2464" s="30"/>
      <c r="D2464" s="30"/>
      <c r="E2464" s="30"/>
      <c r="F2464" s="30"/>
      <c r="G2464" s="30"/>
      <c r="H2464" s="47"/>
      <c r="I2464" s="63"/>
      <c r="J2464" s="31"/>
      <c r="K2464" s="31"/>
      <c r="L2464" s="32"/>
      <c r="M2464" s="32"/>
      <c r="N2464" s="32"/>
    </row>
    <row r="2465" spans="2:14" x14ac:dyDescent="0.25">
      <c r="B2465" s="42"/>
      <c r="C2465" s="30"/>
      <c r="D2465" s="30"/>
      <c r="E2465" s="30"/>
      <c r="F2465" s="30"/>
      <c r="G2465" s="30"/>
      <c r="H2465" s="47"/>
      <c r="I2465" s="63"/>
      <c r="J2465" s="31"/>
      <c r="K2465" s="31"/>
      <c r="L2465" s="32"/>
      <c r="M2465" s="32"/>
      <c r="N2465" s="32"/>
    </row>
    <row r="2466" spans="2:14" x14ac:dyDescent="0.25">
      <c r="B2466" s="42"/>
      <c r="C2466" s="30"/>
      <c r="D2466" s="30"/>
      <c r="E2466" s="30"/>
      <c r="F2466" s="30"/>
      <c r="G2466" s="30"/>
      <c r="H2466" s="47"/>
      <c r="I2466" s="63"/>
      <c r="J2466" s="31"/>
      <c r="K2466" s="31"/>
      <c r="L2466" s="32"/>
      <c r="M2466" s="32"/>
      <c r="N2466" s="32"/>
    </row>
    <row r="2467" spans="2:14" x14ac:dyDescent="0.25">
      <c r="B2467" s="42"/>
      <c r="C2467" s="30"/>
      <c r="D2467" s="30"/>
      <c r="E2467" s="30"/>
      <c r="F2467" s="30"/>
      <c r="G2467" s="30"/>
      <c r="H2467" s="47"/>
      <c r="I2467" s="63"/>
      <c r="J2467" s="31"/>
      <c r="K2467" s="31"/>
      <c r="L2467" s="32"/>
      <c r="M2467" s="32"/>
      <c r="N2467" s="32"/>
    </row>
    <row r="2468" spans="2:14" x14ac:dyDescent="0.25">
      <c r="B2468" s="42"/>
      <c r="C2468" s="30"/>
      <c r="D2468" s="30"/>
      <c r="E2468" s="30"/>
      <c r="F2468" s="30"/>
      <c r="G2468" s="30"/>
      <c r="H2468" s="47"/>
      <c r="I2468" s="63"/>
      <c r="J2468" s="31"/>
      <c r="K2468" s="31"/>
      <c r="L2468" s="32"/>
      <c r="M2468" s="32"/>
      <c r="N2468" s="32"/>
    </row>
    <row r="2469" spans="2:14" x14ac:dyDescent="0.25">
      <c r="B2469" s="42"/>
      <c r="C2469" s="30"/>
      <c r="D2469" s="30"/>
      <c r="E2469" s="30"/>
      <c r="F2469" s="30"/>
      <c r="G2469" s="30"/>
      <c r="H2469" s="47"/>
      <c r="I2469" s="63"/>
      <c r="J2469" s="31"/>
      <c r="K2469" s="31"/>
      <c r="L2469" s="32"/>
      <c r="M2469" s="32"/>
      <c r="N2469" s="32"/>
    </row>
    <row r="2470" spans="2:14" x14ac:dyDescent="0.25">
      <c r="B2470" s="42"/>
      <c r="C2470" s="30"/>
      <c r="D2470" s="30"/>
      <c r="E2470" s="30"/>
      <c r="F2470" s="30"/>
      <c r="G2470" s="30"/>
      <c r="H2470" s="47"/>
      <c r="I2470" s="63"/>
      <c r="J2470" s="31"/>
      <c r="K2470" s="31"/>
      <c r="L2470" s="32"/>
      <c r="M2470" s="32"/>
      <c r="N2470" s="32"/>
    </row>
    <row r="2471" spans="2:14" x14ac:dyDescent="0.25">
      <c r="B2471" s="42"/>
      <c r="C2471" s="30"/>
      <c r="D2471" s="30"/>
      <c r="E2471" s="30"/>
      <c r="F2471" s="30"/>
      <c r="G2471" s="30"/>
      <c r="H2471" s="47"/>
      <c r="I2471" s="63"/>
      <c r="J2471" s="31"/>
      <c r="K2471" s="31"/>
      <c r="L2471" s="32"/>
      <c r="M2471" s="32"/>
      <c r="N2471" s="32"/>
    </row>
    <row r="2472" spans="2:14" x14ac:dyDescent="0.25">
      <c r="B2472" s="42"/>
      <c r="C2472" s="30"/>
      <c r="D2472" s="30"/>
      <c r="E2472" s="30"/>
      <c r="F2472" s="30"/>
      <c r="G2472" s="30"/>
      <c r="H2472" s="47"/>
      <c r="I2472" s="63"/>
      <c r="J2472" s="31"/>
      <c r="K2472" s="31"/>
      <c r="L2472" s="32"/>
      <c r="M2472" s="32"/>
      <c r="N2472" s="32"/>
    </row>
    <row r="2473" spans="2:14" x14ac:dyDescent="0.25">
      <c r="B2473" s="42"/>
      <c r="C2473" s="30"/>
      <c r="D2473" s="30"/>
      <c r="E2473" s="30"/>
      <c r="F2473" s="30"/>
      <c r="G2473" s="30"/>
      <c r="H2473" s="47"/>
      <c r="I2473" s="63"/>
      <c r="J2473" s="31"/>
      <c r="K2473" s="31"/>
      <c r="L2473" s="32"/>
      <c r="M2473" s="32"/>
      <c r="N2473" s="32"/>
    </row>
    <row r="2474" spans="2:14" x14ac:dyDescent="0.25">
      <c r="B2474" s="42"/>
      <c r="C2474" s="30"/>
      <c r="D2474" s="30"/>
      <c r="E2474" s="30"/>
      <c r="F2474" s="30"/>
      <c r="G2474" s="30"/>
      <c r="H2474" s="47"/>
      <c r="I2474" s="63"/>
      <c r="J2474" s="31"/>
      <c r="K2474" s="31"/>
      <c r="L2474" s="32"/>
      <c r="M2474" s="32"/>
      <c r="N2474" s="32"/>
    </row>
    <row r="2475" spans="2:14" x14ac:dyDescent="0.25">
      <c r="B2475" s="42"/>
      <c r="C2475" s="30"/>
      <c r="D2475" s="30"/>
      <c r="E2475" s="30"/>
      <c r="F2475" s="30"/>
      <c r="G2475" s="30"/>
      <c r="H2475" s="47"/>
      <c r="I2475" s="63"/>
      <c r="J2475" s="31"/>
      <c r="K2475" s="31"/>
      <c r="L2475" s="32"/>
      <c r="M2475" s="32"/>
      <c r="N2475" s="32"/>
    </row>
    <row r="2476" spans="2:14" x14ac:dyDescent="0.25">
      <c r="B2476" s="42"/>
      <c r="C2476" s="30"/>
      <c r="D2476" s="30"/>
      <c r="E2476" s="30"/>
      <c r="F2476" s="30"/>
      <c r="G2476" s="30"/>
      <c r="H2476" s="47"/>
      <c r="I2476" s="63"/>
      <c r="J2476" s="31"/>
      <c r="K2476" s="31"/>
      <c r="L2476" s="32"/>
      <c r="M2476" s="32"/>
      <c r="N2476" s="32"/>
    </row>
    <row r="2477" spans="2:14" x14ac:dyDescent="0.25">
      <c r="B2477" s="42"/>
      <c r="C2477" s="30"/>
      <c r="D2477" s="30"/>
      <c r="E2477" s="30"/>
      <c r="F2477" s="30"/>
      <c r="G2477" s="30"/>
      <c r="H2477" s="47"/>
      <c r="I2477" s="63"/>
      <c r="J2477" s="31"/>
      <c r="K2477" s="31"/>
      <c r="L2477" s="32"/>
      <c r="M2477" s="32"/>
      <c r="N2477" s="32"/>
    </row>
    <row r="2478" spans="2:14" x14ac:dyDescent="0.25">
      <c r="B2478" s="42"/>
      <c r="C2478" s="30"/>
      <c r="D2478" s="30"/>
      <c r="E2478" s="30"/>
      <c r="F2478" s="30"/>
      <c r="G2478" s="30"/>
      <c r="H2478" s="47"/>
      <c r="I2478" s="63"/>
      <c r="J2478" s="31"/>
      <c r="K2478" s="31"/>
      <c r="L2478" s="32"/>
      <c r="M2478" s="32"/>
      <c r="N2478" s="32"/>
    </row>
    <row r="2479" spans="2:14" x14ac:dyDescent="0.25">
      <c r="B2479" s="42"/>
      <c r="C2479" s="30"/>
      <c r="D2479" s="30"/>
      <c r="E2479" s="30"/>
      <c r="F2479" s="30"/>
      <c r="G2479" s="30"/>
      <c r="H2479" s="47"/>
      <c r="I2479" s="63"/>
      <c r="J2479" s="31"/>
      <c r="K2479" s="31"/>
      <c r="L2479" s="32"/>
      <c r="M2479" s="32"/>
      <c r="N2479" s="32"/>
    </row>
    <row r="2480" spans="2:14" x14ac:dyDescent="0.25">
      <c r="B2480" s="42"/>
      <c r="C2480" s="30"/>
      <c r="D2480" s="30"/>
      <c r="E2480" s="30"/>
      <c r="F2480" s="30"/>
      <c r="G2480" s="30"/>
      <c r="H2480" s="47"/>
      <c r="I2480" s="63"/>
      <c r="J2480" s="31"/>
      <c r="K2480" s="31"/>
      <c r="L2480" s="32"/>
      <c r="M2480" s="32"/>
      <c r="N2480" s="32"/>
    </row>
    <row r="2481" spans="2:14" x14ac:dyDescent="0.25">
      <c r="B2481" s="42"/>
      <c r="C2481" s="30"/>
      <c r="D2481" s="30"/>
      <c r="E2481" s="30"/>
      <c r="F2481" s="30"/>
      <c r="G2481" s="30"/>
      <c r="H2481" s="47"/>
      <c r="I2481" s="63"/>
      <c r="J2481" s="31"/>
      <c r="K2481" s="31"/>
      <c r="L2481" s="32"/>
      <c r="M2481" s="32"/>
      <c r="N2481" s="32"/>
    </row>
    <row r="2482" spans="2:14" x14ac:dyDescent="0.25">
      <c r="B2482" s="42"/>
      <c r="C2482" s="30"/>
      <c r="D2482" s="30"/>
      <c r="E2482" s="30"/>
      <c r="F2482" s="30"/>
      <c r="G2482" s="30"/>
      <c r="H2482" s="47"/>
      <c r="I2482" s="63"/>
      <c r="J2482" s="31"/>
      <c r="K2482" s="31"/>
      <c r="L2482" s="32"/>
      <c r="M2482" s="32"/>
      <c r="N2482" s="32"/>
    </row>
    <row r="2483" spans="2:14" x14ac:dyDescent="0.25">
      <c r="B2483" s="42"/>
      <c r="C2483" s="30"/>
      <c r="D2483" s="30"/>
      <c r="E2483" s="30"/>
      <c r="F2483" s="30"/>
      <c r="G2483" s="30"/>
      <c r="H2483" s="47"/>
      <c r="I2483" s="63"/>
      <c r="J2483" s="31"/>
      <c r="K2483" s="31"/>
      <c r="L2483" s="32"/>
      <c r="M2483" s="32"/>
      <c r="N2483" s="32"/>
    </row>
    <row r="2484" spans="2:14" x14ac:dyDescent="0.25">
      <c r="B2484" s="42"/>
      <c r="C2484" s="30"/>
      <c r="D2484" s="30"/>
      <c r="E2484" s="30"/>
      <c r="F2484" s="30"/>
      <c r="G2484" s="30"/>
      <c r="H2484" s="47"/>
      <c r="I2484" s="63"/>
      <c r="J2484" s="31"/>
      <c r="K2484" s="31"/>
      <c r="L2484" s="32"/>
      <c r="M2484" s="32"/>
      <c r="N2484" s="32"/>
    </row>
    <row r="2485" spans="2:14" x14ac:dyDescent="0.25">
      <c r="B2485" s="42"/>
      <c r="C2485" s="30"/>
      <c r="D2485" s="30"/>
      <c r="E2485" s="30"/>
      <c r="F2485" s="30"/>
      <c r="G2485" s="30"/>
      <c r="H2485" s="47"/>
      <c r="I2485" s="63"/>
      <c r="J2485" s="31"/>
      <c r="K2485" s="31"/>
      <c r="L2485" s="32"/>
      <c r="M2485" s="32"/>
      <c r="N2485" s="32"/>
    </row>
    <row r="2486" spans="2:14" x14ac:dyDescent="0.25">
      <c r="B2486" s="42"/>
      <c r="C2486" s="30"/>
      <c r="D2486" s="30"/>
      <c r="E2486" s="30"/>
      <c r="F2486" s="30"/>
      <c r="G2486" s="30"/>
      <c r="H2486" s="47"/>
      <c r="I2486" s="63"/>
      <c r="J2486" s="31"/>
      <c r="K2486" s="31"/>
      <c r="L2486" s="32"/>
      <c r="M2486" s="32"/>
      <c r="N2486" s="32"/>
    </row>
    <row r="2487" spans="2:14" x14ac:dyDescent="0.25">
      <c r="B2487" s="42"/>
      <c r="C2487" s="30"/>
      <c r="D2487" s="30"/>
      <c r="E2487" s="30"/>
      <c r="F2487" s="30"/>
      <c r="G2487" s="30"/>
      <c r="H2487" s="47"/>
      <c r="I2487" s="63"/>
      <c r="J2487" s="31"/>
      <c r="K2487" s="31"/>
      <c r="L2487" s="32"/>
      <c r="M2487" s="32"/>
      <c r="N2487" s="32"/>
    </row>
    <row r="2488" spans="2:14" x14ac:dyDescent="0.25">
      <c r="B2488" s="42"/>
      <c r="C2488" s="30"/>
      <c r="D2488" s="30"/>
      <c r="E2488" s="30"/>
      <c r="F2488" s="30"/>
      <c r="G2488" s="30"/>
      <c r="H2488" s="47"/>
      <c r="I2488" s="63"/>
      <c r="J2488" s="31"/>
      <c r="K2488" s="31"/>
      <c r="L2488" s="32"/>
      <c r="M2488" s="32"/>
      <c r="N2488" s="32"/>
    </row>
    <row r="2489" spans="2:14" x14ac:dyDescent="0.25">
      <c r="B2489" s="42"/>
      <c r="C2489" s="30"/>
      <c r="D2489" s="30"/>
      <c r="E2489" s="30"/>
      <c r="F2489" s="30"/>
      <c r="G2489" s="30"/>
      <c r="H2489" s="47"/>
      <c r="I2489" s="63"/>
      <c r="J2489" s="31"/>
      <c r="K2489" s="31"/>
      <c r="L2489" s="32"/>
      <c r="M2489" s="32"/>
      <c r="N2489" s="32"/>
    </row>
    <row r="2490" spans="2:14" x14ac:dyDescent="0.25">
      <c r="B2490" s="42"/>
      <c r="C2490" s="30"/>
      <c r="D2490" s="30"/>
      <c r="E2490" s="30"/>
      <c r="F2490" s="30"/>
      <c r="G2490" s="30"/>
      <c r="H2490" s="47"/>
      <c r="I2490" s="63"/>
      <c r="J2490" s="31"/>
      <c r="K2490" s="31"/>
      <c r="L2490" s="32"/>
      <c r="M2490" s="32"/>
      <c r="N2490" s="32"/>
    </row>
    <row r="2491" spans="2:14" x14ac:dyDescent="0.25">
      <c r="B2491" s="42"/>
      <c r="C2491" s="30"/>
      <c r="D2491" s="30"/>
      <c r="E2491" s="30"/>
      <c r="F2491" s="30"/>
      <c r="G2491" s="30"/>
      <c r="H2491" s="47"/>
      <c r="I2491" s="63"/>
      <c r="J2491" s="31"/>
      <c r="K2491" s="31"/>
      <c r="L2491" s="32"/>
      <c r="M2491" s="32"/>
      <c r="N2491" s="32"/>
    </row>
    <row r="2492" spans="2:14" x14ac:dyDescent="0.25">
      <c r="B2492" s="42"/>
      <c r="C2492" s="30"/>
      <c r="D2492" s="30"/>
      <c r="E2492" s="30"/>
      <c r="F2492" s="30"/>
      <c r="G2492" s="30"/>
      <c r="H2492" s="47"/>
      <c r="I2492" s="63"/>
      <c r="J2492" s="31"/>
      <c r="K2492" s="31"/>
      <c r="L2492" s="32"/>
      <c r="M2492" s="32"/>
      <c r="N2492" s="32"/>
    </row>
    <row r="2493" spans="2:14" x14ac:dyDescent="0.25">
      <c r="B2493" s="42"/>
      <c r="C2493" s="30"/>
      <c r="D2493" s="30"/>
      <c r="E2493" s="30"/>
      <c r="F2493" s="30"/>
      <c r="G2493" s="30"/>
      <c r="H2493" s="47"/>
      <c r="I2493" s="63"/>
      <c r="J2493" s="31"/>
      <c r="K2493" s="31"/>
      <c r="L2493" s="32"/>
      <c r="M2493" s="32"/>
      <c r="N2493" s="32"/>
    </row>
    <row r="2494" spans="2:14" x14ac:dyDescent="0.25">
      <c r="B2494" s="42"/>
      <c r="C2494" s="30"/>
      <c r="D2494" s="30"/>
      <c r="E2494" s="30"/>
      <c r="F2494" s="30"/>
      <c r="G2494" s="30"/>
      <c r="H2494" s="47"/>
      <c r="I2494" s="63"/>
      <c r="J2494" s="31"/>
      <c r="K2494" s="31"/>
      <c r="L2494" s="32"/>
      <c r="M2494" s="32"/>
      <c r="N2494" s="32"/>
    </row>
    <row r="2495" spans="2:14" x14ac:dyDescent="0.25">
      <c r="B2495" s="42"/>
      <c r="C2495" s="30"/>
      <c r="D2495" s="30"/>
      <c r="E2495" s="30"/>
      <c r="F2495" s="30"/>
      <c r="G2495" s="30"/>
      <c r="H2495" s="47"/>
      <c r="I2495" s="63"/>
      <c r="J2495" s="31"/>
      <c r="K2495" s="31"/>
      <c r="L2495" s="32"/>
      <c r="M2495" s="32"/>
      <c r="N2495" s="32"/>
    </row>
    <row r="2496" spans="2:14" x14ac:dyDescent="0.25">
      <c r="B2496" s="42"/>
      <c r="C2496" s="30"/>
      <c r="D2496" s="30"/>
      <c r="E2496" s="30"/>
      <c r="F2496" s="30"/>
      <c r="G2496" s="30"/>
      <c r="H2496" s="47"/>
      <c r="I2496" s="63"/>
      <c r="J2496" s="31"/>
      <c r="K2496" s="31"/>
      <c r="L2496" s="32"/>
      <c r="M2496" s="32"/>
      <c r="N2496" s="32"/>
    </row>
    <row r="2497" spans="2:14" x14ac:dyDescent="0.25">
      <c r="B2497" s="42"/>
      <c r="C2497" s="30"/>
      <c r="D2497" s="30"/>
      <c r="E2497" s="30"/>
      <c r="F2497" s="30"/>
      <c r="G2497" s="30"/>
      <c r="H2497" s="47"/>
      <c r="I2497" s="63"/>
      <c r="J2497" s="31"/>
      <c r="K2497" s="31"/>
      <c r="L2497" s="32"/>
      <c r="M2497" s="32"/>
      <c r="N2497" s="32"/>
    </row>
    <row r="2498" spans="2:14" x14ac:dyDescent="0.25">
      <c r="B2498" s="42"/>
      <c r="C2498" s="30"/>
      <c r="D2498" s="30"/>
      <c r="E2498" s="30"/>
      <c r="F2498" s="30"/>
      <c r="G2498" s="30"/>
      <c r="H2498" s="47"/>
      <c r="I2498" s="63"/>
      <c r="J2498" s="31"/>
      <c r="K2498" s="31"/>
      <c r="L2498" s="32"/>
      <c r="M2498" s="32"/>
      <c r="N2498" s="32"/>
    </row>
    <row r="2499" spans="2:14" x14ac:dyDescent="0.25">
      <c r="B2499" s="42"/>
      <c r="C2499" s="30"/>
      <c r="D2499" s="30"/>
      <c r="E2499" s="30"/>
      <c r="F2499" s="30"/>
      <c r="G2499" s="30"/>
      <c r="H2499" s="47"/>
      <c r="I2499" s="63"/>
      <c r="J2499" s="31"/>
      <c r="K2499" s="31"/>
      <c r="L2499" s="32"/>
      <c r="M2499" s="32"/>
      <c r="N2499" s="32"/>
    </row>
    <row r="2500" spans="2:14" x14ac:dyDescent="0.25">
      <c r="B2500" s="42"/>
      <c r="C2500" s="30"/>
      <c r="D2500" s="30"/>
      <c r="E2500" s="30"/>
      <c r="F2500" s="30"/>
      <c r="G2500" s="30"/>
      <c r="H2500" s="47"/>
      <c r="I2500" s="63"/>
      <c r="J2500" s="31"/>
      <c r="K2500" s="31"/>
      <c r="L2500" s="32"/>
      <c r="M2500" s="32"/>
      <c r="N2500" s="32"/>
    </row>
    <row r="2501" spans="2:14" x14ac:dyDescent="0.25">
      <c r="B2501" s="42"/>
      <c r="C2501" s="30"/>
      <c r="D2501" s="30"/>
      <c r="E2501" s="30"/>
      <c r="F2501" s="30"/>
      <c r="G2501" s="30"/>
      <c r="H2501" s="47"/>
      <c r="I2501" s="63"/>
      <c r="J2501" s="31"/>
      <c r="K2501" s="31"/>
      <c r="L2501" s="32"/>
      <c r="M2501" s="32"/>
      <c r="N2501" s="32"/>
    </row>
    <row r="2502" spans="2:14" x14ac:dyDescent="0.25">
      <c r="B2502" s="42"/>
      <c r="C2502" s="30"/>
      <c r="D2502" s="30"/>
      <c r="E2502" s="30"/>
      <c r="F2502" s="30"/>
      <c r="G2502" s="30"/>
      <c r="H2502" s="47"/>
      <c r="I2502" s="63"/>
      <c r="J2502" s="31"/>
      <c r="K2502" s="31"/>
      <c r="L2502" s="32"/>
      <c r="M2502" s="32"/>
      <c r="N2502" s="32"/>
    </row>
    <row r="2503" spans="2:14" x14ac:dyDescent="0.25">
      <c r="B2503" s="42"/>
      <c r="C2503" s="30"/>
      <c r="D2503" s="30"/>
      <c r="E2503" s="30"/>
      <c r="F2503" s="30"/>
      <c r="G2503" s="30"/>
      <c r="H2503" s="47"/>
      <c r="I2503" s="63"/>
      <c r="J2503" s="31"/>
      <c r="K2503" s="31"/>
      <c r="L2503" s="32"/>
      <c r="M2503" s="32"/>
      <c r="N2503" s="32"/>
    </row>
    <row r="2504" spans="2:14" x14ac:dyDescent="0.25">
      <c r="B2504" s="42"/>
      <c r="C2504" s="30"/>
      <c r="D2504" s="30"/>
      <c r="E2504" s="30"/>
      <c r="F2504" s="30"/>
      <c r="G2504" s="30"/>
      <c r="H2504" s="47"/>
      <c r="I2504" s="63"/>
      <c r="J2504" s="31"/>
      <c r="K2504" s="31"/>
      <c r="L2504" s="32"/>
      <c r="M2504" s="32"/>
      <c r="N2504" s="32"/>
    </row>
    <row r="2505" spans="2:14" x14ac:dyDescent="0.25">
      <c r="B2505" s="42"/>
      <c r="C2505" s="30"/>
      <c r="D2505" s="30"/>
      <c r="E2505" s="30"/>
      <c r="F2505" s="30"/>
      <c r="G2505" s="30"/>
      <c r="H2505" s="47"/>
      <c r="I2505" s="63"/>
      <c r="J2505" s="31"/>
      <c r="K2505" s="31"/>
      <c r="L2505" s="32"/>
      <c r="M2505" s="32"/>
      <c r="N2505" s="32"/>
    </row>
    <row r="2506" spans="2:14" x14ac:dyDescent="0.25">
      <c r="B2506" s="42"/>
      <c r="C2506" s="30"/>
      <c r="D2506" s="30"/>
      <c r="E2506" s="30"/>
      <c r="F2506" s="30"/>
      <c r="G2506" s="30"/>
      <c r="H2506" s="47"/>
      <c r="I2506" s="63"/>
      <c r="J2506" s="31"/>
      <c r="K2506" s="31"/>
      <c r="L2506" s="32"/>
      <c r="M2506" s="32"/>
      <c r="N2506" s="32"/>
    </row>
    <row r="2507" spans="2:14" x14ac:dyDescent="0.25">
      <c r="B2507" s="42"/>
      <c r="C2507" s="30"/>
      <c r="D2507" s="30"/>
      <c r="E2507" s="30"/>
      <c r="F2507" s="30"/>
      <c r="G2507" s="30"/>
      <c r="H2507" s="47"/>
      <c r="I2507" s="63"/>
      <c r="J2507" s="31"/>
      <c r="K2507" s="31"/>
      <c r="L2507" s="32"/>
      <c r="M2507" s="32"/>
      <c r="N2507" s="32"/>
    </row>
    <row r="2508" spans="2:14" x14ac:dyDescent="0.25">
      <c r="B2508" s="42"/>
      <c r="C2508" s="30"/>
      <c r="D2508" s="30"/>
      <c r="E2508" s="30"/>
      <c r="F2508" s="30"/>
      <c r="G2508" s="30"/>
      <c r="H2508" s="47"/>
      <c r="I2508" s="63"/>
      <c r="J2508" s="31"/>
      <c r="K2508" s="31"/>
      <c r="L2508" s="32"/>
      <c r="M2508" s="32"/>
      <c r="N2508" s="32"/>
    </row>
    <row r="2509" spans="2:14" x14ac:dyDescent="0.25">
      <c r="B2509" s="42"/>
      <c r="C2509" s="30"/>
      <c r="D2509" s="30"/>
      <c r="E2509" s="30"/>
      <c r="F2509" s="30"/>
      <c r="G2509" s="30"/>
      <c r="H2509" s="47"/>
      <c r="I2509" s="63"/>
      <c r="J2509" s="31"/>
      <c r="K2509" s="31"/>
      <c r="L2509" s="32"/>
      <c r="M2509" s="32"/>
      <c r="N2509" s="32"/>
    </row>
    <row r="2510" spans="2:14" x14ac:dyDescent="0.25">
      <c r="B2510" s="42"/>
      <c r="C2510" s="30"/>
      <c r="D2510" s="30"/>
      <c r="E2510" s="30"/>
      <c r="F2510" s="30"/>
      <c r="G2510" s="30"/>
      <c r="H2510" s="47"/>
      <c r="I2510" s="63"/>
      <c r="J2510" s="31"/>
      <c r="K2510" s="31"/>
      <c r="L2510" s="32"/>
      <c r="M2510" s="32"/>
      <c r="N2510" s="32"/>
    </row>
    <row r="2511" spans="2:14" x14ac:dyDescent="0.25">
      <c r="B2511" s="42"/>
      <c r="C2511" s="30"/>
      <c r="D2511" s="30"/>
      <c r="E2511" s="30"/>
      <c r="F2511" s="30"/>
      <c r="G2511" s="30"/>
      <c r="H2511" s="47"/>
      <c r="I2511" s="63"/>
      <c r="J2511" s="31"/>
      <c r="K2511" s="31"/>
      <c r="L2511" s="32"/>
      <c r="M2511" s="32"/>
      <c r="N2511" s="32"/>
    </row>
    <row r="2512" spans="2:14" x14ac:dyDescent="0.25">
      <c r="B2512" s="42"/>
      <c r="C2512" s="30"/>
      <c r="D2512" s="30"/>
      <c r="E2512" s="30"/>
      <c r="F2512" s="30"/>
      <c r="G2512" s="30"/>
      <c r="H2512" s="47"/>
      <c r="I2512" s="63"/>
      <c r="J2512" s="31"/>
      <c r="K2512" s="31"/>
      <c r="L2512" s="32"/>
      <c r="M2512" s="32"/>
      <c r="N2512" s="32"/>
    </row>
    <row r="2513" spans="2:14" x14ac:dyDescent="0.25">
      <c r="B2513" s="42"/>
      <c r="C2513" s="30"/>
      <c r="D2513" s="30"/>
      <c r="E2513" s="30"/>
      <c r="F2513" s="30"/>
      <c r="G2513" s="30"/>
      <c r="H2513" s="47"/>
      <c r="I2513" s="63"/>
      <c r="J2513" s="31"/>
      <c r="K2513" s="31"/>
      <c r="L2513" s="32"/>
      <c r="M2513" s="32"/>
      <c r="N2513" s="32"/>
    </row>
    <row r="2514" spans="2:14" x14ac:dyDescent="0.25">
      <c r="B2514" s="42"/>
      <c r="C2514" s="30"/>
      <c r="D2514" s="30"/>
      <c r="E2514" s="30"/>
      <c r="F2514" s="30"/>
      <c r="G2514" s="30"/>
      <c r="H2514" s="47"/>
      <c r="I2514" s="63"/>
      <c r="J2514" s="31"/>
      <c r="K2514" s="31"/>
      <c r="L2514" s="32"/>
      <c r="M2514" s="32"/>
      <c r="N2514" s="32"/>
    </row>
    <row r="2515" spans="2:14" x14ac:dyDescent="0.25">
      <c r="B2515" s="42"/>
      <c r="C2515" s="30"/>
      <c r="D2515" s="30"/>
      <c r="E2515" s="30"/>
      <c r="F2515" s="30"/>
      <c r="G2515" s="30"/>
      <c r="H2515" s="47"/>
      <c r="I2515" s="63"/>
      <c r="J2515" s="31"/>
      <c r="K2515" s="31"/>
      <c r="L2515" s="32"/>
      <c r="M2515" s="32"/>
      <c r="N2515" s="32"/>
    </row>
    <row r="2516" spans="2:14" x14ac:dyDescent="0.25">
      <c r="B2516" s="42"/>
      <c r="C2516" s="30"/>
      <c r="D2516" s="30"/>
      <c r="E2516" s="30"/>
      <c r="F2516" s="30"/>
      <c r="G2516" s="30"/>
      <c r="H2516" s="47"/>
      <c r="I2516" s="63"/>
      <c r="J2516" s="31"/>
      <c r="K2516" s="31"/>
      <c r="L2516" s="32"/>
      <c r="M2516" s="32"/>
      <c r="N2516" s="32"/>
    </row>
    <row r="2517" spans="2:14" x14ac:dyDescent="0.25">
      <c r="B2517" s="42"/>
      <c r="C2517" s="30"/>
      <c r="D2517" s="30"/>
      <c r="E2517" s="30"/>
      <c r="F2517" s="30"/>
      <c r="G2517" s="30"/>
      <c r="H2517" s="47"/>
      <c r="I2517" s="63"/>
      <c r="J2517" s="31"/>
      <c r="K2517" s="31"/>
      <c r="L2517" s="32"/>
      <c r="M2517" s="32"/>
      <c r="N2517" s="32"/>
    </row>
    <row r="2518" spans="2:14" x14ac:dyDescent="0.25">
      <c r="B2518" s="42"/>
      <c r="C2518" s="30"/>
      <c r="D2518" s="30"/>
      <c r="E2518" s="30"/>
      <c r="F2518" s="30"/>
      <c r="G2518" s="30"/>
      <c r="H2518" s="47"/>
      <c r="I2518" s="63"/>
      <c r="J2518" s="31"/>
      <c r="K2518" s="31"/>
      <c r="L2518" s="32"/>
      <c r="M2518" s="32"/>
      <c r="N2518" s="32"/>
    </row>
    <row r="2519" spans="2:14" x14ac:dyDescent="0.25">
      <c r="B2519" s="42"/>
      <c r="C2519" s="30"/>
      <c r="D2519" s="30"/>
      <c r="E2519" s="30"/>
      <c r="F2519" s="30"/>
      <c r="G2519" s="30"/>
      <c r="H2519" s="47"/>
      <c r="I2519" s="63"/>
      <c r="J2519" s="31"/>
      <c r="K2519" s="31"/>
      <c r="L2519" s="32"/>
      <c r="M2519" s="32"/>
      <c r="N2519" s="32"/>
    </row>
    <row r="2520" spans="2:14" x14ac:dyDescent="0.25">
      <c r="B2520" s="42"/>
      <c r="C2520" s="30"/>
      <c r="D2520" s="30"/>
      <c r="E2520" s="30"/>
      <c r="F2520" s="30"/>
      <c r="G2520" s="30"/>
      <c r="H2520" s="47"/>
      <c r="I2520" s="63"/>
      <c r="J2520" s="31"/>
      <c r="K2520" s="31"/>
      <c r="L2520" s="32"/>
      <c r="M2520" s="32"/>
      <c r="N2520" s="32"/>
    </row>
    <row r="2521" spans="2:14" x14ac:dyDescent="0.25">
      <c r="B2521" s="42"/>
      <c r="C2521" s="30"/>
      <c r="D2521" s="30"/>
      <c r="E2521" s="30"/>
      <c r="F2521" s="30"/>
      <c r="G2521" s="30"/>
      <c r="H2521" s="47"/>
      <c r="I2521" s="63"/>
      <c r="J2521" s="31"/>
      <c r="K2521" s="31"/>
      <c r="L2521" s="32"/>
      <c r="M2521" s="32"/>
      <c r="N2521" s="32"/>
    </row>
    <row r="2522" spans="2:14" x14ac:dyDescent="0.25">
      <c r="B2522" s="42"/>
      <c r="C2522" s="30"/>
      <c r="D2522" s="30"/>
      <c r="E2522" s="30"/>
      <c r="F2522" s="30"/>
      <c r="G2522" s="30"/>
      <c r="H2522" s="47"/>
      <c r="I2522" s="63"/>
      <c r="J2522" s="31"/>
      <c r="K2522" s="31"/>
      <c r="L2522" s="32"/>
      <c r="M2522" s="32"/>
      <c r="N2522" s="32"/>
    </row>
    <row r="2523" spans="2:14" x14ac:dyDescent="0.25">
      <c r="B2523" s="42"/>
      <c r="C2523" s="30"/>
      <c r="D2523" s="30"/>
      <c r="E2523" s="30"/>
      <c r="F2523" s="30"/>
      <c r="G2523" s="30"/>
      <c r="H2523" s="47"/>
      <c r="I2523" s="63"/>
      <c r="J2523" s="31"/>
      <c r="K2523" s="31"/>
      <c r="L2523" s="32"/>
      <c r="M2523" s="32"/>
      <c r="N2523" s="32"/>
    </row>
    <row r="2524" spans="2:14" x14ac:dyDescent="0.25">
      <c r="B2524" s="42"/>
      <c r="C2524" s="30"/>
      <c r="D2524" s="30"/>
      <c r="E2524" s="30"/>
      <c r="F2524" s="30"/>
      <c r="G2524" s="30"/>
      <c r="H2524" s="47"/>
      <c r="I2524" s="63"/>
      <c r="J2524" s="31"/>
      <c r="K2524" s="31"/>
      <c r="L2524" s="32"/>
      <c r="M2524" s="32"/>
      <c r="N2524" s="32"/>
    </row>
    <row r="2525" spans="2:14" x14ac:dyDescent="0.25">
      <c r="B2525" s="42"/>
      <c r="C2525" s="30"/>
      <c r="D2525" s="30"/>
      <c r="E2525" s="30"/>
      <c r="F2525" s="30"/>
      <c r="G2525" s="30"/>
      <c r="H2525" s="47"/>
      <c r="I2525" s="63"/>
      <c r="J2525" s="31"/>
      <c r="K2525" s="31"/>
      <c r="L2525" s="32"/>
      <c r="M2525" s="32"/>
      <c r="N2525" s="32"/>
    </row>
    <row r="2526" spans="2:14" x14ac:dyDescent="0.25">
      <c r="B2526" s="42"/>
      <c r="C2526" s="30"/>
      <c r="D2526" s="30"/>
      <c r="E2526" s="30"/>
      <c r="F2526" s="30"/>
      <c r="G2526" s="30"/>
      <c r="H2526" s="47"/>
      <c r="I2526" s="63"/>
      <c r="J2526" s="31"/>
      <c r="K2526" s="31"/>
      <c r="L2526" s="32"/>
      <c r="M2526" s="32"/>
      <c r="N2526" s="32"/>
    </row>
    <row r="2527" spans="2:14" x14ac:dyDescent="0.25">
      <c r="B2527" s="42"/>
      <c r="C2527" s="30"/>
      <c r="D2527" s="30"/>
      <c r="E2527" s="30"/>
      <c r="F2527" s="30"/>
      <c r="G2527" s="30"/>
      <c r="H2527" s="47"/>
      <c r="I2527" s="63"/>
      <c r="J2527" s="31"/>
      <c r="K2527" s="31"/>
      <c r="L2527" s="32"/>
      <c r="M2527" s="32"/>
      <c r="N2527" s="32"/>
    </row>
    <row r="2528" spans="2:14" x14ac:dyDescent="0.25">
      <c r="B2528" s="42"/>
      <c r="C2528" s="30"/>
      <c r="D2528" s="30"/>
      <c r="E2528" s="30"/>
      <c r="F2528" s="30"/>
      <c r="G2528" s="30"/>
      <c r="H2528" s="47"/>
      <c r="I2528" s="63"/>
      <c r="J2528" s="31"/>
      <c r="K2528" s="31"/>
      <c r="L2528" s="32"/>
      <c r="M2528" s="32"/>
      <c r="N2528" s="32"/>
    </row>
    <row r="2529" spans="2:14" x14ac:dyDescent="0.25">
      <c r="B2529" s="42"/>
      <c r="C2529" s="30"/>
      <c r="D2529" s="30"/>
      <c r="E2529" s="30"/>
      <c r="F2529" s="30"/>
      <c r="G2529" s="30"/>
      <c r="H2529" s="47"/>
      <c r="I2529" s="63"/>
      <c r="J2529" s="31"/>
      <c r="K2529" s="31"/>
      <c r="L2529" s="32"/>
      <c r="M2529" s="32"/>
      <c r="N2529" s="32"/>
    </row>
    <row r="2530" spans="2:14" x14ac:dyDescent="0.25">
      <c r="B2530" s="42"/>
      <c r="C2530" s="30"/>
      <c r="D2530" s="30"/>
      <c r="E2530" s="30"/>
      <c r="F2530" s="30"/>
      <c r="G2530" s="30"/>
      <c r="H2530" s="47"/>
      <c r="I2530" s="63"/>
      <c r="J2530" s="31"/>
      <c r="K2530" s="31"/>
      <c r="L2530" s="32"/>
      <c r="M2530" s="32"/>
      <c r="N2530" s="32"/>
    </row>
    <row r="2531" spans="2:14" x14ac:dyDescent="0.25">
      <c r="B2531" s="42"/>
      <c r="C2531" s="30"/>
      <c r="D2531" s="30"/>
      <c r="E2531" s="30"/>
      <c r="F2531" s="30"/>
      <c r="G2531" s="30"/>
      <c r="H2531" s="47"/>
      <c r="I2531" s="63"/>
      <c r="J2531" s="31"/>
      <c r="K2531" s="31"/>
      <c r="L2531" s="32"/>
      <c r="M2531" s="32"/>
      <c r="N2531" s="32"/>
    </row>
    <row r="2532" spans="2:14" x14ac:dyDescent="0.25">
      <c r="B2532" s="42"/>
      <c r="C2532" s="30"/>
      <c r="D2532" s="30"/>
      <c r="E2532" s="30"/>
      <c r="F2532" s="30"/>
      <c r="G2532" s="30"/>
      <c r="H2532" s="47"/>
      <c r="I2532" s="63"/>
      <c r="J2532" s="31"/>
      <c r="K2532" s="31"/>
      <c r="L2532" s="32"/>
      <c r="M2532" s="32"/>
      <c r="N2532" s="32"/>
    </row>
    <row r="2533" spans="2:14" x14ac:dyDescent="0.25">
      <c r="B2533" s="42"/>
      <c r="C2533" s="30"/>
      <c r="D2533" s="30"/>
      <c r="E2533" s="30"/>
      <c r="F2533" s="30"/>
      <c r="G2533" s="30"/>
      <c r="H2533" s="47"/>
      <c r="I2533" s="63"/>
      <c r="J2533" s="31"/>
      <c r="K2533" s="31"/>
      <c r="L2533" s="32"/>
      <c r="M2533" s="32"/>
      <c r="N2533" s="32"/>
    </row>
    <row r="2534" spans="2:14" x14ac:dyDescent="0.25">
      <c r="B2534" s="42"/>
      <c r="C2534" s="30"/>
      <c r="D2534" s="30"/>
      <c r="E2534" s="30"/>
      <c r="F2534" s="30"/>
      <c r="G2534" s="30"/>
      <c r="H2534" s="47"/>
      <c r="I2534" s="63"/>
      <c r="J2534" s="31"/>
      <c r="K2534" s="31"/>
      <c r="L2534" s="32"/>
      <c r="M2534" s="32"/>
      <c r="N2534" s="32"/>
    </row>
    <row r="2535" spans="2:14" x14ac:dyDescent="0.25">
      <c r="B2535" s="42"/>
      <c r="C2535" s="30"/>
      <c r="D2535" s="30"/>
      <c r="E2535" s="30"/>
      <c r="F2535" s="30"/>
      <c r="G2535" s="30"/>
      <c r="H2535" s="47"/>
      <c r="I2535" s="63"/>
      <c r="J2535" s="31"/>
      <c r="K2535" s="31"/>
      <c r="L2535" s="32"/>
      <c r="M2535" s="32"/>
      <c r="N2535" s="32"/>
    </row>
    <row r="2536" spans="2:14" x14ac:dyDescent="0.25">
      <c r="B2536" s="42"/>
      <c r="C2536" s="30"/>
      <c r="D2536" s="30"/>
      <c r="E2536" s="30"/>
      <c r="F2536" s="30"/>
      <c r="G2536" s="30"/>
      <c r="H2536" s="47"/>
      <c r="I2536" s="63"/>
      <c r="J2536" s="31"/>
      <c r="K2536" s="31"/>
      <c r="L2536" s="32"/>
      <c r="M2536" s="32"/>
      <c r="N2536" s="32"/>
    </row>
    <row r="2537" spans="2:14" x14ac:dyDescent="0.25">
      <c r="B2537" s="42"/>
      <c r="C2537" s="30"/>
      <c r="D2537" s="30"/>
      <c r="E2537" s="30"/>
      <c r="F2537" s="30"/>
      <c r="G2537" s="30"/>
      <c r="H2537" s="47"/>
      <c r="I2537" s="63"/>
      <c r="J2537" s="31"/>
      <c r="K2537" s="31"/>
      <c r="L2537" s="32"/>
      <c r="M2537" s="32"/>
      <c r="N2537" s="32"/>
    </row>
    <row r="2538" spans="2:14" x14ac:dyDescent="0.25">
      <c r="B2538" s="42"/>
      <c r="C2538" s="30"/>
      <c r="D2538" s="30"/>
      <c r="E2538" s="30"/>
      <c r="F2538" s="30"/>
      <c r="G2538" s="30"/>
      <c r="H2538" s="47"/>
      <c r="I2538" s="63"/>
      <c r="J2538" s="31"/>
      <c r="K2538" s="31"/>
      <c r="L2538" s="32"/>
      <c r="M2538" s="32"/>
      <c r="N2538" s="32"/>
    </row>
    <row r="2539" spans="2:14" x14ac:dyDescent="0.25">
      <c r="B2539" s="42"/>
      <c r="C2539" s="30"/>
      <c r="D2539" s="30"/>
      <c r="E2539" s="30"/>
      <c r="F2539" s="30"/>
      <c r="G2539" s="30"/>
      <c r="H2539" s="47"/>
      <c r="I2539" s="63"/>
      <c r="J2539" s="31"/>
      <c r="K2539" s="31"/>
      <c r="L2539" s="32"/>
      <c r="M2539" s="32"/>
      <c r="N2539" s="32"/>
    </row>
    <row r="2540" spans="2:14" x14ac:dyDescent="0.25">
      <c r="B2540" s="42"/>
      <c r="C2540" s="30"/>
      <c r="D2540" s="30"/>
      <c r="E2540" s="30"/>
      <c r="F2540" s="30"/>
      <c r="G2540" s="30"/>
      <c r="H2540" s="47"/>
      <c r="I2540" s="63"/>
      <c r="J2540" s="31"/>
      <c r="K2540" s="31"/>
      <c r="L2540" s="32"/>
      <c r="M2540" s="32"/>
      <c r="N2540" s="32"/>
    </row>
    <row r="2541" spans="2:14" x14ac:dyDescent="0.25">
      <c r="B2541" s="42"/>
      <c r="C2541" s="30"/>
      <c r="D2541" s="30"/>
      <c r="E2541" s="30"/>
      <c r="F2541" s="30"/>
      <c r="G2541" s="30"/>
      <c r="H2541" s="47"/>
      <c r="I2541" s="63"/>
      <c r="J2541" s="31"/>
      <c r="K2541" s="31"/>
      <c r="L2541" s="32"/>
      <c r="M2541" s="32"/>
      <c r="N2541" s="32"/>
    </row>
    <row r="2542" spans="2:14" x14ac:dyDescent="0.25">
      <c r="B2542" s="42"/>
      <c r="C2542" s="30"/>
      <c r="D2542" s="30"/>
      <c r="E2542" s="30"/>
      <c r="F2542" s="30"/>
      <c r="G2542" s="30"/>
      <c r="H2542" s="47"/>
      <c r="I2542" s="63"/>
      <c r="J2542" s="31"/>
      <c r="K2542" s="31"/>
      <c r="L2542" s="32"/>
      <c r="M2542" s="32"/>
      <c r="N2542" s="32"/>
    </row>
    <row r="2543" spans="2:14" x14ac:dyDescent="0.25">
      <c r="B2543" s="42"/>
      <c r="C2543" s="30"/>
      <c r="D2543" s="30"/>
      <c r="E2543" s="30"/>
      <c r="F2543" s="30"/>
      <c r="G2543" s="30"/>
      <c r="H2543" s="47"/>
      <c r="I2543" s="63"/>
      <c r="J2543" s="31"/>
      <c r="K2543" s="31"/>
      <c r="L2543" s="32"/>
      <c r="M2543" s="32"/>
      <c r="N2543" s="32"/>
    </row>
    <row r="2544" spans="2:14" x14ac:dyDescent="0.25">
      <c r="B2544" s="42"/>
      <c r="C2544" s="30"/>
      <c r="D2544" s="30"/>
      <c r="E2544" s="30"/>
      <c r="F2544" s="30"/>
      <c r="G2544" s="30"/>
      <c r="H2544" s="47"/>
      <c r="I2544" s="63"/>
      <c r="J2544" s="31"/>
      <c r="K2544" s="31"/>
      <c r="L2544" s="32"/>
      <c r="M2544" s="32"/>
      <c r="N2544" s="32"/>
    </row>
    <row r="2545" spans="2:14" x14ac:dyDescent="0.25">
      <c r="B2545" s="42"/>
      <c r="C2545" s="30"/>
      <c r="D2545" s="30"/>
      <c r="E2545" s="30"/>
      <c r="F2545" s="30"/>
      <c r="G2545" s="30"/>
      <c r="H2545" s="47"/>
      <c r="I2545" s="63"/>
      <c r="J2545" s="31"/>
      <c r="K2545" s="31"/>
      <c r="L2545" s="32"/>
      <c r="M2545" s="32"/>
      <c r="N2545" s="32"/>
    </row>
    <row r="2546" spans="2:14" x14ac:dyDescent="0.25">
      <c r="B2546" s="42"/>
      <c r="C2546" s="30"/>
      <c r="D2546" s="30"/>
      <c r="E2546" s="30"/>
      <c r="F2546" s="30"/>
      <c r="G2546" s="30"/>
      <c r="H2546" s="47"/>
      <c r="I2546" s="63"/>
      <c r="J2546" s="31"/>
      <c r="K2546" s="31"/>
      <c r="L2546" s="32"/>
      <c r="M2546" s="32"/>
      <c r="N2546" s="32"/>
    </row>
    <row r="2547" spans="2:14" x14ac:dyDescent="0.25">
      <c r="B2547" s="42"/>
      <c r="C2547" s="30"/>
      <c r="D2547" s="30"/>
      <c r="E2547" s="30"/>
      <c r="F2547" s="30"/>
      <c r="G2547" s="30"/>
      <c r="H2547" s="47"/>
      <c r="I2547" s="63"/>
      <c r="J2547" s="31"/>
      <c r="K2547" s="31"/>
      <c r="L2547" s="32"/>
      <c r="M2547" s="32"/>
      <c r="N2547" s="32"/>
    </row>
    <row r="2548" spans="2:14" x14ac:dyDescent="0.25">
      <c r="B2548" s="42"/>
      <c r="C2548" s="30"/>
      <c r="D2548" s="30"/>
      <c r="E2548" s="30"/>
      <c r="F2548" s="30"/>
      <c r="G2548" s="30"/>
      <c r="H2548" s="47"/>
      <c r="I2548" s="63"/>
      <c r="J2548" s="31"/>
      <c r="K2548" s="31"/>
      <c r="L2548" s="32"/>
      <c r="M2548" s="32"/>
      <c r="N2548" s="32"/>
    </row>
    <row r="2549" spans="2:14" x14ac:dyDescent="0.25">
      <c r="B2549" s="42"/>
      <c r="C2549" s="30"/>
      <c r="D2549" s="30"/>
      <c r="E2549" s="30"/>
      <c r="F2549" s="30"/>
      <c r="G2549" s="30"/>
      <c r="H2549" s="47"/>
      <c r="I2549" s="63"/>
      <c r="J2549" s="31"/>
      <c r="K2549" s="31"/>
      <c r="L2549" s="32"/>
      <c r="M2549" s="32"/>
      <c r="N2549" s="32"/>
    </row>
    <row r="2550" spans="2:14" x14ac:dyDescent="0.25">
      <c r="B2550" s="42"/>
      <c r="C2550" s="30"/>
      <c r="D2550" s="30"/>
      <c r="E2550" s="30"/>
      <c r="F2550" s="30"/>
      <c r="G2550" s="30"/>
      <c r="H2550" s="47"/>
      <c r="I2550" s="63"/>
      <c r="J2550" s="31"/>
      <c r="K2550" s="31"/>
      <c r="L2550" s="32"/>
      <c r="M2550" s="32"/>
      <c r="N2550" s="32"/>
    </row>
    <row r="2551" spans="2:14" x14ac:dyDescent="0.25">
      <c r="B2551" s="42"/>
      <c r="C2551" s="30"/>
      <c r="D2551" s="30"/>
      <c r="E2551" s="30"/>
      <c r="F2551" s="30"/>
      <c r="G2551" s="30"/>
      <c r="H2551" s="47"/>
      <c r="I2551" s="63"/>
      <c r="J2551" s="31"/>
      <c r="K2551" s="31"/>
      <c r="L2551" s="32"/>
      <c r="M2551" s="32"/>
      <c r="N2551" s="32"/>
    </row>
    <row r="2552" spans="2:14" x14ac:dyDescent="0.25">
      <c r="B2552" s="42"/>
      <c r="C2552" s="30"/>
      <c r="D2552" s="30"/>
      <c r="E2552" s="30"/>
      <c r="F2552" s="30"/>
      <c r="G2552" s="30"/>
      <c r="H2552" s="47"/>
      <c r="I2552" s="63"/>
      <c r="J2552" s="31"/>
      <c r="K2552" s="31"/>
      <c r="L2552" s="32"/>
      <c r="M2552" s="32"/>
      <c r="N2552" s="32"/>
    </row>
    <row r="2553" spans="2:14" x14ac:dyDescent="0.25">
      <c r="B2553" s="42"/>
      <c r="C2553" s="30"/>
      <c r="D2553" s="30"/>
      <c r="E2553" s="30"/>
      <c r="F2553" s="30"/>
      <c r="G2553" s="30"/>
      <c r="H2553" s="47"/>
      <c r="I2553" s="63"/>
      <c r="J2553" s="31"/>
      <c r="K2553" s="31"/>
      <c r="L2553" s="32"/>
      <c r="M2553" s="32"/>
      <c r="N2553" s="32"/>
    </row>
    <row r="2554" spans="2:14" x14ac:dyDescent="0.25">
      <c r="B2554" s="42"/>
      <c r="C2554" s="30"/>
      <c r="D2554" s="30"/>
      <c r="E2554" s="30"/>
      <c r="F2554" s="30"/>
      <c r="G2554" s="30"/>
      <c r="H2554" s="47"/>
      <c r="I2554" s="63"/>
      <c r="J2554" s="31"/>
      <c r="K2554" s="31"/>
      <c r="L2554" s="32"/>
      <c r="M2554" s="32"/>
      <c r="N2554" s="32"/>
    </row>
    <row r="2555" spans="2:14" x14ac:dyDescent="0.25">
      <c r="B2555" s="42"/>
      <c r="C2555" s="30"/>
      <c r="D2555" s="30"/>
      <c r="E2555" s="30"/>
      <c r="F2555" s="30"/>
      <c r="G2555" s="30"/>
      <c r="H2555" s="47"/>
      <c r="I2555" s="63"/>
      <c r="J2555" s="31"/>
      <c r="K2555" s="31"/>
      <c r="L2555" s="32"/>
      <c r="M2555" s="32"/>
      <c r="N2555" s="32"/>
    </row>
    <row r="2556" spans="2:14" x14ac:dyDescent="0.25">
      <c r="B2556" s="42"/>
      <c r="C2556" s="30"/>
      <c r="D2556" s="30"/>
      <c r="E2556" s="30"/>
      <c r="F2556" s="30"/>
      <c r="G2556" s="30"/>
      <c r="H2556" s="47"/>
      <c r="I2556" s="63"/>
      <c r="J2556" s="31"/>
      <c r="K2556" s="31"/>
      <c r="L2556" s="32"/>
      <c r="M2556" s="32"/>
      <c r="N2556" s="32"/>
    </row>
    <row r="2557" spans="2:14" x14ac:dyDescent="0.25">
      <c r="B2557" s="42"/>
      <c r="C2557" s="30"/>
      <c r="D2557" s="30"/>
      <c r="E2557" s="30"/>
      <c r="F2557" s="30"/>
      <c r="G2557" s="30"/>
      <c r="H2557" s="47"/>
      <c r="I2557" s="63"/>
      <c r="J2557" s="31"/>
      <c r="K2557" s="31"/>
      <c r="L2557" s="32"/>
      <c r="M2557" s="32"/>
      <c r="N2557" s="32"/>
    </row>
    <row r="2558" spans="2:14" x14ac:dyDescent="0.25">
      <c r="B2558" s="42"/>
      <c r="C2558" s="30"/>
      <c r="D2558" s="30"/>
      <c r="E2558" s="30"/>
      <c r="F2558" s="30"/>
      <c r="G2558" s="30"/>
      <c r="H2558" s="47"/>
      <c r="I2558" s="63"/>
      <c r="J2558" s="31"/>
      <c r="K2558" s="31"/>
      <c r="L2558" s="32"/>
      <c r="M2558" s="32"/>
      <c r="N2558" s="32"/>
    </row>
    <row r="2559" spans="2:14" x14ac:dyDescent="0.25">
      <c r="B2559" s="42"/>
      <c r="C2559" s="30"/>
      <c r="D2559" s="30"/>
      <c r="E2559" s="30"/>
      <c r="F2559" s="30"/>
      <c r="G2559" s="30"/>
      <c r="H2559" s="47"/>
      <c r="I2559" s="63"/>
      <c r="J2559" s="31"/>
      <c r="K2559" s="31"/>
      <c r="L2559" s="32"/>
      <c r="M2559" s="32"/>
      <c r="N2559" s="32"/>
    </row>
    <row r="2560" spans="2:14" x14ac:dyDescent="0.25">
      <c r="B2560" s="42"/>
      <c r="C2560" s="30"/>
      <c r="D2560" s="30"/>
      <c r="E2560" s="30"/>
      <c r="F2560" s="30"/>
      <c r="G2560" s="30"/>
      <c r="H2560" s="47"/>
      <c r="I2560" s="63"/>
      <c r="J2560" s="31"/>
      <c r="K2560" s="31"/>
      <c r="L2560" s="32"/>
      <c r="M2560" s="32"/>
      <c r="N2560" s="32"/>
    </row>
    <row r="2561" spans="2:14" x14ac:dyDescent="0.25">
      <c r="B2561" s="42"/>
      <c r="C2561" s="30"/>
      <c r="D2561" s="30"/>
      <c r="E2561" s="30"/>
      <c r="F2561" s="30"/>
      <c r="G2561" s="30"/>
      <c r="H2561" s="47"/>
      <c r="I2561" s="63"/>
      <c r="J2561" s="31"/>
      <c r="K2561" s="31"/>
      <c r="L2561" s="32"/>
      <c r="M2561" s="32"/>
      <c r="N2561" s="32"/>
    </row>
    <row r="2562" spans="2:14" x14ac:dyDescent="0.25">
      <c r="B2562" s="42"/>
      <c r="C2562" s="30"/>
      <c r="D2562" s="30"/>
      <c r="E2562" s="30"/>
      <c r="F2562" s="30"/>
      <c r="G2562" s="30"/>
      <c r="H2562" s="47"/>
      <c r="I2562" s="63"/>
      <c r="J2562" s="31"/>
      <c r="K2562" s="31"/>
      <c r="L2562" s="32"/>
      <c r="M2562" s="32"/>
      <c r="N2562" s="32"/>
    </row>
    <row r="2563" spans="2:14" x14ac:dyDescent="0.25">
      <c r="B2563" s="42"/>
      <c r="C2563" s="30"/>
      <c r="D2563" s="30"/>
      <c r="E2563" s="30"/>
      <c r="F2563" s="30"/>
      <c r="G2563" s="30"/>
      <c r="H2563" s="47"/>
      <c r="I2563" s="63"/>
      <c r="J2563" s="31"/>
      <c r="K2563" s="31"/>
      <c r="L2563" s="32"/>
      <c r="M2563" s="32"/>
      <c r="N2563" s="32"/>
    </row>
    <row r="2564" spans="2:14" x14ac:dyDescent="0.25">
      <c r="B2564" s="42"/>
      <c r="C2564" s="30"/>
      <c r="D2564" s="30"/>
      <c r="E2564" s="30"/>
      <c r="F2564" s="30"/>
      <c r="G2564" s="30"/>
      <c r="H2564" s="47"/>
      <c r="I2564" s="63"/>
      <c r="J2564" s="31"/>
      <c r="K2564" s="31"/>
      <c r="L2564" s="32"/>
      <c r="M2564" s="32"/>
      <c r="N2564" s="32"/>
    </row>
    <row r="2565" spans="2:14" x14ac:dyDescent="0.25">
      <c r="B2565" s="42"/>
      <c r="C2565" s="30"/>
      <c r="D2565" s="30"/>
      <c r="E2565" s="30"/>
      <c r="F2565" s="30"/>
      <c r="G2565" s="30"/>
      <c r="H2565" s="47"/>
      <c r="I2565" s="63"/>
      <c r="J2565" s="31"/>
      <c r="K2565" s="31"/>
      <c r="L2565" s="32"/>
      <c r="M2565" s="32"/>
      <c r="N2565" s="32"/>
    </row>
    <row r="2566" spans="2:14" x14ac:dyDescent="0.25">
      <c r="B2566" s="42"/>
      <c r="C2566" s="30"/>
      <c r="D2566" s="30"/>
      <c r="E2566" s="30"/>
      <c r="F2566" s="30"/>
      <c r="G2566" s="30"/>
      <c r="H2566" s="47"/>
      <c r="I2566" s="63"/>
      <c r="J2566" s="31"/>
      <c r="K2566" s="31"/>
      <c r="L2566" s="32"/>
      <c r="M2566" s="32"/>
      <c r="N2566" s="32"/>
    </row>
    <row r="2567" spans="2:14" x14ac:dyDescent="0.25">
      <c r="B2567" s="42"/>
      <c r="C2567" s="30"/>
      <c r="D2567" s="30"/>
      <c r="E2567" s="30"/>
      <c r="F2567" s="30"/>
      <c r="G2567" s="30"/>
      <c r="H2567" s="47"/>
      <c r="I2567" s="63"/>
      <c r="J2567" s="31"/>
      <c r="K2567" s="31"/>
      <c r="L2567" s="32"/>
      <c r="M2567" s="32"/>
      <c r="N2567" s="32"/>
    </row>
    <row r="2568" spans="2:14" x14ac:dyDescent="0.25">
      <c r="B2568" s="42"/>
      <c r="C2568" s="30"/>
      <c r="D2568" s="30"/>
      <c r="E2568" s="30"/>
      <c r="F2568" s="30"/>
      <c r="G2568" s="30"/>
      <c r="H2568" s="47"/>
      <c r="I2568" s="63"/>
      <c r="J2568" s="31"/>
      <c r="K2568" s="31"/>
      <c r="L2568" s="32"/>
      <c r="M2568" s="32"/>
      <c r="N2568" s="32"/>
    </row>
    <row r="2569" spans="2:14" x14ac:dyDescent="0.25">
      <c r="B2569" s="42"/>
      <c r="C2569" s="30"/>
      <c r="D2569" s="30"/>
      <c r="E2569" s="30"/>
      <c r="F2569" s="30"/>
      <c r="G2569" s="30"/>
      <c r="H2569" s="47"/>
      <c r="I2569" s="63"/>
      <c r="J2569" s="31"/>
      <c r="K2569" s="31"/>
      <c r="L2569" s="32"/>
      <c r="M2569" s="32"/>
      <c r="N2569" s="32"/>
    </row>
    <row r="2570" spans="2:14" x14ac:dyDescent="0.25">
      <c r="B2570" s="42"/>
      <c r="C2570" s="30"/>
      <c r="D2570" s="30"/>
      <c r="E2570" s="30"/>
      <c r="F2570" s="30"/>
      <c r="G2570" s="30"/>
      <c r="H2570" s="47"/>
      <c r="I2570" s="63"/>
      <c r="J2570" s="31"/>
      <c r="K2570" s="31"/>
      <c r="L2570" s="32"/>
      <c r="M2570" s="32"/>
      <c r="N2570" s="32"/>
    </row>
    <row r="2571" spans="2:14" x14ac:dyDescent="0.25">
      <c r="B2571" s="42"/>
      <c r="C2571" s="30"/>
      <c r="D2571" s="30"/>
      <c r="E2571" s="30"/>
      <c r="F2571" s="30"/>
      <c r="G2571" s="30"/>
      <c r="H2571" s="47"/>
      <c r="I2571" s="63"/>
      <c r="J2571" s="31"/>
      <c r="K2571" s="31"/>
      <c r="L2571" s="32"/>
      <c r="M2571" s="32"/>
      <c r="N2571" s="32"/>
    </row>
    <row r="2572" spans="2:14" x14ac:dyDescent="0.25">
      <c r="B2572" s="42"/>
      <c r="C2572" s="30"/>
      <c r="D2572" s="30"/>
      <c r="E2572" s="30"/>
      <c r="F2572" s="30"/>
      <c r="G2572" s="30"/>
      <c r="H2572" s="47"/>
      <c r="I2572" s="63"/>
      <c r="J2572" s="31"/>
      <c r="K2572" s="31"/>
      <c r="L2572" s="32"/>
      <c r="M2572" s="32"/>
      <c r="N2572" s="32"/>
    </row>
    <row r="2573" spans="2:14" x14ac:dyDescent="0.25">
      <c r="B2573" s="42"/>
      <c r="C2573" s="30"/>
      <c r="D2573" s="30"/>
      <c r="E2573" s="30"/>
      <c r="F2573" s="30"/>
      <c r="G2573" s="30"/>
      <c r="H2573" s="47"/>
      <c r="I2573" s="63"/>
      <c r="J2573" s="31"/>
      <c r="K2573" s="31"/>
      <c r="L2573" s="32"/>
      <c r="M2573" s="32"/>
      <c r="N2573" s="32"/>
    </row>
    <row r="2574" spans="2:14" x14ac:dyDescent="0.25">
      <c r="B2574" s="42"/>
      <c r="C2574" s="30"/>
      <c r="D2574" s="30"/>
      <c r="E2574" s="30"/>
      <c r="F2574" s="30"/>
      <c r="G2574" s="30"/>
      <c r="H2574" s="47"/>
      <c r="I2574" s="63"/>
      <c r="J2574" s="31"/>
      <c r="K2574" s="31"/>
      <c r="L2574" s="32"/>
      <c r="M2574" s="32"/>
      <c r="N2574" s="32"/>
    </row>
    <row r="2575" spans="2:14" x14ac:dyDescent="0.25">
      <c r="B2575" s="42"/>
      <c r="C2575" s="30"/>
      <c r="D2575" s="30"/>
      <c r="E2575" s="30"/>
      <c r="F2575" s="30"/>
      <c r="G2575" s="30"/>
      <c r="H2575" s="47"/>
      <c r="I2575" s="63"/>
      <c r="J2575" s="31"/>
      <c r="K2575" s="31"/>
      <c r="L2575" s="32"/>
      <c r="M2575" s="32"/>
      <c r="N2575" s="32"/>
    </row>
    <row r="2576" spans="2:14" x14ac:dyDescent="0.25">
      <c r="B2576" s="42"/>
      <c r="C2576" s="30"/>
      <c r="D2576" s="30"/>
      <c r="E2576" s="30"/>
      <c r="F2576" s="30"/>
      <c r="G2576" s="30"/>
      <c r="H2576" s="47"/>
      <c r="I2576" s="63"/>
      <c r="J2576" s="31"/>
      <c r="K2576" s="31"/>
      <c r="L2576" s="32"/>
      <c r="M2576" s="32"/>
      <c r="N2576" s="32"/>
    </row>
    <row r="2577" spans="2:14" x14ac:dyDescent="0.25">
      <c r="B2577" s="42"/>
      <c r="C2577" s="30"/>
      <c r="D2577" s="30"/>
      <c r="E2577" s="30"/>
      <c r="F2577" s="30"/>
      <c r="G2577" s="30"/>
      <c r="H2577" s="47"/>
      <c r="I2577" s="63"/>
      <c r="J2577" s="31"/>
      <c r="K2577" s="31"/>
      <c r="L2577" s="32"/>
      <c r="M2577" s="32"/>
      <c r="N2577" s="32"/>
    </row>
    <row r="2578" spans="2:14" x14ac:dyDescent="0.25">
      <c r="B2578" s="42"/>
      <c r="C2578" s="30"/>
      <c r="D2578" s="30"/>
      <c r="E2578" s="30"/>
      <c r="F2578" s="30"/>
      <c r="G2578" s="30"/>
      <c r="H2578" s="47"/>
      <c r="I2578" s="63"/>
      <c r="J2578" s="31"/>
      <c r="K2578" s="31"/>
      <c r="L2578" s="32"/>
      <c r="M2578" s="32"/>
      <c r="N2578" s="32"/>
    </row>
    <row r="2579" spans="2:14" x14ac:dyDescent="0.25">
      <c r="B2579" s="42"/>
      <c r="C2579" s="30"/>
      <c r="D2579" s="30"/>
      <c r="E2579" s="30"/>
      <c r="F2579" s="30"/>
      <c r="G2579" s="30"/>
      <c r="H2579" s="47"/>
      <c r="I2579" s="63"/>
      <c r="J2579" s="31"/>
      <c r="K2579" s="31"/>
      <c r="L2579" s="32"/>
      <c r="M2579" s="32"/>
      <c r="N2579" s="32"/>
    </row>
    <row r="2580" spans="2:14" x14ac:dyDescent="0.25">
      <c r="B2580" s="42"/>
      <c r="C2580" s="30"/>
      <c r="D2580" s="30"/>
      <c r="E2580" s="30"/>
      <c r="F2580" s="30"/>
      <c r="G2580" s="30"/>
      <c r="H2580" s="47"/>
      <c r="I2580" s="63"/>
      <c r="J2580" s="31"/>
      <c r="K2580" s="31"/>
      <c r="L2580" s="32"/>
      <c r="M2580" s="32"/>
      <c r="N2580" s="32"/>
    </row>
    <row r="2581" spans="2:14" x14ac:dyDescent="0.25">
      <c r="B2581" s="42"/>
      <c r="C2581" s="30"/>
      <c r="D2581" s="30"/>
      <c r="E2581" s="30"/>
      <c r="F2581" s="30"/>
      <c r="G2581" s="30"/>
      <c r="H2581" s="47"/>
      <c r="I2581" s="63"/>
      <c r="J2581" s="31"/>
      <c r="K2581" s="31"/>
      <c r="L2581" s="32"/>
      <c r="M2581" s="32"/>
      <c r="N2581" s="32"/>
    </row>
    <row r="2582" spans="2:14" x14ac:dyDescent="0.25">
      <c r="B2582" s="42"/>
      <c r="C2582" s="30"/>
      <c r="D2582" s="30"/>
      <c r="E2582" s="30"/>
      <c r="F2582" s="30"/>
      <c r="G2582" s="30"/>
      <c r="H2582" s="47"/>
      <c r="I2582" s="63"/>
      <c r="J2582" s="31"/>
      <c r="K2582" s="31"/>
      <c r="L2582" s="32"/>
      <c r="M2582" s="32"/>
      <c r="N2582" s="32"/>
    </row>
    <row r="2583" spans="2:14" x14ac:dyDescent="0.25">
      <c r="B2583" s="42"/>
      <c r="C2583" s="30"/>
      <c r="D2583" s="30"/>
      <c r="E2583" s="30"/>
      <c r="F2583" s="30"/>
      <c r="G2583" s="30"/>
      <c r="H2583" s="47"/>
      <c r="I2583" s="63"/>
      <c r="J2583" s="31"/>
      <c r="K2583" s="31"/>
      <c r="L2583" s="32"/>
      <c r="M2583" s="32"/>
      <c r="N2583" s="32"/>
    </row>
    <row r="2584" spans="2:14" x14ac:dyDescent="0.25">
      <c r="B2584" s="42"/>
      <c r="C2584" s="30"/>
      <c r="D2584" s="30"/>
      <c r="E2584" s="30"/>
      <c r="F2584" s="30"/>
      <c r="G2584" s="30"/>
      <c r="H2584" s="47"/>
      <c r="I2584" s="63"/>
      <c r="J2584" s="31"/>
      <c r="K2584" s="31"/>
      <c r="L2584" s="32"/>
      <c r="M2584" s="32"/>
      <c r="N2584" s="32"/>
    </row>
    <row r="2585" spans="2:14" x14ac:dyDescent="0.25">
      <c r="B2585" s="42"/>
      <c r="C2585" s="30"/>
      <c r="D2585" s="30"/>
      <c r="E2585" s="30"/>
      <c r="F2585" s="30"/>
      <c r="G2585" s="30"/>
      <c r="H2585" s="47"/>
      <c r="I2585" s="63"/>
      <c r="J2585" s="31"/>
      <c r="K2585" s="31"/>
      <c r="L2585" s="32"/>
      <c r="M2585" s="32"/>
      <c r="N2585" s="32"/>
    </row>
    <row r="2586" spans="2:14" x14ac:dyDescent="0.25">
      <c r="B2586" s="42"/>
      <c r="C2586" s="30"/>
      <c r="D2586" s="30"/>
      <c r="E2586" s="30"/>
      <c r="F2586" s="30"/>
      <c r="G2586" s="30"/>
      <c r="H2586" s="47"/>
      <c r="I2586" s="63"/>
      <c r="J2586" s="31"/>
      <c r="K2586" s="31"/>
      <c r="L2586" s="32"/>
      <c r="M2586" s="32"/>
      <c r="N2586" s="32"/>
    </row>
    <row r="2587" spans="2:14" x14ac:dyDescent="0.25">
      <c r="B2587" s="42"/>
      <c r="C2587" s="30"/>
      <c r="D2587" s="30"/>
      <c r="E2587" s="30"/>
      <c r="F2587" s="30"/>
      <c r="G2587" s="30"/>
      <c r="H2587" s="47"/>
      <c r="I2587" s="63"/>
      <c r="J2587" s="31"/>
      <c r="K2587" s="31"/>
      <c r="L2587" s="32"/>
      <c r="M2587" s="32"/>
      <c r="N2587" s="32"/>
    </row>
    <row r="2588" spans="2:14" x14ac:dyDescent="0.25">
      <c r="B2588" s="42"/>
      <c r="C2588" s="30"/>
      <c r="D2588" s="30"/>
      <c r="E2588" s="30"/>
      <c r="F2588" s="30"/>
      <c r="G2588" s="30"/>
      <c r="H2588" s="47"/>
      <c r="I2588" s="63"/>
      <c r="J2588" s="31"/>
      <c r="K2588" s="31"/>
      <c r="L2588" s="32"/>
      <c r="M2588" s="32"/>
      <c r="N2588" s="32"/>
    </row>
    <row r="2589" spans="2:14" x14ac:dyDescent="0.25">
      <c r="B2589" s="42"/>
      <c r="C2589" s="30"/>
      <c r="D2589" s="30"/>
      <c r="E2589" s="30"/>
      <c r="F2589" s="30"/>
      <c r="G2589" s="30"/>
      <c r="H2589" s="47"/>
      <c r="I2589" s="63"/>
      <c r="J2589" s="31"/>
      <c r="K2589" s="31"/>
      <c r="L2589" s="32"/>
      <c r="M2589" s="32"/>
      <c r="N2589" s="32"/>
    </row>
    <row r="2590" spans="2:14" x14ac:dyDescent="0.25">
      <c r="B2590" s="42"/>
      <c r="C2590" s="30"/>
      <c r="D2590" s="30"/>
      <c r="E2590" s="30"/>
      <c r="F2590" s="30"/>
      <c r="G2590" s="30"/>
      <c r="H2590" s="47"/>
      <c r="I2590" s="63"/>
      <c r="J2590" s="31"/>
      <c r="K2590" s="31"/>
      <c r="L2590" s="32"/>
      <c r="M2590" s="32"/>
      <c r="N2590" s="32"/>
    </row>
    <row r="2591" spans="2:14" x14ac:dyDescent="0.25">
      <c r="B2591" s="42"/>
      <c r="C2591" s="30"/>
      <c r="D2591" s="30"/>
      <c r="E2591" s="30"/>
      <c r="F2591" s="30"/>
      <c r="G2591" s="30"/>
      <c r="H2591" s="47"/>
      <c r="I2591" s="63"/>
      <c r="J2591" s="31"/>
      <c r="K2591" s="31"/>
      <c r="L2591" s="32"/>
      <c r="M2591" s="32"/>
      <c r="N2591" s="32"/>
    </row>
    <row r="2592" spans="2:14" x14ac:dyDescent="0.25">
      <c r="B2592" s="42"/>
      <c r="C2592" s="30"/>
      <c r="D2592" s="30"/>
      <c r="E2592" s="30"/>
      <c r="F2592" s="30"/>
      <c r="G2592" s="30"/>
      <c r="H2592" s="47"/>
      <c r="I2592" s="63"/>
      <c r="J2592" s="31"/>
      <c r="K2592" s="31"/>
      <c r="L2592" s="32"/>
      <c r="M2592" s="32"/>
      <c r="N2592" s="32"/>
    </row>
    <row r="2593" spans="2:14" x14ac:dyDescent="0.25">
      <c r="B2593" s="42"/>
      <c r="C2593" s="30"/>
      <c r="D2593" s="30"/>
      <c r="E2593" s="30"/>
      <c r="F2593" s="30"/>
      <c r="G2593" s="30"/>
      <c r="H2593" s="47"/>
      <c r="I2593" s="63"/>
      <c r="J2593" s="31"/>
      <c r="K2593" s="31"/>
      <c r="L2593" s="32"/>
      <c r="M2593" s="32"/>
      <c r="N2593" s="32"/>
    </row>
    <row r="2594" spans="2:14" x14ac:dyDescent="0.25">
      <c r="B2594" s="42"/>
      <c r="C2594" s="30"/>
      <c r="D2594" s="30"/>
      <c r="E2594" s="30"/>
      <c r="F2594" s="30"/>
      <c r="G2594" s="30"/>
      <c r="H2594" s="47"/>
      <c r="I2594" s="63"/>
      <c r="J2594" s="31"/>
      <c r="K2594" s="31"/>
      <c r="L2594" s="32"/>
      <c r="M2594" s="32"/>
      <c r="N2594" s="32"/>
    </row>
    <row r="2595" spans="2:14" x14ac:dyDescent="0.25">
      <c r="B2595" s="42"/>
      <c r="C2595" s="30"/>
      <c r="D2595" s="30"/>
      <c r="E2595" s="30"/>
      <c r="F2595" s="30"/>
      <c r="G2595" s="30"/>
      <c r="H2595" s="47"/>
      <c r="I2595" s="63"/>
      <c r="J2595" s="31"/>
      <c r="K2595" s="31"/>
      <c r="L2595" s="32"/>
      <c r="M2595" s="32"/>
      <c r="N2595" s="32"/>
    </row>
    <row r="2596" spans="2:14" x14ac:dyDescent="0.25">
      <c r="B2596" s="42"/>
      <c r="C2596" s="30"/>
      <c r="D2596" s="30"/>
      <c r="E2596" s="30"/>
      <c r="F2596" s="30"/>
      <c r="G2596" s="30"/>
      <c r="H2596" s="47"/>
      <c r="I2596" s="63"/>
      <c r="J2596" s="31"/>
      <c r="K2596" s="31"/>
      <c r="L2596" s="32"/>
      <c r="M2596" s="32"/>
      <c r="N2596" s="32"/>
    </row>
    <row r="2597" spans="2:14" x14ac:dyDescent="0.25">
      <c r="B2597" s="42"/>
      <c r="C2597" s="30"/>
      <c r="D2597" s="30"/>
      <c r="E2597" s="30"/>
      <c r="F2597" s="30"/>
      <c r="G2597" s="30"/>
      <c r="H2597" s="47"/>
      <c r="I2597" s="63"/>
      <c r="J2597" s="31"/>
      <c r="K2597" s="31"/>
      <c r="L2597" s="32"/>
      <c r="M2597" s="32"/>
      <c r="N2597" s="32"/>
    </row>
    <row r="2598" spans="2:14" x14ac:dyDescent="0.25">
      <c r="B2598" s="42"/>
      <c r="C2598" s="30"/>
      <c r="D2598" s="30"/>
      <c r="E2598" s="30"/>
      <c r="F2598" s="30"/>
      <c r="G2598" s="30"/>
      <c r="H2598" s="47"/>
      <c r="I2598" s="63"/>
      <c r="J2598" s="31"/>
      <c r="K2598" s="31"/>
      <c r="L2598" s="32"/>
      <c r="M2598" s="32"/>
      <c r="N2598" s="32"/>
    </row>
    <row r="2599" spans="2:14" x14ac:dyDescent="0.25">
      <c r="B2599" s="42"/>
      <c r="C2599" s="30"/>
      <c r="D2599" s="30"/>
      <c r="E2599" s="30"/>
      <c r="F2599" s="30"/>
      <c r="G2599" s="30"/>
      <c r="H2599" s="47"/>
      <c r="I2599" s="63"/>
      <c r="J2599" s="31"/>
      <c r="K2599" s="31"/>
      <c r="L2599" s="32"/>
      <c r="M2599" s="32"/>
      <c r="N2599" s="32"/>
    </row>
    <row r="2600" spans="2:14" x14ac:dyDescent="0.25">
      <c r="B2600" s="42"/>
      <c r="C2600" s="30"/>
      <c r="D2600" s="30"/>
      <c r="E2600" s="30"/>
      <c r="F2600" s="30"/>
      <c r="G2600" s="30"/>
      <c r="H2600" s="47"/>
      <c r="I2600" s="63"/>
      <c r="J2600" s="31"/>
      <c r="K2600" s="31"/>
      <c r="L2600" s="32"/>
      <c r="M2600" s="32"/>
      <c r="N2600" s="32"/>
    </row>
    <row r="2601" spans="2:14" x14ac:dyDescent="0.25">
      <c r="B2601" s="42"/>
      <c r="C2601" s="30"/>
      <c r="D2601" s="30"/>
      <c r="E2601" s="30"/>
      <c r="F2601" s="30"/>
      <c r="G2601" s="30"/>
      <c r="H2601" s="47"/>
      <c r="I2601" s="63"/>
      <c r="J2601" s="31"/>
      <c r="K2601" s="31"/>
      <c r="L2601" s="32"/>
      <c r="M2601" s="32"/>
      <c r="N2601" s="32"/>
    </row>
    <row r="2602" spans="2:14" x14ac:dyDescent="0.25">
      <c r="B2602" s="42"/>
      <c r="C2602" s="30"/>
      <c r="D2602" s="30"/>
      <c r="E2602" s="30"/>
      <c r="F2602" s="30"/>
      <c r="G2602" s="30"/>
      <c r="H2602" s="47"/>
      <c r="I2602" s="63"/>
      <c r="J2602" s="31"/>
      <c r="K2602" s="31"/>
      <c r="L2602" s="32"/>
      <c r="M2602" s="32"/>
      <c r="N2602" s="32"/>
    </row>
    <row r="2603" spans="2:14" x14ac:dyDescent="0.25">
      <c r="B2603" s="42"/>
      <c r="C2603" s="30"/>
      <c r="D2603" s="30"/>
      <c r="E2603" s="30"/>
      <c r="F2603" s="30"/>
      <c r="G2603" s="30"/>
      <c r="H2603" s="47"/>
      <c r="I2603" s="63"/>
      <c r="J2603" s="31"/>
      <c r="K2603" s="31"/>
      <c r="L2603" s="32"/>
      <c r="M2603" s="32"/>
      <c r="N2603" s="32"/>
    </row>
    <row r="2604" spans="2:14" x14ac:dyDescent="0.25">
      <c r="B2604" s="42"/>
      <c r="C2604" s="30"/>
      <c r="D2604" s="30"/>
      <c r="E2604" s="30"/>
      <c r="F2604" s="30"/>
      <c r="G2604" s="30"/>
      <c r="H2604" s="47"/>
      <c r="I2604" s="63"/>
      <c r="J2604" s="31"/>
      <c r="K2604" s="31"/>
      <c r="L2604" s="32"/>
      <c r="M2604" s="32"/>
      <c r="N2604" s="32"/>
    </row>
    <row r="2605" spans="2:14" x14ac:dyDescent="0.25">
      <c r="B2605" s="42"/>
      <c r="C2605" s="30"/>
      <c r="D2605" s="30"/>
      <c r="E2605" s="30"/>
      <c r="F2605" s="30"/>
      <c r="G2605" s="30"/>
      <c r="H2605" s="47"/>
      <c r="I2605" s="63"/>
      <c r="J2605" s="31"/>
      <c r="K2605" s="31"/>
      <c r="L2605" s="32"/>
      <c r="M2605" s="32"/>
      <c r="N2605" s="32"/>
    </row>
    <row r="2606" spans="2:14" x14ac:dyDescent="0.25">
      <c r="B2606" s="42"/>
      <c r="C2606" s="30"/>
      <c r="D2606" s="30"/>
      <c r="E2606" s="30"/>
      <c r="F2606" s="30"/>
      <c r="G2606" s="30"/>
      <c r="H2606" s="47"/>
      <c r="I2606" s="63"/>
      <c r="J2606" s="31"/>
      <c r="K2606" s="31"/>
      <c r="L2606" s="32"/>
      <c r="M2606" s="32"/>
      <c r="N2606" s="32"/>
    </row>
    <row r="2607" spans="2:14" x14ac:dyDescent="0.25">
      <c r="B2607" s="42"/>
      <c r="C2607" s="30"/>
      <c r="D2607" s="30"/>
      <c r="E2607" s="30"/>
      <c r="F2607" s="30"/>
      <c r="G2607" s="30"/>
      <c r="H2607" s="47"/>
      <c r="I2607" s="63"/>
      <c r="J2607" s="31"/>
      <c r="K2607" s="31"/>
      <c r="L2607" s="32"/>
      <c r="M2607" s="32"/>
      <c r="N2607" s="32"/>
    </row>
    <row r="2608" spans="2:14" x14ac:dyDescent="0.25">
      <c r="B2608" s="42"/>
      <c r="C2608" s="30"/>
      <c r="D2608" s="30"/>
      <c r="E2608" s="30"/>
      <c r="F2608" s="30"/>
      <c r="G2608" s="30"/>
      <c r="H2608" s="47"/>
      <c r="I2608" s="63"/>
      <c r="J2608" s="31"/>
      <c r="K2608" s="31"/>
      <c r="L2608" s="32"/>
      <c r="M2608" s="32"/>
      <c r="N2608" s="32"/>
    </row>
    <row r="2609" spans="2:14" x14ac:dyDescent="0.25">
      <c r="B2609" s="42"/>
      <c r="C2609" s="30"/>
      <c r="D2609" s="30"/>
      <c r="E2609" s="30"/>
      <c r="F2609" s="30"/>
      <c r="G2609" s="30"/>
      <c r="H2609" s="47"/>
      <c r="I2609" s="63"/>
      <c r="J2609" s="31"/>
      <c r="K2609" s="31"/>
      <c r="L2609" s="32"/>
      <c r="M2609" s="32"/>
      <c r="N2609" s="32"/>
    </row>
    <row r="2610" spans="2:14" x14ac:dyDescent="0.25">
      <c r="B2610" s="42"/>
      <c r="C2610" s="30"/>
      <c r="D2610" s="30"/>
      <c r="E2610" s="30"/>
      <c r="F2610" s="30"/>
      <c r="G2610" s="30"/>
      <c r="H2610" s="47"/>
      <c r="I2610" s="63"/>
      <c r="J2610" s="31"/>
      <c r="K2610" s="31"/>
      <c r="L2610" s="32"/>
      <c r="M2610" s="32"/>
      <c r="N2610" s="32"/>
    </row>
    <row r="2611" spans="2:14" x14ac:dyDescent="0.25">
      <c r="B2611" s="42"/>
      <c r="C2611" s="30"/>
      <c r="D2611" s="30"/>
      <c r="E2611" s="30"/>
      <c r="F2611" s="30"/>
      <c r="G2611" s="30"/>
      <c r="H2611" s="47"/>
      <c r="I2611" s="63"/>
      <c r="J2611" s="31"/>
      <c r="K2611" s="31"/>
      <c r="L2611" s="32"/>
      <c r="M2611" s="32"/>
      <c r="N2611" s="32"/>
    </row>
    <row r="2612" spans="2:14" x14ac:dyDescent="0.25">
      <c r="B2612" s="42"/>
      <c r="C2612" s="30"/>
      <c r="D2612" s="30"/>
      <c r="E2612" s="30"/>
      <c r="F2612" s="30"/>
      <c r="G2612" s="30"/>
      <c r="H2612" s="47"/>
      <c r="I2612" s="63"/>
      <c r="J2612" s="31"/>
      <c r="K2612" s="31"/>
      <c r="L2612" s="32"/>
      <c r="M2612" s="32"/>
      <c r="N2612" s="32"/>
    </row>
    <row r="2613" spans="2:14" x14ac:dyDescent="0.25">
      <c r="B2613" s="42"/>
      <c r="C2613" s="30"/>
      <c r="D2613" s="30"/>
      <c r="E2613" s="30"/>
      <c r="F2613" s="30"/>
      <c r="G2613" s="30"/>
      <c r="H2613" s="47"/>
      <c r="I2613" s="63"/>
      <c r="J2613" s="31"/>
      <c r="K2613" s="31"/>
      <c r="L2613" s="32"/>
      <c r="M2613" s="32"/>
      <c r="N2613" s="32"/>
    </row>
    <row r="2614" spans="2:14" x14ac:dyDescent="0.25">
      <c r="B2614" s="42"/>
      <c r="C2614" s="30"/>
      <c r="D2614" s="30"/>
      <c r="E2614" s="30"/>
      <c r="F2614" s="30"/>
      <c r="G2614" s="30"/>
      <c r="H2614" s="47"/>
      <c r="I2614" s="63"/>
      <c r="J2614" s="31"/>
      <c r="K2614" s="31"/>
      <c r="L2614" s="32"/>
      <c r="M2614" s="32"/>
      <c r="N2614" s="32"/>
    </row>
    <row r="2615" spans="2:14" x14ac:dyDescent="0.25">
      <c r="B2615" s="42"/>
      <c r="C2615" s="30"/>
      <c r="D2615" s="30"/>
      <c r="E2615" s="30"/>
      <c r="F2615" s="30"/>
      <c r="G2615" s="30"/>
      <c r="H2615" s="47"/>
      <c r="I2615" s="63"/>
      <c r="J2615" s="31"/>
      <c r="K2615" s="31"/>
      <c r="L2615" s="32"/>
      <c r="M2615" s="32"/>
      <c r="N2615" s="32"/>
    </row>
    <row r="2616" spans="2:14" x14ac:dyDescent="0.25">
      <c r="B2616" s="42"/>
      <c r="C2616" s="30"/>
      <c r="D2616" s="30"/>
      <c r="E2616" s="30"/>
      <c r="F2616" s="30"/>
      <c r="G2616" s="30"/>
      <c r="H2616" s="47"/>
      <c r="I2616" s="63"/>
      <c r="J2616" s="31"/>
      <c r="K2616" s="31"/>
      <c r="L2616" s="32"/>
      <c r="M2616" s="32"/>
      <c r="N2616" s="32"/>
    </row>
    <row r="2617" spans="2:14" x14ac:dyDescent="0.25">
      <c r="B2617" s="42"/>
      <c r="C2617" s="30"/>
      <c r="D2617" s="30"/>
      <c r="E2617" s="30"/>
      <c r="F2617" s="30"/>
      <c r="G2617" s="30"/>
      <c r="H2617" s="47"/>
      <c r="I2617" s="63"/>
      <c r="J2617" s="31"/>
      <c r="K2617" s="31"/>
      <c r="L2617" s="32"/>
      <c r="M2617" s="32"/>
      <c r="N2617" s="32"/>
    </row>
    <row r="2618" spans="2:14" x14ac:dyDescent="0.25">
      <c r="B2618" s="42"/>
      <c r="C2618" s="30"/>
      <c r="D2618" s="30"/>
      <c r="E2618" s="30"/>
      <c r="F2618" s="30"/>
      <c r="G2618" s="30"/>
      <c r="H2618" s="47"/>
      <c r="I2618" s="63"/>
      <c r="J2618" s="31"/>
      <c r="K2618" s="31"/>
      <c r="L2618" s="32"/>
      <c r="M2618" s="32"/>
      <c r="N2618" s="32"/>
    </row>
    <row r="2619" spans="2:14" x14ac:dyDescent="0.25">
      <c r="B2619" s="42"/>
      <c r="C2619" s="30"/>
      <c r="D2619" s="30"/>
      <c r="E2619" s="30"/>
      <c r="F2619" s="30"/>
      <c r="G2619" s="30"/>
      <c r="H2619" s="47"/>
      <c r="I2619" s="63"/>
      <c r="J2619" s="31"/>
      <c r="K2619" s="31"/>
      <c r="L2619" s="32"/>
      <c r="M2619" s="32"/>
      <c r="N2619" s="32"/>
    </row>
    <row r="2620" spans="2:14" x14ac:dyDescent="0.25">
      <c r="B2620" s="42"/>
      <c r="C2620" s="30"/>
      <c r="D2620" s="30"/>
      <c r="E2620" s="30"/>
      <c r="F2620" s="30"/>
      <c r="G2620" s="30"/>
      <c r="H2620" s="47"/>
      <c r="I2620" s="63"/>
      <c r="J2620" s="31"/>
      <c r="K2620" s="31"/>
      <c r="L2620" s="32"/>
      <c r="M2620" s="32"/>
      <c r="N2620" s="32"/>
    </row>
    <row r="2621" spans="2:14" x14ac:dyDescent="0.25">
      <c r="B2621" s="42"/>
      <c r="C2621" s="30"/>
      <c r="D2621" s="30"/>
      <c r="E2621" s="30"/>
      <c r="F2621" s="30"/>
      <c r="G2621" s="30"/>
      <c r="H2621" s="47"/>
      <c r="I2621" s="63"/>
      <c r="J2621" s="31"/>
      <c r="K2621" s="31"/>
      <c r="L2621" s="32"/>
      <c r="M2621" s="32"/>
      <c r="N2621" s="32"/>
    </row>
    <row r="2622" spans="2:14" x14ac:dyDescent="0.25">
      <c r="B2622" s="42"/>
      <c r="C2622" s="30"/>
      <c r="D2622" s="30"/>
      <c r="E2622" s="30"/>
      <c r="F2622" s="30"/>
      <c r="G2622" s="30"/>
      <c r="H2622" s="47"/>
      <c r="I2622" s="63"/>
      <c r="J2622" s="31"/>
      <c r="K2622" s="31"/>
      <c r="L2622" s="32"/>
      <c r="M2622" s="32"/>
      <c r="N2622" s="32"/>
    </row>
    <row r="2623" spans="2:14" x14ac:dyDescent="0.25">
      <c r="B2623" s="42"/>
      <c r="C2623" s="30"/>
      <c r="D2623" s="30"/>
      <c r="E2623" s="30"/>
      <c r="F2623" s="30"/>
      <c r="G2623" s="30"/>
      <c r="H2623" s="47"/>
      <c r="I2623" s="63"/>
      <c r="J2623" s="31"/>
      <c r="K2623" s="31"/>
      <c r="L2623" s="32"/>
      <c r="M2623" s="32"/>
      <c r="N2623" s="32"/>
    </row>
    <row r="2624" spans="2:14" x14ac:dyDescent="0.25">
      <c r="B2624" s="42"/>
      <c r="C2624" s="30"/>
      <c r="D2624" s="30"/>
      <c r="E2624" s="30"/>
      <c r="F2624" s="30"/>
      <c r="G2624" s="30"/>
      <c r="H2624" s="47"/>
      <c r="I2624" s="63"/>
      <c r="J2624" s="31"/>
      <c r="K2624" s="31"/>
      <c r="L2624" s="32"/>
      <c r="M2624" s="32"/>
      <c r="N2624" s="32"/>
    </row>
    <row r="2625" spans="2:14" x14ac:dyDescent="0.25">
      <c r="B2625" s="42"/>
      <c r="C2625" s="30"/>
      <c r="D2625" s="30"/>
      <c r="E2625" s="30"/>
      <c r="F2625" s="30"/>
      <c r="G2625" s="30"/>
      <c r="H2625" s="47"/>
      <c r="I2625" s="63"/>
      <c r="J2625" s="31"/>
      <c r="K2625" s="31"/>
      <c r="L2625" s="32"/>
      <c r="M2625" s="32"/>
      <c r="N2625" s="32"/>
    </row>
    <row r="2626" spans="2:14" x14ac:dyDescent="0.25">
      <c r="B2626" s="42"/>
      <c r="C2626" s="30"/>
      <c r="D2626" s="30"/>
      <c r="E2626" s="30"/>
      <c r="F2626" s="30"/>
      <c r="G2626" s="30"/>
      <c r="H2626" s="47"/>
      <c r="I2626" s="63"/>
      <c r="J2626" s="31"/>
      <c r="K2626" s="31"/>
      <c r="L2626" s="32"/>
      <c r="M2626" s="32"/>
      <c r="N2626" s="32"/>
    </row>
    <row r="2627" spans="2:14" x14ac:dyDescent="0.25">
      <c r="B2627" s="42"/>
      <c r="C2627" s="30"/>
      <c r="D2627" s="30"/>
      <c r="E2627" s="30"/>
      <c r="F2627" s="30"/>
      <c r="G2627" s="30"/>
      <c r="H2627" s="47"/>
      <c r="I2627" s="63"/>
      <c r="J2627" s="31"/>
      <c r="K2627" s="31"/>
      <c r="L2627" s="32"/>
      <c r="M2627" s="32"/>
      <c r="N2627" s="32"/>
    </row>
    <row r="2628" spans="2:14" x14ac:dyDescent="0.25">
      <c r="B2628" s="42"/>
      <c r="C2628" s="30"/>
      <c r="D2628" s="30"/>
      <c r="E2628" s="30"/>
      <c r="F2628" s="30"/>
      <c r="G2628" s="30"/>
      <c r="H2628" s="47"/>
      <c r="I2628" s="63"/>
      <c r="J2628" s="31"/>
      <c r="K2628" s="31"/>
      <c r="L2628" s="32"/>
      <c r="M2628" s="32"/>
      <c r="N2628" s="32"/>
    </row>
    <row r="2629" spans="2:14" x14ac:dyDescent="0.25">
      <c r="B2629" s="42"/>
      <c r="C2629" s="30"/>
      <c r="D2629" s="30"/>
      <c r="E2629" s="30"/>
      <c r="F2629" s="30"/>
      <c r="G2629" s="30"/>
      <c r="H2629" s="47"/>
      <c r="I2629" s="63"/>
      <c r="J2629" s="31"/>
      <c r="K2629" s="31"/>
      <c r="L2629" s="32"/>
      <c r="M2629" s="32"/>
      <c r="N2629" s="32"/>
    </row>
    <row r="2630" spans="2:14" x14ac:dyDescent="0.25">
      <c r="B2630" s="42"/>
      <c r="C2630" s="30"/>
      <c r="D2630" s="30"/>
      <c r="E2630" s="30"/>
      <c r="F2630" s="30"/>
      <c r="G2630" s="30"/>
      <c r="H2630" s="47"/>
      <c r="I2630" s="63"/>
      <c r="J2630" s="31"/>
      <c r="K2630" s="31"/>
      <c r="L2630" s="32"/>
      <c r="M2630" s="32"/>
      <c r="N2630" s="32"/>
    </row>
    <row r="2631" spans="2:14" x14ac:dyDescent="0.25">
      <c r="B2631" s="42"/>
      <c r="C2631" s="30"/>
      <c r="D2631" s="30"/>
      <c r="E2631" s="30"/>
      <c r="F2631" s="30"/>
      <c r="G2631" s="30"/>
      <c r="H2631" s="47"/>
      <c r="I2631" s="63"/>
      <c r="J2631" s="31"/>
      <c r="K2631" s="31"/>
      <c r="L2631" s="32"/>
      <c r="M2631" s="32"/>
      <c r="N2631" s="32"/>
    </row>
    <row r="2632" spans="2:14" x14ac:dyDescent="0.25">
      <c r="B2632" s="42"/>
      <c r="C2632" s="30"/>
      <c r="D2632" s="30"/>
      <c r="E2632" s="30"/>
      <c r="F2632" s="30"/>
      <c r="G2632" s="30"/>
      <c r="H2632" s="47"/>
      <c r="I2632" s="63"/>
      <c r="J2632" s="31"/>
      <c r="K2632" s="31"/>
      <c r="L2632" s="32"/>
      <c r="M2632" s="32"/>
      <c r="N2632" s="32"/>
    </row>
    <row r="2633" spans="2:14" x14ac:dyDescent="0.25">
      <c r="B2633" s="42"/>
      <c r="C2633" s="30"/>
      <c r="D2633" s="30"/>
      <c r="E2633" s="30"/>
      <c r="F2633" s="30"/>
      <c r="G2633" s="30"/>
      <c r="H2633" s="47"/>
      <c r="I2633" s="63"/>
      <c r="J2633" s="31"/>
      <c r="K2633" s="31"/>
      <c r="L2633" s="32"/>
      <c r="M2633" s="32"/>
      <c r="N2633" s="32"/>
    </row>
    <row r="2634" spans="2:14" x14ac:dyDescent="0.25">
      <c r="B2634" s="42"/>
      <c r="C2634" s="30"/>
      <c r="D2634" s="30"/>
      <c r="E2634" s="30"/>
      <c r="F2634" s="30"/>
      <c r="G2634" s="30"/>
      <c r="H2634" s="47"/>
      <c r="I2634" s="63"/>
      <c r="J2634" s="31"/>
      <c r="K2634" s="31"/>
      <c r="L2634" s="32"/>
      <c r="M2634" s="32"/>
      <c r="N2634" s="32"/>
    </row>
    <row r="2635" spans="2:14" x14ac:dyDescent="0.25">
      <c r="B2635" s="42"/>
      <c r="C2635" s="30"/>
      <c r="D2635" s="30"/>
      <c r="E2635" s="30"/>
      <c r="F2635" s="30"/>
      <c r="G2635" s="30"/>
      <c r="H2635" s="47"/>
      <c r="I2635" s="63"/>
      <c r="J2635" s="31"/>
      <c r="K2635" s="31"/>
      <c r="L2635" s="32"/>
      <c r="M2635" s="32"/>
      <c r="N2635" s="32"/>
    </row>
    <row r="2636" spans="2:14" x14ac:dyDescent="0.25">
      <c r="B2636" s="42"/>
      <c r="C2636" s="30"/>
      <c r="D2636" s="30"/>
      <c r="E2636" s="30"/>
      <c r="F2636" s="30"/>
      <c r="G2636" s="30"/>
      <c r="H2636" s="47"/>
      <c r="I2636" s="63"/>
      <c r="J2636" s="31"/>
      <c r="K2636" s="31"/>
      <c r="L2636" s="32"/>
      <c r="M2636" s="32"/>
      <c r="N2636" s="32"/>
    </row>
    <row r="2637" spans="2:14" x14ac:dyDescent="0.25">
      <c r="B2637" s="42"/>
      <c r="C2637" s="30"/>
      <c r="D2637" s="30"/>
      <c r="E2637" s="30"/>
      <c r="F2637" s="30"/>
      <c r="G2637" s="30"/>
      <c r="H2637" s="47"/>
      <c r="I2637" s="63"/>
      <c r="J2637" s="31"/>
      <c r="K2637" s="31"/>
      <c r="L2637" s="32"/>
      <c r="M2637" s="32"/>
      <c r="N2637" s="32"/>
    </row>
    <row r="2638" spans="2:14" x14ac:dyDescent="0.25">
      <c r="B2638" s="42"/>
      <c r="C2638" s="30"/>
      <c r="D2638" s="30"/>
      <c r="E2638" s="30"/>
      <c r="F2638" s="30"/>
      <c r="G2638" s="30"/>
      <c r="H2638" s="47"/>
      <c r="I2638" s="63"/>
      <c r="J2638" s="31"/>
      <c r="K2638" s="31"/>
      <c r="L2638" s="32"/>
      <c r="M2638" s="32"/>
      <c r="N2638" s="32"/>
    </row>
    <row r="2639" spans="2:14" x14ac:dyDescent="0.25">
      <c r="B2639" s="42"/>
      <c r="C2639" s="30"/>
      <c r="D2639" s="30"/>
      <c r="E2639" s="30"/>
      <c r="F2639" s="30"/>
      <c r="G2639" s="30"/>
      <c r="H2639" s="47"/>
      <c r="I2639" s="63"/>
      <c r="J2639" s="31"/>
      <c r="K2639" s="31"/>
      <c r="L2639" s="32"/>
      <c r="M2639" s="32"/>
      <c r="N2639" s="32"/>
    </row>
    <row r="2640" spans="2:14" x14ac:dyDescent="0.25">
      <c r="B2640" s="42"/>
      <c r="C2640" s="30"/>
      <c r="D2640" s="30"/>
      <c r="E2640" s="30"/>
      <c r="F2640" s="30"/>
      <c r="G2640" s="30"/>
      <c r="H2640" s="47"/>
      <c r="I2640" s="63"/>
      <c r="J2640" s="31"/>
      <c r="K2640" s="31"/>
      <c r="L2640" s="32"/>
      <c r="M2640" s="32"/>
      <c r="N2640" s="32"/>
    </row>
    <row r="2641" spans="2:14" x14ac:dyDescent="0.25">
      <c r="B2641" s="42"/>
      <c r="C2641" s="30"/>
      <c r="D2641" s="30"/>
      <c r="E2641" s="30"/>
      <c r="F2641" s="30"/>
      <c r="G2641" s="30"/>
      <c r="H2641" s="47"/>
      <c r="I2641" s="63"/>
      <c r="J2641" s="31"/>
      <c r="K2641" s="31"/>
      <c r="L2641" s="32"/>
      <c r="M2641" s="32"/>
      <c r="N2641" s="32"/>
    </row>
    <row r="2642" spans="2:14" x14ac:dyDescent="0.25">
      <c r="B2642" s="42"/>
      <c r="C2642" s="30"/>
      <c r="D2642" s="30"/>
      <c r="E2642" s="30"/>
      <c r="F2642" s="30"/>
      <c r="G2642" s="30"/>
      <c r="H2642" s="47"/>
      <c r="I2642" s="63"/>
      <c r="J2642" s="31"/>
      <c r="K2642" s="31"/>
      <c r="L2642" s="32"/>
      <c r="M2642" s="32"/>
      <c r="N2642" s="32"/>
    </row>
    <row r="2643" spans="2:14" x14ac:dyDescent="0.25">
      <c r="B2643" s="42"/>
      <c r="C2643" s="30"/>
      <c r="D2643" s="30"/>
      <c r="E2643" s="30"/>
      <c r="F2643" s="30"/>
      <c r="G2643" s="30"/>
      <c r="H2643" s="47"/>
      <c r="I2643" s="63"/>
      <c r="J2643" s="31"/>
      <c r="K2643" s="31"/>
      <c r="L2643" s="32"/>
      <c r="M2643" s="32"/>
      <c r="N2643" s="32"/>
    </row>
    <row r="2644" spans="2:14" x14ac:dyDescent="0.25">
      <c r="B2644" s="42"/>
      <c r="C2644" s="30"/>
      <c r="D2644" s="30"/>
      <c r="E2644" s="30"/>
      <c r="F2644" s="30"/>
      <c r="G2644" s="30"/>
      <c r="H2644" s="47"/>
      <c r="I2644" s="63"/>
      <c r="J2644" s="31"/>
      <c r="K2644" s="31"/>
      <c r="L2644" s="32"/>
      <c r="M2644" s="32"/>
      <c r="N2644" s="32"/>
    </row>
    <row r="2645" spans="2:14" x14ac:dyDescent="0.25">
      <c r="B2645" s="42"/>
      <c r="C2645" s="30"/>
      <c r="D2645" s="30"/>
      <c r="E2645" s="30"/>
      <c r="F2645" s="30"/>
      <c r="G2645" s="30"/>
      <c r="H2645" s="47"/>
      <c r="I2645" s="63"/>
      <c r="J2645" s="31"/>
      <c r="K2645" s="31"/>
      <c r="L2645" s="32"/>
      <c r="M2645" s="32"/>
      <c r="N2645" s="32"/>
    </row>
    <row r="2646" spans="2:14" x14ac:dyDescent="0.25">
      <c r="B2646" s="42"/>
      <c r="C2646" s="30"/>
      <c r="D2646" s="30"/>
      <c r="E2646" s="30"/>
      <c r="F2646" s="30"/>
      <c r="G2646" s="30"/>
      <c r="H2646" s="47"/>
      <c r="I2646" s="63"/>
      <c r="J2646" s="31"/>
      <c r="K2646" s="31"/>
      <c r="L2646" s="32"/>
      <c r="M2646" s="32"/>
      <c r="N2646" s="32"/>
    </row>
    <row r="2647" spans="2:14" x14ac:dyDescent="0.25">
      <c r="B2647" s="42"/>
      <c r="C2647" s="30"/>
      <c r="D2647" s="30"/>
      <c r="E2647" s="30"/>
      <c r="F2647" s="30"/>
      <c r="G2647" s="30"/>
      <c r="H2647" s="47"/>
      <c r="I2647" s="63"/>
      <c r="J2647" s="31"/>
      <c r="K2647" s="31"/>
      <c r="L2647" s="32"/>
      <c r="M2647" s="32"/>
      <c r="N2647" s="32"/>
    </row>
    <row r="2648" spans="2:14" x14ac:dyDescent="0.25">
      <c r="B2648" s="42"/>
      <c r="C2648" s="30"/>
      <c r="D2648" s="30"/>
      <c r="E2648" s="30"/>
      <c r="F2648" s="30"/>
      <c r="G2648" s="30"/>
      <c r="H2648" s="47"/>
      <c r="I2648" s="63"/>
      <c r="J2648" s="31"/>
      <c r="K2648" s="31"/>
      <c r="L2648" s="32"/>
      <c r="M2648" s="32"/>
      <c r="N2648" s="32"/>
    </row>
    <row r="2649" spans="2:14" x14ac:dyDescent="0.25">
      <c r="B2649" s="42"/>
      <c r="C2649" s="30"/>
      <c r="D2649" s="30"/>
      <c r="E2649" s="30"/>
      <c r="F2649" s="30"/>
      <c r="G2649" s="30"/>
      <c r="H2649" s="47"/>
      <c r="I2649" s="63"/>
      <c r="J2649" s="31"/>
      <c r="K2649" s="31"/>
      <c r="L2649" s="32"/>
      <c r="M2649" s="32"/>
      <c r="N2649" s="32"/>
    </row>
    <row r="2650" spans="2:14" x14ac:dyDescent="0.25">
      <c r="B2650" s="42"/>
      <c r="C2650" s="30"/>
      <c r="D2650" s="30"/>
      <c r="E2650" s="30"/>
      <c r="F2650" s="30"/>
      <c r="G2650" s="30"/>
      <c r="H2650" s="47"/>
      <c r="I2650" s="63"/>
      <c r="J2650" s="31"/>
      <c r="K2650" s="31"/>
      <c r="L2650" s="32"/>
      <c r="M2650" s="32"/>
      <c r="N2650" s="32"/>
    </row>
    <row r="2651" spans="2:14" x14ac:dyDescent="0.25">
      <c r="B2651" s="42"/>
      <c r="C2651" s="30"/>
      <c r="D2651" s="30"/>
      <c r="E2651" s="30"/>
      <c r="F2651" s="30"/>
      <c r="G2651" s="30"/>
      <c r="H2651" s="47"/>
      <c r="I2651" s="63"/>
      <c r="J2651" s="31"/>
      <c r="K2651" s="31"/>
      <c r="L2651" s="32"/>
      <c r="M2651" s="32"/>
      <c r="N2651" s="32"/>
    </row>
    <row r="2652" spans="2:14" x14ac:dyDescent="0.25">
      <c r="B2652" s="42"/>
      <c r="C2652" s="30"/>
      <c r="D2652" s="30"/>
      <c r="E2652" s="30"/>
      <c r="F2652" s="30"/>
      <c r="G2652" s="30"/>
      <c r="H2652" s="47"/>
      <c r="I2652" s="63"/>
      <c r="J2652" s="31"/>
      <c r="K2652" s="31"/>
      <c r="L2652" s="32"/>
      <c r="M2652" s="32"/>
      <c r="N2652" s="32"/>
    </row>
    <row r="2653" spans="2:14" x14ac:dyDescent="0.25">
      <c r="B2653" s="42"/>
      <c r="C2653" s="30"/>
      <c r="D2653" s="30"/>
      <c r="E2653" s="30"/>
      <c r="F2653" s="30"/>
      <c r="G2653" s="30"/>
      <c r="H2653" s="47"/>
      <c r="I2653" s="63"/>
      <c r="J2653" s="31"/>
      <c r="K2653" s="31"/>
      <c r="L2653" s="32"/>
      <c r="M2653" s="32"/>
      <c r="N2653" s="32"/>
    </row>
    <row r="2654" spans="2:14" x14ac:dyDescent="0.25">
      <c r="B2654" s="42"/>
      <c r="C2654" s="30"/>
      <c r="D2654" s="30"/>
      <c r="E2654" s="30"/>
      <c r="F2654" s="30"/>
      <c r="G2654" s="30"/>
      <c r="H2654" s="47"/>
      <c r="I2654" s="63"/>
      <c r="J2654" s="31"/>
      <c r="K2654" s="31"/>
      <c r="L2654" s="32"/>
      <c r="M2654" s="32"/>
      <c r="N2654" s="32"/>
    </row>
    <row r="2655" spans="2:14" x14ac:dyDescent="0.25">
      <c r="B2655" s="42"/>
      <c r="C2655" s="30"/>
      <c r="D2655" s="30"/>
      <c r="E2655" s="30"/>
      <c r="F2655" s="30"/>
      <c r="G2655" s="30"/>
      <c r="H2655" s="47"/>
      <c r="I2655" s="63"/>
      <c r="J2655" s="31"/>
      <c r="K2655" s="31"/>
      <c r="L2655" s="32"/>
      <c r="M2655" s="32"/>
      <c r="N2655" s="32"/>
    </row>
    <row r="2656" spans="2:14" x14ac:dyDescent="0.25">
      <c r="B2656" s="42"/>
      <c r="C2656" s="30"/>
      <c r="D2656" s="30"/>
      <c r="E2656" s="30"/>
      <c r="F2656" s="30"/>
      <c r="G2656" s="30"/>
      <c r="H2656" s="47"/>
      <c r="I2656" s="63"/>
      <c r="J2656" s="31"/>
      <c r="K2656" s="31"/>
      <c r="L2656" s="32"/>
      <c r="M2656" s="32"/>
      <c r="N2656" s="32"/>
    </row>
    <row r="2657" spans="2:14" x14ac:dyDescent="0.25">
      <c r="B2657" s="42"/>
      <c r="C2657" s="30"/>
      <c r="D2657" s="30"/>
      <c r="E2657" s="30"/>
      <c r="F2657" s="30"/>
      <c r="G2657" s="30"/>
      <c r="H2657" s="47"/>
      <c r="I2657" s="63"/>
      <c r="J2657" s="31"/>
      <c r="K2657" s="31"/>
      <c r="L2657" s="32"/>
      <c r="M2657" s="32"/>
      <c r="N2657" s="32"/>
    </row>
    <row r="2658" spans="2:14" x14ac:dyDescent="0.25">
      <c r="B2658" s="42"/>
      <c r="C2658" s="30"/>
      <c r="D2658" s="30"/>
      <c r="E2658" s="30"/>
      <c r="F2658" s="30"/>
      <c r="G2658" s="30"/>
      <c r="H2658" s="47"/>
      <c r="I2658" s="63"/>
      <c r="J2658" s="31"/>
      <c r="K2658" s="31"/>
      <c r="L2658" s="32"/>
      <c r="M2658" s="32"/>
      <c r="N2658" s="32"/>
    </row>
    <row r="2659" spans="2:14" x14ac:dyDescent="0.25">
      <c r="B2659" s="42"/>
      <c r="C2659" s="30"/>
      <c r="D2659" s="30"/>
      <c r="E2659" s="30"/>
      <c r="F2659" s="30"/>
      <c r="G2659" s="30"/>
      <c r="H2659" s="47"/>
      <c r="I2659" s="63"/>
      <c r="J2659" s="31"/>
      <c r="K2659" s="31"/>
      <c r="L2659" s="32"/>
      <c r="M2659" s="32"/>
      <c r="N2659" s="32"/>
    </row>
    <row r="2660" spans="2:14" x14ac:dyDescent="0.25">
      <c r="B2660" s="42"/>
      <c r="C2660" s="30"/>
      <c r="D2660" s="30"/>
      <c r="E2660" s="30"/>
      <c r="F2660" s="30"/>
      <c r="G2660" s="30"/>
      <c r="H2660" s="47"/>
      <c r="I2660" s="63"/>
      <c r="J2660" s="31"/>
      <c r="K2660" s="31"/>
      <c r="L2660" s="32"/>
      <c r="M2660" s="32"/>
      <c r="N2660" s="32"/>
    </row>
    <row r="2661" spans="2:14" x14ac:dyDescent="0.25">
      <c r="B2661" s="42"/>
      <c r="C2661" s="30"/>
      <c r="D2661" s="30"/>
      <c r="E2661" s="30"/>
      <c r="F2661" s="30"/>
      <c r="G2661" s="30"/>
      <c r="H2661" s="47"/>
      <c r="I2661" s="63"/>
      <c r="J2661" s="31"/>
      <c r="K2661" s="31"/>
      <c r="L2661" s="32"/>
      <c r="M2661" s="32"/>
      <c r="N2661" s="32"/>
    </row>
    <row r="2662" spans="2:14" x14ac:dyDescent="0.25">
      <c r="B2662" s="42"/>
      <c r="C2662" s="30"/>
      <c r="D2662" s="30"/>
      <c r="E2662" s="30"/>
      <c r="F2662" s="30"/>
      <c r="G2662" s="30"/>
      <c r="H2662" s="47"/>
      <c r="I2662" s="63"/>
      <c r="J2662" s="31"/>
      <c r="K2662" s="31"/>
      <c r="L2662" s="32"/>
      <c r="M2662" s="32"/>
      <c r="N2662" s="32"/>
    </row>
    <row r="2663" spans="2:14" x14ac:dyDescent="0.25">
      <c r="B2663" s="42"/>
      <c r="C2663" s="30"/>
      <c r="D2663" s="30"/>
      <c r="E2663" s="30"/>
      <c r="F2663" s="30"/>
      <c r="G2663" s="30"/>
      <c r="H2663" s="47"/>
      <c r="I2663" s="63"/>
      <c r="J2663" s="31"/>
      <c r="K2663" s="31"/>
      <c r="L2663" s="32"/>
      <c r="M2663" s="32"/>
      <c r="N2663" s="32"/>
    </row>
    <row r="2664" spans="2:14" x14ac:dyDescent="0.25">
      <c r="B2664" s="42"/>
      <c r="C2664" s="30"/>
      <c r="D2664" s="30"/>
      <c r="E2664" s="30"/>
      <c r="F2664" s="30"/>
      <c r="G2664" s="30"/>
      <c r="H2664" s="47"/>
      <c r="I2664" s="63"/>
      <c r="J2664" s="31"/>
      <c r="K2664" s="31"/>
      <c r="L2664" s="32"/>
      <c r="M2664" s="32"/>
      <c r="N2664" s="32"/>
    </row>
    <row r="2665" spans="2:14" x14ac:dyDescent="0.25">
      <c r="B2665" s="42"/>
      <c r="C2665" s="30"/>
      <c r="D2665" s="30"/>
      <c r="E2665" s="30"/>
      <c r="F2665" s="30"/>
      <c r="G2665" s="30"/>
      <c r="H2665" s="47"/>
      <c r="I2665" s="63"/>
      <c r="J2665" s="31"/>
      <c r="K2665" s="31"/>
      <c r="L2665" s="32"/>
      <c r="M2665" s="32"/>
      <c r="N2665" s="32"/>
    </row>
    <row r="2666" spans="2:14" x14ac:dyDescent="0.25">
      <c r="B2666" s="42"/>
      <c r="C2666" s="30"/>
      <c r="D2666" s="30"/>
      <c r="E2666" s="30"/>
      <c r="F2666" s="30"/>
      <c r="G2666" s="30"/>
      <c r="H2666" s="47"/>
      <c r="I2666" s="63"/>
      <c r="J2666" s="31"/>
      <c r="K2666" s="31"/>
      <c r="L2666" s="32"/>
      <c r="M2666" s="32"/>
      <c r="N2666" s="32"/>
    </row>
    <row r="2667" spans="2:14" x14ac:dyDescent="0.25">
      <c r="B2667" s="42"/>
      <c r="C2667" s="30"/>
      <c r="D2667" s="30"/>
      <c r="E2667" s="30"/>
      <c r="F2667" s="30"/>
      <c r="G2667" s="30"/>
      <c r="H2667" s="47"/>
      <c r="I2667" s="63"/>
      <c r="J2667" s="31"/>
      <c r="K2667" s="31"/>
      <c r="L2667" s="32"/>
      <c r="M2667" s="32"/>
      <c r="N2667" s="32"/>
    </row>
    <row r="2668" spans="2:14" x14ac:dyDescent="0.25">
      <c r="B2668" s="42"/>
      <c r="C2668" s="30"/>
      <c r="D2668" s="30"/>
      <c r="E2668" s="30"/>
      <c r="F2668" s="30"/>
      <c r="G2668" s="30"/>
      <c r="H2668" s="47"/>
      <c r="I2668" s="63"/>
      <c r="J2668" s="31"/>
      <c r="K2668" s="31"/>
      <c r="L2668" s="32"/>
      <c r="M2668" s="32"/>
      <c r="N2668" s="32"/>
    </row>
    <row r="2669" spans="2:14" x14ac:dyDescent="0.25">
      <c r="B2669" s="42"/>
      <c r="C2669" s="30"/>
      <c r="D2669" s="30"/>
      <c r="E2669" s="30"/>
      <c r="F2669" s="30"/>
      <c r="G2669" s="30"/>
      <c r="H2669" s="47"/>
      <c r="I2669" s="63"/>
      <c r="J2669" s="31"/>
      <c r="K2669" s="31"/>
      <c r="L2669" s="32"/>
      <c r="M2669" s="32"/>
      <c r="N2669" s="32"/>
    </row>
    <row r="2670" spans="2:14" x14ac:dyDescent="0.25">
      <c r="B2670" s="42"/>
      <c r="C2670" s="30"/>
      <c r="D2670" s="30"/>
      <c r="E2670" s="30"/>
      <c r="F2670" s="30"/>
      <c r="G2670" s="30"/>
      <c r="H2670" s="47"/>
      <c r="I2670" s="63"/>
      <c r="J2670" s="31"/>
      <c r="K2670" s="31"/>
      <c r="L2670" s="32"/>
      <c r="M2670" s="32"/>
      <c r="N2670" s="32"/>
    </row>
    <row r="2671" spans="2:14" x14ac:dyDescent="0.25">
      <c r="B2671" s="42"/>
      <c r="C2671" s="30"/>
      <c r="D2671" s="30"/>
      <c r="E2671" s="30"/>
      <c r="F2671" s="30"/>
      <c r="G2671" s="30"/>
      <c r="H2671" s="47"/>
      <c r="I2671" s="63"/>
      <c r="J2671" s="31"/>
      <c r="K2671" s="31"/>
      <c r="L2671" s="32"/>
      <c r="M2671" s="32"/>
      <c r="N2671" s="32"/>
    </row>
    <row r="2672" spans="2:14" x14ac:dyDescent="0.25">
      <c r="B2672" s="42"/>
      <c r="C2672" s="30"/>
      <c r="D2672" s="30"/>
      <c r="E2672" s="30"/>
      <c r="F2672" s="30"/>
      <c r="G2672" s="30"/>
      <c r="H2672" s="47"/>
      <c r="I2672" s="63"/>
      <c r="J2672" s="31"/>
      <c r="K2672" s="31"/>
      <c r="L2672" s="32"/>
      <c r="M2672" s="32"/>
      <c r="N2672" s="32"/>
    </row>
    <row r="2673" spans="2:14" x14ac:dyDescent="0.25">
      <c r="B2673" s="42"/>
      <c r="C2673" s="30"/>
      <c r="D2673" s="30"/>
      <c r="E2673" s="30"/>
      <c r="F2673" s="30"/>
      <c r="G2673" s="30"/>
      <c r="H2673" s="47"/>
      <c r="I2673" s="63"/>
      <c r="J2673" s="31"/>
      <c r="K2673" s="31"/>
      <c r="L2673" s="32"/>
      <c r="M2673" s="32"/>
      <c r="N2673" s="32"/>
    </row>
    <row r="2674" spans="2:14" x14ac:dyDescent="0.25">
      <c r="B2674" s="42"/>
      <c r="C2674" s="30"/>
      <c r="D2674" s="30"/>
      <c r="E2674" s="30"/>
      <c r="F2674" s="30"/>
      <c r="G2674" s="30"/>
      <c r="H2674" s="47"/>
      <c r="I2674" s="63"/>
      <c r="J2674" s="31"/>
      <c r="K2674" s="31"/>
      <c r="L2674" s="32"/>
      <c r="M2674" s="32"/>
      <c r="N2674" s="32"/>
    </row>
    <row r="2675" spans="2:14" x14ac:dyDescent="0.25">
      <c r="B2675" s="42"/>
      <c r="C2675" s="30"/>
      <c r="D2675" s="30"/>
      <c r="E2675" s="30"/>
      <c r="F2675" s="30"/>
      <c r="G2675" s="30"/>
      <c r="H2675" s="47"/>
      <c r="I2675" s="63"/>
      <c r="J2675" s="31"/>
      <c r="K2675" s="31"/>
      <c r="L2675" s="32"/>
      <c r="M2675" s="32"/>
      <c r="N2675" s="32"/>
    </row>
    <row r="2676" spans="2:14" x14ac:dyDescent="0.25">
      <c r="B2676" s="42"/>
      <c r="C2676" s="30"/>
      <c r="D2676" s="30"/>
      <c r="E2676" s="30"/>
      <c r="F2676" s="30"/>
      <c r="G2676" s="30"/>
      <c r="H2676" s="47"/>
      <c r="I2676" s="63"/>
      <c r="J2676" s="31"/>
      <c r="K2676" s="31"/>
      <c r="L2676" s="32"/>
      <c r="M2676" s="32"/>
      <c r="N2676" s="32"/>
    </row>
    <row r="2677" spans="2:14" x14ac:dyDescent="0.25">
      <c r="B2677" s="42"/>
      <c r="C2677" s="30"/>
      <c r="D2677" s="30"/>
      <c r="E2677" s="30"/>
      <c r="F2677" s="30"/>
      <c r="G2677" s="30"/>
      <c r="H2677" s="47"/>
      <c r="I2677" s="63"/>
      <c r="J2677" s="31"/>
      <c r="K2677" s="31"/>
      <c r="L2677" s="32"/>
      <c r="M2677" s="32"/>
      <c r="N2677" s="32"/>
    </row>
    <row r="2678" spans="2:14" x14ac:dyDescent="0.25">
      <c r="B2678" s="42"/>
      <c r="C2678" s="30"/>
      <c r="D2678" s="30"/>
      <c r="E2678" s="30"/>
      <c r="F2678" s="30"/>
      <c r="G2678" s="30"/>
      <c r="H2678" s="47"/>
      <c r="I2678" s="63"/>
      <c r="J2678" s="31"/>
      <c r="K2678" s="31"/>
      <c r="L2678" s="32"/>
      <c r="M2678" s="32"/>
      <c r="N2678" s="32"/>
    </row>
    <row r="2679" spans="2:14" x14ac:dyDescent="0.25">
      <c r="B2679" s="42"/>
      <c r="C2679" s="30"/>
      <c r="D2679" s="30"/>
      <c r="E2679" s="30"/>
      <c r="F2679" s="30"/>
      <c r="G2679" s="30"/>
      <c r="H2679" s="47"/>
      <c r="I2679" s="63"/>
      <c r="J2679" s="31"/>
      <c r="K2679" s="31"/>
      <c r="L2679" s="32"/>
      <c r="M2679" s="32"/>
      <c r="N2679" s="32"/>
    </row>
    <row r="2680" spans="2:14" x14ac:dyDescent="0.25">
      <c r="B2680" s="42"/>
      <c r="C2680" s="30"/>
      <c r="D2680" s="30"/>
      <c r="E2680" s="30"/>
      <c r="F2680" s="30"/>
      <c r="G2680" s="30"/>
      <c r="H2680" s="47"/>
      <c r="I2680" s="63"/>
      <c r="J2680" s="31"/>
      <c r="K2680" s="31"/>
      <c r="L2680" s="32"/>
      <c r="M2680" s="32"/>
      <c r="N2680" s="32"/>
    </row>
    <row r="2681" spans="2:14" x14ac:dyDescent="0.25">
      <c r="B2681" s="42"/>
      <c r="C2681" s="30"/>
      <c r="D2681" s="30"/>
      <c r="E2681" s="30"/>
      <c r="F2681" s="30"/>
      <c r="G2681" s="30"/>
      <c r="H2681" s="47"/>
      <c r="I2681" s="63"/>
      <c r="J2681" s="31"/>
      <c r="K2681" s="31"/>
      <c r="L2681" s="32"/>
      <c r="M2681" s="32"/>
      <c r="N2681" s="32"/>
    </row>
    <row r="2682" spans="2:14" x14ac:dyDescent="0.25">
      <c r="B2682" s="42"/>
      <c r="C2682" s="30"/>
      <c r="D2682" s="30"/>
      <c r="E2682" s="30"/>
      <c r="F2682" s="30"/>
      <c r="G2682" s="30"/>
      <c r="H2682" s="47"/>
      <c r="I2682" s="63"/>
      <c r="J2682" s="31"/>
      <c r="K2682" s="31"/>
      <c r="L2682" s="32"/>
      <c r="M2682" s="32"/>
      <c r="N2682" s="32"/>
    </row>
    <row r="2683" spans="2:14" x14ac:dyDescent="0.25">
      <c r="B2683" s="42"/>
      <c r="C2683" s="30"/>
      <c r="D2683" s="30"/>
      <c r="E2683" s="30"/>
      <c r="F2683" s="30"/>
      <c r="G2683" s="30"/>
      <c r="H2683" s="47"/>
      <c r="I2683" s="63"/>
      <c r="J2683" s="31"/>
      <c r="K2683" s="31"/>
      <c r="L2683" s="32"/>
      <c r="M2683" s="32"/>
      <c r="N2683" s="32"/>
    </row>
    <row r="2684" spans="2:14" x14ac:dyDescent="0.25">
      <c r="B2684" s="42"/>
      <c r="C2684" s="30"/>
      <c r="D2684" s="30"/>
      <c r="E2684" s="30"/>
      <c r="F2684" s="30"/>
      <c r="G2684" s="30"/>
      <c r="H2684" s="47"/>
      <c r="I2684" s="63"/>
      <c r="J2684" s="31"/>
      <c r="K2684" s="31"/>
      <c r="L2684" s="32"/>
      <c r="M2684" s="32"/>
      <c r="N2684" s="32"/>
    </row>
    <row r="2685" spans="2:14" x14ac:dyDescent="0.25">
      <c r="B2685" s="42"/>
      <c r="C2685" s="30"/>
      <c r="D2685" s="30"/>
      <c r="E2685" s="30"/>
      <c r="F2685" s="30"/>
      <c r="G2685" s="30"/>
      <c r="H2685" s="47"/>
      <c r="I2685" s="63"/>
      <c r="J2685" s="31"/>
      <c r="K2685" s="31"/>
      <c r="L2685" s="32"/>
      <c r="M2685" s="32"/>
      <c r="N2685" s="32"/>
    </row>
    <row r="2686" spans="2:14" x14ac:dyDescent="0.25">
      <c r="B2686" s="42"/>
      <c r="C2686" s="30"/>
      <c r="D2686" s="30"/>
      <c r="E2686" s="30"/>
      <c r="F2686" s="30"/>
      <c r="G2686" s="30"/>
      <c r="H2686" s="47"/>
      <c r="I2686" s="63"/>
      <c r="J2686" s="31"/>
      <c r="K2686" s="31"/>
      <c r="L2686" s="32"/>
      <c r="M2686" s="32"/>
      <c r="N2686" s="32"/>
    </row>
    <row r="2687" spans="2:14" x14ac:dyDescent="0.25">
      <c r="B2687" s="42"/>
      <c r="C2687" s="30"/>
      <c r="D2687" s="30"/>
      <c r="E2687" s="30"/>
      <c r="F2687" s="30"/>
      <c r="G2687" s="30"/>
      <c r="H2687" s="47"/>
      <c r="I2687" s="63"/>
      <c r="J2687" s="31"/>
      <c r="K2687" s="31"/>
      <c r="L2687" s="32"/>
      <c r="M2687" s="32"/>
      <c r="N2687" s="32"/>
    </row>
    <row r="2688" spans="2:14" x14ac:dyDescent="0.25">
      <c r="B2688" s="42"/>
      <c r="C2688" s="30"/>
      <c r="D2688" s="30"/>
      <c r="E2688" s="30"/>
      <c r="F2688" s="30"/>
      <c r="G2688" s="30"/>
      <c r="H2688" s="47"/>
      <c r="I2688" s="63"/>
      <c r="J2688" s="31"/>
      <c r="K2688" s="31"/>
      <c r="L2688" s="32"/>
      <c r="M2688" s="32"/>
      <c r="N2688" s="32"/>
    </row>
    <row r="2689" spans="2:14" x14ac:dyDescent="0.25">
      <c r="B2689" s="42"/>
      <c r="C2689" s="30"/>
      <c r="D2689" s="30"/>
      <c r="E2689" s="30"/>
      <c r="F2689" s="30"/>
      <c r="G2689" s="30"/>
      <c r="H2689" s="47"/>
      <c r="I2689" s="63"/>
      <c r="J2689" s="31"/>
      <c r="K2689" s="31"/>
      <c r="L2689" s="32"/>
      <c r="M2689" s="32"/>
      <c r="N2689" s="32"/>
    </row>
    <row r="2690" spans="2:14" x14ac:dyDescent="0.25">
      <c r="B2690" s="42"/>
      <c r="C2690" s="30"/>
      <c r="D2690" s="30"/>
      <c r="E2690" s="30"/>
      <c r="F2690" s="30"/>
      <c r="G2690" s="30"/>
      <c r="H2690" s="47"/>
      <c r="I2690" s="63"/>
      <c r="J2690" s="31"/>
      <c r="K2690" s="31"/>
      <c r="L2690" s="32"/>
      <c r="M2690" s="32"/>
      <c r="N2690" s="32"/>
    </row>
    <row r="2691" spans="2:14" x14ac:dyDescent="0.25">
      <c r="B2691" s="42"/>
      <c r="C2691" s="30"/>
      <c r="D2691" s="30"/>
      <c r="E2691" s="30"/>
      <c r="F2691" s="30"/>
      <c r="G2691" s="30"/>
      <c r="H2691" s="47"/>
      <c r="I2691" s="63"/>
      <c r="J2691" s="31"/>
      <c r="K2691" s="31"/>
      <c r="L2691" s="32"/>
      <c r="M2691" s="32"/>
      <c r="N2691" s="32"/>
    </row>
    <row r="2692" spans="2:14" x14ac:dyDescent="0.25">
      <c r="B2692" s="42"/>
      <c r="C2692" s="30"/>
      <c r="D2692" s="30"/>
      <c r="E2692" s="30"/>
      <c r="F2692" s="30"/>
      <c r="G2692" s="30"/>
      <c r="H2692" s="47"/>
      <c r="I2692" s="63"/>
      <c r="J2692" s="31"/>
      <c r="K2692" s="31"/>
      <c r="L2692" s="32"/>
      <c r="M2692" s="32"/>
      <c r="N2692" s="32"/>
    </row>
    <row r="2693" spans="2:14" x14ac:dyDescent="0.25">
      <c r="B2693" s="42"/>
      <c r="C2693" s="30"/>
      <c r="D2693" s="30"/>
      <c r="E2693" s="30"/>
      <c r="F2693" s="30"/>
      <c r="G2693" s="30"/>
      <c r="H2693" s="47"/>
      <c r="I2693" s="63"/>
      <c r="J2693" s="31"/>
      <c r="K2693" s="31"/>
      <c r="L2693" s="32"/>
      <c r="M2693" s="32"/>
      <c r="N2693" s="32"/>
    </row>
    <row r="2694" spans="2:14" x14ac:dyDescent="0.25">
      <c r="B2694" s="42"/>
      <c r="C2694" s="30"/>
      <c r="D2694" s="30"/>
      <c r="E2694" s="30"/>
      <c r="F2694" s="30"/>
      <c r="G2694" s="30"/>
      <c r="H2694" s="47"/>
      <c r="I2694" s="63"/>
      <c r="J2694" s="31"/>
      <c r="K2694" s="31"/>
      <c r="L2694" s="32"/>
      <c r="M2694" s="32"/>
      <c r="N2694" s="32"/>
    </row>
    <row r="2695" spans="2:14" x14ac:dyDescent="0.25">
      <c r="B2695" s="42"/>
      <c r="C2695" s="30"/>
      <c r="D2695" s="30"/>
      <c r="E2695" s="30"/>
      <c r="F2695" s="30"/>
      <c r="G2695" s="30"/>
      <c r="H2695" s="47"/>
      <c r="I2695" s="63"/>
      <c r="J2695" s="31"/>
      <c r="K2695" s="31"/>
      <c r="L2695" s="32"/>
      <c r="M2695" s="32"/>
      <c r="N2695" s="32"/>
    </row>
    <row r="2696" spans="2:14" x14ac:dyDescent="0.25">
      <c r="B2696" s="42"/>
      <c r="C2696" s="30"/>
      <c r="D2696" s="30"/>
      <c r="E2696" s="30"/>
      <c r="F2696" s="30"/>
      <c r="G2696" s="30"/>
      <c r="H2696" s="47"/>
      <c r="I2696" s="63"/>
      <c r="J2696" s="31"/>
      <c r="K2696" s="31"/>
      <c r="L2696" s="32"/>
      <c r="M2696" s="32"/>
      <c r="N2696" s="32"/>
    </row>
    <row r="2697" spans="2:14" x14ac:dyDescent="0.25">
      <c r="B2697" s="42"/>
      <c r="C2697" s="30"/>
      <c r="D2697" s="30"/>
      <c r="E2697" s="30"/>
      <c r="F2697" s="30"/>
      <c r="G2697" s="30"/>
      <c r="H2697" s="47"/>
      <c r="I2697" s="63"/>
      <c r="J2697" s="31"/>
      <c r="K2697" s="31"/>
      <c r="L2697" s="32"/>
      <c r="M2697" s="32"/>
      <c r="N2697" s="32"/>
    </row>
    <row r="2698" spans="2:14" x14ac:dyDescent="0.25">
      <c r="B2698" s="42"/>
      <c r="C2698" s="30"/>
      <c r="D2698" s="30"/>
      <c r="E2698" s="30"/>
      <c r="F2698" s="30"/>
      <c r="G2698" s="30"/>
      <c r="H2698" s="47"/>
      <c r="I2698" s="63"/>
      <c r="J2698" s="31"/>
      <c r="K2698" s="31"/>
      <c r="L2698" s="32"/>
      <c r="M2698" s="32"/>
      <c r="N2698" s="32"/>
    </row>
    <row r="2699" spans="2:14" x14ac:dyDescent="0.25">
      <c r="B2699" s="42"/>
      <c r="C2699" s="30"/>
      <c r="D2699" s="30"/>
      <c r="E2699" s="30"/>
      <c r="F2699" s="30"/>
      <c r="G2699" s="30"/>
      <c r="H2699" s="47"/>
      <c r="I2699" s="63"/>
      <c r="J2699" s="31"/>
      <c r="K2699" s="31"/>
      <c r="L2699" s="32"/>
      <c r="M2699" s="32"/>
      <c r="N2699" s="32"/>
    </row>
    <row r="2700" spans="2:14" x14ac:dyDescent="0.25">
      <c r="B2700" s="42"/>
      <c r="C2700" s="30"/>
      <c r="D2700" s="30"/>
      <c r="E2700" s="30"/>
      <c r="F2700" s="30"/>
      <c r="G2700" s="30"/>
      <c r="H2700" s="47"/>
      <c r="I2700" s="63"/>
      <c r="J2700" s="31"/>
      <c r="K2700" s="31"/>
      <c r="L2700" s="32"/>
      <c r="M2700" s="32"/>
      <c r="N2700" s="32"/>
    </row>
    <row r="2701" spans="2:14" x14ac:dyDescent="0.25">
      <c r="B2701" s="42"/>
      <c r="C2701" s="30"/>
      <c r="D2701" s="30"/>
      <c r="E2701" s="30"/>
      <c r="F2701" s="30"/>
      <c r="G2701" s="30"/>
      <c r="H2701" s="47"/>
      <c r="I2701" s="63"/>
      <c r="J2701" s="31"/>
      <c r="K2701" s="31"/>
      <c r="L2701" s="32"/>
      <c r="M2701" s="32"/>
      <c r="N2701" s="32"/>
    </row>
    <row r="2702" spans="2:14" x14ac:dyDescent="0.25">
      <c r="B2702" s="42"/>
      <c r="C2702" s="30"/>
      <c r="D2702" s="30"/>
      <c r="E2702" s="30"/>
      <c r="F2702" s="30"/>
      <c r="G2702" s="30"/>
      <c r="H2702" s="47"/>
      <c r="I2702" s="63"/>
      <c r="J2702" s="31"/>
      <c r="K2702" s="31"/>
      <c r="L2702" s="32"/>
      <c r="M2702" s="32"/>
      <c r="N2702" s="32"/>
    </row>
    <row r="2703" spans="2:14" x14ac:dyDescent="0.25">
      <c r="B2703" s="42"/>
      <c r="C2703" s="30"/>
      <c r="D2703" s="30"/>
      <c r="E2703" s="30"/>
      <c r="F2703" s="30"/>
      <c r="G2703" s="30"/>
      <c r="H2703" s="47"/>
      <c r="I2703" s="63"/>
      <c r="J2703" s="31"/>
      <c r="K2703" s="31"/>
      <c r="L2703" s="32"/>
      <c r="M2703" s="32"/>
      <c r="N2703" s="32"/>
    </row>
    <row r="2704" spans="2:14" x14ac:dyDescent="0.25">
      <c r="B2704" s="42"/>
      <c r="C2704" s="30"/>
      <c r="D2704" s="30"/>
      <c r="E2704" s="30"/>
      <c r="F2704" s="30"/>
      <c r="G2704" s="30"/>
      <c r="H2704" s="47"/>
      <c r="I2704" s="63"/>
      <c r="J2704" s="31"/>
      <c r="K2704" s="31"/>
      <c r="L2704" s="32"/>
      <c r="M2704" s="32"/>
      <c r="N2704" s="32"/>
    </row>
    <row r="2705" spans="2:14" x14ac:dyDescent="0.25">
      <c r="B2705" s="42"/>
      <c r="C2705" s="30"/>
      <c r="D2705" s="30"/>
      <c r="E2705" s="30"/>
      <c r="F2705" s="30"/>
      <c r="G2705" s="30"/>
      <c r="H2705" s="47"/>
      <c r="I2705" s="63"/>
      <c r="J2705" s="31"/>
      <c r="K2705" s="31"/>
      <c r="L2705" s="32"/>
      <c r="M2705" s="32"/>
      <c r="N2705" s="32"/>
    </row>
    <row r="2706" spans="2:14" x14ac:dyDescent="0.25">
      <c r="B2706" s="42"/>
      <c r="C2706" s="30"/>
      <c r="D2706" s="30"/>
      <c r="E2706" s="30"/>
      <c r="F2706" s="30"/>
      <c r="G2706" s="30"/>
      <c r="H2706" s="47"/>
      <c r="I2706" s="63"/>
      <c r="J2706" s="31"/>
      <c r="K2706" s="31"/>
      <c r="L2706" s="32"/>
      <c r="M2706" s="32"/>
      <c r="N2706" s="32"/>
    </row>
    <row r="2707" spans="2:14" x14ac:dyDescent="0.25">
      <c r="B2707" s="42"/>
      <c r="C2707" s="30"/>
      <c r="D2707" s="30"/>
      <c r="E2707" s="30"/>
      <c r="F2707" s="30"/>
      <c r="G2707" s="30"/>
      <c r="H2707" s="47"/>
      <c r="I2707" s="63"/>
      <c r="J2707" s="31"/>
      <c r="K2707" s="31"/>
      <c r="L2707" s="32"/>
      <c r="M2707" s="32"/>
      <c r="N2707" s="32"/>
    </row>
    <row r="2708" spans="2:14" x14ac:dyDescent="0.25">
      <c r="B2708" s="42"/>
      <c r="C2708" s="30"/>
      <c r="D2708" s="30"/>
      <c r="E2708" s="30"/>
      <c r="F2708" s="30"/>
      <c r="G2708" s="30"/>
      <c r="H2708" s="47"/>
      <c r="I2708" s="63"/>
      <c r="J2708" s="31"/>
      <c r="K2708" s="31"/>
      <c r="L2708" s="32"/>
      <c r="M2708" s="32"/>
      <c r="N2708" s="32"/>
    </row>
    <row r="2709" spans="2:14" x14ac:dyDescent="0.25">
      <c r="B2709" s="42"/>
      <c r="C2709" s="30"/>
      <c r="D2709" s="30"/>
      <c r="E2709" s="30"/>
      <c r="F2709" s="30"/>
      <c r="G2709" s="30"/>
      <c r="H2709" s="47"/>
      <c r="I2709" s="63"/>
      <c r="J2709" s="31"/>
      <c r="K2709" s="31"/>
      <c r="L2709" s="32"/>
      <c r="M2709" s="32"/>
      <c r="N2709" s="32"/>
    </row>
    <row r="2710" spans="2:14" x14ac:dyDescent="0.25">
      <c r="B2710" s="42"/>
      <c r="C2710" s="30"/>
      <c r="D2710" s="30"/>
      <c r="E2710" s="30"/>
      <c r="F2710" s="30"/>
      <c r="G2710" s="30"/>
      <c r="H2710" s="47"/>
      <c r="I2710" s="63"/>
      <c r="J2710" s="31"/>
      <c r="K2710" s="31"/>
      <c r="L2710" s="32"/>
      <c r="M2710" s="32"/>
      <c r="N2710" s="32"/>
    </row>
    <row r="2711" spans="2:14" x14ac:dyDescent="0.25">
      <c r="B2711" s="42"/>
      <c r="C2711" s="30"/>
      <c r="D2711" s="30"/>
      <c r="E2711" s="30"/>
      <c r="F2711" s="30"/>
      <c r="G2711" s="30"/>
      <c r="H2711" s="47"/>
      <c r="I2711" s="63"/>
      <c r="J2711" s="31"/>
      <c r="K2711" s="31"/>
      <c r="L2711" s="32"/>
      <c r="M2711" s="32"/>
      <c r="N2711" s="32"/>
    </row>
    <row r="2712" spans="2:14" x14ac:dyDescent="0.25">
      <c r="B2712" s="42"/>
      <c r="C2712" s="30"/>
      <c r="D2712" s="30"/>
      <c r="E2712" s="30"/>
      <c r="F2712" s="30"/>
      <c r="G2712" s="30"/>
      <c r="H2712" s="47"/>
      <c r="I2712" s="63"/>
      <c r="J2712" s="31"/>
      <c r="K2712" s="31"/>
      <c r="L2712" s="32"/>
      <c r="M2712" s="32"/>
      <c r="N2712" s="32"/>
    </row>
    <row r="2713" spans="2:14" x14ac:dyDescent="0.25">
      <c r="B2713" s="42"/>
      <c r="C2713" s="30"/>
      <c r="D2713" s="30"/>
      <c r="E2713" s="30"/>
      <c r="F2713" s="30"/>
      <c r="G2713" s="30"/>
      <c r="H2713" s="47"/>
      <c r="I2713" s="63"/>
      <c r="J2713" s="31"/>
      <c r="K2713" s="31"/>
      <c r="L2713" s="32"/>
      <c r="M2713" s="32"/>
      <c r="N2713" s="32"/>
    </row>
    <row r="2714" spans="2:14" x14ac:dyDescent="0.25">
      <c r="B2714" s="42"/>
      <c r="C2714" s="30"/>
      <c r="D2714" s="30"/>
      <c r="E2714" s="30"/>
      <c r="F2714" s="30"/>
      <c r="G2714" s="30"/>
      <c r="H2714" s="47"/>
      <c r="I2714" s="63"/>
      <c r="J2714" s="31"/>
      <c r="K2714" s="31"/>
      <c r="L2714" s="32"/>
      <c r="M2714" s="32"/>
      <c r="N2714" s="32"/>
    </row>
    <row r="2715" spans="2:14" x14ac:dyDescent="0.25">
      <c r="B2715" s="42"/>
      <c r="C2715" s="30"/>
      <c r="D2715" s="30"/>
      <c r="E2715" s="30"/>
      <c r="F2715" s="30"/>
      <c r="G2715" s="30"/>
      <c r="H2715" s="47"/>
      <c r="I2715" s="63"/>
      <c r="J2715" s="31"/>
      <c r="K2715" s="31"/>
      <c r="L2715" s="32"/>
      <c r="M2715" s="32"/>
      <c r="N2715" s="32"/>
    </row>
    <row r="2716" spans="2:14" x14ac:dyDescent="0.25">
      <c r="B2716" s="42"/>
      <c r="C2716" s="30"/>
      <c r="D2716" s="30"/>
      <c r="E2716" s="30"/>
      <c r="F2716" s="30"/>
      <c r="G2716" s="30"/>
      <c r="H2716" s="47"/>
      <c r="I2716" s="63"/>
      <c r="J2716" s="31"/>
      <c r="K2716" s="31"/>
      <c r="L2716" s="32"/>
      <c r="M2716" s="32"/>
      <c r="N2716" s="32"/>
    </row>
    <row r="2717" spans="2:14" x14ac:dyDescent="0.25">
      <c r="B2717" s="42"/>
      <c r="C2717" s="30"/>
      <c r="D2717" s="30"/>
      <c r="E2717" s="30"/>
      <c r="F2717" s="30"/>
      <c r="G2717" s="30"/>
      <c r="H2717" s="47"/>
      <c r="I2717" s="63"/>
      <c r="J2717" s="31"/>
      <c r="K2717" s="31"/>
      <c r="L2717" s="32"/>
      <c r="M2717" s="32"/>
      <c r="N2717" s="32"/>
    </row>
    <row r="2718" spans="2:14" x14ac:dyDescent="0.25">
      <c r="B2718" s="42"/>
      <c r="C2718" s="30"/>
      <c r="D2718" s="30"/>
      <c r="E2718" s="30"/>
      <c r="F2718" s="30"/>
      <c r="G2718" s="30"/>
      <c r="H2718" s="47"/>
      <c r="I2718" s="63"/>
      <c r="J2718" s="31"/>
      <c r="K2718" s="31"/>
      <c r="L2718" s="32"/>
      <c r="M2718" s="32"/>
      <c r="N2718" s="32"/>
    </row>
    <row r="2719" spans="2:14" x14ac:dyDescent="0.25">
      <c r="B2719" s="42"/>
      <c r="C2719" s="30"/>
      <c r="D2719" s="30"/>
      <c r="E2719" s="30"/>
      <c r="F2719" s="30"/>
      <c r="G2719" s="30"/>
      <c r="H2719" s="47"/>
      <c r="I2719" s="63"/>
      <c r="J2719" s="31"/>
      <c r="K2719" s="31"/>
      <c r="L2719" s="32"/>
      <c r="M2719" s="32"/>
      <c r="N2719" s="32"/>
    </row>
    <row r="2720" spans="2:14" x14ac:dyDescent="0.25">
      <c r="B2720" s="42"/>
      <c r="C2720" s="30"/>
      <c r="D2720" s="30"/>
      <c r="E2720" s="30"/>
      <c r="F2720" s="30"/>
      <c r="G2720" s="30"/>
      <c r="H2720" s="47"/>
      <c r="I2720" s="63"/>
      <c r="J2720" s="31"/>
      <c r="K2720" s="31"/>
      <c r="L2720" s="32"/>
      <c r="M2720" s="32"/>
      <c r="N2720" s="32"/>
    </row>
    <row r="2721" spans="2:14" x14ac:dyDescent="0.25">
      <c r="B2721" s="42"/>
      <c r="C2721" s="30"/>
      <c r="D2721" s="30"/>
      <c r="E2721" s="30"/>
      <c r="F2721" s="30"/>
      <c r="G2721" s="30"/>
      <c r="H2721" s="47"/>
      <c r="I2721" s="63"/>
      <c r="J2721" s="31"/>
      <c r="K2721" s="31"/>
      <c r="L2721" s="32"/>
      <c r="M2721" s="32"/>
      <c r="N2721" s="32"/>
    </row>
    <row r="2722" spans="2:14" x14ac:dyDescent="0.25">
      <c r="B2722" s="42"/>
      <c r="C2722" s="30"/>
      <c r="D2722" s="30"/>
      <c r="E2722" s="30"/>
      <c r="F2722" s="30"/>
      <c r="G2722" s="30"/>
      <c r="H2722" s="47"/>
      <c r="I2722" s="63"/>
      <c r="J2722" s="31"/>
      <c r="K2722" s="31"/>
      <c r="L2722" s="32"/>
      <c r="M2722" s="32"/>
      <c r="N2722" s="32"/>
    </row>
    <row r="2723" spans="2:14" x14ac:dyDescent="0.25">
      <c r="B2723" s="42"/>
      <c r="C2723" s="30"/>
      <c r="D2723" s="30"/>
      <c r="E2723" s="30"/>
      <c r="F2723" s="30"/>
      <c r="G2723" s="30"/>
      <c r="H2723" s="47"/>
      <c r="I2723" s="63"/>
      <c r="J2723" s="31"/>
      <c r="K2723" s="31"/>
      <c r="L2723" s="32"/>
      <c r="M2723" s="32"/>
      <c r="N2723" s="32"/>
    </row>
    <row r="2724" spans="2:14" x14ac:dyDescent="0.25">
      <c r="B2724" s="42"/>
      <c r="C2724" s="30"/>
      <c r="D2724" s="30"/>
      <c r="E2724" s="30"/>
      <c r="F2724" s="30"/>
      <c r="G2724" s="30"/>
      <c r="H2724" s="47"/>
      <c r="I2724" s="63"/>
      <c r="J2724" s="31"/>
      <c r="K2724" s="31"/>
      <c r="L2724" s="32"/>
      <c r="M2724" s="32"/>
      <c r="N2724" s="32"/>
    </row>
    <row r="2725" spans="2:14" x14ac:dyDescent="0.25">
      <c r="B2725" s="42"/>
      <c r="C2725" s="30"/>
      <c r="D2725" s="30"/>
      <c r="E2725" s="30"/>
      <c r="F2725" s="30"/>
      <c r="G2725" s="30"/>
      <c r="H2725" s="47"/>
      <c r="I2725" s="63"/>
      <c r="J2725" s="31"/>
      <c r="K2725" s="31"/>
      <c r="L2725" s="32"/>
      <c r="M2725" s="32"/>
      <c r="N2725" s="32"/>
    </row>
    <row r="2726" spans="2:14" x14ac:dyDescent="0.25">
      <c r="B2726" s="42"/>
      <c r="C2726" s="30"/>
      <c r="D2726" s="30"/>
      <c r="E2726" s="30"/>
      <c r="F2726" s="30"/>
      <c r="G2726" s="30"/>
      <c r="H2726" s="47"/>
      <c r="I2726" s="63"/>
      <c r="J2726" s="31"/>
      <c r="K2726" s="31"/>
      <c r="L2726" s="32"/>
      <c r="M2726" s="32"/>
      <c r="N2726" s="32"/>
    </row>
    <row r="2727" spans="2:14" x14ac:dyDescent="0.25">
      <c r="B2727" s="42"/>
      <c r="C2727" s="30"/>
      <c r="D2727" s="30"/>
      <c r="E2727" s="30"/>
      <c r="F2727" s="30"/>
      <c r="G2727" s="30"/>
      <c r="H2727" s="47"/>
      <c r="I2727" s="63"/>
      <c r="J2727" s="31"/>
      <c r="K2727" s="31"/>
      <c r="L2727" s="32"/>
      <c r="M2727" s="32"/>
      <c r="N2727" s="32"/>
    </row>
    <row r="2728" spans="2:14" x14ac:dyDescent="0.25">
      <c r="B2728" s="42"/>
      <c r="C2728" s="30"/>
      <c r="D2728" s="30"/>
      <c r="E2728" s="30"/>
      <c r="F2728" s="30"/>
      <c r="G2728" s="30"/>
      <c r="H2728" s="47"/>
      <c r="I2728" s="63"/>
      <c r="J2728" s="31"/>
      <c r="K2728" s="31"/>
      <c r="L2728" s="32"/>
      <c r="M2728" s="32"/>
      <c r="N2728" s="32"/>
    </row>
    <row r="2729" spans="2:14" x14ac:dyDescent="0.25">
      <c r="B2729" s="42"/>
      <c r="C2729" s="30"/>
      <c r="D2729" s="30"/>
      <c r="E2729" s="30"/>
      <c r="F2729" s="30"/>
      <c r="G2729" s="30"/>
      <c r="H2729" s="47"/>
      <c r="I2729" s="63"/>
      <c r="J2729" s="31"/>
      <c r="K2729" s="31"/>
      <c r="L2729" s="32"/>
      <c r="M2729" s="32"/>
      <c r="N2729" s="32"/>
    </row>
    <row r="2730" spans="2:14" x14ac:dyDescent="0.25">
      <c r="B2730" s="42"/>
      <c r="C2730" s="30"/>
      <c r="D2730" s="30"/>
      <c r="E2730" s="30"/>
      <c r="F2730" s="30"/>
      <c r="G2730" s="30"/>
      <c r="H2730" s="47"/>
      <c r="I2730" s="63"/>
      <c r="J2730" s="31"/>
      <c r="K2730" s="31"/>
      <c r="L2730" s="32"/>
      <c r="M2730" s="32"/>
      <c r="N2730" s="32"/>
    </row>
    <row r="2731" spans="2:14" x14ac:dyDescent="0.25">
      <c r="B2731" s="42"/>
      <c r="C2731" s="30"/>
      <c r="D2731" s="30"/>
      <c r="E2731" s="30"/>
      <c r="F2731" s="30"/>
      <c r="G2731" s="30"/>
      <c r="H2731" s="47"/>
      <c r="I2731" s="63"/>
      <c r="J2731" s="31"/>
      <c r="K2731" s="31"/>
      <c r="L2731" s="32"/>
      <c r="M2731" s="32"/>
      <c r="N2731" s="32"/>
    </row>
    <row r="2732" spans="2:14" x14ac:dyDescent="0.25">
      <c r="B2732" s="42"/>
      <c r="C2732" s="30"/>
      <c r="D2732" s="30"/>
      <c r="E2732" s="30"/>
      <c r="F2732" s="30"/>
      <c r="G2732" s="30"/>
      <c r="H2732" s="47"/>
      <c r="I2732" s="63"/>
      <c r="J2732" s="31"/>
      <c r="K2732" s="31"/>
      <c r="L2732" s="32"/>
      <c r="M2732" s="32"/>
      <c r="N2732" s="32"/>
    </row>
    <row r="2733" spans="2:14" x14ac:dyDescent="0.25">
      <c r="B2733" s="42"/>
      <c r="C2733" s="30"/>
      <c r="D2733" s="30"/>
      <c r="E2733" s="30"/>
      <c r="F2733" s="30"/>
      <c r="G2733" s="30"/>
      <c r="H2733" s="47"/>
      <c r="I2733" s="63"/>
      <c r="J2733" s="31"/>
      <c r="K2733" s="31"/>
      <c r="L2733" s="32"/>
      <c r="M2733" s="32"/>
      <c r="N2733" s="32"/>
    </row>
    <row r="2734" spans="2:14" x14ac:dyDescent="0.25">
      <c r="B2734" s="42"/>
      <c r="C2734" s="30"/>
      <c r="D2734" s="30"/>
      <c r="E2734" s="30"/>
      <c r="F2734" s="30"/>
      <c r="G2734" s="30"/>
      <c r="H2734" s="47"/>
      <c r="I2734" s="63"/>
      <c r="J2734" s="31"/>
      <c r="K2734" s="31"/>
      <c r="L2734" s="32"/>
      <c r="M2734" s="32"/>
      <c r="N2734" s="32"/>
    </row>
    <row r="2735" spans="2:14" x14ac:dyDescent="0.25">
      <c r="B2735" s="42"/>
      <c r="C2735" s="30"/>
      <c r="D2735" s="30"/>
      <c r="E2735" s="30"/>
      <c r="F2735" s="30"/>
      <c r="G2735" s="30"/>
      <c r="H2735" s="47"/>
      <c r="I2735" s="63"/>
      <c r="J2735" s="31"/>
      <c r="K2735" s="31"/>
      <c r="L2735" s="32"/>
      <c r="M2735" s="32"/>
      <c r="N2735" s="32"/>
    </row>
    <row r="2736" spans="2:14" x14ac:dyDescent="0.25">
      <c r="B2736" s="42"/>
      <c r="C2736" s="30"/>
      <c r="D2736" s="30"/>
      <c r="E2736" s="30"/>
      <c r="F2736" s="30"/>
      <c r="G2736" s="30"/>
      <c r="H2736" s="47"/>
      <c r="I2736" s="63"/>
      <c r="J2736" s="31"/>
      <c r="K2736" s="31"/>
      <c r="L2736" s="32"/>
      <c r="M2736" s="32"/>
      <c r="N2736" s="32"/>
    </row>
    <row r="2737" spans="2:14" x14ac:dyDescent="0.25">
      <c r="B2737" s="42"/>
      <c r="C2737" s="30"/>
      <c r="D2737" s="30"/>
      <c r="E2737" s="30"/>
      <c r="F2737" s="30"/>
      <c r="G2737" s="30"/>
      <c r="H2737" s="47"/>
      <c r="I2737" s="63"/>
      <c r="J2737" s="31"/>
      <c r="K2737" s="31"/>
      <c r="L2737" s="32"/>
      <c r="M2737" s="32"/>
      <c r="N2737" s="32"/>
    </row>
    <row r="2738" spans="2:14" x14ac:dyDescent="0.25">
      <c r="B2738" s="42"/>
      <c r="C2738" s="30"/>
      <c r="D2738" s="30"/>
      <c r="E2738" s="30"/>
      <c r="F2738" s="30"/>
      <c r="G2738" s="30"/>
      <c r="H2738" s="47"/>
      <c r="I2738" s="63"/>
      <c r="J2738" s="31"/>
      <c r="K2738" s="31"/>
      <c r="L2738" s="32"/>
      <c r="M2738" s="32"/>
      <c r="N2738" s="32"/>
    </row>
    <row r="2739" spans="2:14" x14ac:dyDescent="0.25">
      <c r="B2739" s="42"/>
      <c r="C2739" s="30"/>
      <c r="D2739" s="30"/>
      <c r="E2739" s="30"/>
      <c r="F2739" s="30"/>
      <c r="G2739" s="30"/>
      <c r="H2739" s="47"/>
      <c r="I2739" s="63"/>
      <c r="J2739" s="31"/>
      <c r="K2739" s="31"/>
      <c r="L2739" s="32"/>
      <c r="M2739" s="32"/>
      <c r="N2739" s="32"/>
    </row>
    <row r="2740" spans="2:14" x14ac:dyDescent="0.25">
      <c r="B2740" s="42"/>
      <c r="C2740" s="30"/>
      <c r="D2740" s="30"/>
      <c r="E2740" s="30"/>
      <c r="F2740" s="30"/>
      <c r="G2740" s="30"/>
      <c r="H2740" s="47"/>
      <c r="I2740" s="63"/>
      <c r="J2740" s="31"/>
      <c r="K2740" s="31"/>
      <c r="L2740" s="32"/>
      <c r="M2740" s="32"/>
      <c r="N2740" s="32"/>
    </row>
    <row r="2741" spans="2:14" x14ac:dyDescent="0.25">
      <c r="B2741" s="42"/>
      <c r="C2741" s="30"/>
      <c r="D2741" s="30"/>
      <c r="E2741" s="30"/>
      <c r="F2741" s="30"/>
      <c r="G2741" s="30"/>
      <c r="H2741" s="47"/>
      <c r="I2741" s="63"/>
      <c r="J2741" s="31"/>
      <c r="K2741" s="31"/>
      <c r="L2741" s="32"/>
      <c r="M2741" s="32"/>
      <c r="N2741" s="32"/>
    </row>
    <row r="2742" spans="2:14" x14ac:dyDescent="0.25">
      <c r="B2742" s="42"/>
      <c r="C2742" s="30"/>
      <c r="D2742" s="30"/>
      <c r="E2742" s="30"/>
      <c r="F2742" s="30"/>
      <c r="G2742" s="30"/>
      <c r="H2742" s="47"/>
      <c r="I2742" s="63"/>
      <c r="J2742" s="31"/>
      <c r="K2742" s="31"/>
      <c r="L2742" s="32"/>
      <c r="M2742" s="32"/>
      <c r="N2742" s="32"/>
    </row>
    <row r="2743" spans="2:14" x14ac:dyDescent="0.25">
      <c r="B2743" s="42"/>
      <c r="C2743" s="30"/>
      <c r="D2743" s="30"/>
      <c r="E2743" s="30"/>
      <c r="F2743" s="30"/>
      <c r="G2743" s="30"/>
      <c r="H2743" s="47"/>
      <c r="I2743" s="63"/>
      <c r="J2743" s="31"/>
      <c r="K2743" s="31"/>
      <c r="L2743" s="32"/>
      <c r="M2743" s="32"/>
      <c r="N2743" s="32"/>
    </row>
    <row r="2744" spans="2:14" x14ac:dyDescent="0.25">
      <c r="B2744" s="42"/>
      <c r="C2744" s="30"/>
      <c r="D2744" s="30"/>
      <c r="E2744" s="30"/>
      <c r="F2744" s="30"/>
      <c r="G2744" s="30"/>
      <c r="H2744" s="47"/>
      <c r="I2744" s="63"/>
      <c r="J2744" s="31"/>
      <c r="K2744" s="31"/>
      <c r="L2744" s="32"/>
      <c r="M2744" s="32"/>
      <c r="N2744" s="32"/>
    </row>
    <row r="2745" spans="2:14" x14ac:dyDescent="0.25">
      <c r="B2745" s="42"/>
      <c r="C2745" s="30"/>
      <c r="D2745" s="30"/>
      <c r="E2745" s="30"/>
      <c r="F2745" s="30"/>
      <c r="G2745" s="30"/>
      <c r="H2745" s="47"/>
      <c r="I2745" s="63"/>
      <c r="J2745" s="31"/>
      <c r="K2745" s="31"/>
      <c r="L2745" s="32"/>
      <c r="M2745" s="32"/>
      <c r="N2745" s="32"/>
    </row>
    <row r="2746" spans="2:14" x14ac:dyDescent="0.25">
      <c r="B2746" s="42"/>
      <c r="C2746" s="30"/>
      <c r="D2746" s="30"/>
      <c r="E2746" s="30"/>
      <c r="F2746" s="30"/>
      <c r="G2746" s="30"/>
      <c r="H2746" s="47"/>
      <c r="I2746" s="63"/>
      <c r="J2746" s="31"/>
      <c r="K2746" s="31"/>
      <c r="L2746" s="32"/>
      <c r="M2746" s="32"/>
      <c r="N2746" s="32"/>
    </row>
    <row r="2747" spans="2:14" x14ac:dyDescent="0.25">
      <c r="B2747" s="42"/>
      <c r="C2747" s="30"/>
      <c r="D2747" s="30"/>
      <c r="E2747" s="30"/>
      <c r="F2747" s="30"/>
      <c r="G2747" s="30"/>
      <c r="H2747" s="47"/>
      <c r="I2747" s="63"/>
      <c r="J2747" s="31"/>
      <c r="K2747" s="31"/>
      <c r="L2747" s="32"/>
      <c r="M2747" s="32"/>
      <c r="N2747" s="32"/>
    </row>
    <row r="2748" spans="2:14" x14ac:dyDescent="0.25">
      <c r="B2748" s="42"/>
      <c r="C2748" s="30"/>
      <c r="D2748" s="30"/>
      <c r="E2748" s="30"/>
      <c r="F2748" s="30"/>
      <c r="G2748" s="30"/>
      <c r="H2748" s="47"/>
      <c r="I2748" s="63"/>
      <c r="J2748" s="31"/>
      <c r="K2748" s="31"/>
      <c r="L2748" s="32"/>
      <c r="M2748" s="32"/>
      <c r="N2748" s="32"/>
    </row>
    <row r="2749" spans="2:14" x14ac:dyDescent="0.25">
      <c r="B2749" s="42"/>
      <c r="C2749" s="30"/>
      <c r="D2749" s="30"/>
      <c r="E2749" s="30"/>
      <c r="F2749" s="30"/>
      <c r="G2749" s="30"/>
      <c r="H2749" s="47"/>
      <c r="I2749" s="63"/>
      <c r="J2749" s="31"/>
      <c r="K2749" s="31"/>
      <c r="L2749" s="32"/>
      <c r="M2749" s="32"/>
      <c r="N2749" s="32"/>
    </row>
    <row r="2750" spans="2:14" x14ac:dyDescent="0.25">
      <c r="B2750" s="42"/>
      <c r="C2750" s="30"/>
      <c r="D2750" s="30"/>
      <c r="E2750" s="30"/>
      <c r="F2750" s="30"/>
      <c r="G2750" s="30"/>
      <c r="H2750" s="47"/>
      <c r="I2750" s="63"/>
      <c r="J2750" s="31"/>
      <c r="K2750" s="31"/>
      <c r="L2750" s="32"/>
      <c r="M2750" s="32"/>
      <c r="N2750" s="32"/>
    </row>
    <row r="2751" spans="2:14" x14ac:dyDescent="0.25">
      <c r="B2751" s="42"/>
      <c r="C2751" s="30"/>
      <c r="D2751" s="30"/>
      <c r="E2751" s="30"/>
      <c r="F2751" s="30"/>
      <c r="G2751" s="30"/>
      <c r="H2751" s="47"/>
      <c r="I2751" s="63"/>
      <c r="J2751" s="31"/>
      <c r="K2751" s="31"/>
      <c r="L2751" s="32"/>
      <c r="M2751" s="32"/>
      <c r="N2751" s="32"/>
    </row>
    <row r="2752" spans="2:14" x14ac:dyDescent="0.25">
      <c r="B2752" s="42"/>
      <c r="C2752" s="30"/>
      <c r="D2752" s="30"/>
      <c r="E2752" s="30"/>
      <c r="F2752" s="30"/>
      <c r="G2752" s="30"/>
      <c r="H2752" s="47"/>
      <c r="I2752" s="63"/>
      <c r="J2752" s="31"/>
      <c r="K2752" s="31"/>
      <c r="L2752" s="32"/>
      <c r="M2752" s="32"/>
      <c r="N2752" s="32"/>
    </row>
    <row r="2753" spans="2:14" x14ac:dyDescent="0.25">
      <c r="B2753" s="42"/>
      <c r="C2753" s="30"/>
      <c r="D2753" s="30"/>
      <c r="E2753" s="30"/>
      <c r="F2753" s="30"/>
      <c r="G2753" s="30"/>
      <c r="H2753" s="47"/>
      <c r="I2753" s="63"/>
      <c r="J2753" s="31"/>
      <c r="K2753" s="31"/>
      <c r="L2753" s="32"/>
      <c r="M2753" s="32"/>
      <c r="N2753" s="32"/>
    </row>
    <row r="2754" spans="2:14" x14ac:dyDescent="0.25">
      <c r="B2754" s="42"/>
      <c r="C2754" s="30"/>
      <c r="D2754" s="30"/>
      <c r="E2754" s="30"/>
      <c r="F2754" s="30"/>
      <c r="G2754" s="30"/>
      <c r="H2754" s="47"/>
      <c r="I2754" s="63"/>
      <c r="J2754" s="31"/>
      <c r="K2754" s="31"/>
      <c r="L2754" s="32"/>
      <c r="M2754" s="32"/>
      <c r="N2754" s="32"/>
    </row>
    <row r="2755" spans="2:14" x14ac:dyDescent="0.25">
      <c r="B2755" s="42"/>
      <c r="C2755" s="30"/>
      <c r="D2755" s="30"/>
      <c r="E2755" s="30"/>
      <c r="F2755" s="30"/>
      <c r="G2755" s="30"/>
      <c r="H2755" s="47"/>
      <c r="I2755" s="63"/>
      <c r="J2755" s="31"/>
      <c r="K2755" s="31"/>
      <c r="L2755" s="32"/>
      <c r="M2755" s="32"/>
      <c r="N2755" s="32"/>
    </row>
    <row r="2756" spans="2:14" x14ac:dyDescent="0.25">
      <c r="B2756" s="42"/>
      <c r="C2756" s="30"/>
      <c r="D2756" s="30"/>
      <c r="E2756" s="30"/>
      <c r="F2756" s="30"/>
      <c r="G2756" s="30"/>
      <c r="H2756" s="47"/>
      <c r="I2756" s="63"/>
      <c r="J2756" s="31"/>
      <c r="K2756" s="31"/>
      <c r="L2756" s="32"/>
      <c r="M2756" s="32"/>
      <c r="N2756" s="32"/>
    </row>
    <row r="2757" spans="2:14" x14ac:dyDescent="0.25">
      <c r="B2757" s="42"/>
      <c r="C2757" s="30"/>
      <c r="D2757" s="30"/>
      <c r="E2757" s="30"/>
      <c r="F2757" s="30"/>
      <c r="G2757" s="30"/>
      <c r="H2757" s="47"/>
      <c r="I2757" s="63"/>
      <c r="J2757" s="31"/>
      <c r="K2757" s="31"/>
      <c r="L2757" s="32"/>
      <c r="M2757" s="32"/>
      <c r="N2757" s="32"/>
    </row>
    <row r="2758" spans="2:14" x14ac:dyDescent="0.25">
      <c r="B2758" s="42"/>
      <c r="C2758" s="30"/>
      <c r="D2758" s="30"/>
      <c r="E2758" s="30"/>
      <c r="F2758" s="30"/>
      <c r="G2758" s="30"/>
      <c r="H2758" s="47"/>
      <c r="I2758" s="63"/>
      <c r="J2758" s="31"/>
      <c r="K2758" s="31"/>
      <c r="L2758" s="32"/>
      <c r="M2758" s="32"/>
      <c r="N2758" s="32"/>
    </row>
    <row r="2759" spans="2:14" x14ac:dyDescent="0.25">
      <c r="B2759" s="42"/>
      <c r="C2759" s="30"/>
      <c r="D2759" s="30"/>
      <c r="E2759" s="30"/>
      <c r="F2759" s="30"/>
      <c r="G2759" s="30"/>
      <c r="H2759" s="47"/>
      <c r="I2759" s="63"/>
      <c r="J2759" s="31"/>
      <c r="K2759" s="31"/>
      <c r="L2759" s="32"/>
      <c r="M2759" s="32"/>
      <c r="N2759" s="32"/>
    </row>
    <row r="2760" spans="2:14" x14ac:dyDescent="0.25">
      <c r="B2760" s="42"/>
      <c r="C2760" s="30"/>
      <c r="D2760" s="30"/>
      <c r="E2760" s="30"/>
      <c r="F2760" s="30"/>
      <c r="G2760" s="30"/>
      <c r="H2760" s="47"/>
      <c r="I2760" s="63"/>
      <c r="J2760" s="31"/>
      <c r="K2760" s="31"/>
      <c r="L2760" s="32"/>
      <c r="M2760" s="32"/>
      <c r="N2760" s="32"/>
    </row>
    <row r="2761" spans="2:14" x14ac:dyDescent="0.25">
      <c r="B2761" s="42"/>
      <c r="C2761" s="30"/>
      <c r="D2761" s="30"/>
      <c r="E2761" s="30"/>
      <c r="F2761" s="30"/>
      <c r="G2761" s="30"/>
      <c r="H2761" s="47"/>
      <c r="I2761" s="63"/>
      <c r="J2761" s="31"/>
      <c r="K2761" s="31"/>
      <c r="L2761" s="32"/>
      <c r="M2761" s="32"/>
      <c r="N2761" s="32"/>
    </row>
    <row r="2762" spans="2:14" x14ac:dyDescent="0.25">
      <c r="B2762" s="42"/>
      <c r="C2762" s="30"/>
      <c r="D2762" s="30"/>
      <c r="E2762" s="30"/>
      <c r="F2762" s="30"/>
      <c r="G2762" s="30"/>
      <c r="H2762" s="47"/>
      <c r="I2762" s="63"/>
      <c r="J2762" s="31"/>
      <c r="K2762" s="31"/>
      <c r="L2762" s="32"/>
      <c r="M2762" s="32"/>
      <c r="N2762" s="32"/>
    </row>
    <row r="2763" spans="2:14" x14ac:dyDescent="0.25">
      <c r="B2763" s="42"/>
      <c r="C2763" s="30"/>
      <c r="D2763" s="30"/>
      <c r="E2763" s="30"/>
      <c r="F2763" s="30"/>
      <c r="G2763" s="30"/>
      <c r="H2763" s="47"/>
      <c r="I2763" s="63"/>
      <c r="J2763" s="31"/>
      <c r="K2763" s="31"/>
      <c r="L2763" s="32"/>
      <c r="M2763" s="32"/>
      <c r="N2763" s="32"/>
    </row>
    <row r="2764" spans="2:14" x14ac:dyDescent="0.25">
      <c r="B2764" s="42"/>
      <c r="C2764" s="30"/>
      <c r="D2764" s="30"/>
      <c r="E2764" s="30"/>
      <c r="F2764" s="30"/>
      <c r="G2764" s="30"/>
      <c r="H2764" s="47"/>
      <c r="I2764" s="63"/>
      <c r="J2764" s="31"/>
      <c r="K2764" s="31"/>
      <c r="L2764" s="32"/>
      <c r="M2764" s="32"/>
      <c r="N2764" s="32"/>
    </row>
    <row r="2765" spans="2:14" x14ac:dyDescent="0.25">
      <c r="B2765" s="42"/>
      <c r="C2765" s="30"/>
      <c r="D2765" s="30"/>
      <c r="E2765" s="30"/>
      <c r="F2765" s="30"/>
      <c r="G2765" s="30"/>
      <c r="H2765" s="47"/>
      <c r="I2765" s="63"/>
      <c r="J2765" s="31"/>
      <c r="K2765" s="31"/>
      <c r="L2765" s="32"/>
      <c r="M2765" s="32"/>
      <c r="N2765" s="32"/>
    </row>
    <row r="2766" spans="2:14" x14ac:dyDescent="0.25">
      <c r="B2766" s="42"/>
      <c r="C2766" s="30"/>
      <c r="D2766" s="30"/>
      <c r="E2766" s="30"/>
      <c r="F2766" s="30"/>
      <c r="G2766" s="30"/>
      <c r="H2766" s="47"/>
      <c r="I2766" s="63"/>
      <c r="J2766" s="31"/>
      <c r="K2766" s="31"/>
      <c r="L2766" s="32"/>
      <c r="M2766" s="32"/>
      <c r="N2766" s="32"/>
    </row>
    <row r="2767" spans="2:14" x14ac:dyDescent="0.25">
      <c r="B2767" s="42"/>
      <c r="C2767" s="30"/>
      <c r="D2767" s="30"/>
      <c r="E2767" s="30"/>
      <c r="F2767" s="30"/>
      <c r="G2767" s="30"/>
      <c r="H2767" s="47"/>
      <c r="I2767" s="63"/>
      <c r="J2767" s="31"/>
      <c r="K2767" s="31"/>
      <c r="L2767" s="32"/>
      <c r="M2767" s="32"/>
      <c r="N2767" s="32"/>
    </row>
    <row r="2768" spans="2:14" x14ac:dyDescent="0.25">
      <c r="B2768" s="42"/>
      <c r="C2768" s="30"/>
      <c r="D2768" s="30"/>
      <c r="E2768" s="30"/>
      <c r="F2768" s="30"/>
      <c r="G2768" s="30"/>
      <c r="H2768" s="47"/>
      <c r="I2768" s="63"/>
      <c r="J2768" s="31"/>
      <c r="K2768" s="31"/>
      <c r="L2768" s="32"/>
      <c r="M2768" s="32"/>
      <c r="N2768" s="32"/>
    </row>
    <row r="2769" spans="2:14" x14ac:dyDescent="0.25">
      <c r="B2769" s="42"/>
      <c r="C2769" s="30"/>
      <c r="D2769" s="30"/>
      <c r="E2769" s="30"/>
      <c r="F2769" s="30"/>
      <c r="G2769" s="30"/>
      <c r="H2769" s="47"/>
      <c r="I2769" s="63"/>
      <c r="J2769" s="31"/>
      <c r="K2769" s="31"/>
      <c r="L2769" s="32"/>
      <c r="M2769" s="32"/>
      <c r="N2769" s="32"/>
    </row>
    <row r="2770" spans="2:14" x14ac:dyDescent="0.25">
      <c r="B2770" s="42"/>
      <c r="C2770" s="30"/>
      <c r="D2770" s="30"/>
      <c r="E2770" s="30"/>
      <c r="F2770" s="30"/>
      <c r="G2770" s="30"/>
      <c r="H2770" s="47"/>
      <c r="I2770" s="63"/>
      <c r="J2770" s="31"/>
      <c r="K2770" s="31"/>
      <c r="L2770" s="32"/>
      <c r="M2770" s="32"/>
      <c r="N2770" s="32"/>
    </row>
    <row r="2771" spans="2:14" x14ac:dyDescent="0.25">
      <c r="B2771" s="42"/>
      <c r="C2771" s="30"/>
      <c r="D2771" s="30"/>
      <c r="E2771" s="30"/>
      <c r="F2771" s="30"/>
      <c r="G2771" s="30"/>
      <c r="H2771" s="47"/>
      <c r="I2771" s="63"/>
      <c r="J2771" s="31"/>
      <c r="K2771" s="31"/>
      <c r="L2771" s="32"/>
      <c r="M2771" s="32"/>
      <c r="N2771" s="32"/>
    </row>
    <row r="2772" spans="2:14" x14ac:dyDescent="0.25">
      <c r="B2772" s="42"/>
      <c r="C2772" s="30"/>
      <c r="D2772" s="30"/>
      <c r="E2772" s="30"/>
      <c r="F2772" s="30"/>
      <c r="G2772" s="30"/>
      <c r="H2772" s="47"/>
      <c r="I2772" s="63"/>
      <c r="J2772" s="31"/>
      <c r="K2772" s="31"/>
      <c r="L2772" s="32"/>
      <c r="M2772" s="32"/>
      <c r="N2772" s="32"/>
    </row>
    <row r="2773" spans="2:14" x14ac:dyDescent="0.25">
      <c r="B2773" s="42"/>
      <c r="C2773" s="30"/>
      <c r="D2773" s="30"/>
      <c r="E2773" s="30"/>
      <c r="F2773" s="30"/>
      <c r="G2773" s="30"/>
      <c r="H2773" s="47"/>
      <c r="I2773" s="63"/>
      <c r="J2773" s="31"/>
      <c r="K2773" s="31"/>
      <c r="L2773" s="32"/>
      <c r="M2773" s="32"/>
      <c r="N2773" s="32"/>
    </row>
    <row r="2774" spans="2:14" x14ac:dyDescent="0.25">
      <c r="B2774" s="42"/>
      <c r="C2774" s="30"/>
      <c r="D2774" s="30"/>
      <c r="E2774" s="30"/>
      <c r="F2774" s="30"/>
      <c r="G2774" s="30"/>
      <c r="H2774" s="47"/>
      <c r="I2774" s="63"/>
      <c r="J2774" s="31"/>
      <c r="K2774" s="31"/>
      <c r="L2774" s="32"/>
      <c r="M2774" s="32"/>
      <c r="N2774" s="32"/>
    </row>
    <row r="2775" spans="2:14" x14ac:dyDescent="0.25">
      <c r="B2775" s="42"/>
      <c r="C2775" s="30"/>
      <c r="D2775" s="30"/>
      <c r="E2775" s="30"/>
      <c r="F2775" s="30"/>
      <c r="G2775" s="30"/>
      <c r="H2775" s="47"/>
      <c r="I2775" s="63"/>
      <c r="J2775" s="31"/>
      <c r="K2775" s="31"/>
      <c r="L2775" s="32"/>
      <c r="M2775" s="32"/>
      <c r="N2775" s="32"/>
    </row>
    <row r="2776" spans="2:14" x14ac:dyDescent="0.25">
      <c r="B2776" s="42"/>
      <c r="C2776" s="30"/>
      <c r="D2776" s="30"/>
      <c r="E2776" s="30"/>
      <c r="F2776" s="30"/>
      <c r="G2776" s="30"/>
      <c r="H2776" s="47"/>
      <c r="I2776" s="63"/>
      <c r="J2776" s="31"/>
      <c r="K2776" s="31"/>
      <c r="L2776" s="32"/>
      <c r="M2776" s="32"/>
      <c r="N2776" s="32"/>
    </row>
    <row r="2777" spans="2:14" x14ac:dyDescent="0.25">
      <c r="B2777" s="42"/>
      <c r="C2777" s="30"/>
      <c r="D2777" s="30"/>
      <c r="E2777" s="30"/>
      <c r="F2777" s="30"/>
      <c r="G2777" s="30"/>
      <c r="H2777" s="47"/>
      <c r="I2777" s="63"/>
      <c r="J2777" s="31"/>
      <c r="K2777" s="31"/>
      <c r="L2777" s="32"/>
      <c r="M2777" s="32"/>
      <c r="N2777" s="32"/>
    </row>
    <row r="2778" spans="2:14" x14ac:dyDescent="0.25">
      <c r="B2778" s="42"/>
      <c r="C2778" s="30"/>
      <c r="D2778" s="30"/>
      <c r="E2778" s="30"/>
      <c r="F2778" s="30"/>
      <c r="G2778" s="30"/>
      <c r="H2778" s="47"/>
      <c r="I2778" s="63"/>
      <c r="J2778" s="31"/>
      <c r="K2778" s="31"/>
      <c r="L2778" s="32"/>
      <c r="M2778" s="32"/>
      <c r="N2778" s="32"/>
    </row>
    <row r="2779" spans="2:14" x14ac:dyDescent="0.25">
      <c r="B2779" s="42"/>
      <c r="C2779" s="30"/>
      <c r="D2779" s="30"/>
      <c r="E2779" s="30"/>
      <c r="F2779" s="30"/>
      <c r="G2779" s="30"/>
      <c r="H2779" s="47"/>
      <c r="I2779" s="63"/>
      <c r="J2779" s="31"/>
      <c r="K2779" s="31"/>
      <c r="L2779" s="32"/>
      <c r="M2779" s="32"/>
      <c r="N2779" s="32"/>
    </row>
    <row r="2780" spans="2:14" x14ac:dyDescent="0.25">
      <c r="B2780" s="42"/>
      <c r="C2780" s="30"/>
      <c r="D2780" s="30"/>
      <c r="E2780" s="30"/>
      <c r="F2780" s="30"/>
      <c r="G2780" s="30"/>
      <c r="H2780" s="47"/>
      <c r="I2780" s="63"/>
      <c r="J2780" s="31"/>
      <c r="K2780" s="31"/>
      <c r="L2780" s="32"/>
      <c r="M2780" s="32"/>
      <c r="N2780" s="32"/>
    </row>
    <row r="2781" spans="2:14" x14ac:dyDescent="0.25">
      <c r="B2781" s="42"/>
      <c r="C2781" s="30"/>
      <c r="D2781" s="30"/>
      <c r="E2781" s="30"/>
      <c r="F2781" s="30"/>
      <c r="G2781" s="30"/>
      <c r="H2781" s="47"/>
      <c r="I2781" s="63"/>
      <c r="J2781" s="31"/>
      <c r="K2781" s="31"/>
      <c r="L2781" s="32"/>
      <c r="M2781" s="32"/>
      <c r="N2781" s="32"/>
    </row>
    <row r="2782" spans="2:14" x14ac:dyDescent="0.25">
      <c r="B2782" s="42"/>
      <c r="C2782" s="30"/>
      <c r="D2782" s="30"/>
      <c r="E2782" s="30"/>
      <c r="F2782" s="30"/>
      <c r="G2782" s="30"/>
      <c r="H2782" s="47"/>
      <c r="I2782" s="63"/>
      <c r="J2782" s="31"/>
      <c r="K2782" s="31"/>
      <c r="L2782" s="32"/>
      <c r="M2782" s="32"/>
      <c r="N2782" s="32"/>
    </row>
    <row r="2783" spans="2:14" x14ac:dyDescent="0.25">
      <c r="B2783" s="42"/>
      <c r="C2783" s="30"/>
      <c r="D2783" s="30"/>
      <c r="E2783" s="30"/>
      <c r="F2783" s="30"/>
      <c r="G2783" s="30"/>
      <c r="H2783" s="47"/>
      <c r="I2783" s="63"/>
      <c r="J2783" s="31"/>
      <c r="K2783" s="31"/>
      <c r="L2783" s="32"/>
      <c r="M2783" s="32"/>
      <c r="N2783" s="32"/>
    </row>
    <row r="2784" spans="2:14" x14ac:dyDescent="0.25">
      <c r="B2784" s="42"/>
      <c r="C2784" s="30"/>
      <c r="D2784" s="30"/>
      <c r="E2784" s="30"/>
      <c r="F2784" s="30"/>
      <c r="G2784" s="30"/>
      <c r="H2784" s="47"/>
      <c r="I2784" s="63"/>
      <c r="J2784" s="31"/>
      <c r="K2784" s="31"/>
      <c r="L2784" s="32"/>
      <c r="M2784" s="32"/>
      <c r="N2784" s="32"/>
    </row>
    <row r="2785" spans="2:14" x14ac:dyDescent="0.25">
      <c r="B2785" s="42"/>
      <c r="C2785" s="30"/>
      <c r="D2785" s="30"/>
      <c r="E2785" s="30"/>
      <c r="F2785" s="30"/>
      <c r="G2785" s="30"/>
      <c r="H2785" s="47"/>
      <c r="I2785" s="63"/>
      <c r="J2785" s="31"/>
      <c r="K2785" s="31"/>
      <c r="L2785" s="32"/>
      <c r="M2785" s="32"/>
      <c r="N2785" s="32"/>
    </row>
    <row r="2786" spans="2:14" x14ac:dyDescent="0.25">
      <c r="B2786" s="42"/>
      <c r="C2786" s="30"/>
      <c r="D2786" s="30"/>
      <c r="E2786" s="30"/>
      <c r="F2786" s="30"/>
      <c r="G2786" s="30"/>
      <c r="H2786" s="47"/>
      <c r="I2786" s="63"/>
      <c r="J2786" s="31"/>
      <c r="K2786" s="31"/>
      <c r="L2786" s="32"/>
      <c r="M2786" s="32"/>
      <c r="N2786" s="32"/>
    </row>
    <row r="2787" spans="2:14" x14ac:dyDescent="0.25">
      <c r="B2787" s="42"/>
      <c r="C2787" s="30"/>
      <c r="D2787" s="30"/>
      <c r="E2787" s="30"/>
      <c r="F2787" s="30"/>
      <c r="G2787" s="30"/>
      <c r="H2787" s="47"/>
      <c r="I2787" s="63"/>
      <c r="J2787" s="31"/>
      <c r="K2787" s="31"/>
      <c r="L2787" s="32"/>
      <c r="M2787" s="32"/>
      <c r="N2787" s="32"/>
    </row>
    <row r="2788" spans="2:14" x14ac:dyDescent="0.25">
      <c r="B2788" s="42"/>
      <c r="C2788" s="30"/>
      <c r="D2788" s="30"/>
      <c r="E2788" s="30"/>
      <c r="F2788" s="30"/>
      <c r="G2788" s="30"/>
      <c r="H2788" s="47"/>
      <c r="I2788" s="63"/>
      <c r="J2788" s="31"/>
      <c r="K2788" s="31"/>
      <c r="L2788" s="32"/>
      <c r="M2788" s="32"/>
      <c r="N2788" s="32"/>
    </row>
    <row r="2789" spans="2:14" x14ac:dyDescent="0.25">
      <c r="B2789" s="42"/>
      <c r="C2789" s="30"/>
      <c r="D2789" s="30"/>
      <c r="E2789" s="30"/>
      <c r="F2789" s="30"/>
      <c r="G2789" s="30"/>
      <c r="H2789" s="47"/>
      <c r="I2789" s="63"/>
      <c r="J2789" s="31"/>
      <c r="K2789" s="31"/>
      <c r="L2789" s="32"/>
      <c r="M2789" s="32"/>
      <c r="N2789" s="32"/>
    </row>
    <row r="2790" spans="2:14" x14ac:dyDescent="0.25">
      <c r="B2790" s="42"/>
      <c r="C2790" s="30"/>
      <c r="D2790" s="30"/>
      <c r="E2790" s="30"/>
      <c r="F2790" s="30"/>
      <c r="G2790" s="30"/>
      <c r="H2790" s="47"/>
      <c r="I2790" s="63"/>
      <c r="J2790" s="31"/>
      <c r="K2790" s="31"/>
      <c r="L2790" s="32"/>
      <c r="M2790" s="32"/>
      <c r="N2790" s="32"/>
    </row>
    <row r="2791" spans="2:14" x14ac:dyDescent="0.25">
      <c r="B2791" s="42"/>
      <c r="C2791" s="30"/>
      <c r="D2791" s="30"/>
      <c r="E2791" s="30"/>
      <c r="F2791" s="30"/>
      <c r="G2791" s="30"/>
      <c r="H2791" s="47"/>
      <c r="I2791" s="63"/>
      <c r="J2791" s="31"/>
      <c r="K2791" s="31"/>
      <c r="L2791" s="32"/>
      <c r="M2791" s="32"/>
      <c r="N2791" s="32"/>
    </row>
    <row r="2792" spans="2:14" x14ac:dyDescent="0.25">
      <c r="B2792" s="42"/>
      <c r="C2792" s="30"/>
      <c r="D2792" s="30"/>
      <c r="E2792" s="30"/>
      <c r="F2792" s="30"/>
      <c r="G2792" s="30"/>
      <c r="H2792" s="47"/>
      <c r="I2792" s="63"/>
      <c r="J2792" s="31"/>
      <c r="K2792" s="31"/>
      <c r="L2792" s="32"/>
      <c r="M2792" s="32"/>
      <c r="N2792" s="32"/>
    </row>
    <row r="2793" spans="2:14" x14ac:dyDescent="0.25">
      <c r="B2793" s="42"/>
      <c r="C2793" s="30"/>
      <c r="D2793" s="30"/>
      <c r="E2793" s="30"/>
      <c r="F2793" s="30"/>
      <c r="G2793" s="30"/>
      <c r="H2793" s="47"/>
      <c r="I2793" s="63"/>
      <c r="J2793" s="31"/>
      <c r="K2793" s="31"/>
      <c r="L2793" s="32"/>
      <c r="M2793" s="32"/>
      <c r="N2793" s="32"/>
    </row>
    <row r="2794" spans="2:14" x14ac:dyDescent="0.25">
      <c r="B2794" s="42"/>
      <c r="C2794" s="30"/>
      <c r="D2794" s="30"/>
      <c r="E2794" s="30"/>
      <c r="F2794" s="30"/>
      <c r="G2794" s="30"/>
      <c r="H2794" s="47"/>
      <c r="I2794" s="63"/>
      <c r="J2794" s="31"/>
      <c r="K2794" s="31"/>
      <c r="L2794" s="32"/>
      <c r="M2794" s="32"/>
      <c r="N2794" s="32"/>
    </row>
    <row r="2795" spans="2:14" x14ac:dyDescent="0.25">
      <c r="B2795" s="42"/>
      <c r="C2795" s="30"/>
      <c r="D2795" s="30"/>
      <c r="E2795" s="30"/>
      <c r="F2795" s="30"/>
      <c r="G2795" s="30"/>
      <c r="H2795" s="47"/>
      <c r="I2795" s="63"/>
      <c r="J2795" s="31"/>
      <c r="K2795" s="31"/>
      <c r="L2795" s="32"/>
      <c r="M2795" s="32"/>
      <c r="N2795" s="32"/>
    </row>
    <row r="2796" spans="2:14" x14ac:dyDescent="0.25">
      <c r="B2796" s="42"/>
      <c r="C2796" s="30"/>
      <c r="D2796" s="30"/>
      <c r="E2796" s="30"/>
      <c r="F2796" s="30"/>
      <c r="G2796" s="30"/>
      <c r="H2796" s="47"/>
      <c r="I2796" s="63"/>
      <c r="J2796" s="31"/>
      <c r="K2796" s="31"/>
      <c r="L2796" s="32"/>
      <c r="M2796" s="32"/>
      <c r="N2796" s="32"/>
    </row>
    <row r="2797" spans="2:14" x14ac:dyDescent="0.25">
      <c r="B2797" s="42"/>
      <c r="C2797" s="30"/>
      <c r="D2797" s="30"/>
      <c r="E2797" s="30"/>
      <c r="F2797" s="30"/>
      <c r="G2797" s="30"/>
      <c r="H2797" s="47"/>
      <c r="I2797" s="63"/>
      <c r="J2797" s="31"/>
      <c r="K2797" s="31"/>
      <c r="L2797" s="32"/>
      <c r="M2797" s="32"/>
      <c r="N2797" s="32"/>
    </row>
    <row r="2798" spans="2:14" x14ac:dyDescent="0.25">
      <c r="B2798" s="42"/>
      <c r="C2798" s="30"/>
      <c r="D2798" s="30"/>
      <c r="E2798" s="30"/>
      <c r="F2798" s="30"/>
      <c r="G2798" s="30"/>
      <c r="H2798" s="47"/>
      <c r="I2798" s="63"/>
      <c r="J2798" s="31"/>
      <c r="K2798" s="31"/>
      <c r="L2798" s="32"/>
      <c r="M2798" s="32"/>
      <c r="N2798" s="32"/>
    </row>
    <row r="2799" spans="2:14" x14ac:dyDescent="0.25">
      <c r="B2799" s="42"/>
      <c r="C2799" s="30"/>
      <c r="D2799" s="30"/>
      <c r="E2799" s="30"/>
      <c r="F2799" s="30"/>
      <c r="G2799" s="30"/>
      <c r="H2799" s="47"/>
      <c r="I2799" s="63"/>
      <c r="J2799" s="31"/>
      <c r="K2799" s="31"/>
      <c r="L2799" s="32"/>
      <c r="M2799" s="32"/>
      <c r="N2799" s="32"/>
    </row>
    <row r="2800" spans="2:14" x14ac:dyDescent="0.25">
      <c r="B2800" s="42"/>
      <c r="C2800" s="30"/>
      <c r="D2800" s="30"/>
      <c r="E2800" s="30"/>
      <c r="F2800" s="30"/>
      <c r="G2800" s="30"/>
      <c r="H2800" s="47"/>
      <c r="I2800" s="63"/>
      <c r="J2800" s="31"/>
      <c r="K2800" s="31"/>
      <c r="L2800" s="32"/>
      <c r="M2800" s="32"/>
      <c r="N2800" s="32"/>
    </row>
    <row r="2801" spans="2:14" x14ac:dyDescent="0.25">
      <c r="B2801" s="42"/>
      <c r="C2801" s="30"/>
      <c r="D2801" s="30"/>
      <c r="E2801" s="30"/>
      <c r="F2801" s="30"/>
      <c r="G2801" s="30"/>
      <c r="H2801" s="47"/>
      <c r="I2801" s="63"/>
      <c r="J2801" s="31"/>
      <c r="K2801" s="31"/>
      <c r="L2801" s="32"/>
      <c r="M2801" s="32"/>
      <c r="N2801" s="32"/>
    </row>
    <row r="2802" spans="2:14" x14ac:dyDescent="0.25">
      <c r="B2802" s="42"/>
      <c r="C2802" s="30"/>
      <c r="D2802" s="30"/>
      <c r="E2802" s="30"/>
      <c r="F2802" s="30"/>
      <c r="G2802" s="30"/>
      <c r="H2802" s="47"/>
      <c r="I2802" s="63"/>
      <c r="J2802" s="31"/>
      <c r="K2802" s="31"/>
      <c r="L2802" s="32"/>
      <c r="M2802" s="32"/>
      <c r="N2802" s="32"/>
    </row>
    <row r="2803" spans="2:14" x14ac:dyDescent="0.25">
      <c r="B2803" s="42"/>
      <c r="C2803" s="30"/>
      <c r="D2803" s="30"/>
      <c r="E2803" s="30"/>
      <c r="F2803" s="30"/>
      <c r="G2803" s="30"/>
      <c r="H2803" s="47"/>
      <c r="I2803" s="63"/>
      <c r="J2803" s="31"/>
      <c r="K2803" s="31"/>
      <c r="L2803" s="32"/>
      <c r="M2803" s="32"/>
      <c r="N2803" s="32"/>
    </row>
    <row r="2804" spans="2:14" x14ac:dyDescent="0.25">
      <c r="B2804" s="42"/>
      <c r="C2804" s="30"/>
      <c r="D2804" s="30"/>
      <c r="E2804" s="30"/>
      <c r="F2804" s="30"/>
      <c r="G2804" s="30"/>
      <c r="H2804" s="47"/>
      <c r="I2804" s="63"/>
      <c r="J2804" s="31"/>
      <c r="K2804" s="31"/>
      <c r="L2804" s="32"/>
      <c r="M2804" s="32"/>
      <c r="N2804" s="32"/>
    </row>
    <row r="2805" spans="2:14" x14ac:dyDescent="0.25">
      <c r="B2805" s="42"/>
      <c r="C2805" s="30"/>
      <c r="D2805" s="30"/>
      <c r="E2805" s="30"/>
      <c r="F2805" s="30"/>
      <c r="G2805" s="30"/>
      <c r="H2805" s="47"/>
      <c r="I2805" s="63"/>
      <c r="J2805" s="31"/>
      <c r="K2805" s="31"/>
      <c r="L2805" s="32"/>
      <c r="M2805" s="32"/>
      <c r="N2805" s="32"/>
    </row>
    <row r="2806" spans="2:14" x14ac:dyDescent="0.25">
      <c r="B2806" s="42"/>
      <c r="C2806" s="30"/>
      <c r="D2806" s="30"/>
      <c r="E2806" s="30"/>
      <c r="F2806" s="30"/>
      <c r="G2806" s="30"/>
      <c r="H2806" s="47"/>
      <c r="I2806" s="63"/>
      <c r="J2806" s="31"/>
      <c r="K2806" s="31"/>
      <c r="L2806" s="32"/>
      <c r="M2806" s="32"/>
      <c r="N2806" s="32"/>
    </row>
    <row r="2807" spans="2:14" x14ac:dyDescent="0.25">
      <c r="B2807" s="42"/>
      <c r="C2807" s="30"/>
      <c r="D2807" s="30"/>
      <c r="E2807" s="30"/>
      <c r="F2807" s="30"/>
      <c r="G2807" s="30"/>
      <c r="H2807" s="47"/>
      <c r="I2807" s="63"/>
      <c r="J2807" s="31"/>
      <c r="K2807" s="31"/>
      <c r="L2807" s="32"/>
      <c r="M2807" s="32"/>
      <c r="N2807" s="32"/>
    </row>
    <row r="2808" spans="2:14" x14ac:dyDescent="0.25">
      <c r="B2808" s="42"/>
      <c r="C2808" s="30"/>
      <c r="D2808" s="30"/>
      <c r="E2808" s="30"/>
      <c r="F2808" s="30"/>
      <c r="G2808" s="30"/>
      <c r="H2808" s="47"/>
      <c r="I2808" s="63"/>
      <c r="J2808" s="31"/>
      <c r="K2808" s="31"/>
      <c r="L2808" s="32"/>
      <c r="M2808" s="32"/>
      <c r="N2808" s="32"/>
    </row>
    <row r="2809" spans="2:14" x14ac:dyDescent="0.25">
      <c r="B2809" s="42"/>
      <c r="C2809" s="30"/>
      <c r="D2809" s="30"/>
      <c r="E2809" s="30"/>
      <c r="F2809" s="30"/>
      <c r="G2809" s="30"/>
      <c r="H2809" s="47"/>
      <c r="I2809" s="63"/>
      <c r="J2809" s="31"/>
      <c r="K2809" s="31"/>
      <c r="L2809" s="32"/>
      <c r="M2809" s="32"/>
      <c r="N2809" s="32"/>
    </row>
    <row r="2810" spans="2:14" x14ac:dyDescent="0.25">
      <c r="B2810" s="42"/>
      <c r="C2810" s="30"/>
      <c r="D2810" s="30"/>
      <c r="E2810" s="30"/>
      <c r="F2810" s="30"/>
      <c r="G2810" s="30"/>
      <c r="H2810" s="47"/>
      <c r="I2810" s="63"/>
      <c r="J2810" s="31"/>
      <c r="K2810" s="31"/>
      <c r="L2810" s="32"/>
      <c r="M2810" s="32"/>
      <c r="N2810" s="32"/>
    </row>
    <row r="2811" spans="2:14" x14ac:dyDescent="0.25">
      <c r="B2811" s="42"/>
      <c r="C2811" s="30"/>
      <c r="D2811" s="30"/>
      <c r="E2811" s="30"/>
      <c r="F2811" s="30"/>
      <c r="G2811" s="30"/>
      <c r="H2811" s="47"/>
      <c r="I2811" s="63"/>
      <c r="J2811" s="31"/>
      <c r="K2811" s="31"/>
      <c r="L2811" s="32"/>
      <c r="M2811" s="32"/>
      <c r="N2811" s="32"/>
    </row>
    <row r="2812" spans="2:14" x14ac:dyDescent="0.25">
      <c r="B2812" s="42"/>
      <c r="C2812" s="30"/>
      <c r="D2812" s="30"/>
      <c r="E2812" s="30"/>
      <c r="F2812" s="30"/>
      <c r="G2812" s="30"/>
      <c r="H2812" s="47"/>
      <c r="I2812" s="63"/>
      <c r="J2812" s="31"/>
      <c r="K2812" s="31"/>
      <c r="L2812" s="32"/>
      <c r="M2812" s="32"/>
      <c r="N2812" s="32"/>
    </row>
    <row r="2813" spans="2:14" x14ac:dyDescent="0.25">
      <c r="B2813" s="42"/>
      <c r="C2813" s="30"/>
      <c r="D2813" s="30"/>
      <c r="E2813" s="30"/>
      <c r="F2813" s="30"/>
      <c r="G2813" s="30"/>
      <c r="H2813" s="47"/>
      <c r="I2813" s="63"/>
      <c r="J2813" s="31"/>
      <c r="K2813" s="31"/>
      <c r="L2813" s="32"/>
      <c r="M2813" s="32"/>
      <c r="N2813" s="32"/>
    </row>
    <row r="2814" spans="2:14" x14ac:dyDescent="0.25">
      <c r="B2814" s="42"/>
      <c r="C2814" s="30"/>
      <c r="D2814" s="30"/>
      <c r="E2814" s="30"/>
      <c r="F2814" s="30"/>
      <c r="G2814" s="30"/>
      <c r="H2814" s="47"/>
      <c r="I2814" s="63"/>
      <c r="J2814" s="31"/>
      <c r="K2814" s="31"/>
      <c r="L2814" s="32"/>
      <c r="M2814" s="32"/>
      <c r="N2814" s="32"/>
    </row>
    <row r="2815" spans="2:14" x14ac:dyDescent="0.25">
      <c r="B2815" s="42"/>
      <c r="C2815" s="30"/>
      <c r="D2815" s="30"/>
      <c r="E2815" s="30"/>
      <c r="F2815" s="30"/>
      <c r="G2815" s="30"/>
      <c r="H2815" s="47"/>
      <c r="I2815" s="63"/>
      <c r="J2815" s="31"/>
      <c r="K2815" s="31"/>
      <c r="L2815" s="32"/>
      <c r="M2815" s="32"/>
      <c r="N2815" s="32"/>
    </row>
    <row r="2816" spans="2:14" x14ac:dyDescent="0.25">
      <c r="B2816" s="42"/>
      <c r="C2816" s="30"/>
      <c r="D2816" s="30"/>
      <c r="E2816" s="30"/>
      <c r="F2816" s="30"/>
      <c r="G2816" s="30"/>
      <c r="H2816" s="47"/>
      <c r="I2816" s="63"/>
      <c r="J2816" s="31"/>
      <c r="K2816" s="31"/>
      <c r="L2816" s="32"/>
      <c r="M2816" s="32"/>
      <c r="N2816" s="32"/>
    </row>
    <row r="2817" spans="2:14" x14ac:dyDescent="0.25">
      <c r="B2817" s="42"/>
      <c r="C2817" s="30"/>
      <c r="D2817" s="30"/>
      <c r="E2817" s="30"/>
      <c r="F2817" s="30"/>
      <c r="G2817" s="30"/>
      <c r="H2817" s="47"/>
      <c r="I2817" s="63"/>
      <c r="J2817" s="31"/>
      <c r="K2817" s="31"/>
      <c r="L2817" s="32"/>
      <c r="M2817" s="32"/>
      <c r="N2817" s="32"/>
    </row>
    <row r="2818" spans="2:14" x14ac:dyDescent="0.25">
      <c r="B2818" s="42"/>
      <c r="C2818" s="30"/>
      <c r="D2818" s="30"/>
      <c r="E2818" s="30"/>
      <c r="F2818" s="30"/>
      <c r="G2818" s="30"/>
      <c r="H2818" s="47"/>
      <c r="I2818" s="63"/>
      <c r="J2818" s="31"/>
      <c r="K2818" s="31"/>
      <c r="L2818" s="32"/>
      <c r="M2818" s="32"/>
      <c r="N2818" s="32"/>
    </row>
    <row r="2819" spans="2:14" x14ac:dyDescent="0.25">
      <c r="B2819" s="42"/>
      <c r="C2819" s="30"/>
      <c r="D2819" s="30"/>
      <c r="E2819" s="30"/>
      <c r="F2819" s="30"/>
      <c r="G2819" s="30"/>
      <c r="H2819" s="47"/>
      <c r="I2819" s="63"/>
      <c r="J2819" s="31"/>
      <c r="K2819" s="31"/>
      <c r="L2819" s="32"/>
      <c r="M2819" s="32"/>
      <c r="N2819" s="32"/>
    </row>
    <row r="2820" spans="2:14" x14ac:dyDescent="0.25">
      <c r="B2820" s="42"/>
      <c r="C2820" s="30"/>
      <c r="D2820" s="30"/>
      <c r="E2820" s="30"/>
      <c r="F2820" s="30"/>
      <c r="G2820" s="30"/>
      <c r="H2820" s="47"/>
      <c r="I2820" s="63"/>
      <c r="J2820" s="31"/>
      <c r="K2820" s="31"/>
      <c r="L2820" s="32"/>
      <c r="M2820" s="32"/>
      <c r="N2820" s="32"/>
    </row>
    <row r="2821" spans="2:14" x14ac:dyDescent="0.25">
      <c r="B2821" s="42"/>
      <c r="C2821" s="30"/>
      <c r="D2821" s="30"/>
      <c r="E2821" s="30"/>
      <c r="F2821" s="30"/>
      <c r="G2821" s="30"/>
      <c r="H2821" s="47"/>
      <c r="I2821" s="63"/>
      <c r="J2821" s="31"/>
      <c r="K2821" s="31"/>
      <c r="L2821" s="32"/>
      <c r="M2821" s="32"/>
      <c r="N2821" s="32"/>
    </row>
    <row r="2822" spans="2:14" x14ac:dyDescent="0.25">
      <c r="B2822" s="42"/>
      <c r="C2822" s="30"/>
      <c r="D2822" s="30"/>
      <c r="E2822" s="30"/>
      <c r="F2822" s="30"/>
      <c r="G2822" s="30"/>
      <c r="H2822" s="47"/>
      <c r="I2822" s="63"/>
      <c r="J2822" s="31"/>
      <c r="K2822" s="31"/>
      <c r="L2822" s="32"/>
      <c r="M2822" s="32"/>
      <c r="N2822" s="32"/>
    </row>
    <row r="2823" spans="2:14" x14ac:dyDescent="0.25">
      <c r="B2823" s="42"/>
      <c r="C2823" s="30"/>
      <c r="D2823" s="30"/>
      <c r="E2823" s="30"/>
      <c r="F2823" s="30"/>
      <c r="G2823" s="30"/>
      <c r="H2823" s="47"/>
      <c r="I2823" s="63"/>
      <c r="J2823" s="31"/>
      <c r="K2823" s="31"/>
      <c r="L2823" s="32"/>
      <c r="M2823" s="32"/>
      <c r="N2823" s="32"/>
    </row>
    <row r="2824" spans="2:14" x14ac:dyDescent="0.25">
      <c r="B2824" s="42"/>
      <c r="C2824" s="30"/>
      <c r="D2824" s="30"/>
      <c r="E2824" s="30"/>
      <c r="F2824" s="30"/>
      <c r="G2824" s="30"/>
      <c r="H2824" s="47"/>
      <c r="I2824" s="63"/>
      <c r="J2824" s="31"/>
      <c r="K2824" s="31"/>
      <c r="L2824" s="32"/>
      <c r="M2824" s="32"/>
      <c r="N2824" s="32"/>
    </row>
    <row r="2825" spans="2:14" x14ac:dyDescent="0.25">
      <c r="B2825" s="42"/>
      <c r="C2825" s="30"/>
      <c r="D2825" s="30"/>
      <c r="E2825" s="30"/>
      <c r="F2825" s="30"/>
      <c r="G2825" s="30"/>
      <c r="H2825" s="47"/>
      <c r="I2825" s="63"/>
      <c r="J2825" s="31"/>
      <c r="K2825" s="31"/>
      <c r="L2825" s="32"/>
      <c r="M2825" s="32"/>
      <c r="N2825" s="32"/>
    </row>
    <row r="2826" spans="2:14" x14ac:dyDescent="0.25">
      <c r="B2826" s="42"/>
      <c r="C2826" s="30"/>
      <c r="D2826" s="30"/>
      <c r="E2826" s="30"/>
      <c r="F2826" s="30"/>
      <c r="G2826" s="30"/>
      <c r="H2826" s="47"/>
      <c r="I2826" s="63"/>
      <c r="J2826" s="31"/>
      <c r="K2826" s="31"/>
      <c r="L2826" s="32"/>
      <c r="M2826" s="32"/>
      <c r="N2826" s="32"/>
    </row>
    <row r="2827" spans="2:14" x14ac:dyDescent="0.25">
      <c r="B2827" s="42"/>
      <c r="C2827" s="30"/>
      <c r="D2827" s="30"/>
      <c r="E2827" s="30"/>
      <c r="F2827" s="30"/>
      <c r="G2827" s="30"/>
      <c r="H2827" s="47"/>
      <c r="I2827" s="63"/>
      <c r="J2827" s="31"/>
      <c r="K2827" s="31"/>
      <c r="L2827" s="32"/>
      <c r="M2827" s="32"/>
      <c r="N2827" s="32"/>
    </row>
    <row r="2828" spans="2:14" x14ac:dyDescent="0.25">
      <c r="B2828" s="42"/>
      <c r="C2828" s="30"/>
      <c r="D2828" s="30"/>
      <c r="E2828" s="30"/>
      <c r="F2828" s="30"/>
      <c r="G2828" s="30"/>
      <c r="H2828" s="47"/>
      <c r="I2828" s="63"/>
      <c r="J2828" s="31"/>
      <c r="K2828" s="31"/>
      <c r="L2828" s="32"/>
      <c r="M2828" s="32"/>
      <c r="N2828" s="32"/>
    </row>
    <row r="2829" spans="2:14" x14ac:dyDescent="0.25">
      <c r="B2829" s="42"/>
      <c r="C2829" s="30"/>
      <c r="D2829" s="30"/>
      <c r="E2829" s="30"/>
      <c r="F2829" s="30"/>
      <c r="G2829" s="30"/>
      <c r="H2829" s="47"/>
      <c r="I2829" s="63"/>
      <c r="J2829" s="31"/>
      <c r="K2829" s="31"/>
      <c r="L2829" s="32"/>
      <c r="M2829" s="32"/>
      <c r="N2829" s="32"/>
    </row>
    <row r="2830" spans="2:14" x14ac:dyDescent="0.25">
      <c r="B2830" s="42"/>
      <c r="C2830" s="30"/>
      <c r="D2830" s="30"/>
      <c r="E2830" s="30"/>
      <c r="F2830" s="30"/>
      <c r="G2830" s="30"/>
      <c r="H2830" s="47"/>
      <c r="I2830" s="63"/>
      <c r="J2830" s="31"/>
      <c r="K2830" s="31"/>
      <c r="L2830" s="32"/>
      <c r="M2830" s="32"/>
      <c r="N2830" s="32"/>
    </row>
    <row r="2831" spans="2:14" x14ac:dyDescent="0.25">
      <c r="B2831" s="42"/>
      <c r="C2831" s="30"/>
      <c r="D2831" s="30"/>
      <c r="E2831" s="30"/>
      <c r="F2831" s="30"/>
      <c r="G2831" s="30"/>
      <c r="H2831" s="47"/>
      <c r="I2831" s="63"/>
      <c r="J2831" s="31"/>
      <c r="K2831" s="31"/>
      <c r="L2831" s="32"/>
      <c r="M2831" s="32"/>
      <c r="N2831" s="32"/>
    </row>
    <row r="2832" spans="2:14" x14ac:dyDescent="0.25">
      <c r="B2832" s="42"/>
      <c r="C2832" s="30"/>
      <c r="D2832" s="30"/>
      <c r="E2832" s="30"/>
      <c r="F2832" s="30"/>
      <c r="G2832" s="30"/>
      <c r="H2832" s="47"/>
      <c r="I2832" s="63"/>
      <c r="J2832" s="31"/>
      <c r="K2832" s="31"/>
      <c r="L2832" s="32"/>
      <c r="M2832" s="32"/>
      <c r="N2832" s="32"/>
    </row>
    <row r="2833" spans="2:14" x14ac:dyDescent="0.25">
      <c r="B2833" s="42"/>
      <c r="C2833" s="30"/>
      <c r="D2833" s="30"/>
      <c r="E2833" s="30"/>
      <c r="F2833" s="30"/>
      <c r="G2833" s="30"/>
      <c r="H2833" s="47"/>
      <c r="I2833" s="63"/>
      <c r="J2833" s="31"/>
      <c r="K2833" s="31"/>
      <c r="L2833" s="32"/>
      <c r="M2833" s="32"/>
      <c r="N2833" s="32"/>
    </row>
    <row r="2834" spans="2:14" x14ac:dyDescent="0.25">
      <c r="B2834" s="42"/>
      <c r="C2834" s="30"/>
      <c r="D2834" s="30"/>
      <c r="E2834" s="30"/>
      <c r="F2834" s="30"/>
      <c r="G2834" s="30"/>
      <c r="H2834" s="47"/>
      <c r="I2834" s="63"/>
      <c r="J2834" s="31"/>
      <c r="K2834" s="31"/>
      <c r="L2834" s="32"/>
      <c r="M2834" s="32"/>
      <c r="N2834" s="32"/>
    </row>
    <row r="2835" spans="2:14" x14ac:dyDescent="0.25">
      <c r="B2835" s="42"/>
      <c r="C2835" s="30"/>
      <c r="D2835" s="30"/>
      <c r="E2835" s="30"/>
      <c r="F2835" s="30"/>
      <c r="G2835" s="30"/>
      <c r="H2835" s="47"/>
      <c r="I2835" s="63"/>
      <c r="J2835" s="31"/>
      <c r="K2835" s="31"/>
      <c r="L2835" s="32"/>
      <c r="M2835" s="32"/>
      <c r="N2835" s="32"/>
    </row>
    <row r="2836" spans="2:14" x14ac:dyDescent="0.25">
      <c r="B2836" s="42"/>
      <c r="C2836" s="30"/>
      <c r="D2836" s="30"/>
      <c r="E2836" s="30"/>
      <c r="F2836" s="30"/>
      <c r="G2836" s="30"/>
      <c r="H2836" s="47"/>
      <c r="I2836" s="63"/>
      <c r="J2836" s="31"/>
      <c r="K2836" s="31"/>
      <c r="L2836" s="32"/>
      <c r="M2836" s="32"/>
      <c r="N2836" s="32"/>
    </row>
    <row r="2837" spans="2:14" x14ac:dyDescent="0.25">
      <c r="B2837" s="42"/>
      <c r="C2837" s="30"/>
      <c r="D2837" s="30"/>
      <c r="E2837" s="30"/>
      <c r="F2837" s="30"/>
      <c r="G2837" s="30"/>
      <c r="H2837" s="47"/>
      <c r="I2837" s="63"/>
      <c r="J2837" s="31"/>
      <c r="K2837" s="31"/>
      <c r="L2837" s="32"/>
      <c r="M2837" s="32"/>
      <c r="N2837" s="32"/>
    </row>
    <row r="2838" spans="2:14" x14ac:dyDescent="0.25">
      <c r="B2838" s="42"/>
      <c r="C2838" s="30"/>
      <c r="D2838" s="30"/>
      <c r="E2838" s="30"/>
      <c r="F2838" s="30"/>
      <c r="G2838" s="30"/>
      <c r="H2838" s="47"/>
      <c r="I2838" s="63"/>
      <c r="J2838" s="31"/>
      <c r="K2838" s="31"/>
      <c r="L2838" s="32"/>
      <c r="M2838" s="32"/>
      <c r="N2838" s="32"/>
    </row>
    <row r="2839" spans="2:14" x14ac:dyDescent="0.25">
      <c r="B2839" s="42"/>
      <c r="C2839" s="30"/>
      <c r="D2839" s="30"/>
      <c r="E2839" s="30"/>
      <c r="F2839" s="30"/>
      <c r="G2839" s="30"/>
      <c r="H2839" s="47"/>
      <c r="I2839" s="63"/>
      <c r="J2839" s="31"/>
      <c r="K2839" s="31"/>
      <c r="L2839" s="32"/>
      <c r="M2839" s="32"/>
      <c r="N2839" s="32"/>
    </row>
    <row r="2840" spans="2:14" x14ac:dyDescent="0.25">
      <c r="B2840" s="42"/>
      <c r="C2840" s="30"/>
      <c r="D2840" s="30"/>
      <c r="E2840" s="30"/>
      <c r="F2840" s="30"/>
      <c r="G2840" s="30"/>
      <c r="H2840" s="47"/>
      <c r="I2840" s="63"/>
      <c r="J2840" s="31"/>
      <c r="K2840" s="31"/>
      <c r="L2840" s="32"/>
      <c r="M2840" s="32"/>
      <c r="N2840" s="32"/>
    </row>
    <row r="2841" spans="2:14" x14ac:dyDescent="0.25">
      <c r="B2841" s="42"/>
      <c r="C2841" s="30"/>
      <c r="D2841" s="30"/>
      <c r="E2841" s="30"/>
      <c r="F2841" s="30"/>
      <c r="G2841" s="30"/>
      <c r="H2841" s="47"/>
      <c r="I2841" s="63"/>
      <c r="J2841" s="31"/>
      <c r="K2841" s="31"/>
      <c r="L2841" s="32"/>
      <c r="M2841" s="32"/>
      <c r="N2841" s="32"/>
    </row>
    <row r="2842" spans="2:14" x14ac:dyDescent="0.25">
      <c r="B2842" s="42"/>
      <c r="C2842" s="30"/>
      <c r="D2842" s="30"/>
      <c r="E2842" s="30"/>
      <c r="F2842" s="30"/>
      <c r="G2842" s="30"/>
      <c r="H2842" s="47"/>
      <c r="I2842" s="63"/>
      <c r="J2842" s="31"/>
      <c r="K2842" s="31"/>
      <c r="L2842" s="32"/>
      <c r="M2842" s="32"/>
      <c r="N2842" s="32"/>
    </row>
    <row r="2843" spans="2:14" x14ac:dyDescent="0.25">
      <c r="B2843" s="42"/>
      <c r="C2843" s="30"/>
      <c r="D2843" s="30"/>
      <c r="E2843" s="30"/>
      <c r="F2843" s="30"/>
      <c r="G2843" s="30"/>
      <c r="H2843" s="47"/>
      <c r="I2843" s="63"/>
      <c r="J2843" s="31"/>
      <c r="K2843" s="31"/>
      <c r="L2843" s="32"/>
      <c r="M2843" s="32"/>
      <c r="N2843" s="32"/>
    </row>
    <row r="2844" spans="2:14" x14ac:dyDescent="0.25">
      <c r="B2844" s="42"/>
      <c r="C2844" s="30"/>
      <c r="D2844" s="30"/>
      <c r="E2844" s="30"/>
      <c r="F2844" s="30"/>
      <c r="G2844" s="30"/>
      <c r="H2844" s="47"/>
      <c r="I2844" s="63"/>
      <c r="J2844" s="31"/>
      <c r="K2844" s="31"/>
      <c r="L2844" s="32"/>
      <c r="M2844" s="32"/>
      <c r="N2844" s="32"/>
    </row>
    <row r="2845" spans="2:14" x14ac:dyDescent="0.25">
      <c r="B2845" s="42"/>
      <c r="C2845" s="30"/>
      <c r="D2845" s="30"/>
      <c r="E2845" s="30"/>
      <c r="F2845" s="30"/>
      <c r="G2845" s="30"/>
      <c r="H2845" s="47"/>
      <c r="I2845" s="63"/>
      <c r="J2845" s="31"/>
      <c r="K2845" s="31"/>
      <c r="L2845" s="32"/>
      <c r="M2845" s="32"/>
      <c r="N2845" s="32"/>
    </row>
    <row r="2846" spans="2:14" x14ac:dyDescent="0.25">
      <c r="B2846" s="42"/>
      <c r="C2846" s="30"/>
      <c r="D2846" s="30"/>
      <c r="E2846" s="30"/>
      <c r="F2846" s="30"/>
      <c r="G2846" s="30"/>
      <c r="H2846" s="47"/>
      <c r="I2846" s="63"/>
      <c r="J2846" s="31"/>
      <c r="K2846" s="31"/>
      <c r="L2846" s="32"/>
      <c r="M2846" s="32"/>
      <c r="N2846" s="32"/>
    </row>
    <row r="2847" spans="2:14" x14ac:dyDescent="0.25">
      <c r="B2847" s="42"/>
      <c r="C2847" s="30"/>
      <c r="D2847" s="30"/>
      <c r="E2847" s="30"/>
      <c r="F2847" s="30"/>
      <c r="G2847" s="30"/>
      <c r="H2847" s="47"/>
      <c r="I2847" s="63"/>
      <c r="J2847" s="31"/>
      <c r="K2847" s="31"/>
      <c r="L2847" s="32"/>
      <c r="M2847" s="32"/>
      <c r="N2847" s="32"/>
    </row>
    <row r="2848" spans="2:14" x14ac:dyDescent="0.25">
      <c r="B2848" s="42"/>
      <c r="C2848" s="30"/>
      <c r="D2848" s="30"/>
      <c r="E2848" s="30"/>
      <c r="F2848" s="30"/>
      <c r="G2848" s="30"/>
      <c r="H2848" s="47"/>
      <c r="I2848" s="63"/>
      <c r="J2848" s="31"/>
      <c r="K2848" s="31"/>
      <c r="L2848" s="32"/>
      <c r="M2848" s="32"/>
      <c r="N2848" s="32"/>
    </row>
    <row r="2849" spans="2:14" x14ac:dyDescent="0.25">
      <c r="B2849" s="42"/>
      <c r="C2849" s="30"/>
      <c r="D2849" s="30"/>
      <c r="E2849" s="30"/>
      <c r="F2849" s="30"/>
      <c r="G2849" s="30"/>
      <c r="H2849" s="47"/>
      <c r="I2849" s="63"/>
      <c r="J2849" s="31"/>
      <c r="K2849" s="31"/>
      <c r="L2849" s="32"/>
      <c r="M2849" s="32"/>
      <c r="N2849" s="32"/>
    </row>
    <row r="2850" spans="2:14" x14ac:dyDescent="0.25">
      <c r="B2850" s="42"/>
      <c r="C2850" s="30"/>
      <c r="D2850" s="30"/>
      <c r="E2850" s="30"/>
      <c r="F2850" s="30"/>
      <c r="G2850" s="30"/>
      <c r="H2850" s="47"/>
      <c r="I2850" s="63"/>
      <c r="J2850" s="31"/>
      <c r="K2850" s="31"/>
      <c r="L2850" s="32"/>
      <c r="M2850" s="32"/>
      <c r="N2850" s="32"/>
    </row>
    <row r="2851" spans="2:14" x14ac:dyDescent="0.25">
      <c r="B2851" s="42"/>
      <c r="C2851" s="30"/>
      <c r="D2851" s="30"/>
      <c r="E2851" s="30"/>
      <c r="F2851" s="30"/>
      <c r="G2851" s="30"/>
      <c r="H2851" s="47"/>
      <c r="I2851" s="63"/>
      <c r="J2851" s="31"/>
      <c r="K2851" s="31"/>
      <c r="L2851" s="32"/>
      <c r="M2851" s="32"/>
      <c r="N2851" s="32"/>
    </row>
    <row r="2852" spans="2:14" x14ac:dyDescent="0.25">
      <c r="B2852" s="42"/>
      <c r="C2852" s="30"/>
      <c r="D2852" s="30"/>
      <c r="E2852" s="30"/>
      <c r="F2852" s="30"/>
      <c r="G2852" s="30"/>
      <c r="H2852" s="47"/>
      <c r="I2852" s="63"/>
      <c r="J2852" s="31"/>
      <c r="K2852" s="31"/>
      <c r="L2852" s="32"/>
      <c r="M2852" s="32"/>
      <c r="N2852" s="32"/>
    </row>
    <row r="2853" spans="2:14" x14ac:dyDescent="0.25">
      <c r="B2853" s="42"/>
      <c r="C2853" s="30"/>
      <c r="D2853" s="30"/>
      <c r="E2853" s="30"/>
      <c r="F2853" s="30"/>
      <c r="G2853" s="30"/>
      <c r="H2853" s="47"/>
      <c r="I2853" s="63"/>
      <c r="J2853" s="31"/>
      <c r="K2853" s="31"/>
      <c r="L2853" s="32"/>
      <c r="M2853" s="32"/>
      <c r="N2853" s="32"/>
    </row>
    <row r="2854" spans="2:14" x14ac:dyDescent="0.25">
      <c r="B2854" s="42"/>
      <c r="C2854" s="30"/>
      <c r="D2854" s="30"/>
      <c r="E2854" s="30"/>
      <c r="F2854" s="30"/>
      <c r="G2854" s="30"/>
      <c r="H2854" s="47"/>
      <c r="I2854" s="63"/>
      <c r="J2854" s="31"/>
      <c r="K2854" s="31"/>
      <c r="L2854" s="32"/>
      <c r="M2854" s="32"/>
      <c r="N2854" s="32"/>
    </row>
    <row r="2855" spans="2:14" x14ac:dyDescent="0.25">
      <c r="B2855" s="42"/>
      <c r="C2855" s="30"/>
      <c r="D2855" s="30"/>
      <c r="E2855" s="30"/>
      <c r="F2855" s="30"/>
      <c r="G2855" s="30"/>
      <c r="H2855" s="47"/>
      <c r="I2855" s="63"/>
      <c r="J2855" s="31"/>
      <c r="K2855" s="31"/>
      <c r="L2855" s="32"/>
      <c r="M2855" s="32"/>
      <c r="N2855" s="32"/>
    </row>
    <row r="2856" spans="2:14" x14ac:dyDescent="0.25">
      <c r="B2856" s="42"/>
      <c r="C2856" s="30"/>
      <c r="D2856" s="30"/>
      <c r="E2856" s="30"/>
      <c r="F2856" s="30"/>
      <c r="G2856" s="30"/>
      <c r="H2856" s="47"/>
      <c r="I2856" s="63"/>
      <c r="J2856" s="31"/>
      <c r="K2856" s="31"/>
      <c r="L2856" s="32"/>
      <c r="M2856" s="32"/>
      <c r="N2856" s="32"/>
    </row>
    <row r="2857" spans="2:14" x14ac:dyDescent="0.25">
      <c r="B2857" s="42"/>
      <c r="C2857" s="30"/>
      <c r="D2857" s="30"/>
      <c r="E2857" s="30"/>
      <c r="F2857" s="30"/>
      <c r="G2857" s="30"/>
      <c r="H2857" s="47"/>
      <c r="I2857" s="63"/>
      <c r="J2857" s="31"/>
      <c r="K2857" s="31"/>
      <c r="L2857" s="32"/>
      <c r="M2857" s="32"/>
      <c r="N2857" s="32"/>
    </row>
    <row r="2858" spans="2:14" x14ac:dyDescent="0.25">
      <c r="B2858" s="42"/>
      <c r="C2858" s="30"/>
      <c r="D2858" s="30"/>
      <c r="E2858" s="30"/>
      <c r="F2858" s="30"/>
      <c r="G2858" s="30"/>
      <c r="H2858" s="47"/>
      <c r="I2858" s="63"/>
      <c r="J2858" s="31"/>
      <c r="K2858" s="31"/>
      <c r="L2858" s="32"/>
      <c r="M2858" s="32"/>
      <c r="N2858" s="32"/>
    </row>
    <row r="2859" spans="2:14" x14ac:dyDescent="0.25">
      <c r="B2859" s="42"/>
      <c r="C2859" s="30"/>
      <c r="D2859" s="30"/>
      <c r="E2859" s="30"/>
      <c r="F2859" s="30"/>
      <c r="G2859" s="30"/>
      <c r="H2859" s="47"/>
      <c r="I2859" s="63"/>
      <c r="J2859" s="31"/>
      <c r="K2859" s="31"/>
      <c r="L2859" s="32"/>
      <c r="M2859" s="32"/>
      <c r="N2859" s="32"/>
    </row>
    <row r="2860" spans="2:14" x14ac:dyDescent="0.25">
      <c r="B2860" s="42"/>
      <c r="C2860" s="30"/>
      <c r="D2860" s="30"/>
      <c r="E2860" s="30"/>
      <c r="F2860" s="30"/>
      <c r="G2860" s="30"/>
      <c r="H2860" s="47"/>
      <c r="I2860" s="63"/>
      <c r="J2860" s="31"/>
      <c r="K2860" s="31"/>
      <c r="L2860" s="32"/>
      <c r="M2860" s="32"/>
      <c r="N2860" s="32"/>
    </row>
    <row r="2861" spans="2:14" x14ac:dyDescent="0.25">
      <c r="B2861" s="42"/>
      <c r="C2861" s="30"/>
      <c r="D2861" s="30"/>
      <c r="E2861" s="30"/>
      <c r="F2861" s="30"/>
      <c r="G2861" s="30"/>
      <c r="H2861" s="47"/>
      <c r="I2861" s="63"/>
      <c r="J2861" s="31"/>
      <c r="K2861" s="31"/>
      <c r="L2861" s="32"/>
      <c r="M2861" s="32"/>
      <c r="N2861" s="32"/>
    </row>
    <row r="2862" spans="2:14" x14ac:dyDescent="0.25">
      <c r="B2862" s="42"/>
      <c r="C2862" s="30"/>
      <c r="D2862" s="30"/>
      <c r="E2862" s="30"/>
      <c r="F2862" s="30"/>
      <c r="G2862" s="30"/>
      <c r="H2862" s="47"/>
      <c r="I2862" s="63"/>
      <c r="J2862" s="31"/>
      <c r="K2862" s="31"/>
      <c r="L2862" s="32"/>
      <c r="M2862" s="32"/>
      <c r="N2862" s="32"/>
    </row>
    <row r="2863" spans="2:14" x14ac:dyDescent="0.25">
      <c r="B2863" s="42"/>
      <c r="C2863" s="30"/>
      <c r="D2863" s="30"/>
      <c r="E2863" s="30"/>
      <c r="F2863" s="30"/>
      <c r="G2863" s="30"/>
      <c r="H2863" s="47"/>
      <c r="I2863" s="63"/>
      <c r="J2863" s="31"/>
      <c r="K2863" s="31"/>
      <c r="L2863" s="32"/>
      <c r="M2863" s="32"/>
      <c r="N2863" s="32"/>
    </row>
    <row r="2864" spans="2:14" x14ac:dyDescent="0.25">
      <c r="B2864" s="42"/>
      <c r="C2864" s="30"/>
      <c r="D2864" s="30"/>
      <c r="E2864" s="30"/>
      <c r="F2864" s="30"/>
      <c r="G2864" s="30"/>
      <c r="H2864" s="47"/>
      <c r="I2864" s="63"/>
      <c r="J2864" s="31"/>
      <c r="K2864" s="31"/>
      <c r="L2864" s="32"/>
      <c r="M2864" s="32"/>
      <c r="N2864" s="32"/>
    </row>
    <row r="2865" spans="2:14" x14ac:dyDescent="0.25">
      <c r="B2865" s="42"/>
      <c r="C2865" s="30"/>
      <c r="D2865" s="30"/>
      <c r="E2865" s="30"/>
      <c r="F2865" s="30"/>
      <c r="G2865" s="30"/>
      <c r="H2865" s="47"/>
      <c r="I2865" s="63"/>
      <c r="J2865" s="31"/>
      <c r="K2865" s="31"/>
      <c r="L2865" s="32"/>
      <c r="M2865" s="32"/>
      <c r="N2865" s="32"/>
    </row>
    <row r="2866" spans="2:14" x14ac:dyDescent="0.25">
      <c r="B2866" s="42"/>
      <c r="C2866" s="30"/>
      <c r="D2866" s="30"/>
      <c r="E2866" s="30"/>
      <c r="F2866" s="30"/>
      <c r="G2866" s="30"/>
      <c r="H2866" s="47"/>
      <c r="I2866" s="63"/>
      <c r="J2866" s="31"/>
      <c r="K2866" s="31"/>
      <c r="L2866" s="32"/>
      <c r="M2866" s="32"/>
      <c r="N2866" s="32"/>
    </row>
    <row r="2867" spans="2:14" x14ac:dyDescent="0.25">
      <c r="B2867" s="42"/>
      <c r="C2867" s="30"/>
      <c r="D2867" s="30"/>
      <c r="E2867" s="30"/>
      <c r="F2867" s="30"/>
      <c r="G2867" s="30"/>
      <c r="H2867" s="47"/>
      <c r="I2867" s="63"/>
      <c r="J2867" s="31"/>
      <c r="K2867" s="31"/>
      <c r="L2867" s="32"/>
      <c r="M2867" s="32"/>
      <c r="N2867" s="32"/>
    </row>
    <row r="2868" spans="2:14" x14ac:dyDescent="0.25">
      <c r="B2868" s="42"/>
      <c r="C2868" s="30"/>
      <c r="D2868" s="30"/>
      <c r="E2868" s="30"/>
      <c r="F2868" s="30"/>
      <c r="G2868" s="30"/>
      <c r="H2868" s="47"/>
      <c r="I2868" s="63"/>
      <c r="J2868" s="31"/>
      <c r="K2868" s="31"/>
      <c r="L2868" s="32"/>
      <c r="M2868" s="32"/>
      <c r="N2868" s="32"/>
    </row>
    <row r="2869" spans="2:14" x14ac:dyDescent="0.25">
      <c r="B2869" s="42"/>
      <c r="C2869" s="30"/>
      <c r="D2869" s="30"/>
      <c r="E2869" s="30"/>
      <c r="F2869" s="30"/>
      <c r="G2869" s="30"/>
      <c r="H2869" s="47"/>
      <c r="I2869" s="63"/>
      <c r="J2869" s="31"/>
      <c r="K2869" s="31"/>
      <c r="L2869" s="32"/>
      <c r="M2869" s="32"/>
      <c r="N2869" s="32"/>
    </row>
    <row r="2870" spans="2:14" x14ac:dyDescent="0.25">
      <c r="B2870" s="42"/>
      <c r="C2870" s="30"/>
      <c r="D2870" s="30"/>
      <c r="E2870" s="30"/>
      <c r="F2870" s="30"/>
      <c r="G2870" s="30"/>
      <c r="H2870" s="47"/>
      <c r="I2870" s="63"/>
      <c r="J2870" s="31"/>
      <c r="K2870" s="31"/>
      <c r="L2870" s="32"/>
      <c r="M2870" s="32"/>
      <c r="N2870" s="32"/>
    </row>
    <row r="2871" spans="2:14" x14ac:dyDescent="0.25">
      <c r="B2871" s="42"/>
      <c r="C2871" s="30"/>
      <c r="D2871" s="30"/>
      <c r="E2871" s="30"/>
      <c r="F2871" s="30"/>
      <c r="G2871" s="30"/>
      <c r="H2871" s="47"/>
      <c r="I2871" s="63"/>
      <c r="J2871" s="31"/>
      <c r="K2871" s="31"/>
      <c r="L2871" s="32"/>
      <c r="M2871" s="32"/>
      <c r="N2871" s="32"/>
    </row>
    <row r="2872" spans="2:14" x14ac:dyDescent="0.25">
      <c r="B2872" s="42"/>
      <c r="C2872" s="30"/>
      <c r="D2872" s="30"/>
      <c r="E2872" s="30"/>
      <c r="F2872" s="30"/>
      <c r="G2872" s="30"/>
      <c r="H2872" s="47"/>
      <c r="I2872" s="63"/>
      <c r="J2872" s="31"/>
      <c r="K2872" s="31"/>
      <c r="L2872" s="32"/>
      <c r="M2872" s="32"/>
      <c r="N2872" s="32"/>
    </row>
    <row r="2873" spans="2:14" x14ac:dyDescent="0.25">
      <c r="B2873" s="42"/>
      <c r="C2873" s="30"/>
      <c r="D2873" s="30"/>
      <c r="E2873" s="30"/>
      <c r="F2873" s="30"/>
      <c r="G2873" s="30"/>
      <c r="H2873" s="47"/>
      <c r="I2873" s="63"/>
      <c r="J2873" s="31"/>
      <c r="K2873" s="31"/>
      <c r="L2873" s="32"/>
      <c r="M2873" s="32"/>
      <c r="N2873" s="32"/>
    </row>
    <row r="2874" spans="2:14" x14ac:dyDescent="0.25">
      <c r="B2874" s="42"/>
      <c r="C2874" s="30"/>
      <c r="D2874" s="30"/>
      <c r="E2874" s="30"/>
      <c r="F2874" s="30"/>
      <c r="G2874" s="30"/>
      <c r="H2874" s="47"/>
      <c r="I2874" s="63"/>
      <c r="J2874" s="31"/>
      <c r="K2874" s="31"/>
      <c r="L2874" s="32"/>
      <c r="M2874" s="32"/>
      <c r="N2874" s="32"/>
    </row>
    <row r="2875" spans="2:14" x14ac:dyDescent="0.25">
      <c r="B2875" s="42"/>
      <c r="C2875" s="30"/>
      <c r="D2875" s="30"/>
      <c r="E2875" s="30"/>
      <c r="F2875" s="30"/>
      <c r="G2875" s="30"/>
      <c r="H2875" s="47"/>
      <c r="I2875" s="63"/>
      <c r="J2875" s="31"/>
      <c r="K2875" s="31"/>
      <c r="L2875" s="32"/>
      <c r="M2875" s="32"/>
      <c r="N2875" s="32"/>
    </row>
    <row r="2876" spans="2:14" x14ac:dyDescent="0.25">
      <c r="B2876" s="42"/>
      <c r="C2876" s="30"/>
      <c r="D2876" s="30"/>
      <c r="E2876" s="30"/>
      <c r="F2876" s="30"/>
      <c r="G2876" s="30"/>
      <c r="H2876" s="47"/>
      <c r="I2876" s="63"/>
      <c r="J2876" s="31"/>
      <c r="K2876" s="31"/>
      <c r="L2876" s="32"/>
      <c r="M2876" s="32"/>
      <c r="N2876" s="32"/>
    </row>
    <row r="2877" spans="2:14" x14ac:dyDescent="0.25">
      <c r="B2877" s="42"/>
      <c r="C2877" s="30"/>
      <c r="D2877" s="30"/>
      <c r="E2877" s="30"/>
      <c r="F2877" s="30"/>
      <c r="G2877" s="30"/>
      <c r="H2877" s="47"/>
      <c r="I2877" s="63"/>
      <c r="J2877" s="31"/>
      <c r="K2877" s="31"/>
      <c r="L2877" s="32"/>
      <c r="M2877" s="32"/>
      <c r="N2877" s="32"/>
    </row>
    <row r="2878" spans="2:14" x14ac:dyDescent="0.25">
      <c r="B2878" s="42"/>
      <c r="C2878" s="30"/>
      <c r="D2878" s="30"/>
      <c r="E2878" s="30"/>
      <c r="F2878" s="30"/>
      <c r="G2878" s="30"/>
      <c r="H2878" s="47"/>
      <c r="I2878" s="63"/>
      <c r="J2878" s="31"/>
      <c r="K2878" s="31"/>
      <c r="L2878" s="32"/>
      <c r="M2878" s="32"/>
      <c r="N2878" s="32"/>
    </row>
    <row r="2879" spans="2:14" x14ac:dyDescent="0.25">
      <c r="B2879" s="42"/>
      <c r="C2879" s="30"/>
      <c r="D2879" s="30"/>
      <c r="E2879" s="30"/>
      <c r="F2879" s="30"/>
      <c r="G2879" s="30"/>
      <c r="H2879" s="47"/>
      <c r="I2879" s="63"/>
      <c r="J2879" s="31"/>
      <c r="K2879" s="31"/>
      <c r="L2879" s="32"/>
      <c r="M2879" s="32"/>
      <c r="N2879" s="32"/>
    </row>
    <row r="2880" spans="2:14" x14ac:dyDescent="0.25">
      <c r="B2880" s="42"/>
      <c r="C2880" s="30"/>
      <c r="D2880" s="30"/>
      <c r="E2880" s="30"/>
      <c r="F2880" s="30"/>
      <c r="G2880" s="30"/>
      <c r="H2880" s="47"/>
      <c r="I2880" s="63"/>
      <c r="J2880" s="31"/>
      <c r="K2880" s="31"/>
      <c r="L2880" s="32"/>
      <c r="M2880" s="32"/>
      <c r="N2880" s="32"/>
    </row>
    <row r="2881" spans="2:14" x14ac:dyDescent="0.25">
      <c r="B2881" s="42"/>
      <c r="C2881" s="30"/>
      <c r="D2881" s="30"/>
      <c r="E2881" s="30"/>
      <c r="F2881" s="30"/>
      <c r="G2881" s="30"/>
      <c r="H2881" s="47"/>
      <c r="I2881" s="63"/>
      <c r="J2881" s="31"/>
      <c r="K2881" s="31"/>
      <c r="L2881" s="32"/>
      <c r="M2881" s="32"/>
      <c r="N2881" s="32"/>
    </row>
    <row r="2882" spans="2:14" x14ac:dyDescent="0.25">
      <c r="B2882" s="42"/>
      <c r="C2882" s="30"/>
      <c r="D2882" s="30"/>
      <c r="E2882" s="30"/>
      <c r="F2882" s="30"/>
      <c r="G2882" s="30"/>
      <c r="H2882" s="47"/>
      <c r="I2882" s="63"/>
      <c r="J2882" s="31"/>
      <c r="K2882" s="31"/>
      <c r="L2882" s="32"/>
      <c r="M2882" s="32"/>
      <c r="N2882" s="32"/>
    </row>
    <row r="2883" spans="2:14" x14ac:dyDescent="0.25">
      <c r="B2883" s="42"/>
      <c r="C2883" s="30"/>
      <c r="D2883" s="30"/>
      <c r="E2883" s="30"/>
      <c r="F2883" s="30"/>
      <c r="G2883" s="30"/>
      <c r="H2883" s="47"/>
      <c r="I2883" s="63"/>
      <c r="J2883" s="31"/>
      <c r="K2883" s="31"/>
      <c r="L2883" s="32"/>
      <c r="M2883" s="32"/>
      <c r="N2883" s="32"/>
    </row>
    <row r="2884" spans="2:14" x14ac:dyDescent="0.25">
      <c r="B2884" s="42"/>
      <c r="C2884" s="30"/>
      <c r="D2884" s="30"/>
      <c r="E2884" s="30"/>
      <c r="F2884" s="30"/>
      <c r="G2884" s="30"/>
      <c r="H2884" s="47"/>
      <c r="I2884" s="63"/>
      <c r="J2884" s="31"/>
      <c r="K2884" s="31"/>
      <c r="L2884" s="32"/>
      <c r="M2884" s="32"/>
      <c r="N2884" s="32"/>
    </row>
    <row r="2885" spans="2:14" x14ac:dyDescent="0.25">
      <c r="B2885" s="42"/>
      <c r="C2885" s="30"/>
      <c r="D2885" s="30"/>
      <c r="E2885" s="30"/>
      <c r="F2885" s="30"/>
      <c r="G2885" s="30"/>
      <c r="H2885" s="47"/>
      <c r="I2885" s="63"/>
      <c r="J2885" s="31"/>
      <c r="K2885" s="31"/>
      <c r="L2885" s="32"/>
      <c r="M2885" s="32"/>
      <c r="N2885" s="32"/>
    </row>
    <row r="2886" spans="2:14" x14ac:dyDescent="0.25">
      <c r="B2886" s="42"/>
      <c r="C2886" s="30"/>
      <c r="D2886" s="30"/>
      <c r="E2886" s="30"/>
      <c r="F2886" s="30"/>
      <c r="G2886" s="30"/>
      <c r="H2886" s="47"/>
      <c r="I2886" s="63"/>
      <c r="J2886" s="31"/>
      <c r="K2886" s="31"/>
      <c r="L2886" s="32"/>
      <c r="M2886" s="32"/>
      <c r="N2886" s="32"/>
    </row>
    <row r="2887" spans="2:14" x14ac:dyDescent="0.25">
      <c r="B2887" s="42"/>
      <c r="C2887" s="30"/>
      <c r="D2887" s="30"/>
      <c r="E2887" s="30"/>
      <c r="F2887" s="30"/>
      <c r="G2887" s="30"/>
      <c r="H2887" s="47"/>
      <c r="I2887" s="63"/>
      <c r="J2887" s="31"/>
      <c r="K2887" s="31"/>
      <c r="L2887" s="32"/>
      <c r="M2887" s="32"/>
      <c r="N2887" s="32"/>
    </row>
    <row r="2888" spans="2:14" x14ac:dyDescent="0.25">
      <c r="B2888" s="42"/>
      <c r="C2888" s="30"/>
      <c r="D2888" s="30"/>
      <c r="E2888" s="30"/>
      <c r="F2888" s="30"/>
      <c r="G2888" s="30"/>
      <c r="H2888" s="47"/>
      <c r="I2888" s="63"/>
      <c r="J2888" s="31"/>
      <c r="K2888" s="31"/>
      <c r="L2888" s="32"/>
      <c r="M2888" s="32"/>
      <c r="N2888" s="32"/>
    </row>
    <row r="2889" spans="2:14" x14ac:dyDescent="0.25">
      <c r="B2889" s="42"/>
      <c r="C2889" s="30"/>
      <c r="D2889" s="30"/>
      <c r="E2889" s="30"/>
      <c r="F2889" s="30"/>
      <c r="G2889" s="30"/>
      <c r="H2889" s="47"/>
      <c r="I2889" s="63"/>
      <c r="J2889" s="31"/>
      <c r="K2889" s="31"/>
      <c r="L2889" s="32"/>
      <c r="M2889" s="32"/>
      <c r="N2889" s="32"/>
    </row>
    <row r="2890" spans="2:14" x14ac:dyDescent="0.25">
      <c r="B2890" s="42"/>
      <c r="C2890" s="30"/>
      <c r="D2890" s="30"/>
      <c r="E2890" s="30"/>
      <c r="F2890" s="30"/>
      <c r="G2890" s="30"/>
      <c r="H2890" s="47"/>
      <c r="I2890" s="63"/>
      <c r="J2890" s="31"/>
      <c r="K2890" s="31"/>
      <c r="L2890" s="32"/>
      <c r="M2890" s="32"/>
      <c r="N2890" s="32"/>
    </row>
    <row r="2891" spans="2:14" x14ac:dyDescent="0.25">
      <c r="B2891" s="42"/>
      <c r="C2891" s="30"/>
      <c r="D2891" s="30"/>
      <c r="E2891" s="30"/>
      <c r="F2891" s="30"/>
      <c r="G2891" s="30"/>
      <c r="H2891" s="47"/>
      <c r="I2891" s="63"/>
      <c r="J2891" s="31"/>
      <c r="K2891" s="31"/>
      <c r="L2891" s="32"/>
      <c r="M2891" s="32"/>
      <c r="N2891" s="32"/>
    </row>
    <row r="2892" spans="2:14" x14ac:dyDescent="0.25">
      <c r="B2892" s="42"/>
      <c r="C2892" s="30"/>
      <c r="D2892" s="30"/>
      <c r="E2892" s="30"/>
      <c r="F2892" s="30"/>
      <c r="G2892" s="30"/>
      <c r="H2892" s="47"/>
      <c r="I2892" s="63"/>
      <c r="J2892" s="31"/>
      <c r="K2892" s="31"/>
      <c r="L2892" s="32"/>
      <c r="M2892" s="32"/>
      <c r="N2892" s="32"/>
    </row>
    <row r="2893" spans="2:14" x14ac:dyDescent="0.25">
      <c r="B2893" s="42"/>
      <c r="C2893" s="30"/>
      <c r="D2893" s="30"/>
      <c r="E2893" s="30"/>
      <c r="F2893" s="30"/>
      <c r="G2893" s="30"/>
      <c r="H2893" s="47"/>
      <c r="I2893" s="63"/>
      <c r="J2893" s="31"/>
      <c r="K2893" s="31"/>
      <c r="L2893" s="32"/>
      <c r="M2893" s="32"/>
      <c r="N2893" s="32"/>
    </row>
    <row r="2894" spans="2:14" x14ac:dyDescent="0.25">
      <c r="B2894" s="42"/>
      <c r="C2894" s="30"/>
      <c r="D2894" s="30"/>
      <c r="E2894" s="30"/>
      <c r="F2894" s="30"/>
      <c r="G2894" s="30"/>
      <c r="H2894" s="47"/>
      <c r="I2894" s="63"/>
      <c r="J2894" s="31"/>
      <c r="K2894" s="31"/>
      <c r="L2894" s="32"/>
      <c r="M2894" s="32"/>
      <c r="N2894" s="32"/>
    </row>
    <row r="2895" spans="2:14" x14ac:dyDescent="0.25">
      <c r="B2895" s="42"/>
      <c r="C2895" s="30"/>
      <c r="D2895" s="30"/>
      <c r="E2895" s="30"/>
      <c r="F2895" s="30"/>
      <c r="G2895" s="30"/>
      <c r="H2895" s="47"/>
      <c r="I2895" s="63"/>
      <c r="J2895" s="31"/>
      <c r="K2895" s="31"/>
      <c r="L2895" s="32"/>
      <c r="M2895" s="32"/>
      <c r="N2895" s="32"/>
    </row>
    <row r="2896" spans="2:14" x14ac:dyDescent="0.25">
      <c r="B2896" s="42"/>
      <c r="C2896" s="30"/>
      <c r="D2896" s="30"/>
      <c r="E2896" s="30"/>
      <c r="F2896" s="30"/>
      <c r="G2896" s="30"/>
      <c r="H2896" s="47"/>
      <c r="I2896" s="63"/>
      <c r="J2896" s="31"/>
      <c r="K2896" s="31"/>
      <c r="L2896" s="32"/>
      <c r="M2896" s="32"/>
      <c r="N2896" s="32"/>
    </row>
    <row r="2897" spans="2:14" x14ac:dyDescent="0.25">
      <c r="B2897" s="42"/>
      <c r="C2897" s="30"/>
      <c r="D2897" s="30"/>
      <c r="E2897" s="30"/>
      <c r="F2897" s="30"/>
      <c r="G2897" s="30"/>
      <c r="H2897" s="47"/>
      <c r="I2897" s="63"/>
      <c r="J2897" s="31"/>
      <c r="K2897" s="31"/>
      <c r="L2897" s="32"/>
      <c r="M2897" s="32"/>
      <c r="N2897" s="32"/>
    </row>
    <row r="2898" spans="2:14" x14ac:dyDescent="0.25">
      <c r="B2898" s="42"/>
      <c r="C2898" s="30"/>
      <c r="D2898" s="30"/>
      <c r="E2898" s="30"/>
      <c r="F2898" s="30"/>
      <c r="G2898" s="30"/>
      <c r="H2898" s="47"/>
      <c r="I2898" s="63"/>
      <c r="J2898" s="31"/>
      <c r="K2898" s="31"/>
      <c r="L2898" s="32"/>
      <c r="M2898" s="32"/>
      <c r="N2898" s="32"/>
    </row>
    <row r="2899" spans="2:14" x14ac:dyDescent="0.25">
      <c r="B2899" s="42"/>
      <c r="C2899" s="30"/>
      <c r="D2899" s="30"/>
      <c r="E2899" s="30"/>
      <c r="F2899" s="30"/>
      <c r="G2899" s="30"/>
      <c r="H2899" s="47"/>
      <c r="I2899" s="63"/>
      <c r="J2899" s="31"/>
      <c r="K2899" s="31"/>
      <c r="L2899" s="32"/>
      <c r="M2899" s="32"/>
      <c r="N2899" s="32"/>
    </row>
    <row r="2900" spans="2:14" x14ac:dyDescent="0.25">
      <c r="B2900" s="42"/>
      <c r="C2900" s="30"/>
      <c r="D2900" s="30"/>
      <c r="E2900" s="30"/>
      <c r="F2900" s="30"/>
      <c r="G2900" s="30"/>
      <c r="H2900" s="47"/>
      <c r="I2900" s="63"/>
      <c r="J2900" s="31"/>
      <c r="K2900" s="31"/>
      <c r="L2900" s="32"/>
      <c r="M2900" s="32"/>
      <c r="N2900" s="32"/>
    </row>
    <row r="2901" spans="2:14" x14ac:dyDescent="0.25">
      <c r="B2901" s="42"/>
      <c r="C2901" s="30"/>
      <c r="D2901" s="30"/>
      <c r="E2901" s="30"/>
      <c r="F2901" s="30"/>
      <c r="G2901" s="30"/>
      <c r="H2901" s="47"/>
      <c r="I2901" s="63"/>
      <c r="J2901" s="31"/>
      <c r="K2901" s="31"/>
      <c r="L2901" s="32"/>
      <c r="M2901" s="32"/>
      <c r="N2901" s="32"/>
    </row>
    <row r="2902" spans="2:14" x14ac:dyDescent="0.25">
      <c r="B2902" s="42"/>
      <c r="C2902" s="30"/>
      <c r="D2902" s="30"/>
      <c r="E2902" s="30"/>
      <c r="F2902" s="30"/>
      <c r="G2902" s="30"/>
      <c r="H2902" s="47"/>
      <c r="I2902" s="63"/>
      <c r="J2902" s="31"/>
      <c r="K2902" s="31"/>
      <c r="L2902" s="32"/>
      <c r="M2902" s="32"/>
      <c r="N2902" s="32"/>
    </row>
    <row r="2903" spans="2:14" x14ac:dyDescent="0.25">
      <c r="B2903" s="42"/>
      <c r="C2903" s="30"/>
      <c r="D2903" s="30"/>
      <c r="E2903" s="30"/>
      <c r="F2903" s="30"/>
      <c r="G2903" s="30"/>
      <c r="H2903" s="47"/>
      <c r="I2903" s="63"/>
      <c r="J2903" s="31"/>
      <c r="K2903" s="31"/>
      <c r="L2903" s="32"/>
      <c r="M2903" s="32"/>
      <c r="N2903" s="32"/>
    </row>
    <row r="2904" spans="2:14" x14ac:dyDescent="0.25">
      <c r="B2904" s="42"/>
      <c r="C2904" s="30"/>
      <c r="D2904" s="30"/>
      <c r="E2904" s="30"/>
      <c r="F2904" s="30"/>
      <c r="G2904" s="30"/>
      <c r="H2904" s="47"/>
      <c r="I2904" s="63"/>
      <c r="J2904" s="31"/>
      <c r="K2904" s="31"/>
      <c r="L2904" s="32"/>
      <c r="M2904" s="32"/>
      <c r="N2904" s="32"/>
    </row>
    <row r="2905" spans="2:14" x14ac:dyDescent="0.25">
      <c r="B2905" s="42"/>
      <c r="C2905" s="30"/>
      <c r="D2905" s="30"/>
      <c r="E2905" s="30"/>
      <c r="F2905" s="30"/>
      <c r="G2905" s="30"/>
      <c r="H2905" s="47"/>
      <c r="I2905" s="63"/>
      <c r="J2905" s="31"/>
      <c r="K2905" s="31"/>
      <c r="L2905" s="32"/>
      <c r="M2905" s="32"/>
      <c r="N2905" s="32"/>
    </row>
    <row r="2906" spans="2:14" x14ac:dyDescent="0.25">
      <c r="B2906" s="42"/>
      <c r="C2906" s="30"/>
      <c r="D2906" s="30"/>
      <c r="E2906" s="30"/>
      <c r="F2906" s="30"/>
      <c r="G2906" s="30"/>
      <c r="H2906" s="47"/>
      <c r="I2906" s="63"/>
      <c r="J2906" s="31"/>
      <c r="K2906" s="31"/>
      <c r="L2906" s="32"/>
      <c r="M2906" s="32"/>
      <c r="N2906" s="32"/>
    </row>
    <row r="2907" spans="2:14" x14ac:dyDescent="0.25">
      <c r="B2907" s="42"/>
      <c r="C2907" s="30"/>
      <c r="D2907" s="30"/>
      <c r="E2907" s="30"/>
      <c r="F2907" s="30"/>
      <c r="G2907" s="30"/>
      <c r="H2907" s="47"/>
      <c r="I2907" s="63"/>
      <c r="J2907" s="31"/>
      <c r="K2907" s="31"/>
      <c r="L2907" s="32"/>
      <c r="M2907" s="32"/>
      <c r="N2907" s="32"/>
    </row>
    <row r="2908" spans="2:14" x14ac:dyDescent="0.25">
      <c r="B2908" s="42"/>
      <c r="C2908" s="30"/>
      <c r="D2908" s="30"/>
      <c r="E2908" s="30"/>
      <c r="F2908" s="30"/>
      <c r="G2908" s="30"/>
      <c r="H2908" s="47"/>
      <c r="I2908" s="63"/>
      <c r="J2908" s="31"/>
      <c r="K2908" s="31"/>
      <c r="L2908" s="32"/>
      <c r="M2908" s="32"/>
      <c r="N2908" s="32"/>
    </row>
    <row r="2909" spans="2:14" x14ac:dyDescent="0.25">
      <c r="B2909" s="42"/>
      <c r="C2909" s="30"/>
      <c r="D2909" s="30"/>
      <c r="E2909" s="30"/>
      <c r="F2909" s="30"/>
      <c r="G2909" s="30"/>
      <c r="H2909" s="47"/>
      <c r="I2909" s="63"/>
      <c r="J2909" s="31"/>
      <c r="K2909" s="31"/>
      <c r="L2909" s="32"/>
      <c r="M2909" s="32"/>
      <c r="N2909" s="32"/>
    </row>
    <row r="2910" spans="2:14" x14ac:dyDescent="0.25">
      <c r="B2910" s="42"/>
      <c r="C2910" s="30"/>
      <c r="D2910" s="30"/>
      <c r="E2910" s="30"/>
      <c r="F2910" s="30"/>
      <c r="G2910" s="30"/>
      <c r="H2910" s="47"/>
      <c r="I2910" s="63"/>
      <c r="J2910" s="31"/>
      <c r="K2910" s="31"/>
      <c r="L2910" s="32"/>
      <c r="M2910" s="32"/>
      <c r="N2910" s="32"/>
    </row>
    <row r="2911" spans="2:14" x14ac:dyDescent="0.25">
      <c r="B2911" s="42"/>
      <c r="C2911" s="30"/>
      <c r="D2911" s="30"/>
      <c r="E2911" s="30"/>
      <c r="F2911" s="30"/>
      <c r="G2911" s="30"/>
      <c r="H2911" s="47"/>
      <c r="I2911" s="63"/>
      <c r="J2911" s="31"/>
      <c r="K2911" s="31"/>
      <c r="L2911" s="32"/>
      <c r="M2911" s="32"/>
      <c r="N2911" s="32"/>
    </row>
    <row r="2912" spans="2:14" x14ac:dyDescent="0.25">
      <c r="B2912" s="42"/>
      <c r="C2912" s="30"/>
      <c r="D2912" s="30"/>
      <c r="E2912" s="30"/>
      <c r="F2912" s="30"/>
      <c r="G2912" s="30"/>
      <c r="H2912" s="47"/>
      <c r="I2912" s="63"/>
      <c r="J2912" s="31"/>
      <c r="K2912" s="31"/>
      <c r="L2912" s="32"/>
      <c r="M2912" s="32"/>
      <c r="N2912" s="32"/>
    </row>
    <row r="2913" spans="2:14" x14ac:dyDescent="0.25">
      <c r="B2913" s="42"/>
      <c r="C2913" s="30"/>
      <c r="D2913" s="30"/>
      <c r="E2913" s="30"/>
      <c r="F2913" s="30"/>
      <c r="G2913" s="30"/>
      <c r="H2913" s="47"/>
      <c r="I2913" s="63"/>
      <c r="J2913" s="31"/>
      <c r="K2913" s="31"/>
      <c r="L2913" s="32"/>
      <c r="M2913" s="32"/>
      <c r="N2913" s="32"/>
    </row>
    <row r="2914" spans="2:14" x14ac:dyDescent="0.25">
      <c r="B2914" s="42"/>
      <c r="C2914" s="30"/>
      <c r="D2914" s="30"/>
      <c r="E2914" s="30"/>
      <c r="F2914" s="30"/>
      <c r="G2914" s="30"/>
      <c r="H2914" s="47"/>
      <c r="I2914" s="63"/>
      <c r="J2914" s="31"/>
      <c r="K2914" s="31"/>
      <c r="L2914" s="32"/>
      <c r="M2914" s="32"/>
      <c r="N2914" s="32"/>
    </row>
    <row r="2915" spans="2:14" x14ac:dyDescent="0.25">
      <c r="B2915" s="42"/>
      <c r="C2915" s="30"/>
      <c r="D2915" s="30"/>
      <c r="E2915" s="30"/>
      <c r="F2915" s="30"/>
      <c r="G2915" s="30"/>
      <c r="H2915" s="47"/>
      <c r="I2915" s="63"/>
      <c r="J2915" s="31"/>
      <c r="K2915" s="31"/>
      <c r="L2915" s="32"/>
      <c r="M2915" s="32"/>
      <c r="N2915" s="32"/>
    </row>
    <row r="2916" spans="2:14" x14ac:dyDescent="0.25">
      <c r="B2916" s="42"/>
      <c r="C2916" s="30"/>
      <c r="D2916" s="30"/>
      <c r="E2916" s="30"/>
      <c r="F2916" s="30"/>
      <c r="G2916" s="30"/>
      <c r="H2916" s="47"/>
      <c r="I2916" s="63"/>
      <c r="J2916" s="31"/>
      <c r="K2916" s="31"/>
      <c r="L2916" s="32"/>
      <c r="M2916" s="32"/>
      <c r="N2916" s="32"/>
    </row>
    <row r="2917" spans="2:14" x14ac:dyDescent="0.25">
      <c r="B2917" s="42"/>
      <c r="C2917" s="30"/>
      <c r="D2917" s="30"/>
      <c r="E2917" s="30"/>
      <c r="F2917" s="30"/>
      <c r="G2917" s="30"/>
      <c r="H2917" s="47"/>
      <c r="I2917" s="63"/>
      <c r="J2917" s="31"/>
      <c r="K2917" s="31"/>
      <c r="L2917" s="32"/>
      <c r="M2917" s="32"/>
      <c r="N2917" s="32"/>
    </row>
    <row r="2918" spans="2:14" x14ac:dyDescent="0.25">
      <c r="B2918" s="42"/>
      <c r="C2918" s="30"/>
      <c r="D2918" s="30"/>
      <c r="E2918" s="30"/>
      <c r="F2918" s="30"/>
      <c r="G2918" s="30"/>
      <c r="H2918" s="47"/>
      <c r="I2918" s="63"/>
      <c r="J2918" s="31"/>
      <c r="K2918" s="31"/>
      <c r="L2918" s="32"/>
      <c r="M2918" s="32"/>
      <c r="N2918" s="32"/>
    </row>
    <row r="2919" spans="2:14" x14ac:dyDescent="0.25">
      <c r="B2919" s="42"/>
      <c r="C2919" s="30"/>
      <c r="D2919" s="30"/>
      <c r="E2919" s="30"/>
      <c r="F2919" s="30"/>
      <c r="G2919" s="30"/>
      <c r="H2919" s="47"/>
      <c r="I2919" s="63"/>
      <c r="J2919" s="31"/>
      <c r="K2919" s="31"/>
      <c r="L2919" s="32"/>
      <c r="M2919" s="32"/>
      <c r="N2919" s="32"/>
    </row>
    <row r="2920" spans="2:14" x14ac:dyDescent="0.25">
      <c r="B2920" s="42"/>
      <c r="C2920" s="30"/>
      <c r="D2920" s="30"/>
      <c r="E2920" s="30"/>
      <c r="F2920" s="30"/>
      <c r="G2920" s="30"/>
      <c r="H2920" s="47"/>
      <c r="I2920" s="63"/>
      <c r="J2920" s="31"/>
      <c r="K2920" s="31"/>
      <c r="L2920" s="32"/>
      <c r="M2920" s="32"/>
      <c r="N2920" s="32"/>
    </row>
    <row r="2921" spans="2:14" x14ac:dyDescent="0.25">
      <c r="B2921" s="42"/>
      <c r="C2921" s="30"/>
      <c r="D2921" s="30"/>
      <c r="E2921" s="30"/>
      <c r="F2921" s="30"/>
      <c r="G2921" s="30"/>
      <c r="H2921" s="47"/>
      <c r="I2921" s="63"/>
      <c r="J2921" s="31"/>
      <c r="K2921" s="31"/>
      <c r="L2921" s="32"/>
      <c r="M2921" s="32"/>
      <c r="N2921" s="32"/>
    </row>
    <row r="2922" spans="2:14" x14ac:dyDescent="0.25">
      <c r="B2922" s="42"/>
      <c r="C2922" s="30"/>
      <c r="D2922" s="30"/>
      <c r="E2922" s="30"/>
      <c r="F2922" s="30"/>
      <c r="G2922" s="30"/>
      <c r="H2922" s="47"/>
      <c r="I2922" s="63"/>
      <c r="J2922" s="31"/>
      <c r="K2922" s="31"/>
      <c r="L2922" s="32"/>
      <c r="M2922" s="32"/>
      <c r="N2922" s="32"/>
    </row>
    <row r="2923" spans="2:14" x14ac:dyDescent="0.25">
      <c r="B2923" s="42"/>
      <c r="C2923" s="30"/>
      <c r="D2923" s="30"/>
      <c r="E2923" s="30"/>
      <c r="F2923" s="30"/>
      <c r="G2923" s="30"/>
      <c r="H2923" s="47"/>
      <c r="I2923" s="63"/>
      <c r="J2923" s="31"/>
      <c r="K2923" s="31"/>
      <c r="L2923" s="32"/>
      <c r="M2923" s="32"/>
      <c r="N2923" s="32"/>
    </row>
    <row r="2924" spans="2:14" x14ac:dyDescent="0.25">
      <c r="B2924" s="42"/>
      <c r="C2924" s="30"/>
      <c r="D2924" s="30"/>
      <c r="E2924" s="30"/>
      <c r="F2924" s="30"/>
      <c r="G2924" s="30"/>
      <c r="H2924" s="47"/>
      <c r="I2924" s="63"/>
      <c r="J2924" s="31"/>
      <c r="K2924" s="31"/>
      <c r="L2924" s="32"/>
      <c r="M2924" s="32"/>
      <c r="N2924" s="32"/>
    </row>
    <row r="2925" spans="2:14" x14ac:dyDescent="0.25">
      <c r="B2925" s="42"/>
      <c r="C2925" s="30"/>
      <c r="D2925" s="30"/>
      <c r="E2925" s="30"/>
      <c r="F2925" s="30"/>
      <c r="G2925" s="30"/>
      <c r="H2925" s="47"/>
      <c r="I2925" s="63"/>
      <c r="J2925" s="31"/>
      <c r="K2925" s="31"/>
      <c r="L2925" s="32"/>
      <c r="M2925" s="32"/>
      <c r="N2925" s="32"/>
    </row>
    <row r="2926" spans="2:14" x14ac:dyDescent="0.25">
      <c r="B2926" s="42"/>
      <c r="C2926" s="30"/>
      <c r="D2926" s="30"/>
      <c r="E2926" s="30"/>
      <c r="F2926" s="30"/>
      <c r="G2926" s="30"/>
      <c r="H2926" s="47"/>
      <c r="I2926" s="63"/>
      <c r="J2926" s="31"/>
      <c r="K2926" s="31"/>
      <c r="L2926" s="32"/>
      <c r="M2926" s="32"/>
      <c r="N2926" s="32"/>
    </row>
    <row r="2927" spans="2:14" x14ac:dyDescent="0.25">
      <c r="B2927" s="42"/>
      <c r="C2927" s="30"/>
      <c r="D2927" s="30"/>
      <c r="E2927" s="30"/>
      <c r="F2927" s="30"/>
      <c r="G2927" s="30"/>
      <c r="H2927" s="47"/>
      <c r="I2927" s="63"/>
      <c r="J2927" s="31"/>
      <c r="K2927" s="31"/>
      <c r="L2927" s="32"/>
      <c r="M2927" s="32"/>
      <c r="N2927" s="32"/>
    </row>
    <row r="2928" spans="2:14" x14ac:dyDescent="0.25">
      <c r="B2928" s="42"/>
      <c r="C2928" s="30"/>
      <c r="D2928" s="30"/>
      <c r="E2928" s="30"/>
      <c r="F2928" s="30"/>
      <c r="G2928" s="30"/>
      <c r="H2928" s="47"/>
      <c r="I2928" s="63"/>
      <c r="J2928" s="31"/>
      <c r="K2928" s="31"/>
      <c r="L2928" s="32"/>
      <c r="M2928" s="32"/>
      <c r="N2928" s="32"/>
    </row>
    <row r="2929" spans="2:14" x14ac:dyDescent="0.25">
      <c r="B2929" s="42"/>
      <c r="C2929" s="30"/>
      <c r="D2929" s="30"/>
      <c r="E2929" s="30"/>
      <c r="F2929" s="30"/>
      <c r="G2929" s="30"/>
      <c r="H2929" s="47"/>
      <c r="I2929" s="63"/>
      <c r="J2929" s="31"/>
      <c r="K2929" s="31"/>
      <c r="L2929" s="32"/>
      <c r="M2929" s="32"/>
      <c r="N2929" s="32"/>
    </row>
    <row r="2930" spans="2:14" x14ac:dyDescent="0.25">
      <c r="B2930" s="42"/>
      <c r="C2930" s="30"/>
      <c r="D2930" s="30"/>
      <c r="E2930" s="30"/>
      <c r="F2930" s="30"/>
      <c r="G2930" s="30"/>
      <c r="H2930" s="47"/>
      <c r="I2930" s="63"/>
      <c r="J2930" s="31"/>
      <c r="K2930" s="31"/>
      <c r="L2930" s="32"/>
      <c r="M2930" s="32"/>
      <c r="N2930" s="32"/>
    </row>
    <row r="2931" spans="2:14" x14ac:dyDescent="0.25">
      <c r="B2931" s="42"/>
      <c r="C2931" s="30"/>
      <c r="D2931" s="30"/>
      <c r="E2931" s="30"/>
      <c r="F2931" s="30"/>
      <c r="G2931" s="30"/>
      <c r="H2931" s="47"/>
      <c r="I2931" s="63"/>
      <c r="J2931" s="31"/>
      <c r="K2931" s="31"/>
      <c r="L2931" s="32"/>
      <c r="M2931" s="32"/>
      <c r="N2931" s="32"/>
    </row>
    <row r="2932" spans="2:14" x14ac:dyDescent="0.25">
      <c r="B2932" s="42"/>
      <c r="C2932" s="30"/>
      <c r="D2932" s="30"/>
      <c r="E2932" s="30"/>
      <c r="F2932" s="30"/>
      <c r="G2932" s="30"/>
      <c r="H2932" s="47"/>
      <c r="I2932" s="63"/>
      <c r="J2932" s="31"/>
      <c r="K2932" s="31"/>
      <c r="L2932" s="32"/>
      <c r="M2932" s="32"/>
      <c r="N2932" s="32"/>
    </row>
    <row r="2933" spans="2:14" x14ac:dyDescent="0.25">
      <c r="B2933" s="42"/>
      <c r="C2933" s="30"/>
      <c r="D2933" s="30"/>
      <c r="E2933" s="30"/>
      <c r="F2933" s="30"/>
      <c r="G2933" s="30"/>
      <c r="H2933" s="47"/>
      <c r="I2933" s="63"/>
      <c r="J2933" s="31"/>
      <c r="K2933" s="31"/>
      <c r="L2933" s="32"/>
      <c r="M2933" s="32"/>
      <c r="N2933" s="32"/>
    </row>
    <row r="2934" spans="2:14" x14ac:dyDescent="0.25">
      <c r="B2934" s="42"/>
      <c r="C2934" s="30"/>
      <c r="D2934" s="30"/>
      <c r="E2934" s="30"/>
      <c r="F2934" s="30"/>
      <c r="G2934" s="30"/>
      <c r="H2934" s="47"/>
      <c r="I2934" s="63"/>
      <c r="J2934" s="31"/>
      <c r="K2934" s="31"/>
      <c r="L2934" s="32"/>
      <c r="M2934" s="32"/>
      <c r="N2934" s="32"/>
    </row>
    <row r="2935" spans="2:14" x14ac:dyDescent="0.25">
      <c r="B2935" s="42"/>
      <c r="C2935" s="30"/>
      <c r="D2935" s="30"/>
      <c r="E2935" s="30"/>
      <c r="F2935" s="30"/>
      <c r="G2935" s="30"/>
      <c r="H2935" s="47"/>
      <c r="I2935" s="63"/>
      <c r="J2935" s="31"/>
      <c r="K2935" s="31"/>
      <c r="L2935" s="32"/>
      <c r="M2935" s="32"/>
      <c r="N2935" s="32"/>
    </row>
    <row r="2936" spans="2:14" x14ac:dyDescent="0.25">
      <c r="B2936" s="42"/>
      <c r="C2936" s="30"/>
      <c r="D2936" s="30"/>
      <c r="E2936" s="30"/>
      <c r="F2936" s="30"/>
      <c r="G2936" s="30"/>
      <c r="H2936" s="47"/>
      <c r="I2936" s="63"/>
      <c r="J2936" s="31"/>
      <c r="K2936" s="31"/>
      <c r="L2936" s="32"/>
      <c r="M2936" s="32"/>
      <c r="N2936" s="32"/>
    </row>
    <row r="2937" spans="2:14" x14ac:dyDescent="0.25">
      <c r="B2937" s="42"/>
      <c r="C2937" s="30"/>
      <c r="D2937" s="30"/>
      <c r="E2937" s="30"/>
      <c r="F2937" s="30"/>
      <c r="G2937" s="30"/>
      <c r="H2937" s="47"/>
      <c r="I2937" s="63"/>
      <c r="J2937" s="31"/>
      <c r="K2937" s="31"/>
      <c r="L2937" s="32"/>
      <c r="M2937" s="32"/>
      <c r="N2937" s="32"/>
    </row>
    <row r="2938" spans="2:14" x14ac:dyDescent="0.25">
      <c r="B2938" s="42"/>
      <c r="C2938" s="30"/>
      <c r="D2938" s="30"/>
      <c r="E2938" s="30"/>
      <c r="F2938" s="30"/>
      <c r="G2938" s="30"/>
      <c r="H2938" s="47"/>
      <c r="I2938" s="63"/>
      <c r="J2938" s="31"/>
      <c r="K2938" s="31"/>
      <c r="L2938" s="32"/>
      <c r="M2938" s="32"/>
      <c r="N2938" s="32"/>
    </row>
    <row r="2939" spans="2:14" x14ac:dyDescent="0.25">
      <c r="B2939" s="42"/>
      <c r="C2939" s="30"/>
      <c r="D2939" s="30"/>
      <c r="E2939" s="30"/>
      <c r="F2939" s="30"/>
      <c r="G2939" s="30"/>
      <c r="H2939" s="47"/>
      <c r="I2939" s="63"/>
      <c r="J2939" s="31"/>
      <c r="K2939" s="31"/>
      <c r="L2939" s="32"/>
      <c r="M2939" s="32"/>
      <c r="N2939" s="32"/>
    </row>
    <row r="2940" spans="2:14" x14ac:dyDescent="0.25">
      <c r="B2940" s="42"/>
      <c r="C2940" s="30"/>
      <c r="D2940" s="30"/>
      <c r="E2940" s="30"/>
      <c r="F2940" s="30"/>
      <c r="G2940" s="30"/>
      <c r="H2940" s="47"/>
      <c r="I2940" s="63"/>
      <c r="J2940" s="31"/>
      <c r="K2940" s="31"/>
      <c r="L2940" s="32"/>
      <c r="M2940" s="32"/>
      <c r="N2940" s="32"/>
    </row>
    <row r="2941" spans="2:14" x14ac:dyDescent="0.25">
      <c r="B2941" s="42"/>
      <c r="C2941" s="30"/>
      <c r="D2941" s="30"/>
      <c r="E2941" s="30"/>
      <c r="F2941" s="30"/>
      <c r="G2941" s="30"/>
      <c r="H2941" s="47"/>
      <c r="I2941" s="63"/>
      <c r="J2941" s="31"/>
      <c r="K2941" s="31"/>
      <c r="L2941" s="32"/>
      <c r="M2941" s="32"/>
      <c r="N2941" s="32"/>
    </row>
    <row r="2942" spans="2:14" x14ac:dyDescent="0.25">
      <c r="B2942" s="42"/>
      <c r="C2942" s="30"/>
      <c r="D2942" s="30"/>
      <c r="E2942" s="30"/>
      <c r="F2942" s="30"/>
      <c r="G2942" s="30"/>
      <c r="H2942" s="47"/>
      <c r="I2942" s="63"/>
      <c r="J2942" s="31"/>
      <c r="K2942" s="31"/>
      <c r="L2942" s="32"/>
      <c r="M2942" s="32"/>
      <c r="N2942" s="32"/>
    </row>
    <row r="2943" spans="2:14" x14ac:dyDescent="0.25">
      <c r="B2943" s="42"/>
      <c r="C2943" s="30"/>
      <c r="D2943" s="30"/>
      <c r="E2943" s="30"/>
      <c r="F2943" s="30"/>
      <c r="G2943" s="30"/>
      <c r="H2943" s="47"/>
      <c r="I2943" s="63"/>
      <c r="J2943" s="31"/>
      <c r="K2943" s="31"/>
      <c r="L2943" s="32"/>
      <c r="M2943" s="32"/>
      <c r="N2943" s="32"/>
    </row>
    <row r="2944" spans="2:14" x14ac:dyDescent="0.25">
      <c r="B2944" s="42"/>
      <c r="C2944" s="30"/>
      <c r="D2944" s="30"/>
      <c r="E2944" s="30"/>
      <c r="F2944" s="30"/>
      <c r="G2944" s="30"/>
      <c r="H2944" s="47"/>
      <c r="I2944" s="63"/>
      <c r="J2944" s="31"/>
      <c r="K2944" s="31"/>
      <c r="L2944" s="32"/>
      <c r="M2944" s="32"/>
      <c r="N2944" s="32"/>
    </row>
    <row r="2945" spans="2:14" x14ac:dyDescent="0.25">
      <c r="B2945" s="42"/>
      <c r="C2945" s="30"/>
      <c r="D2945" s="30"/>
      <c r="E2945" s="30"/>
      <c r="F2945" s="30"/>
      <c r="G2945" s="30"/>
      <c r="H2945" s="47"/>
      <c r="I2945" s="63"/>
      <c r="J2945" s="31"/>
      <c r="K2945" s="31"/>
      <c r="L2945" s="32"/>
      <c r="M2945" s="32"/>
      <c r="N2945" s="32"/>
    </row>
    <row r="2946" spans="2:14" x14ac:dyDescent="0.25">
      <c r="B2946" s="42"/>
      <c r="C2946" s="30"/>
      <c r="D2946" s="30"/>
      <c r="E2946" s="30"/>
      <c r="F2946" s="30"/>
      <c r="G2946" s="30"/>
      <c r="H2946" s="47"/>
      <c r="I2946" s="63"/>
      <c r="J2946" s="31"/>
      <c r="K2946" s="31"/>
      <c r="L2946" s="32"/>
      <c r="M2946" s="32"/>
      <c r="N2946" s="32"/>
    </row>
    <row r="2947" spans="2:14" x14ac:dyDescent="0.25">
      <c r="B2947" s="42"/>
      <c r="C2947" s="30"/>
      <c r="D2947" s="30"/>
      <c r="E2947" s="30"/>
      <c r="F2947" s="30"/>
      <c r="G2947" s="30"/>
      <c r="H2947" s="47"/>
      <c r="I2947" s="63"/>
      <c r="J2947" s="31"/>
      <c r="K2947" s="31"/>
      <c r="L2947" s="32"/>
      <c r="M2947" s="32"/>
      <c r="N2947" s="32"/>
    </row>
    <row r="2948" spans="2:14" x14ac:dyDescent="0.25">
      <c r="B2948" s="42"/>
      <c r="C2948" s="30"/>
      <c r="D2948" s="30"/>
      <c r="E2948" s="30"/>
      <c r="F2948" s="30"/>
      <c r="G2948" s="30"/>
      <c r="H2948" s="47"/>
      <c r="I2948" s="63"/>
      <c r="J2948" s="31"/>
      <c r="K2948" s="31"/>
      <c r="L2948" s="32"/>
      <c r="M2948" s="32"/>
      <c r="N2948" s="32"/>
    </row>
    <row r="2949" spans="2:14" x14ac:dyDescent="0.25">
      <c r="B2949" s="42"/>
      <c r="C2949" s="30"/>
      <c r="D2949" s="30"/>
      <c r="E2949" s="30"/>
      <c r="F2949" s="30"/>
      <c r="G2949" s="30"/>
      <c r="H2949" s="47"/>
      <c r="I2949" s="63"/>
      <c r="J2949" s="31"/>
      <c r="K2949" s="31"/>
      <c r="L2949" s="32"/>
      <c r="M2949" s="32"/>
      <c r="N2949" s="32"/>
    </row>
    <row r="2950" spans="2:14" x14ac:dyDescent="0.25">
      <c r="B2950" s="42"/>
      <c r="C2950" s="30"/>
      <c r="D2950" s="30"/>
      <c r="E2950" s="30"/>
      <c r="F2950" s="30"/>
      <c r="G2950" s="30"/>
      <c r="H2950" s="47"/>
      <c r="I2950" s="63"/>
      <c r="J2950" s="31"/>
      <c r="K2950" s="31"/>
      <c r="L2950" s="32"/>
      <c r="M2950" s="32"/>
      <c r="N2950" s="32"/>
    </row>
    <row r="2951" spans="2:14" x14ac:dyDescent="0.25">
      <c r="B2951" s="42"/>
      <c r="C2951" s="30"/>
      <c r="D2951" s="30"/>
      <c r="E2951" s="30"/>
      <c r="F2951" s="30"/>
      <c r="G2951" s="30"/>
      <c r="H2951" s="47"/>
      <c r="I2951" s="63"/>
      <c r="J2951" s="31"/>
      <c r="K2951" s="31"/>
      <c r="L2951" s="32"/>
      <c r="M2951" s="32"/>
      <c r="N2951" s="32"/>
    </row>
    <row r="2952" spans="2:14" x14ac:dyDescent="0.25">
      <c r="B2952" s="42"/>
      <c r="C2952" s="30"/>
      <c r="D2952" s="30"/>
      <c r="E2952" s="30"/>
      <c r="F2952" s="30"/>
      <c r="G2952" s="30"/>
      <c r="H2952" s="47"/>
      <c r="I2952" s="63"/>
      <c r="J2952" s="31"/>
      <c r="K2952" s="31"/>
      <c r="L2952" s="32"/>
      <c r="M2952" s="32"/>
      <c r="N2952" s="32"/>
    </row>
    <row r="2953" spans="2:14" x14ac:dyDescent="0.25">
      <c r="B2953" s="42"/>
      <c r="C2953" s="30"/>
      <c r="D2953" s="30"/>
      <c r="E2953" s="30"/>
      <c r="F2953" s="30"/>
      <c r="G2953" s="30"/>
      <c r="H2953" s="47"/>
      <c r="I2953" s="63"/>
      <c r="J2953" s="31"/>
      <c r="K2953" s="31"/>
      <c r="L2953" s="32"/>
      <c r="M2953" s="32"/>
      <c r="N2953" s="32"/>
    </row>
    <row r="2954" spans="2:14" x14ac:dyDescent="0.25">
      <c r="B2954" s="42"/>
      <c r="C2954" s="30"/>
      <c r="D2954" s="30"/>
      <c r="E2954" s="30"/>
      <c r="F2954" s="30"/>
      <c r="G2954" s="30"/>
      <c r="H2954" s="47"/>
      <c r="I2954" s="63"/>
      <c r="J2954" s="31"/>
      <c r="K2954" s="31"/>
      <c r="L2954" s="32"/>
      <c r="M2954" s="32"/>
      <c r="N2954" s="32"/>
    </row>
    <row r="2955" spans="2:14" x14ac:dyDescent="0.25">
      <c r="B2955" s="42"/>
      <c r="C2955" s="30"/>
      <c r="D2955" s="30"/>
      <c r="E2955" s="30"/>
      <c r="F2955" s="30"/>
      <c r="G2955" s="30"/>
      <c r="H2955" s="47"/>
      <c r="I2955" s="63"/>
      <c r="J2955" s="31"/>
      <c r="K2955" s="31"/>
      <c r="L2955" s="32"/>
      <c r="M2955" s="32"/>
      <c r="N2955" s="32"/>
    </row>
    <row r="2956" spans="2:14" x14ac:dyDescent="0.25">
      <c r="B2956" s="42"/>
      <c r="C2956" s="30"/>
      <c r="D2956" s="30"/>
      <c r="E2956" s="30"/>
      <c r="F2956" s="30"/>
      <c r="G2956" s="30"/>
      <c r="H2956" s="47"/>
      <c r="I2956" s="63"/>
      <c r="J2956" s="31"/>
      <c r="K2956" s="31"/>
      <c r="L2956" s="32"/>
      <c r="M2956" s="32"/>
      <c r="N2956" s="32"/>
    </row>
    <row r="2957" spans="2:14" x14ac:dyDescent="0.25">
      <c r="B2957" s="42"/>
      <c r="C2957" s="30"/>
      <c r="D2957" s="30"/>
      <c r="E2957" s="30"/>
      <c r="F2957" s="30"/>
      <c r="G2957" s="30"/>
      <c r="H2957" s="47"/>
      <c r="I2957" s="63"/>
      <c r="J2957" s="31"/>
      <c r="K2957" s="31"/>
      <c r="L2957" s="32"/>
      <c r="M2957" s="32"/>
      <c r="N2957" s="32"/>
    </row>
    <row r="2958" spans="2:14" x14ac:dyDescent="0.25">
      <c r="B2958" s="42"/>
      <c r="C2958" s="30"/>
      <c r="D2958" s="30"/>
      <c r="E2958" s="30"/>
      <c r="F2958" s="30"/>
      <c r="G2958" s="30"/>
      <c r="H2958" s="47"/>
      <c r="I2958" s="63"/>
      <c r="J2958" s="31"/>
      <c r="K2958" s="31"/>
      <c r="L2958" s="32"/>
      <c r="M2958" s="32"/>
      <c r="N2958" s="32"/>
    </row>
    <row r="2959" spans="2:14" x14ac:dyDescent="0.25">
      <c r="B2959" s="42"/>
      <c r="C2959" s="30"/>
      <c r="D2959" s="30"/>
      <c r="E2959" s="30"/>
      <c r="F2959" s="30"/>
      <c r="G2959" s="30"/>
      <c r="H2959" s="47"/>
      <c r="I2959" s="63"/>
      <c r="J2959" s="31"/>
      <c r="K2959" s="31"/>
      <c r="L2959" s="32"/>
      <c r="M2959" s="32"/>
      <c r="N2959" s="32"/>
    </row>
    <row r="2960" spans="2:14" x14ac:dyDescent="0.25">
      <c r="B2960" s="42"/>
      <c r="C2960" s="30"/>
      <c r="D2960" s="30"/>
      <c r="E2960" s="30"/>
      <c r="F2960" s="30"/>
      <c r="G2960" s="30"/>
      <c r="H2960" s="47"/>
      <c r="I2960" s="63"/>
      <c r="J2960" s="31"/>
      <c r="K2960" s="31"/>
      <c r="L2960" s="32"/>
      <c r="M2960" s="32"/>
      <c r="N2960" s="32"/>
    </row>
    <row r="2961" spans="2:14" x14ac:dyDescent="0.25">
      <c r="B2961" s="42"/>
      <c r="C2961" s="30"/>
      <c r="D2961" s="30"/>
      <c r="E2961" s="30"/>
      <c r="F2961" s="30"/>
      <c r="G2961" s="30"/>
      <c r="H2961" s="47"/>
      <c r="I2961" s="63"/>
      <c r="J2961" s="31"/>
      <c r="K2961" s="31"/>
      <c r="L2961" s="32"/>
      <c r="M2961" s="32"/>
      <c r="N2961" s="32"/>
    </row>
    <row r="2962" spans="2:14" x14ac:dyDescent="0.25">
      <c r="B2962" s="42"/>
      <c r="C2962" s="30"/>
      <c r="D2962" s="30"/>
      <c r="E2962" s="30"/>
      <c r="F2962" s="30"/>
      <c r="G2962" s="30"/>
      <c r="H2962" s="47"/>
      <c r="I2962" s="63"/>
      <c r="J2962" s="31"/>
      <c r="K2962" s="31"/>
      <c r="L2962" s="32"/>
      <c r="M2962" s="32"/>
      <c r="N2962" s="32"/>
    </row>
    <row r="2963" spans="2:14" x14ac:dyDescent="0.25">
      <c r="B2963" s="42"/>
      <c r="C2963" s="30"/>
      <c r="D2963" s="30"/>
      <c r="E2963" s="30"/>
      <c r="F2963" s="30"/>
      <c r="G2963" s="30"/>
      <c r="H2963" s="47"/>
      <c r="I2963" s="63"/>
      <c r="J2963" s="31"/>
      <c r="K2963" s="31"/>
      <c r="L2963" s="32"/>
      <c r="M2963" s="32"/>
      <c r="N2963" s="32"/>
    </row>
    <row r="2964" spans="2:14" x14ac:dyDescent="0.25">
      <c r="B2964" s="42"/>
      <c r="C2964" s="30"/>
      <c r="D2964" s="30"/>
      <c r="E2964" s="30"/>
      <c r="F2964" s="30"/>
      <c r="G2964" s="30"/>
      <c r="H2964" s="47"/>
      <c r="I2964" s="63"/>
      <c r="J2964" s="31"/>
      <c r="K2964" s="31"/>
      <c r="L2964" s="32"/>
      <c r="M2964" s="32"/>
      <c r="N2964" s="32"/>
    </row>
    <row r="2965" spans="2:14" x14ac:dyDescent="0.25">
      <c r="B2965" s="42"/>
      <c r="C2965" s="30"/>
      <c r="D2965" s="30"/>
      <c r="E2965" s="30"/>
      <c r="F2965" s="30"/>
      <c r="G2965" s="30"/>
      <c r="H2965" s="47"/>
      <c r="I2965" s="63"/>
      <c r="J2965" s="31"/>
      <c r="K2965" s="31"/>
      <c r="L2965" s="32"/>
      <c r="M2965" s="32"/>
      <c r="N2965" s="32"/>
    </row>
    <row r="2966" spans="2:14" x14ac:dyDescent="0.25">
      <c r="B2966" s="42"/>
      <c r="C2966" s="30"/>
      <c r="D2966" s="30"/>
      <c r="E2966" s="30"/>
      <c r="F2966" s="30"/>
      <c r="G2966" s="30"/>
      <c r="H2966" s="47"/>
      <c r="I2966" s="63"/>
      <c r="J2966" s="31"/>
      <c r="K2966" s="31"/>
      <c r="L2966" s="32"/>
      <c r="M2966" s="32"/>
      <c r="N2966" s="32"/>
    </row>
    <row r="2967" spans="2:14" x14ac:dyDescent="0.25">
      <c r="B2967" s="42"/>
      <c r="C2967" s="30"/>
      <c r="D2967" s="30"/>
      <c r="E2967" s="30"/>
      <c r="F2967" s="30"/>
      <c r="G2967" s="30"/>
      <c r="H2967" s="47"/>
      <c r="I2967" s="63"/>
      <c r="J2967" s="31"/>
      <c r="K2967" s="31"/>
      <c r="L2967" s="32"/>
      <c r="M2967" s="32"/>
      <c r="N2967" s="32"/>
    </row>
    <row r="2968" spans="2:14" x14ac:dyDescent="0.25">
      <c r="B2968" s="42"/>
      <c r="C2968" s="30"/>
      <c r="D2968" s="30"/>
      <c r="E2968" s="30"/>
      <c r="F2968" s="30"/>
      <c r="G2968" s="30"/>
      <c r="H2968" s="47"/>
      <c r="I2968" s="63"/>
      <c r="J2968" s="31"/>
      <c r="K2968" s="31"/>
      <c r="L2968" s="32"/>
      <c r="M2968" s="32"/>
      <c r="N2968" s="32"/>
    </row>
    <row r="2969" spans="2:14" x14ac:dyDescent="0.25">
      <c r="B2969" s="42"/>
      <c r="C2969" s="30"/>
      <c r="D2969" s="30"/>
      <c r="E2969" s="30"/>
      <c r="F2969" s="30"/>
      <c r="G2969" s="30"/>
      <c r="H2969" s="47"/>
      <c r="I2969" s="63"/>
      <c r="J2969" s="31"/>
      <c r="K2969" s="31"/>
      <c r="L2969" s="32"/>
      <c r="M2969" s="32"/>
      <c r="N2969" s="32"/>
    </row>
    <row r="2970" spans="2:14" x14ac:dyDescent="0.25">
      <c r="B2970" s="42"/>
      <c r="C2970" s="30"/>
      <c r="D2970" s="30"/>
      <c r="E2970" s="30"/>
      <c r="F2970" s="30"/>
      <c r="G2970" s="30"/>
      <c r="H2970" s="47"/>
      <c r="I2970" s="63"/>
      <c r="J2970" s="31"/>
      <c r="K2970" s="31"/>
      <c r="L2970" s="32"/>
      <c r="M2970" s="32"/>
      <c r="N2970" s="32"/>
    </row>
    <row r="2971" spans="2:14" x14ac:dyDescent="0.25">
      <c r="B2971" s="42"/>
      <c r="C2971" s="30"/>
      <c r="D2971" s="30"/>
      <c r="E2971" s="30"/>
      <c r="F2971" s="30"/>
      <c r="G2971" s="30"/>
      <c r="H2971" s="47"/>
      <c r="I2971" s="63"/>
      <c r="J2971" s="31"/>
      <c r="K2971" s="31"/>
      <c r="L2971" s="32"/>
      <c r="M2971" s="32"/>
      <c r="N2971" s="32"/>
    </row>
    <row r="2972" spans="2:14" x14ac:dyDescent="0.25">
      <c r="B2972" s="42"/>
      <c r="C2972" s="30"/>
      <c r="D2972" s="30"/>
      <c r="E2972" s="30"/>
      <c r="F2972" s="30"/>
      <c r="G2972" s="30"/>
      <c r="H2972" s="47"/>
      <c r="I2972" s="63"/>
      <c r="J2972" s="31"/>
      <c r="K2972" s="31"/>
      <c r="L2972" s="32"/>
      <c r="M2972" s="32"/>
      <c r="N2972" s="32"/>
    </row>
    <row r="2973" spans="2:14" x14ac:dyDescent="0.25">
      <c r="B2973" s="42"/>
      <c r="C2973" s="30"/>
      <c r="D2973" s="30"/>
      <c r="E2973" s="30"/>
      <c r="F2973" s="30"/>
      <c r="G2973" s="30"/>
      <c r="H2973" s="47"/>
      <c r="I2973" s="63"/>
      <c r="J2973" s="31"/>
      <c r="K2973" s="31"/>
      <c r="L2973" s="32"/>
      <c r="M2973" s="32"/>
      <c r="N2973" s="32"/>
    </row>
    <row r="2974" spans="2:14" x14ac:dyDescent="0.25">
      <c r="B2974" s="42"/>
      <c r="C2974" s="30"/>
      <c r="D2974" s="30"/>
      <c r="E2974" s="30"/>
      <c r="F2974" s="30"/>
      <c r="G2974" s="30"/>
      <c r="H2974" s="47"/>
      <c r="I2974" s="63"/>
      <c r="J2974" s="31"/>
      <c r="K2974" s="31"/>
      <c r="L2974" s="32"/>
      <c r="M2974" s="32"/>
      <c r="N2974" s="32"/>
    </row>
    <row r="2975" spans="2:14" x14ac:dyDescent="0.25">
      <c r="B2975" s="42"/>
      <c r="C2975" s="30"/>
      <c r="D2975" s="30"/>
      <c r="E2975" s="30"/>
      <c r="F2975" s="30"/>
      <c r="G2975" s="30"/>
      <c r="H2975" s="47"/>
      <c r="I2975" s="63"/>
      <c r="J2975" s="31"/>
      <c r="K2975" s="31"/>
      <c r="L2975" s="32"/>
      <c r="M2975" s="32"/>
      <c r="N2975" s="32"/>
    </row>
    <row r="2976" spans="2:14" x14ac:dyDescent="0.25">
      <c r="B2976" s="42"/>
      <c r="C2976" s="30"/>
      <c r="D2976" s="30"/>
      <c r="E2976" s="30"/>
      <c r="F2976" s="30"/>
      <c r="G2976" s="30"/>
      <c r="H2976" s="47"/>
      <c r="I2976" s="63"/>
      <c r="J2976" s="31"/>
      <c r="K2976" s="31"/>
      <c r="L2976" s="32"/>
      <c r="M2976" s="32"/>
      <c r="N2976" s="32"/>
    </row>
    <row r="2977" spans="2:14" x14ac:dyDescent="0.25">
      <c r="B2977" s="42"/>
      <c r="C2977" s="30"/>
      <c r="D2977" s="30"/>
      <c r="E2977" s="30"/>
      <c r="F2977" s="30"/>
      <c r="G2977" s="30"/>
      <c r="H2977" s="47"/>
      <c r="I2977" s="63"/>
      <c r="J2977" s="31"/>
      <c r="K2977" s="31"/>
      <c r="L2977" s="32"/>
      <c r="M2977" s="32"/>
      <c r="N2977" s="32"/>
    </row>
    <row r="2978" spans="2:14" x14ac:dyDescent="0.25">
      <c r="B2978" s="42"/>
      <c r="C2978" s="30"/>
      <c r="D2978" s="30"/>
      <c r="E2978" s="30"/>
      <c r="F2978" s="30"/>
      <c r="G2978" s="30"/>
      <c r="H2978" s="47"/>
      <c r="I2978" s="63"/>
      <c r="J2978" s="31"/>
      <c r="K2978" s="31"/>
      <c r="L2978" s="32"/>
      <c r="M2978" s="32"/>
      <c r="N2978" s="32"/>
    </row>
    <row r="2979" spans="2:14" x14ac:dyDescent="0.25">
      <c r="B2979" s="42"/>
      <c r="C2979" s="30"/>
      <c r="D2979" s="30"/>
      <c r="E2979" s="30"/>
      <c r="F2979" s="30"/>
      <c r="G2979" s="30"/>
      <c r="H2979" s="47"/>
      <c r="I2979" s="63"/>
      <c r="J2979" s="31"/>
      <c r="K2979" s="31"/>
      <c r="L2979" s="32"/>
      <c r="M2979" s="32"/>
      <c r="N2979" s="32"/>
    </row>
    <row r="2980" spans="2:14" x14ac:dyDescent="0.25">
      <c r="B2980" s="42"/>
      <c r="C2980" s="30"/>
      <c r="D2980" s="30"/>
      <c r="E2980" s="30"/>
      <c r="F2980" s="30"/>
      <c r="G2980" s="30"/>
      <c r="H2980" s="47"/>
      <c r="I2980" s="63"/>
      <c r="J2980" s="31"/>
      <c r="K2980" s="31"/>
      <c r="L2980" s="32"/>
      <c r="M2980" s="32"/>
      <c r="N2980" s="32"/>
    </row>
    <row r="2981" spans="2:14" x14ac:dyDescent="0.25">
      <c r="B2981" s="42"/>
      <c r="C2981" s="30"/>
      <c r="D2981" s="30"/>
      <c r="E2981" s="30"/>
      <c r="F2981" s="30"/>
      <c r="G2981" s="30"/>
      <c r="H2981" s="47"/>
      <c r="I2981" s="63"/>
      <c r="J2981" s="31"/>
      <c r="K2981" s="31"/>
      <c r="L2981" s="32"/>
      <c r="M2981" s="32"/>
      <c r="N2981" s="32"/>
    </row>
    <row r="2982" spans="2:14" x14ac:dyDescent="0.25">
      <c r="B2982" s="42"/>
      <c r="C2982" s="30"/>
      <c r="D2982" s="30"/>
      <c r="E2982" s="30"/>
      <c r="F2982" s="30"/>
      <c r="G2982" s="30"/>
      <c r="H2982" s="47"/>
      <c r="I2982" s="63"/>
      <c r="J2982" s="31"/>
      <c r="K2982" s="31"/>
      <c r="L2982" s="32"/>
      <c r="M2982" s="32"/>
      <c r="N2982" s="32"/>
    </row>
    <row r="2983" spans="2:14" x14ac:dyDescent="0.25">
      <c r="B2983" s="42"/>
      <c r="C2983" s="30"/>
      <c r="D2983" s="30"/>
      <c r="E2983" s="30"/>
      <c r="F2983" s="30"/>
      <c r="G2983" s="30"/>
      <c r="H2983" s="47"/>
      <c r="I2983" s="63"/>
      <c r="J2983" s="31"/>
      <c r="K2983" s="31"/>
      <c r="L2983" s="32"/>
      <c r="M2983" s="32"/>
      <c r="N2983" s="32"/>
    </row>
    <row r="2984" spans="2:14" x14ac:dyDescent="0.25">
      <c r="B2984" s="42"/>
      <c r="C2984" s="30"/>
      <c r="D2984" s="30"/>
      <c r="E2984" s="30"/>
      <c r="F2984" s="30"/>
      <c r="G2984" s="30"/>
      <c r="H2984" s="47"/>
      <c r="I2984" s="63"/>
      <c r="J2984" s="31"/>
      <c r="K2984" s="31"/>
      <c r="L2984" s="32"/>
      <c r="M2984" s="32"/>
      <c r="N2984" s="32"/>
    </row>
    <row r="2985" spans="2:14" x14ac:dyDescent="0.25">
      <c r="B2985" s="42"/>
      <c r="C2985" s="30"/>
      <c r="D2985" s="30"/>
      <c r="E2985" s="30"/>
      <c r="F2985" s="30"/>
      <c r="G2985" s="30"/>
      <c r="H2985" s="47"/>
      <c r="I2985" s="63"/>
      <c r="J2985" s="31"/>
      <c r="K2985" s="31"/>
      <c r="L2985" s="32"/>
      <c r="M2985" s="32"/>
      <c r="N2985" s="32"/>
    </row>
    <row r="2986" spans="2:14" x14ac:dyDescent="0.25">
      <c r="B2986" s="42"/>
      <c r="C2986" s="30"/>
      <c r="D2986" s="30"/>
      <c r="E2986" s="30"/>
      <c r="F2986" s="30"/>
      <c r="G2986" s="30"/>
      <c r="H2986" s="47"/>
      <c r="I2986" s="63"/>
      <c r="J2986" s="31"/>
      <c r="K2986" s="31"/>
      <c r="L2986" s="32"/>
      <c r="M2986" s="32"/>
      <c r="N2986" s="32"/>
    </row>
    <row r="2987" spans="2:14" x14ac:dyDescent="0.25">
      <c r="B2987" s="42"/>
      <c r="C2987" s="30"/>
      <c r="D2987" s="30"/>
      <c r="E2987" s="30"/>
      <c r="F2987" s="30"/>
      <c r="G2987" s="30"/>
      <c r="H2987" s="47"/>
      <c r="I2987" s="63"/>
      <c r="J2987" s="31"/>
      <c r="K2987" s="31"/>
      <c r="L2987" s="32"/>
      <c r="M2987" s="32"/>
      <c r="N2987" s="32"/>
    </row>
    <row r="2988" spans="2:14" x14ac:dyDescent="0.25">
      <c r="B2988" s="42"/>
      <c r="C2988" s="30"/>
      <c r="D2988" s="30"/>
      <c r="E2988" s="30"/>
      <c r="F2988" s="30"/>
      <c r="G2988" s="30"/>
      <c r="H2988" s="47"/>
      <c r="I2988" s="63"/>
      <c r="J2988" s="31"/>
      <c r="K2988" s="31"/>
      <c r="L2988" s="32"/>
      <c r="M2988" s="32"/>
      <c r="N2988" s="32"/>
    </row>
    <row r="2989" spans="2:14" x14ac:dyDescent="0.25">
      <c r="B2989" s="42"/>
      <c r="C2989" s="30"/>
      <c r="D2989" s="30"/>
      <c r="E2989" s="30"/>
      <c r="F2989" s="30"/>
      <c r="G2989" s="30"/>
      <c r="H2989" s="47"/>
      <c r="I2989" s="63"/>
      <c r="J2989" s="31"/>
      <c r="K2989" s="31"/>
      <c r="L2989" s="32"/>
      <c r="M2989" s="32"/>
      <c r="N2989" s="32"/>
    </row>
    <row r="2990" spans="2:14" x14ac:dyDescent="0.25">
      <c r="B2990" s="42"/>
      <c r="C2990" s="30"/>
      <c r="D2990" s="30"/>
      <c r="E2990" s="30"/>
      <c r="F2990" s="30"/>
      <c r="G2990" s="30"/>
      <c r="H2990" s="47"/>
      <c r="I2990" s="63"/>
      <c r="J2990" s="31"/>
      <c r="K2990" s="31"/>
      <c r="L2990" s="32"/>
      <c r="M2990" s="32"/>
      <c r="N2990" s="32"/>
    </row>
    <row r="2991" spans="2:14" x14ac:dyDescent="0.25">
      <c r="B2991" s="42"/>
      <c r="C2991" s="30"/>
      <c r="D2991" s="30"/>
      <c r="E2991" s="30"/>
      <c r="F2991" s="30"/>
      <c r="G2991" s="30"/>
      <c r="H2991" s="47"/>
      <c r="I2991" s="63"/>
      <c r="J2991" s="31"/>
      <c r="K2991" s="31"/>
      <c r="L2991" s="32"/>
      <c r="M2991" s="32"/>
      <c r="N2991" s="32"/>
    </row>
    <row r="2992" spans="2:14" x14ac:dyDescent="0.25">
      <c r="B2992" s="42"/>
      <c r="C2992" s="30"/>
      <c r="D2992" s="30"/>
      <c r="E2992" s="30"/>
      <c r="F2992" s="30"/>
      <c r="G2992" s="30"/>
      <c r="H2992" s="47"/>
      <c r="I2992" s="63"/>
      <c r="J2992" s="31"/>
      <c r="K2992" s="31"/>
      <c r="L2992" s="32"/>
      <c r="M2992" s="32"/>
      <c r="N2992" s="32"/>
    </row>
    <row r="2993" spans="2:14" x14ac:dyDescent="0.25">
      <c r="B2993" s="42"/>
      <c r="C2993" s="30"/>
      <c r="D2993" s="30"/>
      <c r="E2993" s="30"/>
      <c r="F2993" s="30"/>
      <c r="G2993" s="30"/>
      <c r="H2993" s="47"/>
      <c r="I2993" s="63"/>
      <c r="J2993" s="31"/>
      <c r="K2993" s="31"/>
      <c r="L2993" s="32"/>
      <c r="M2993" s="32"/>
      <c r="N2993" s="32"/>
    </row>
    <row r="2994" spans="2:14" x14ac:dyDescent="0.25">
      <c r="B2994" s="42"/>
      <c r="C2994" s="30"/>
      <c r="D2994" s="30"/>
      <c r="E2994" s="30"/>
      <c r="F2994" s="30"/>
      <c r="G2994" s="30"/>
      <c r="H2994" s="47"/>
      <c r="I2994" s="63"/>
      <c r="J2994" s="31"/>
      <c r="K2994" s="31"/>
      <c r="L2994" s="32"/>
      <c r="M2994" s="32"/>
      <c r="N2994" s="32"/>
    </row>
    <row r="2995" spans="2:14" x14ac:dyDescent="0.25">
      <c r="B2995" s="42"/>
      <c r="C2995" s="30"/>
      <c r="D2995" s="30"/>
      <c r="E2995" s="30"/>
      <c r="F2995" s="30"/>
      <c r="G2995" s="30"/>
      <c r="H2995" s="47"/>
      <c r="I2995" s="63"/>
      <c r="J2995" s="31"/>
      <c r="K2995" s="31"/>
      <c r="L2995" s="32"/>
      <c r="M2995" s="32"/>
      <c r="N2995" s="32"/>
    </row>
    <row r="2996" spans="2:14" x14ac:dyDescent="0.25">
      <c r="B2996" s="42"/>
      <c r="C2996" s="30"/>
      <c r="D2996" s="30"/>
      <c r="E2996" s="30"/>
      <c r="F2996" s="30"/>
      <c r="G2996" s="30"/>
      <c r="H2996" s="47"/>
      <c r="I2996" s="63"/>
      <c r="J2996" s="31"/>
      <c r="K2996" s="31"/>
      <c r="L2996" s="32"/>
      <c r="M2996" s="32"/>
      <c r="N2996" s="32"/>
    </row>
    <row r="2997" spans="2:14" x14ac:dyDescent="0.25">
      <c r="B2997" s="42"/>
      <c r="C2997" s="30"/>
      <c r="D2997" s="30"/>
      <c r="E2997" s="30"/>
      <c r="F2997" s="30"/>
      <c r="G2997" s="30"/>
      <c r="H2997" s="47"/>
      <c r="I2997" s="63"/>
      <c r="J2997" s="31"/>
      <c r="K2997" s="31"/>
      <c r="L2997" s="32"/>
      <c r="M2997" s="32"/>
      <c r="N2997" s="32"/>
    </row>
    <row r="2998" spans="2:14" x14ac:dyDescent="0.25">
      <c r="B2998" s="42"/>
      <c r="C2998" s="30"/>
      <c r="D2998" s="30"/>
      <c r="E2998" s="30"/>
      <c r="F2998" s="30"/>
      <c r="G2998" s="30"/>
      <c r="H2998" s="47"/>
      <c r="I2998" s="63"/>
      <c r="J2998" s="31"/>
      <c r="K2998" s="31"/>
      <c r="L2998" s="32"/>
      <c r="M2998" s="32"/>
      <c r="N2998" s="32"/>
    </row>
    <row r="2999" spans="2:14" x14ac:dyDescent="0.25">
      <c r="B2999" s="42"/>
      <c r="C2999" s="30"/>
      <c r="D2999" s="30"/>
      <c r="E2999" s="30"/>
      <c r="F2999" s="30"/>
      <c r="G2999" s="30"/>
      <c r="H2999" s="47"/>
      <c r="I2999" s="63"/>
      <c r="J2999" s="31"/>
      <c r="K2999" s="31"/>
      <c r="L2999" s="32"/>
      <c r="M2999" s="32"/>
      <c r="N2999" s="32"/>
    </row>
    <row r="3000" spans="2:14" x14ac:dyDescent="0.25">
      <c r="B3000" s="42"/>
      <c r="C3000" s="30"/>
      <c r="D3000" s="30"/>
      <c r="E3000" s="30"/>
      <c r="F3000" s="30"/>
      <c r="G3000" s="30"/>
      <c r="H3000" s="47"/>
      <c r="I3000" s="63"/>
      <c r="J3000" s="31"/>
      <c r="K3000" s="31"/>
      <c r="L3000" s="32"/>
      <c r="M3000" s="32"/>
      <c r="N3000" s="32"/>
    </row>
    <row r="3001" spans="2:14" x14ac:dyDescent="0.25">
      <c r="B3001" s="42"/>
      <c r="C3001" s="30"/>
      <c r="D3001" s="30"/>
      <c r="E3001" s="30"/>
      <c r="F3001" s="30"/>
      <c r="G3001" s="30"/>
      <c r="H3001" s="47"/>
      <c r="I3001" s="63"/>
      <c r="J3001" s="31"/>
      <c r="K3001" s="31"/>
      <c r="L3001" s="32"/>
      <c r="M3001" s="32"/>
      <c r="N3001" s="32"/>
    </row>
    <row r="3002" spans="2:14" x14ac:dyDescent="0.25">
      <c r="B3002" s="42"/>
      <c r="C3002" s="30"/>
      <c r="D3002" s="30"/>
      <c r="E3002" s="30"/>
      <c r="F3002" s="30"/>
      <c r="G3002" s="30"/>
      <c r="H3002" s="47"/>
      <c r="I3002" s="63"/>
      <c r="J3002" s="31"/>
      <c r="K3002" s="31"/>
      <c r="L3002" s="32"/>
      <c r="M3002" s="32"/>
      <c r="N3002" s="32"/>
    </row>
    <row r="3003" spans="2:14" x14ac:dyDescent="0.25">
      <c r="B3003" s="42"/>
      <c r="C3003" s="30"/>
      <c r="D3003" s="30"/>
      <c r="E3003" s="30"/>
      <c r="F3003" s="30"/>
      <c r="G3003" s="30"/>
      <c r="H3003" s="47"/>
      <c r="I3003" s="63"/>
      <c r="J3003" s="31"/>
      <c r="K3003" s="31"/>
      <c r="L3003" s="32"/>
      <c r="M3003" s="32"/>
      <c r="N3003" s="32"/>
    </row>
    <row r="3004" spans="2:14" x14ac:dyDescent="0.25">
      <c r="B3004" s="42"/>
      <c r="C3004" s="30"/>
      <c r="D3004" s="30"/>
      <c r="E3004" s="30"/>
      <c r="F3004" s="30"/>
      <c r="G3004" s="30"/>
      <c r="H3004" s="47"/>
      <c r="I3004" s="63"/>
      <c r="J3004" s="31"/>
      <c r="K3004" s="31"/>
      <c r="L3004" s="32"/>
      <c r="M3004" s="32"/>
      <c r="N3004" s="32"/>
    </row>
    <row r="3005" spans="2:14" x14ac:dyDescent="0.25">
      <c r="B3005" s="42"/>
      <c r="C3005" s="30"/>
      <c r="D3005" s="30"/>
      <c r="E3005" s="30"/>
      <c r="F3005" s="30"/>
      <c r="G3005" s="30"/>
      <c r="H3005" s="47"/>
      <c r="I3005" s="63"/>
      <c r="J3005" s="31"/>
      <c r="K3005" s="31"/>
      <c r="L3005" s="32"/>
      <c r="M3005" s="32"/>
      <c r="N3005" s="32"/>
    </row>
    <row r="3006" spans="2:14" x14ac:dyDescent="0.25">
      <c r="B3006" s="42"/>
      <c r="C3006" s="30"/>
      <c r="D3006" s="30"/>
      <c r="E3006" s="30"/>
      <c r="F3006" s="30"/>
      <c r="G3006" s="30"/>
      <c r="H3006" s="47"/>
      <c r="I3006" s="63"/>
      <c r="J3006" s="31"/>
      <c r="K3006" s="31"/>
      <c r="L3006" s="32"/>
      <c r="M3006" s="32"/>
      <c r="N3006" s="32"/>
    </row>
    <row r="3007" spans="2:14" x14ac:dyDescent="0.25">
      <c r="B3007" s="42"/>
      <c r="C3007" s="30"/>
      <c r="D3007" s="30"/>
      <c r="E3007" s="30"/>
      <c r="F3007" s="30"/>
      <c r="G3007" s="30"/>
      <c r="H3007" s="47"/>
      <c r="I3007" s="63"/>
      <c r="J3007" s="31"/>
      <c r="K3007" s="31"/>
      <c r="L3007" s="32"/>
      <c r="M3007" s="32"/>
      <c r="N3007" s="32"/>
    </row>
    <row r="3008" spans="2:14" x14ac:dyDescent="0.25">
      <c r="B3008" s="42"/>
      <c r="C3008" s="30"/>
      <c r="D3008" s="30"/>
      <c r="E3008" s="30"/>
      <c r="F3008" s="30"/>
      <c r="G3008" s="30"/>
      <c r="H3008" s="47"/>
      <c r="I3008" s="63"/>
      <c r="J3008" s="31"/>
      <c r="K3008" s="31"/>
      <c r="L3008" s="32"/>
      <c r="M3008" s="32"/>
      <c r="N3008" s="32"/>
    </row>
    <row r="3009" spans="2:14" x14ac:dyDescent="0.25">
      <c r="B3009" s="42"/>
      <c r="C3009" s="30"/>
      <c r="D3009" s="30"/>
      <c r="E3009" s="30"/>
      <c r="F3009" s="30"/>
      <c r="G3009" s="30"/>
      <c r="H3009" s="47"/>
      <c r="I3009" s="63"/>
      <c r="J3009" s="31"/>
      <c r="K3009" s="31"/>
      <c r="L3009" s="32"/>
      <c r="M3009" s="32"/>
      <c r="N3009" s="32"/>
    </row>
    <row r="3010" spans="2:14" x14ac:dyDescent="0.25">
      <c r="B3010" s="42"/>
      <c r="C3010" s="30"/>
      <c r="D3010" s="30"/>
      <c r="E3010" s="30"/>
      <c r="F3010" s="30"/>
      <c r="G3010" s="30"/>
      <c r="H3010" s="47"/>
      <c r="I3010" s="63"/>
      <c r="J3010" s="31"/>
      <c r="K3010" s="31"/>
      <c r="L3010" s="32"/>
      <c r="M3010" s="32"/>
      <c r="N3010" s="32"/>
    </row>
    <row r="3011" spans="2:14" x14ac:dyDescent="0.25">
      <c r="B3011" s="42"/>
      <c r="C3011" s="30"/>
      <c r="D3011" s="30"/>
      <c r="E3011" s="30"/>
      <c r="F3011" s="30"/>
      <c r="G3011" s="30"/>
      <c r="H3011" s="47"/>
      <c r="I3011" s="63"/>
      <c r="J3011" s="31"/>
      <c r="K3011" s="31"/>
      <c r="L3011" s="32"/>
      <c r="M3011" s="32"/>
      <c r="N3011" s="32"/>
    </row>
    <row r="3012" spans="2:14" x14ac:dyDescent="0.25">
      <c r="B3012" s="42"/>
      <c r="C3012" s="30"/>
      <c r="D3012" s="30"/>
      <c r="E3012" s="30"/>
      <c r="F3012" s="30"/>
      <c r="G3012" s="30"/>
      <c r="H3012" s="47"/>
      <c r="I3012" s="63"/>
      <c r="J3012" s="31"/>
      <c r="K3012" s="31"/>
      <c r="L3012" s="32"/>
      <c r="M3012" s="32"/>
      <c r="N3012" s="32"/>
    </row>
    <row r="3013" spans="2:14" x14ac:dyDescent="0.25">
      <c r="B3013" s="42"/>
      <c r="C3013" s="30"/>
      <c r="D3013" s="30"/>
      <c r="E3013" s="30"/>
      <c r="F3013" s="30"/>
      <c r="G3013" s="30"/>
      <c r="H3013" s="47"/>
      <c r="I3013" s="63"/>
      <c r="J3013" s="31"/>
      <c r="K3013" s="31"/>
      <c r="L3013" s="32"/>
      <c r="M3013" s="32"/>
      <c r="N3013" s="32"/>
    </row>
    <row r="3014" spans="2:14" x14ac:dyDescent="0.25">
      <c r="B3014" s="42"/>
      <c r="C3014" s="30"/>
      <c r="D3014" s="30"/>
      <c r="E3014" s="30"/>
      <c r="F3014" s="30"/>
      <c r="G3014" s="30"/>
      <c r="H3014" s="47"/>
      <c r="I3014" s="63"/>
      <c r="J3014" s="31"/>
      <c r="K3014" s="31"/>
      <c r="L3014" s="32"/>
      <c r="M3014" s="32"/>
      <c r="N3014" s="32"/>
    </row>
    <row r="3015" spans="2:14" x14ac:dyDescent="0.25">
      <c r="B3015" s="42"/>
      <c r="C3015" s="30"/>
      <c r="D3015" s="30"/>
      <c r="E3015" s="30"/>
      <c r="F3015" s="30"/>
      <c r="G3015" s="30"/>
      <c r="H3015" s="47"/>
      <c r="I3015" s="63"/>
      <c r="J3015" s="31"/>
      <c r="K3015" s="31"/>
      <c r="L3015" s="32"/>
      <c r="M3015" s="32"/>
      <c r="N3015" s="32"/>
    </row>
    <row r="3016" spans="2:14" x14ac:dyDescent="0.25">
      <c r="B3016" s="42"/>
      <c r="C3016" s="30"/>
      <c r="D3016" s="30"/>
      <c r="E3016" s="30"/>
      <c r="F3016" s="30"/>
      <c r="G3016" s="30"/>
      <c r="H3016" s="47"/>
      <c r="I3016" s="63"/>
      <c r="J3016" s="31"/>
      <c r="K3016" s="31"/>
      <c r="L3016" s="32"/>
      <c r="M3016" s="32"/>
      <c r="N3016" s="32"/>
    </row>
    <row r="3017" spans="2:14" x14ac:dyDescent="0.25">
      <c r="B3017" s="42"/>
      <c r="C3017" s="30"/>
      <c r="D3017" s="30"/>
      <c r="E3017" s="30"/>
      <c r="F3017" s="30"/>
      <c r="G3017" s="30"/>
      <c r="H3017" s="47"/>
      <c r="I3017" s="63"/>
      <c r="J3017" s="31"/>
      <c r="K3017" s="31"/>
      <c r="L3017" s="32"/>
      <c r="M3017" s="32"/>
      <c r="N3017" s="32"/>
    </row>
    <row r="3018" spans="2:14" x14ac:dyDescent="0.25">
      <c r="B3018" s="42"/>
      <c r="C3018" s="30"/>
      <c r="D3018" s="30"/>
      <c r="E3018" s="30"/>
      <c r="F3018" s="30"/>
      <c r="G3018" s="30"/>
      <c r="H3018" s="47"/>
      <c r="I3018" s="63"/>
      <c r="J3018" s="31"/>
      <c r="K3018" s="31"/>
      <c r="L3018" s="32"/>
      <c r="M3018" s="32"/>
      <c r="N3018" s="32"/>
    </row>
    <row r="3019" spans="2:14" x14ac:dyDescent="0.25">
      <c r="B3019" s="42"/>
      <c r="C3019" s="30"/>
      <c r="D3019" s="30"/>
      <c r="E3019" s="30"/>
      <c r="F3019" s="30"/>
      <c r="G3019" s="30"/>
      <c r="H3019" s="47"/>
      <c r="I3019" s="63"/>
      <c r="J3019" s="31"/>
      <c r="K3019" s="31"/>
      <c r="L3019" s="32"/>
      <c r="M3019" s="32"/>
      <c r="N3019" s="32"/>
    </row>
    <row r="3020" spans="2:14" x14ac:dyDescent="0.25">
      <c r="B3020" s="42"/>
      <c r="C3020" s="30"/>
      <c r="D3020" s="30"/>
      <c r="E3020" s="30"/>
      <c r="F3020" s="30"/>
      <c r="G3020" s="30"/>
      <c r="H3020" s="47"/>
      <c r="I3020" s="63"/>
      <c r="J3020" s="31"/>
      <c r="K3020" s="31"/>
      <c r="L3020" s="32"/>
      <c r="M3020" s="32"/>
      <c r="N3020" s="32"/>
    </row>
    <row r="3021" spans="2:14" x14ac:dyDescent="0.25">
      <c r="B3021" s="42"/>
      <c r="C3021" s="30"/>
      <c r="D3021" s="30"/>
      <c r="E3021" s="30"/>
      <c r="F3021" s="30"/>
      <c r="G3021" s="30"/>
      <c r="H3021" s="47"/>
      <c r="I3021" s="63"/>
      <c r="J3021" s="31"/>
      <c r="K3021" s="31"/>
      <c r="L3021" s="32"/>
      <c r="M3021" s="32"/>
      <c r="N3021" s="32"/>
    </row>
    <row r="3022" spans="2:14" x14ac:dyDescent="0.25">
      <c r="B3022" s="42"/>
      <c r="C3022" s="30"/>
      <c r="D3022" s="30"/>
      <c r="E3022" s="30"/>
      <c r="F3022" s="30"/>
      <c r="G3022" s="30"/>
      <c r="H3022" s="47"/>
      <c r="I3022" s="63"/>
      <c r="J3022" s="31"/>
      <c r="K3022" s="31"/>
      <c r="L3022" s="32"/>
      <c r="M3022" s="32"/>
      <c r="N3022" s="32"/>
    </row>
    <row r="3023" spans="2:14" x14ac:dyDescent="0.25">
      <c r="B3023" s="42"/>
      <c r="C3023" s="30"/>
      <c r="D3023" s="30"/>
      <c r="E3023" s="30"/>
      <c r="F3023" s="30"/>
      <c r="G3023" s="30"/>
      <c r="H3023" s="47"/>
      <c r="I3023" s="63"/>
      <c r="J3023" s="31"/>
      <c r="K3023" s="31"/>
      <c r="L3023" s="32"/>
      <c r="M3023" s="32"/>
      <c r="N3023" s="32"/>
    </row>
    <row r="3024" spans="2:14" x14ac:dyDescent="0.25">
      <c r="B3024" s="42"/>
      <c r="C3024" s="30"/>
      <c r="D3024" s="30"/>
      <c r="E3024" s="30"/>
      <c r="F3024" s="30"/>
      <c r="G3024" s="30"/>
      <c r="H3024" s="47"/>
      <c r="I3024" s="63"/>
      <c r="J3024" s="31"/>
      <c r="K3024" s="31"/>
      <c r="L3024" s="32"/>
      <c r="M3024" s="32"/>
      <c r="N3024" s="32"/>
    </row>
    <row r="3025" spans="2:14" x14ac:dyDescent="0.25">
      <c r="B3025" s="42"/>
      <c r="C3025" s="30"/>
      <c r="D3025" s="30"/>
      <c r="E3025" s="30"/>
      <c r="F3025" s="30"/>
      <c r="G3025" s="30"/>
      <c r="H3025" s="47"/>
      <c r="I3025" s="63"/>
      <c r="J3025" s="31"/>
      <c r="K3025" s="31"/>
      <c r="L3025" s="32"/>
      <c r="M3025" s="32"/>
      <c r="N3025" s="32"/>
    </row>
    <row r="3026" spans="2:14" x14ac:dyDescent="0.25">
      <c r="B3026" s="42"/>
      <c r="C3026" s="30"/>
      <c r="D3026" s="30"/>
      <c r="E3026" s="30"/>
      <c r="F3026" s="30"/>
      <c r="G3026" s="30"/>
      <c r="H3026" s="47"/>
      <c r="I3026" s="63"/>
      <c r="J3026" s="31"/>
      <c r="K3026" s="31"/>
      <c r="L3026" s="32"/>
      <c r="M3026" s="32"/>
      <c r="N3026" s="32"/>
    </row>
    <row r="3027" spans="2:14" x14ac:dyDescent="0.25">
      <c r="B3027" s="42"/>
      <c r="C3027" s="30"/>
      <c r="D3027" s="30"/>
      <c r="E3027" s="30"/>
      <c r="F3027" s="30"/>
      <c r="G3027" s="30"/>
      <c r="H3027" s="47"/>
      <c r="I3027" s="63"/>
      <c r="J3027" s="31"/>
      <c r="K3027" s="31"/>
      <c r="L3027" s="32"/>
      <c r="M3027" s="32"/>
      <c r="N3027" s="32"/>
    </row>
    <row r="3028" spans="2:14" x14ac:dyDescent="0.25">
      <c r="B3028" s="42"/>
      <c r="C3028" s="30"/>
      <c r="D3028" s="30"/>
      <c r="E3028" s="30"/>
      <c r="F3028" s="30"/>
      <c r="G3028" s="30"/>
      <c r="H3028" s="47"/>
      <c r="I3028" s="63"/>
      <c r="J3028" s="31"/>
      <c r="K3028" s="31"/>
      <c r="L3028" s="32"/>
      <c r="M3028" s="32"/>
      <c r="N3028" s="32"/>
    </row>
    <row r="3029" spans="2:14" x14ac:dyDescent="0.25">
      <c r="B3029" s="42"/>
      <c r="C3029" s="30"/>
      <c r="D3029" s="30"/>
      <c r="E3029" s="30"/>
      <c r="F3029" s="30"/>
      <c r="G3029" s="30"/>
      <c r="H3029" s="47"/>
      <c r="I3029" s="63"/>
      <c r="J3029" s="31"/>
      <c r="K3029" s="31"/>
      <c r="L3029" s="32"/>
      <c r="M3029" s="32"/>
      <c r="N3029" s="32"/>
    </row>
    <row r="3030" spans="2:14" x14ac:dyDescent="0.25">
      <c r="B3030" s="42"/>
      <c r="C3030" s="30"/>
      <c r="D3030" s="30"/>
      <c r="E3030" s="30"/>
      <c r="F3030" s="30"/>
      <c r="G3030" s="30"/>
      <c r="H3030" s="47"/>
      <c r="I3030" s="63"/>
      <c r="J3030" s="31"/>
      <c r="K3030" s="31"/>
      <c r="L3030" s="32"/>
      <c r="M3030" s="32"/>
      <c r="N3030" s="32"/>
    </row>
    <row r="3031" spans="2:14" x14ac:dyDescent="0.25">
      <c r="B3031" s="42"/>
      <c r="C3031" s="30"/>
      <c r="D3031" s="30"/>
      <c r="E3031" s="30"/>
      <c r="F3031" s="30"/>
      <c r="G3031" s="30"/>
      <c r="H3031" s="47"/>
      <c r="I3031" s="63"/>
      <c r="J3031" s="31"/>
      <c r="K3031" s="31"/>
      <c r="L3031" s="32"/>
      <c r="M3031" s="32"/>
      <c r="N3031" s="32"/>
    </row>
    <row r="3032" spans="2:14" x14ac:dyDescent="0.25">
      <c r="B3032" s="42"/>
      <c r="C3032" s="30"/>
      <c r="D3032" s="30"/>
      <c r="E3032" s="30"/>
      <c r="F3032" s="30"/>
      <c r="G3032" s="30"/>
      <c r="H3032" s="47"/>
      <c r="I3032" s="63"/>
      <c r="J3032" s="31"/>
      <c r="K3032" s="31"/>
      <c r="L3032" s="32"/>
      <c r="M3032" s="32"/>
      <c r="N3032" s="32"/>
    </row>
    <row r="3033" spans="2:14" x14ac:dyDescent="0.25">
      <c r="B3033" s="42"/>
      <c r="C3033" s="30"/>
      <c r="D3033" s="30"/>
      <c r="E3033" s="30"/>
      <c r="F3033" s="30"/>
      <c r="G3033" s="30"/>
      <c r="H3033" s="47"/>
      <c r="I3033" s="63"/>
      <c r="J3033" s="31"/>
      <c r="K3033" s="31"/>
      <c r="L3033" s="32"/>
      <c r="M3033" s="32"/>
      <c r="N3033" s="32"/>
    </row>
    <row r="3034" spans="2:14" x14ac:dyDescent="0.25">
      <c r="B3034" s="42"/>
      <c r="C3034" s="30"/>
      <c r="D3034" s="30"/>
      <c r="E3034" s="30"/>
      <c r="F3034" s="30"/>
      <c r="G3034" s="30"/>
      <c r="H3034" s="47"/>
      <c r="I3034" s="63"/>
      <c r="J3034" s="31"/>
      <c r="K3034" s="31"/>
      <c r="L3034" s="32"/>
      <c r="M3034" s="32"/>
      <c r="N3034" s="32"/>
    </row>
    <row r="3035" spans="2:14" x14ac:dyDescent="0.25">
      <c r="B3035" s="42"/>
      <c r="C3035" s="30"/>
      <c r="D3035" s="30"/>
      <c r="E3035" s="30"/>
      <c r="F3035" s="30"/>
      <c r="G3035" s="30"/>
      <c r="H3035" s="47"/>
      <c r="I3035" s="63"/>
      <c r="J3035" s="31"/>
      <c r="K3035" s="31"/>
      <c r="L3035" s="32"/>
      <c r="M3035" s="32"/>
      <c r="N3035" s="32"/>
    </row>
    <row r="3036" spans="2:14" x14ac:dyDescent="0.25">
      <c r="B3036" s="42"/>
      <c r="C3036" s="30"/>
      <c r="D3036" s="30"/>
      <c r="E3036" s="30"/>
      <c r="F3036" s="30"/>
      <c r="G3036" s="30"/>
      <c r="H3036" s="47"/>
      <c r="I3036" s="63"/>
      <c r="J3036" s="31"/>
      <c r="K3036" s="31"/>
      <c r="L3036" s="32"/>
      <c r="M3036" s="32"/>
      <c r="N3036" s="32"/>
    </row>
    <row r="3037" spans="2:14" x14ac:dyDescent="0.25">
      <c r="B3037" s="42"/>
      <c r="C3037" s="30"/>
      <c r="D3037" s="30"/>
      <c r="E3037" s="30"/>
      <c r="F3037" s="30"/>
      <c r="G3037" s="30"/>
      <c r="H3037" s="47"/>
      <c r="I3037" s="63"/>
      <c r="J3037" s="31"/>
      <c r="K3037" s="31"/>
      <c r="L3037" s="32"/>
      <c r="M3037" s="32"/>
      <c r="N3037" s="32"/>
    </row>
    <row r="3038" spans="2:14" x14ac:dyDescent="0.25">
      <c r="B3038" s="42"/>
      <c r="C3038" s="30"/>
      <c r="D3038" s="30"/>
      <c r="E3038" s="30"/>
      <c r="F3038" s="30"/>
      <c r="G3038" s="30"/>
      <c r="H3038" s="47"/>
      <c r="I3038" s="63"/>
      <c r="J3038" s="31"/>
      <c r="K3038" s="31"/>
      <c r="L3038" s="32"/>
      <c r="M3038" s="32"/>
      <c r="N3038" s="32"/>
    </row>
    <row r="3039" spans="2:14" x14ac:dyDescent="0.25">
      <c r="B3039" s="42"/>
      <c r="C3039" s="30"/>
      <c r="D3039" s="30"/>
      <c r="E3039" s="30"/>
      <c r="F3039" s="30"/>
      <c r="G3039" s="30"/>
      <c r="H3039" s="47"/>
      <c r="I3039" s="63"/>
      <c r="J3039" s="31"/>
      <c r="K3039" s="31"/>
      <c r="L3039" s="32"/>
      <c r="M3039" s="32"/>
      <c r="N3039" s="32"/>
    </row>
    <row r="3040" spans="2:14" x14ac:dyDescent="0.25">
      <c r="B3040" s="42"/>
      <c r="C3040" s="30"/>
      <c r="D3040" s="30"/>
      <c r="E3040" s="30"/>
      <c r="F3040" s="30"/>
      <c r="G3040" s="30"/>
      <c r="H3040" s="47"/>
      <c r="I3040" s="63"/>
      <c r="J3040" s="31"/>
      <c r="K3040" s="31"/>
      <c r="L3040" s="32"/>
      <c r="M3040" s="32"/>
      <c r="N3040" s="32"/>
    </row>
    <row r="3041" spans="2:14" x14ac:dyDescent="0.25">
      <c r="B3041" s="42"/>
      <c r="C3041" s="30"/>
      <c r="D3041" s="30"/>
      <c r="E3041" s="30"/>
      <c r="F3041" s="30"/>
      <c r="G3041" s="30"/>
      <c r="H3041" s="47"/>
      <c r="I3041" s="63"/>
      <c r="J3041" s="31"/>
      <c r="K3041" s="31"/>
      <c r="L3041" s="32"/>
      <c r="M3041" s="32"/>
      <c r="N3041" s="32"/>
    </row>
    <row r="3042" spans="2:14" x14ac:dyDescent="0.25">
      <c r="B3042" s="42"/>
      <c r="C3042" s="30"/>
      <c r="D3042" s="30"/>
      <c r="E3042" s="30"/>
      <c r="F3042" s="30"/>
      <c r="G3042" s="30"/>
      <c r="H3042" s="47"/>
      <c r="I3042" s="63"/>
      <c r="J3042" s="31"/>
      <c r="K3042" s="31"/>
      <c r="L3042" s="32"/>
      <c r="M3042" s="32"/>
      <c r="N3042" s="32"/>
    </row>
    <row r="3043" spans="2:14" x14ac:dyDescent="0.25">
      <c r="B3043" s="42"/>
      <c r="C3043" s="30"/>
      <c r="D3043" s="30"/>
      <c r="E3043" s="30"/>
      <c r="F3043" s="30"/>
      <c r="G3043" s="30"/>
      <c r="H3043" s="47"/>
      <c r="I3043" s="63"/>
      <c r="J3043" s="31"/>
      <c r="K3043" s="31"/>
      <c r="L3043" s="32"/>
      <c r="M3043" s="32"/>
      <c r="N3043" s="32"/>
    </row>
    <row r="3044" spans="2:14" x14ac:dyDescent="0.25">
      <c r="B3044" s="42"/>
      <c r="C3044" s="30"/>
      <c r="D3044" s="30"/>
      <c r="E3044" s="30"/>
      <c r="F3044" s="30"/>
      <c r="G3044" s="30"/>
      <c r="H3044" s="47"/>
      <c r="I3044" s="63"/>
      <c r="J3044" s="31"/>
      <c r="K3044" s="31"/>
      <c r="L3044" s="32"/>
      <c r="M3044" s="32"/>
      <c r="N3044" s="32"/>
    </row>
    <row r="3045" spans="2:14" x14ac:dyDescent="0.25">
      <c r="B3045" s="42"/>
      <c r="C3045" s="30"/>
      <c r="D3045" s="30"/>
      <c r="E3045" s="30"/>
      <c r="F3045" s="30"/>
      <c r="G3045" s="30"/>
      <c r="H3045" s="47"/>
      <c r="I3045" s="63"/>
      <c r="J3045" s="31"/>
      <c r="K3045" s="31"/>
      <c r="L3045" s="32"/>
      <c r="M3045" s="32"/>
      <c r="N3045" s="32"/>
    </row>
    <row r="3046" spans="2:14" x14ac:dyDescent="0.25">
      <c r="B3046" s="42"/>
      <c r="C3046" s="30"/>
      <c r="D3046" s="30"/>
      <c r="E3046" s="30"/>
      <c r="F3046" s="30"/>
      <c r="G3046" s="30"/>
      <c r="H3046" s="47"/>
      <c r="I3046" s="63"/>
      <c r="J3046" s="31"/>
      <c r="K3046" s="31"/>
      <c r="L3046" s="32"/>
      <c r="M3046" s="32"/>
      <c r="N3046" s="32"/>
    </row>
    <row r="3047" spans="2:14" x14ac:dyDescent="0.25">
      <c r="B3047" s="42"/>
      <c r="C3047" s="30"/>
      <c r="D3047" s="30"/>
      <c r="E3047" s="30"/>
      <c r="F3047" s="30"/>
      <c r="G3047" s="30"/>
      <c r="H3047" s="47"/>
      <c r="I3047" s="63"/>
      <c r="J3047" s="31"/>
      <c r="K3047" s="31"/>
      <c r="L3047" s="32"/>
      <c r="M3047" s="32"/>
      <c r="N3047" s="32"/>
    </row>
    <row r="3048" spans="2:14" x14ac:dyDescent="0.25">
      <c r="B3048" s="42"/>
      <c r="C3048" s="30"/>
      <c r="D3048" s="30"/>
      <c r="E3048" s="30"/>
      <c r="F3048" s="30"/>
      <c r="G3048" s="30"/>
      <c r="H3048" s="47"/>
      <c r="I3048" s="63"/>
      <c r="J3048" s="31"/>
      <c r="K3048" s="31"/>
      <c r="L3048" s="32"/>
      <c r="M3048" s="32"/>
      <c r="N3048" s="32"/>
    </row>
    <row r="3049" spans="2:14" x14ac:dyDescent="0.25">
      <c r="B3049" s="42"/>
      <c r="C3049" s="30"/>
      <c r="D3049" s="30"/>
      <c r="E3049" s="30"/>
      <c r="F3049" s="30"/>
      <c r="G3049" s="30"/>
      <c r="H3049" s="47"/>
      <c r="I3049" s="63"/>
      <c r="J3049" s="31"/>
      <c r="K3049" s="31"/>
      <c r="L3049" s="32"/>
      <c r="M3049" s="32"/>
      <c r="N3049" s="32"/>
    </row>
    <row r="3050" spans="2:14" x14ac:dyDescent="0.25">
      <c r="B3050" s="42"/>
      <c r="C3050" s="30"/>
      <c r="D3050" s="30"/>
      <c r="E3050" s="30"/>
      <c r="F3050" s="30"/>
      <c r="G3050" s="30"/>
      <c r="H3050" s="47"/>
      <c r="I3050" s="63"/>
      <c r="J3050" s="31"/>
      <c r="K3050" s="31"/>
      <c r="L3050" s="32"/>
      <c r="M3050" s="32"/>
      <c r="N3050" s="32"/>
    </row>
    <row r="3051" spans="2:14" x14ac:dyDescent="0.25">
      <c r="B3051" s="42"/>
      <c r="C3051" s="30"/>
      <c r="D3051" s="30"/>
      <c r="E3051" s="30"/>
      <c r="F3051" s="30"/>
      <c r="G3051" s="30"/>
      <c r="H3051" s="47"/>
      <c r="I3051" s="63"/>
      <c r="J3051" s="31"/>
      <c r="K3051" s="31"/>
      <c r="L3051" s="32"/>
      <c r="M3051" s="32"/>
      <c r="N3051" s="32"/>
    </row>
    <row r="3052" spans="2:14" x14ac:dyDescent="0.25">
      <c r="B3052" s="42"/>
      <c r="C3052" s="30"/>
      <c r="D3052" s="30"/>
      <c r="E3052" s="30"/>
      <c r="F3052" s="30"/>
      <c r="G3052" s="30"/>
      <c r="H3052" s="47"/>
      <c r="I3052" s="63"/>
      <c r="J3052" s="31"/>
      <c r="K3052" s="31"/>
      <c r="L3052" s="32"/>
      <c r="M3052" s="32"/>
      <c r="N3052" s="32"/>
    </row>
    <row r="3053" spans="2:14" x14ac:dyDescent="0.25">
      <c r="B3053" s="42"/>
      <c r="C3053" s="30"/>
      <c r="D3053" s="30"/>
      <c r="E3053" s="30"/>
      <c r="F3053" s="30"/>
      <c r="G3053" s="30"/>
      <c r="H3053" s="47"/>
      <c r="I3053" s="63"/>
      <c r="J3053" s="31"/>
      <c r="K3053" s="31"/>
      <c r="L3053" s="32"/>
      <c r="M3053" s="32"/>
      <c r="N3053" s="32"/>
    </row>
    <row r="3054" spans="2:14" x14ac:dyDescent="0.25">
      <c r="B3054" s="42"/>
      <c r="C3054" s="30"/>
      <c r="D3054" s="30"/>
      <c r="E3054" s="30"/>
      <c r="F3054" s="30"/>
      <c r="G3054" s="30"/>
      <c r="H3054" s="47"/>
      <c r="I3054" s="63"/>
      <c r="J3054" s="31"/>
      <c r="K3054" s="31"/>
      <c r="L3054" s="32"/>
      <c r="M3054" s="32"/>
      <c r="N3054" s="32"/>
    </row>
    <row r="3055" spans="2:14" x14ac:dyDescent="0.25">
      <c r="B3055" s="42"/>
      <c r="C3055" s="30"/>
      <c r="D3055" s="30"/>
      <c r="E3055" s="30"/>
      <c r="F3055" s="30"/>
      <c r="G3055" s="30"/>
      <c r="H3055" s="47"/>
      <c r="I3055" s="63"/>
      <c r="J3055" s="31"/>
      <c r="K3055" s="31"/>
      <c r="L3055" s="32"/>
      <c r="M3055" s="32"/>
      <c r="N3055" s="32"/>
    </row>
    <row r="3056" spans="2:14" x14ac:dyDescent="0.25">
      <c r="B3056" s="42"/>
      <c r="C3056" s="30"/>
      <c r="D3056" s="30"/>
      <c r="E3056" s="30"/>
      <c r="F3056" s="30"/>
      <c r="G3056" s="30"/>
      <c r="H3056" s="47"/>
      <c r="I3056" s="63"/>
      <c r="J3056" s="31"/>
      <c r="K3056" s="31"/>
      <c r="L3056" s="32"/>
      <c r="M3056" s="32"/>
      <c r="N3056" s="32"/>
    </row>
    <row r="3057" spans="2:14" x14ac:dyDescent="0.25">
      <c r="B3057" s="42"/>
      <c r="C3057" s="30"/>
      <c r="D3057" s="30"/>
      <c r="E3057" s="30"/>
      <c r="F3057" s="30"/>
      <c r="G3057" s="30"/>
      <c r="H3057" s="47"/>
      <c r="I3057" s="63"/>
      <c r="J3057" s="31"/>
      <c r="K3057" s="31"/>
      <c r="L3057" s="32"/>
      <c r="M3057" s="32"/>
      <c r="N3057" s="32"/>
    </row>
    <row r="3058" spans="2:14" x14ac:dyDescent="0.25">
      <c r="B3058" s="42"/>
      <c r="C3058" s="30"/>
      <c r="D3058" s="30"/>
      <c r="E3058" s="30"/>
      <c r="F3058" s="30"/>
      <c r="G3058" s="30"/>
      <c r="H3058" s="47"/>
      <c r="I3058" s="63"/>
      <c r="J3058" s="31"/>
      <c r="K3058" s="31"/>
      <c r="L3058" s="32"/>
      <c r="M3058" s="32"/>
      <c r="N3058" s="32"/>
    </row>
    <row r="3059" spans="2:14" x14ac:dyDescent="0.25">
      <c r="B3059" s="42"/>
      <c r="C3059" s="30"/>
      <c r="D3059" s="30"/>
      <c r="E3059" s="30"/>
      <c r="F3059" s="30"/>
      <c r="G3059" s="30"/>
      <c r="H3059" s="47"/>
      <c r="I3059" s="63"/>
      <c r="J3059" s="31"/>
      <c r="K3059" s="31"/>
      <c r="L3059" s="32"/>
      <c r="M3059" s="32"/>
      <c r="N3059" s="32"/>
    </row>
    <row r="3060" spans="2:14" x14ac:dyDescent="0.25">
      <c r="B3060" s="42"/>
      <c r="C3060" s="30"/>
      <c r="D3060" s="30"/>
      <c r="E3060" s="30"/>
      <c r="F3060" s="30"/>
      <c r="G3060" s="30"/>
      <c r="H3060" s="47"/>
      <c r="I3060" s="63"/>
      <c r="J3060" s="31"/>
      <c r="K3060" s="31"/>
      <c r="L3060" s="32"/>
      <c r="M3060" s="32"/>
      <c r="N3060" s="32"/>
    </row>
    <row r="3061" spans="2:14" x14ac:dyDescent="0.25">
      <c r="B3061" s="42"/>
      <c r="C3061" s="30"/>
      <c r="D3061" s="30"/>
      <c r="E3061" s="30"/>
      <c r="F3061" s="30"/>
      <c r="G3061" s="30"/>
      <c r="H3061" s="47"/>
      <c r="I3061" s="63"/>
      <c r="J3061" s="31"/>
      <c r="K3061" s="31"/>
      <c r="L3061" s="32"/>
      <c r="M3061" s="32"/>
      <c r="N3061" s="32"/>
    </row>
    <row r="3062" spans="2:14" x14ac:dyDescent="0.25">
      <c r="B3062" s="42"/>
      <c r="C3062" s="30"/>
      <c r="D3062" s="30"/>
      <c r="E3062" s="30"/>
      <c r="F3062" s="30"/>
      <c r="G3062" s="30"/>
      <c r="H3062" s="47"/>
      <c r="I3062" s="63"/>
      <c r="J3062" s="31"/>
      <c r="K3062" s="31"/>
      <c r="L3062" s="32"/>
      <c r="M3062" s="32"/>
      <c r="N3062" s="32"/>
    </row>
    <row r="3063" spans="2:14" x14ac:dyDescent="0.25">
      <c r="B3063" s="42"/>
      <c r="C3063" s="30"/>
      <c r="D3063" s="30"/>
      <c r="E3063" s="30"/>
      <c r="F3063" s="30"/>
      <c r="G3063" s="30"/>
      <c r="H3063" s="47"/>
      <c r="I3063" s="63"/>
      <c r="J3063" s="31"/>
      <c r="K3063" s="31"/>
      <c r="L3063" s="32"/>
      <c r="M3063" s="32"/>
      <c r="N3063" s="32"/>
    </row>
    <row r="3064" spans="2:14" x14ac:dyDescent="0.25">
      <c r="B3064" s="42"/>
      <c r="C3064" s="30"/>
      <c r="D3064" s="30"/>
      <c r="E3064" s="30"/>
      <c r="F3064" s="30"/>
      <c r="G3064" s="30"/>
      <c r="H3064" s="47"/>
      <c r="I3064" s="63"/>
      <c r="J3064" s="31"/>
      <c r="K3064" s="31"/>
      <c r="L3064" s="32"/>
      <c r="M3064" s="32"/>
      <c r="N3064" s="32"/>
    </row>
    <row r="3065" spans="2:14" x14ac:dyDescent="0.25">
      <c r="B3065" s="42"/>
      <c r="C3065" s="30"/>
      <c r="D3065" s="30"/>
      <c r="E3065" s="30"/>
      <c r="F3065" s="30"/>
      <c r="G3065" s="30"/>
      <c r="H3065" s="47"/>
      <c r="I3065" s="63"/>
      <c r="J3065" s="31"/>
      <c r="K3065" s="31"/>
      <c r="L3065" s="32"/>
      <c r="M3065" s="32"/>
      <c r="N3065" s="32"/>
    </row>
    <row r="3066" spans="2:14" x14ac:dyDescent="0.25">
      <c r="B3066" s="42"/>
      <c r="C3066" s="30"/>
      <c r="D3066" s="30"/>
      <c r="E3066" s="30"/>
      <c r="F3066" s="30"/>
      <c r="G3066" s="30"/>
      <c r="H3066" s="47"/>
      <c r="I3066" s="63"/>
      <c r="J3066" s="31"/>
      <c r="K3066" s="31"/>
      <c r="L3066" s="32"/>
      <c r="M3066" s="32"/>
      <c r="N3066" s="32"/>
    </row>
    <row r="3067" spans="2:14" x14ac:dyDescent="0.25">
      <c r="B3067" s="42"/>
      <c r="C3067" s="30"/>
      <c r="D3067" s="30"/>
      <c r="E3067" s="30"/>
      <c r="F3067" s="30"/>
      <c r="G3067" s="30"/>
      <c r="H3067" s="47"/>
      <c r="I3067" s="63"/>
      <c r="J3067" s="31"/>
      <c r="K3067" s="31"/>
      <c r="L3067" s="32"/>
      <c r="M3067" s="32"/>
      <c r="N3067" s="32"/>
    </row>
    <row r="3068" spans="2:14" x14ac:dyDescent="0.25">
      <c r="B3068" s="42"/>
      <c r="C3068" s="30"/>
      <c r="D3068" s="30"/>
      <c r="E3068" s="30"/>
      <c r="F3068" s="30"/>
      <c r="G3068" s="30"/>
      <c r="H3068" s="47"/>
      <c r="I3068" s="63"/>
      <c r="J3068" s="31"/>
      <c r="K3068" s="31"/>
      <c r="L3068" s="32"/>
      <c r="M3068" s="32"/>
      <c r="N3068" s="32"/>
    </row>
    <row r="3069" spans="2:14" x14ac:dyDescent="0.25">
      <c r="B3069" s="42"/>
      <c r="C3069" s="30"/>
      <c r="D3069" s="30"/>
      <c r="E3069" s="30"/>
      <c r="F3069" s="30"/>
      <c r="G3069" s="30"/>
      <c r="H3069" s="47"/>
      <c r="I3069" s="63"/>
      <c r="J3069" s="31"/>
      <c r="K3069" s="31"/>
      <c r="L3069" s="32"/>
      <c r="M3069" s="32"/>
      <c r="N3069" s="32"/>
    </row>
    <row r="3070" spans="2:14" x14ac:dyDescent="0.25">
      <c r="B3070" s="42"/>
      <c r="C3070" s="30"/>
      <c r="D3070" s="30"/>
      <c r="E3070" s="30"/>
      <c r="F3070" s="30"/>
      <c r="G3070" s="30"/>
      <c r="H3070" s="47"/>
      <c r="I3070" s="63"/>
      <c r="J3070" s="31"/>
      <c r="K3070" s="31"/>
      <c r="L3070" s="32"/>
      <c r="M3070" s="32"/>
      <c r="N3070" s="32"/>
    </row>
    <row r="3071" spans="2:14" x14ac:dyDescent="0.25">
      <c r="B3071" s="42"/>
      <c r="C3071" s="30"/>
      <c r="D3071" s="30"/>
      <c r="E3071" s="30"/>
      <c r="F3071" s="30"/>
      <c r="G3071" s="30"/>
      <c r="H3071" s="47"/>
      <c r="I3071" s="63"/>
      <c r="J3071" s="31"/>
      <c r="K3071" s="31"/>
      <c r="L3071" s="32"/>
      <c r="M3071" s="32"/>
      <c r="N3071" s="32"/>
    </row>
    <row r="3072" spans="2:14" x14ac:dyDescent="0.25">
      <c r="B3072" s="42"/>
      <c r="C3072" s="30"/>
      <c r="D3072" s="30"/>
      <c r="E3072" s="30"/>
      <c r="F3072" s="30"/>
      <c r="G3072" s="30"/>
      <c r="H3072" s="47"/>
      <c r="I3072" s="63"/>
      <c r="J3072" s="31"/>
      <c r="K3072" s="31"/>
      <c r="L3072" s="32"/>
      <c r="M3072" s="32"/>
      <c r="N3072" s="32"/>
    </row>
    <row r="3073" spans="2:14" x14ac:dyDescent="0.25">
      <c r="B3073" s="42"/>
      <c r="C3073" s="30"/>
      <c r="D3073" s="30"/>
      <c r="E3073" s="30"/>
      <c r="F3073" s="30"/>
      <c r="G3073" s="30"/>
      <c r="H3073" s="47"/>
      <c r="I3073" s="63"/>
      <c r="J3073" s="31"/>
      <c r="K3073" s="31"/>
      <c r="L3073" s="32"/>
      <c r="M3073" s="32"/>
      <c r="N3073" s="32"/>
    </row>
    <row r="3074" spans="2:14" x14ac:dyDescent="0.25">
      <c r="B3074" s="42"/>
      <c r="C3074" s="30"/>
      <c r="D3074" s="30"/>
      <c r="E3074" s="30"/>
      <c r="F3074" s="30"/>
      <c r="G3074" s="30"/>
      <c r="H3074" s="47"/>
      <c r="I3074" s="63"/>
      <c r="J3074" s="31"/>
      <c r="K3074" s="31"/>
      <c r="L3074" s="32"/>
      <c r="M3074" s="32"/>
      <c r="N3074" s="32"/>
    </row>
    <row r="3075" spans="2:14" x14ac:dyDescent="0.25">
      <c r="B3075" s="42"/>
      <c r="C3075" s="30"/>
      <c r="D3075" s="30"/>
      <c r="E3075" s="30"/>
      <c r="F3075" s="30"/>
      <c r="G3075" s="30"/>
      <c r="H3075" s="47"/>
      <c r="I3075" s="63"/>
      <c r="J3075" s="31"/>
      <c r="K3075" s="31"/>
      <c r="L3075" s="32"/>
      <c r="M3075" s="32"/>
      <c r="N3075" s="32"/>
    </row>
    <row r="3076" spans="2:14" x14ac:dyDescent="0.25">
      <c r="B3076" s="42"/>
      <c r="C3076" s="30"/>
      <c r="D3076" s="30"/>
      <c r="E3076" s="30"/>
      <c r="F3076" s="30"/>
      <c r="G3076" s="30"/>
      <c r="H3076" s="47"/>
      <c r="I3076" s="63"/>
      <c r="J3076" s="31"/>
      <c r="K3076" s="31"/>
      <c r="L3076" s="32"/>
      <c r="M3076" s="32"/>
      <c r="N3076" s="32"/>
    </row>
    <row r="3077" spans="2:14" x14ac:dyDescent="0.25">
      <c r="B3077" s="42"/>
      <c r="C3077" s="30"/>
      <c r="D3077" s="30"/>
      <c r="E3077" s="30"/>
      <c r="F3077" s="30"/>
      <c r="G3077" s="30"/>
      <c r="H3077" s="47"/>
      <c r="I3077" s="63"/>
      <c r="J3077" s="31"/>
      <c r="K3077" s="31"/>
      <c r="L3077" s="32"/>
      <c r="M3077" s="32"/>
      <c r="N3077" s="32"/>
    </row>
    <row r="3078" spans="2:14" x14ac:dyDescent="0.25">
      <c r="B3078" s="42"/>
      <c r="C3078" s="30"/>
      <c r="D3078" s="30"/>
      <c r="E3078" s="30"/>
      <c r="F3078" s="30"/>
      <c r="G3078" s="30"/>
      <c r="H3078" s="47"/>
      <c r="I3078" s="63"/>
      <c r="J3078" s="31"/>
      <c r="K3078" s="31"/>
      <c r="L3078" s="32"/>
      <c r="M3078" s="32"/>
      <c r="N3078" s="32"/>
    </row>
    <row r="3079" spans="2:14" x14ac:dyDescent="0.25">
      <c r="B3079" s="42"/>
      <c r="C3079" s="30"/>
      <c r="D3079" s="30"/>
      <c r="E3079" s="30"/>
      <c r="F3079" s="30"/>
      <c r="G3079" s="30"/>
      <c r="H3079" s="47"/>
      <c r="I3079" s="63"/>
      <c r="J3079" s="31"/>
      <c r="K3079" s="31"/>
      <c r="L3079" s="32"/>
      <c r="M3079" s="32"/>
      <c r="N3079" s="32"/>
    </row>
    <row r="3080" spans="2:14" x14ac:dyDescent="0.25">
      <c r="B3080" s="42"/>
      <c r="C3080" s="30"/>
      <c r="D3080" s="30"/>
      <c r="E3080" s="30"/>
      <c r="F3080" s="30"/>
      <c r="G3080" s="30"/>
      <c r="H3080" s="47"/>
      <c r="I3080" s="63"/>
      <c r="J3080" s="31"/>
      <c r="K3080" s="31"/>
      <c r="L3080" s="32"/>
      <c r="M3080" s="32"/>
      <c r="N3080" s="32"/>
    </row>
    <row r="3081" spans="2:14" x14ac:dyDescent="0.25">
      <c r="B3081" s="42"/>
      <c r="C3081" s="30"/>
      <c r="D3081" s="30"/>
      <c r="E3081" s="30"/>
      <c r="F3081" s="30"/>
      <c r="G3081" s="30"/>
      <c r="H3081" s="47"/>
      <c r="I3081" s="63"/>
      <c r="J3081" s="31"/>
      <c r="K3081" s="31"/>
      <c r="L3081" s="32"/>
      <c r="M3081" s="32"/>
      <c r="N3081" s="32"/>
    </row>
    <row r="3082" spans="2:14" x14ac:dyDescent="0.25">
      <c r="B3082" s="42"/>
      <c r="C3082" s="30"/>
      <c r="D3082" s="30"/>
      <c r="E3082" s="30"/>
      <c r="F3082" s="30"/>
      <c r="G3082" s="30"/>
      <c r="H3082" s="47"/>
      <c r="I3082" s="63"/>
      <c r="J3082" s="31"/>
      <c r="K3082" s="31"/>
      <c r="L3082" s="32"/>
      <c r="M3082" s="32"/>
      <c r="N3082" s="32"/>
    </row>
    <row r="3083" spans="2:14" x14ac:dyDescent="0.25">
      <c r="B3083" s="42"/>
      <c r="C3083" s="30"/>
      <c r="D3083" s="30"/>
      <c r="E3083" s="30"/>
      <c r="F3083" s="30"/>
      <c r="G3083" s="30"/>
      <c r="H3083" s="47"/>
      <c r="I3083" s="63"/>
      <c r="J3083" s="31"/>
      <c r="K3083" s="31"/>
      <c r="L3083" s="32"/>
      <c r="M3083" s="32"/>
      <c r="N3083" s="32"/>
    </row>
    <row r="3084" spans="2:14" x14ac:dyDescent="0.25">
      <c r="B3084" s="42"/>
      <c r="C3084" s="30"/>
      <c r="D3084" s="30"/>
      <c r="E3084" s="30"/>
      <c r="F3084" s="30"/>
      <c r="G3084" s="30"/>
      <c r="H3084" s="47"/>
      <c r="I3084" s="63"/>
      <c r="J3084" s="31"/>
      <c r="K3084" s="31"/>
      <c r="L3084" s="32"/>
      <c r="M3084" s="32"/>
      <c r="N3084" s="32"/>
    </row>
    <row r="3085" spans="2:14" x14ac:dyDescent="0.25">
      <c r="B3085" s="42"/>
      <c r="C3085" s="30"/>
      <c r="D3085" s="30"/>
      <c r="E3085" s="30"/>
      <c r="F3085" s="30"/>
      <c r="G3085" s="30"/>
      <c r="H3085" s="47"/>
      <c r="I3085" s="63"/>
      <c r="J3085" s="31"/>
      <c r="K3085" s="31"/>
      <c r="L3085" s="32"/>
      <c r="M3085" s="32"/>
      <c r="N3085" s="32"/>
    </row>
    <row r="3086" spans="2:14" x14ac:dyDescent="0.25">
      <c r="B3086" s="42"/>
      <c r="C3086" s="30"/>
      <c r="D3086" s="30"/>
      <c r="E3086" s="30"/>
      <c r="F3086" s="30"/>
      <c r="G3086" s="30"/>
      <c r="H3086" s="47"/>
      <c r="I3086" s="63"/>
      <c r="J3086" s="31"/>
      <c r="K3086" s="31"/>
      <c r="L3086" s="32"/>
      <c r="M3086" s="32"/>
      <c r="N3086" s="32"/>
    </row>
    <row r="3087" spans="2:14" x14ac:dyDescent="0.25">
      <c r="B3087" s="42"/>
      <c r="C3087" s="30"/>
      <c r="D3087" s="30"/>
      <c r="E3087" s="30"/>
      <c r="F3087" s="30"/>
      <c r="G3087" s="30"/>
      <c r="H3087" s="47"/>
      <c r="I3087" s="63"/>
      <c r="J3087" s="31"/>
      <c r="K3087" s="31"/>
      <c r="L3087" s="32"/>
      <c r="M3087" s="32"/>
      <c r="N3087" s="32"/>
    </row>
    <row r="3088" spans="2:14" x14ac:dyDescent="0.25">
      <c r="B3088" s="42"/>
      <c r="C3088" s="30"/>
      <c r="D3088" s="30"/>
      <c r="E3088" s="30"/>
      <c r="F3088" s="30"/>
      <c r="G3088" s="30"/>
      <c r="H3088" s="47"/>
      <c r="I3088" s="63"/>
      <c r="J3088" s="31"/>
      <c r="K3088" s="31"/>
      <c r="L3088" s="32"/>
      <c r="M3088" s="32"/>
      <c r="N3088" s="32"/>
    </row>
    <row r="3089" spans="2:14" x14ac:dyDescent="0.25">
      <c r="B3089" s="42"/>
      <c r="C3089" s="30"/>
      <c r="D3089" s="30"/>
      <c r="E3089" s="30"/>
      <c r="F3089" s="30"/>
      <c r="G3089" s="30"/>
      <c r="H3089" s="47"/>
      <c r="I3089" s="63"/>
      <c r="J3089" s="31"/>
      <c r="K3089" s="31"/>
      <c r="L3089" s="32"/>
      <c r="M3089" s="32"/>
      <c r="N3089" s="32"/>
    </row>
    <row r="3090" spans="2:14" x14ac:dyDescent="0.25">
      <c r="B3090" s="42"/>
      <c r="C3090" s="30"/>
      <c r="D3090" s="30"/>
      <c r="E3090" s="30"/>
      <c r="F3090" s="30"/>
      <c r="G3090" s="30"/>
      <c r="H3090" s="47"/>
      <c r="I3090" s="63"/>
      <c r="J3090" s="31"/>
      <c r="K3090" s="31"/>
      <c r="L3090" s="32"/>
      <c r="M3090" s="32"/>
      <c r="N3090" s="32"/>
    </row>
    <row r="3091" spans="2:14" x14ac:dyDescent="0.25">
      <c r="B3091" s="42"/>
      <c r="C3091" s="30"/>
      <c r="D3091" s="30"/>
      <c r="E3091" s="30"/>
      <c r="F3091" s="30"/>
      <c r="G3091" s="30"/>
      <c r="H3091" s="47"/>
      <c r="I3091" s="63"/>
      <c r="J3091" s="31"/>
      <c r="K3091" s="31"/>
      <c r="L3091" s="32"/>
      <c r="M3091" s="32"/>
      <c r="N3091" s="32"/>
    </row>
    <row r="3092" spans="2:14" x14ac:dyDescent="0.25">
      <c r="B3092" s="42"/>
      <c r="C3092" s="30"/>
      <c r="D3092" s="30"/>
      <c r="E3092" s="30"/>
      <c r="F3092" s="30"/>
      <c r="G3092" s="30"/>
      <c r="H3092" s="47"/>
      <c r="I3092" s="63"/>
      <c r="J3092" s="31"/>
      <c r="K3092" s="31"/>
      <c r="L3092" s="32"/>
      <c r="M3092" s="32"/>
      <c r="N3092" s="32"/>
    </row>
    <row r="3093" spans="2:14" x14ac:dyDescent="0.25">
      <c r="B3093" s="42"/>
      <c r="C3093" s="30"/>
      <c r="D3093" s="30"/>
      <c r="E3093" s="30"/>
      <c r="F3093" s="30"/>
      <c r="G3093" s="30"/>
      <c r="H3093" s="47"/>
      <c r="I3093" s="63"/>
      <c r="J3093" s="31"/>
      <c r="K3093" s="31"/>
      <c r="L3093" s="32"/>
      <c r="M3093" s="32"/>
      <c r="N3093" s="32"/>
    </row>
    <row r="3094" spans="2:14" x14ac:dyDescent="0.25">
      <c r="B3094" s="42"/>
      <c r="C3094" s="30"/>
      <c r="D3094" s="30"/>
      <c r="E3094" s="30"/>
      <c r="F3094" s="30"/>
      <c r="G3094" s="30"/>
      <c r="H3094" s="47"/>
      <c r="I3094" s="63"/>
      <c r="J3094" s="31"/>
      <c r="K3094" s="31"/>
      <c r="L3094" s="32"/>
      <c r="M3094" s="32"/>
      <c r="N3094" s="32"/>
    </row>
    <row r="3095" spans="2:14" x14ac:dyDescent="0.25">
      <c r="B3095" s="42"/>
      <c r="C3095" s="30"/>
      <c r="D3095" s="30"/>
      <c r="E3095" s="30"/>
      <c r="F3095" s="30"/>
      <c r="G3095" s="30"/>
      <c r="H3095" s="47"/>
      <c r="I3095" s="63"/>
      <c r="J3095" s="31"/>
      <c r="K3095" s="31"/>
      <c r="L3095" s="32"/>
      <c r="M3095" s="32"/>
      <c r="N3095" s="32"/>
    </row>
    <row r="3096" spans="2:14" x14ac:dyDescent="0.25">
      <c r="B3096" s="42"/>
      <c r="C3096" s="30"/>
      <c r="D3096" s="30"/>
      <c r="E3096" s="30"/>
      <c r="F3096" s="30"/>
      <c r="G3096" s="30"/>
      <c r="H3096" s="47"/>
      <c r="I3096" s="63"/>
      <c r="J3096" s="31"/>
      <c r="K3096" s="31"/>
      <c r="L3096" s="32"/>
      <c r="M3096" s="32"/>
      <c r="N3096" s="32"/>
    </row>
    <row r="3097" spans="2:14" x14ac:dyDescent="0.25">
      <c r="B3097" s="42"/>
      <c r="C3097" s="30"/>
      <c r="D3097" s="30"/>
      <c r="E3097" s="30"/>
      <c r="F3097" s="30"/>
      <c r="G3097" s="30"/>
      <c r="H3097" s="47"/>
      <c r="I3097" s="63"/>
      <c r="J3097" s="31"/>
      <c r="K3097" s="31"/>
      <c r="L3097" s="32"/>
      <c r="M3097" s="32"/>
      <c r="N3097" s="32"/>
    </row>
    <row r="3098" spans="2:14" x14ac:dyDescent="0.25">
      <c r="B3098" s="42"/>
      <c r="C3098" s="30"/>
      <c r="D3098" s="30"/>
      <c r="E3098" s="30"/>
      <c r="F3098" s="30"/>
      <c r="G3098" s="30"/>
      <c r="H3098" s="47"/>
      <c r="I3098" s="63"/>
      <c r="J3098" s="31"/>
      <c r="K3098" s="31"/>
      <c r="L3098" s="32"/>
      <c r="M3098" s="32"/>
      <c r="N3098" s="32"/>
    </row>
    <row r="3099" spans="2:14" x14ac:dyDescent="0.25">
      <c r="B3099" s="42"/>
      <c r="C3099" s="30"/>
      <c r="D3099" s="30"/>
      <c r="E3099" s="30"/>
      <c r="F3099" s="30"/>
      <c r="G3099" s="30"/>
      <c r="H3099" s="47"/>
      <c r="I3099" s="63"/>
      <c r="J3099" s="31"/>
      <c r="K3099" s="31"/>
      <c r="L3099" s="32"/>
      <c r="M3099" s="32"/>
      <c r="N3099" s="32"/>
    </row>
    <row r="3100" spans="2:14" x14ac:dyDescent="0.25">
      <c r="B3100" s="42"/>
      <c r="C3100" s="30"/>
      <c r="D3100" s="30"/>
      <c r="E3100" s="30"/>
      <c r="F3100" s="30"/>
      <c r="G3100" s="30"/>
      <c r="H3100" s="47"/>
      <c r="I3100" s="63"/>
      <c r="J3100" s="31"/>
      <c r="K3100" s="31"/>
      <c r="L3100" s="32"/>
      <c r="M3100" s="32"/>
      <c r="N3100" s="32"/>
    </row>
    <row r="3101" spans="2:14" x14ac:dyDescent="0.25">
      <c r="B3101" s="42"/>
      <c r="C3101" s="30"/>
      <c r="D3101" s="30"/>
      <c r="E3101" s="30"/>
      <c r="F3101" s="30"/>
      <c r="G3101" s="30"/>
      <c r="H3101" s="47"/>
      <c r="I3101" s="63"/>
      <c r="J3101" s="31"/>
      <c r="K3101" s="31"/>
      <c r="L3101" s="32"/>
      <c r="M3101" s="32"/>
      <c r="N3101" s="32"/>
    </row>
    <row r="3102" spans="2:14" x14ac:dyDescent="0.25">
      <c r="B3102" s="42"/>
      <c r="C3102" s="30"/>
      <c r="D3102" s="30"/>
      <c r="E3102" s="30"/>
      <c r="F3102" s="30"/>
      <c r="G3102" s="30"/>
      <c r="H3102" s="47"/>
      <c r="I3102" s="63"/>
      <c r="J3102" s="31"/>
      <c r="K3102" s="31"/>
      <c r="L3102" s="32"/>
      <c r="M3102" s="32"/>
      <c r="N3102" s="32"/>
    </row>
    <row r="3103" spans="2:14" x14ac:dyDescent="0.25">
      <c r="B3103" s="42"/>
      <c r="C3103" s="30"/>
      <c r="D3103" s="30"/>
      <c r="E3103" s="30"/>
      <c r="F3103" s="30"/>
      <c r="G3103" s="30"/>
      <c r="H3103" s="47"/>
      <c r="I3103" s="63"/>
      <c r="J3103" s="31"/>
      <c r="K3103" s="31"/>
      <c r="L3103" s="32"/>
      <c r="M3103" s="32"/>
      <c r="N3103" s="32"/>
    </row>
    <row r="3104" spans="2:14" x14ac:dyDescent="0.25">
      <c r="B3104" s="42"/>
      <c r="C3104" s="30"/>
      <c r="D3104" s="30"/>
      <c r="E3104" s="30"/>
      <c r="F3104" s="30"/>
      <c r="G3104" s="30"/>
      <c r="H3104" s="47"/>
      <c r="I3104" s="63"/>
      <c r="J3104" s="31"/>
      <c r="K3104" s="31"/>
      <c r="L3104" s="32"/>
      <c r="M3104" s="32"/>
      <c r="N3104" s="32"/>
    </row>
    <row r="3105" spans="2:14" x14ac:dyDescent="0.25">
      <c r="B3105" s="42"/>
      <c r="C3105" s="30"/>
      <c r="D3105" s="30"/>
      <c r="E3105" s="30"/>
      <c r="F3105" s="30"/>
      <c r="G3105" s="30"/>
      <c r="H3105" s="47"/>
      <c r="I3105" s="63"/>
      <c r="J3105" s="31"/>
      <c r="K3105" s="31"/>
      <c r="L3105" s="32"/>
      <c r="M3105" s="32"/>
      <c r="N3105" s="32"/>
    </row>
    <row r="3106" spans="2:14" x14ac:dyDescent="0.25">
      <c r="B3106" s="42"/>
      <c r="C3106" s="30"/>
      <c r="D3106" s="30"/>
      <c r="E3106" s="30"/>
      <c r="F3106" s="30"/>
      <c r="G3106" s="30"/>
      <c r="H3106" s="47"/>
      <c r="I3106" s="63"/>
      <c r="J3106" s="31"/>
      <c r="K3106" s="31"/>
      <c r="L3106" s="32"/>
      <c r="M3106" s="32"/>
      <c r="N3106" s="32"/>
    </row>
    <row r="3107" spans="2:14" x14ac:dyDescent="0.25">
      <c r="B3107" s="42"/>
      <c r="C3107" s="30"/>
      <c r="D3107" s="30"/>
      <c r="E3107" s="30"/>
      <c r="F3107" s="30"/>
      <c r="G3107" s="30"/>
      <c r="H3107" s="47"/>
      <c r="I3107" s="63"/>
      <c r="J3107" s="31"/>
      <c r="K3107" s="31"/>
      <c r="L3107" s="32"/>
      <c r="M3107" s="32"/>
      <c r="N3107" s="32"/>
    </row>
    <row r="3108" spans="2:14" x14ac:dyDescent="0.25">
      <c r="B3108" s="42"/>
      <c r="C3108" s="30"/>
      <c r="D3108" s="30"/>
      <c r="E3108" s="30"/>
      <c r="F3108" s="30"/>
      <c r="G3108" s="30"/>
      <c r="H3108" s="47"/>
      <c r="I3108" s="63"/>
      <c r="J3108" s="31"/>
      <c r="K3108" s="31"/>
      <c r="L3108" s="32"/>
      <c r="M3108" s="32"/>
      <c r="N3108" s="32"/>
    </row>
    <row r="3109" spans="2:14" x14ac:dyDescent="0.25">
      <c r="B3109" s="42"/>
      <c r="C3109" s="30"/>
      <c r="D3109" s="30"/>
      <c r="E3109" s="30"/>
      <c r="F3109" s="30"/>
      <c r="G3109" s="30"/>
      <c r="H3109" s="47"/>
      <c r="I3109" s="63"/>
      <c r="J3109" s="31"/>
      <c r="K3109" s="31"/>
      <c r="L3109" s="32"/>
      <c r="M3109" s="32"/>
      <c r="N3109" s="32"/>
    </row>
    <row r="3110" spans="2:14" x14ac:dyDescent="0.25">
      <c r="B3110" s="42"/>
      <c r="C3110" s="30"/>
      <c r="D3110" s="30"/>
      <c r="E3110" s="30"/>
      <c r="F3110" s="30"/>
      <c r="G3110" s="30"/>
      <c r="H3110" s="47"/>
      <c r="I3110" s="63"/>
      <c r="J3110" s="31"/>
      <c r="K3110" s="31"/>
      <c r="L3110" s="32"/>
      <c r="M3110" s="32"/>
      <c r="N3110" s="32"/>
    </row>
    <row r="3111" spans="2:14" x14ac:dyDescent="0.25">
      <c r="B3111" s="42"/>
      <c r="C3111" s="30"/>
      <c r="D3111" s="30"/>
      <c r="E3111" s="30"/>
      <c r="F3111" s="30"/>
      <c r="G3111" s="30"/>
      <c r="H3111" s="47"/>
      <c r="I3111" s="63"/>
      <c r="J3111" s="31"/>
      <c r="K3111" s="31"/>
      <c r="L3111" s="32"/>
      <c r="M3111" s="32"/>
      <c r="N3111" s="32"/>
    </row>
    <row r="3112" spans="2:14" x14ac:dyDescent="0.25">
      <c r="B3112" s="42"/>
      <c r="C3112" s="30"/>
      <c r="D3112" s="30"/>
      <c r="E3112" s="30"/>
      <c r="F3112" s="30"/>
      <c r="G3112" s="30"/>
      <c r="H3112" s="47"/>
      <c r="I3112" s="63"/>
      <c r="J3112" s="31"/>
      <c r="K3112" s="31"/>
      <c r="L3112" s="32"/>
      <c r="M3112" s="32"/>
      <c r="N3112" s="32"/>
    </row>
    <row r="3113" spans="2:14" x14ac:dyDescent="0.25">
      <c r="B3113" s="42"/>
      <c r="C3113" s="30"/>
      <c r="D3113" s="30"/>
      <c r="E3113" s="30"/>
      <c r="F3113" s="30"/>
      <c r="G3113" s="30"/>
      <c r="H3113" s="47"/>
      <c r="I3113" s="63"/>
      <c r="J3113" s="31"/>
      <c r="K3113" s="31"/>
      <c r="L3113" s="32"/>
      <c r="M3113" s="32"/>
      <c r="N3113" s="32"/>
    </row>
    <row r="3114" spans="2:14" x14ac:dyDescent="0.25">
      <c r="B3114" s="42"/>
      <c r="C3114" s="30"/>
      <c r="D3114" s="30"/>
      <c r="E3114" s="30"/>
      <c r="F3114" s="30"/>
      <c r="G3114" s="30"/>
      <c r="H3114" s="47"/>
      <c r="I3114" s="63"/>
      <c r="J3114" s="31"/>
      <c r="K3114" s="31"/>
      <c r="L3114" s="32"/>
      <c r="M3114" s="32"/>
      <c r="N3114" s="32"/>
    </row>
    <row r="3115" spans="2:14" x14ac:dyDescent="0.25">
      <c r="B3115" s="42"/>
      <c r="C3115" s="30"/>
      <c r="D3115" s="30"/>
      <c r="E3115" s="30"/>
      <c r="F3115" s="30"/>
      <c r="G3115" s="30"/>
      <c r="H3115" s="47"/>
      <c r="I3115" s="63"/>
      <c r="J3115" s="31"/>
      <c r="K3115" s="31"/>
      <c r="L3115" s="32"/>
      <c r="M3115" s="32"/>
      <c r="N3115" s="32"/>
    </row>
    <row r="3116" spans="2:14" x14ac:dyDescent="0.25">
      <c r="B3116" s="42"/>
      <c r="C3116" s="30"/>
      <c r="D3116" s="30"/>
      <c r="E3116" s="30"/>
      <c r="F3116" s="30"/>
      <c r="G3116" s="30"/>
      <c r="H3116" s="47"/>
      <c r="I3116" s="63"/>
      <c r="J3116" s="31"/>
      <c r="K3116" s="31"/>
      <c r="L3116" s="32"/>
      <c r="M3116" s="32"/>
      <c r="N3116" s="32"/>
    </row>
    <row r="3117" spans="2:14" x14ac:dyDescent="0.25">
      <c r="B3117" s="42"/>
      <c r="C3117" s="30"/>
      <c r="D3117" s="30"/>
      <c r="E3117" s="30"/>
      <c r="F3117" s="30"/>
      <c r="G3117" s="30"/>
      <c r="H3117" s="47"/>
      <c r="I3117" s="63"/>
      <c r="J3117" s="31"/>
      <c r="K3117" s="31"/>
      <c r="L3117" s="32"/>
      <c r="M3117" s="32"/>
      <c r="N3117" s="32"/>
    </row>
    <row r="3118" spans="2:14" x14ac:dyDescent="0.25">
      <c r="B3118" s="42"/>
      <c r="C3118" s="30"/>
      <c r="D3118" s="30"/>
      <c r="E3118" s="30"/>
      <c r="F3118" s="30"/>
      <c r="G3118" s="30"/>
      <c r="H3118" s="47"/>
      <c r="I3118" s="63"/>
      <c r="J3118" s="31"/>
      <c r="K3118" s="31"/>
      <c r="L3118" s="32"/>
      <c r="M3118" s="32"/>
      <c r="N3118" s="32"/>
    </row>
    <row r="3119" spans="2:14" x14ac:dyDescent="0.25">
      <c r="B3119" s="42"/>
      <c r="C3119" s="30"/>
      <c r="D3119" s="30"/>
      <c r="E3119" s="30"/>
      <c r="F3119" s="30"/>
      <c r="G3119" s="30"/>
      <c r="H3119" s="47"/>
      <c r="I3119" s="63"/>
      <c r="J3119" s="31"/>
      <c r="K3119" s="31"/>
      <c r="L3119" s="32"/>
      <c r="M3119" s="32"/>
      <c r="N3119" s="32"/>
    </row>
    <row r="3120" spans="2:14" x14ac:dyDescent="0.25">
      <c r="B3120" s="42"/>
      <c r="C3120" s="30"/>
      <c r="D3120" s="30"/>
      <c r="E3120" s="30"/>
      <c r="F3120" s="30"/>
      <c r="G3120" s="30"/>
      <c r="H3120" s="47"/>
      <c r="I3120" s="63"/>
      <c r="J3120" s="31"/>
      <c r="K3120" s="31"/>
      <c r="L3120" s="32"/>
      <c r="M3120" s="32"/>
      <c r="N3120" s="32"/>
    </row>
    <row r="3121" spans="2:14" x14ac:dyDescent="0.25">
      <c r="B3121" s="42"/>
      <c r="C3121" s="30"/>
      <c r="D3121" s="30"/>
      <c r="E3121" s="30"/>
      <c r="F3121" s="30"/>
      <c r="G3121" s="30"/>
      <c r="H3121" s="47"/>
      <c r="I3121" s="63"/>
      <c r="J3121" s="31"/>
      <c r="K3121" s="31"/>
      <c r="L3121" s="32"/>
      <c r="M3121" s="32"/>
      <c r="N3121" s="32"/>
    </row>
    <row r="3122" spans="2:14" x14ac:dyDescent="0.25">
      <c r="B3122" s="42"/>
      <c r="C3122" s="30"/>
      <c r="D3122" s="30"/>
      <c r="E3122" s="30"/>
      <c r="F3122" s="30"/>
      <c r="G3122" s="30"/>
      <c r="H3122" s="47"/>
      <c r="I3122" s="63"/>
      <c r="J3122" s="31"/>
      <c r="K3122" s="31"/>
      <c r="L3122" s="32"/>
      <c r="M3122" s="32"/>
      <c r="N3122" s="32"/>
    </row>
    <row r="3123" spans="2:14" x14ac:dyDescent="0.25">
      <c r="B3123" s="42"/>
      <c r="C3123" s="30"/>
      <c r="D3123" s="30"/>
      <c r="E3123" s="30"/>
      <c r="F3123" s="30"/>
      <c r="G3123" s="30"/>
      <c r="H3123" s="47"/>
      <c r="I3123" s="63"/>
      <c r="J3123" s="31"/>
      <c r="K3123" s="31"/>
      <c r="L3123" s="32"/>
      <c r="M3123" s="32"/>
      <c r="N3123" s="32"/>
    </row>
    <row r="3124" spans="2:14" x14ac:dyDescent="0.25">
      <c r="B3124" s="42"/>
      <c r="C3124" s="30"/>
      <c r="D3124" s="30"/>
      <c r="E3124" s="30"/>
      <c r="F3124" s="30"/>
      <c r="G3124" s="30"/>
      <c r="H3124" s="47"/>
      <c r="I3124" s="63"/>
      <c r="J3124" s="31"/>
      <c r="K3124" s="31"/>
      <c r="L3124" s="32"/>
      <c r="M3124" s="32"/>
      <c r="N3124" s="32"/>
    </row>
    <row r="3125" spans="2:14" x14ac:dyDescent="0.25">
      <c r="B3125" s="42"/>
      <c r="C3125" s="30"/>
      <c r="D3125" s="30"/>
      <c r="E3125" s="30"/>
      <c r="F3125" s="30"/>
      <c r="G3125" s="30"/>
      <c r="H3125" s="47"/>
      <c r="I3125" s="63"/>
      <c r="J3125" s="31"/>
      <c r="K3125" s="31"/>
      <c r="L3125" s="32"/>
      <c r="M3125" s="32"/>
      <c r="N3125" s="32"/>
    </row>
    <row r="3126" spans="2:14" x14ac:dyDescent="0.25">
      <c r="B3126" s="42"/>
      <c r="C3126" s="30"/>
      <c r="D3126" s="30"/>
      <c r="E3126" s="30"/>
      <c r="F3126" s="30"/>
      <c r="G3126" s="30"/>
      <c r="H3126" s="47"/>
      <c r="I3126" s="63"/>
      <c r="J3126" s="31"/>
      <c r="K3126" s="31"/>
      <c r="L3126" s="32"/>
      <c r="M3126" s="32"/>
      <c r="N3126" s="32"/>
    </row>
    <row r="3127" spans="2:14" x14ac:dyDescent="0.25">
      <c r="B3127" s="42"/>
      <c r="C3127" s="30"/>
      <c r="D3127" s="30"/>
      <c r="E3127" s="30"/>
      <c r="F3127" s="30"/>
      <c r="G3127" s="30"/>
      <c r="H3127" s="47"/>
      <c r="I3127" s="63"/>
      <c r="J3127" s="31"/>
      <c r="K3127" s="31"/>
      <c r="L3127" s="32"/>
      <c r="M3127" s="32"/>
      <c r="N3127" s="32"/>
    </row>
    <row r="3128" spans="2:14" x14ac:dyDescent="0.25">
      <c r="B3128" s="42"/>
      <c r="C3128" s="30"/>
      <c r="D3128" s="30"/>
      <c r="E3128" s="30"/>
      <c r="F3128" s="30"/>
      <c r="G3128" s="30"/>
      <c r="H3128" s="47"/>
      <c r="I3128" s="63"/>
      <c r="J3128" s="31"/>
      <c r="K3128" s="31"/>
      <c r="L3128" s="32"/>
      <c r="M3128" s="32"/>
      <c r="N3128" s="32"/>
    </row>
    <row r="3129" spans="2:14" x14ac:dyDescent="0.25">
      <c r="B3129" s="42"/>
      <c r="C3129" s="30"/>
      <c r="D3129" s="30"/>
      <c r="E3129" s="30"/>
      <c r="F3129" s="30"/>
      <c r="G3129" s="30"/>
      <c r="H3129" s="47"/>
      <c r="I3129" s="63"/>
      <c r="J3129" s="31"/>
      <c r="K3129" s="31"/>
      <c r="L3129" s="32"/>
      <c r="M3129" s="32"/>
      <c r="N3129" s="32"/>
    </row>
    <row r="3130" spans="2:14" x14ac:dyDescent="0.25">
      <c r="B3130" s="42"/>
      <c r="C3130" s="30"/>
      <c r="D3130" s="30"/>
      <c r="E3130" s="30"/>
      <c r="F3130" s="30"/>
      <c r="G3130" s="30"/>
      <c r="H3130" s="47"/>
      <c r="I3130" s="63"/>
      <c r="J3130" s="31"/>
      <c r="K3130" s="31"/>
      <c r="L3130" s="32"/>
      <c r="M3130" s="32"/>
      <c r="N3130" s="32"/>
    </row>
    <row r="3131" spans="2:14" x14ac:dyDescent="0.25">
      <c r="B3131" s="42"/>
      <c r="C3131" s="30"/>
      <c r="D3131" s="30"/>
      <c r="E3131" s="30"/>
      <c r="F3131" s="30"/>
      <c r="G3131" s="30"/>
      <c r="H3131" s="47"/>
      <c r="I3131" s="63"/>
      <c r="J3131" s="31"/>
      <c r="K3131" s="31"/>
      <c r="L3131" s="32"/>
      <c r="M3131" s="32"/>
      <c r="N3131" s="32"/>
    </row>
    <row r="3132" spans="2:14" x14ac:dyDescent="0.25">
      <c r="B3132" s="42"/>
      <c r="C3132" s="30"/>
      <c r="D3132" s="30"/>
      <c r="E3132" s="30"/>
      <c r="F3132" s="30"/>
      <c r="G3132" s="30"/>
      <c r="H3132" s="47"/>
      <c r="I3132" s="63"/>
      <c r="J3132" s="31"/>
      <c r="K3132" s="31"/>
      <c r="L3132" s="32"/>
      <c r="M3132" s="32"/>
      <c r="N3132" s="32"/>
    </row>
    <row r="3133" spans="2:14" x14ac:dyDescent="0.25">
      <c r="B3133" s="42"/>
      <c r="C3133" s="30"/>
      <c r="D3133" s="30"/>
      <c r="E3133" s="30"/>
      <c r="F3133" s="30"/>
      <c r="G3133" s="30"/>
      <c r="H3133" s="47"/>
      <c r="I3133" s="63"/>
      <c r="J3133" s="31"/>
      <c r="K3133" s="31"/>
      <c r="L3133" s="32"/>
      <c r="M3133" s="32"/>
      <c r="N3133" s="32"/>
    </row>
    <row r="3134" spans="2:14" x14ac:dyDescent="0.25">
      <c r="B3134" s="42"/>
      <c r="C3134" s="30"/>
      <c r="D3134" s="30"/>
      <c r="E3134" s="30"/>
      <c r="F3134" s="30"/>
      <c r="G3134" s="30"/>
      <c r="H3134" s="47"/>
      <c r="I3134" s="63"/>
      <c r="J3134" s="31"/>
      <c r="K3134" s="31"/>
      <c r="L3134" s="32"/>
      <c r="M3134" s="32"/>
      <c r="N3134" s="32"/>
    </row>
    <row r="3135" spans="2:14" x14ac:dyDescent="0.25">
      <c r="B3135" s="42"/>
      <c r="C3135" s="30"/>
      <c r="D3135" s="30"/>
      <c r="E3135" s="30"/>
      <c r="F3135" s="30"/>
      <c r="G3135" s="30"/>
      <c r="H3135" s="47"/>
      <c r="I3135" s="63"/>
      <c r="J3135" s="31"/>
      <c r="K3135" s="31"/>
      <c r="L3135" s="32"/>
      <c r="M3135" s="32"/>
      <c r="N3135" s="32"/>
    </row>
    <row r="3136" spans="2:14" x14ac:dyDescent="0.25">
      <c r="B3136" s="42"/>
      <c r="C3136" s="30"/>
      <c r="D3136" s="30"/>
      <c r="E3136" s="30"/>
      <c r="F3136" s="30"/>
      <c r="G3136" s="30"/>
      <c r="H3136" s="47"/>
      <c r="I3136" s="63"/>
      <c r="J3136" s="31"/>
      <c r="K3136" s="31"/>
      <c r="L3136" s="32"/>
      <c r="M3136" s="32"/>
      <c r="N3136" s="32"/>
    </row>
    <row r="3137" spans="2:14" x14ac:dyDescent="0.25">
      <c r="B3137" s="42"/>
      <c r="C3137" s="30"/>
      <c r="D3137" s="30"/>
      <c r="E3137" s="30"/>
      <c r="F3137" s="30"/>
      <c r="G3137" s="30"/>
      <c r="H3137" s="47"/>
      <c r="I3137" s="63"/>
      <c r="J3137" s="31"/>
      <c r="K3137" s="31"/>
      <c r="L3137" s="32"/>
      <c r="M3137" s="32"/>
      <c r="N3137" s="32"/>
    </row>
    <row r="3138" spans="2:14" x14ac:dyDescent="0.25">
      <c r="B3138" s="42"/>
      <c r="C3138" s="30"/>
      <c r="D3138" s="30"/>
      <c r="E3138" s="30"/>
      <c r="F3138" s="30"/>
      <c r="G3138" s="30"/>
      <c r="H3138" s="47"/>
      <c r="I3138" s="63"/>
      <c r="J3138" s="31"/>
      <c r="K3138" s="31"/>
      <c r="L3138" s="32"/>
      <c r="M3138" s="32"/>
      <c r="N3138" s="32"/>
    </row>
    <row r="3139" spans="2:14" x14ac:dyDescent="0.25">
      <c r="B3139" s="42"/>
      <c r="C3139" s="30"/>
      <c r="D3139" s="30"/>
      <c r="E3139" s="30"/>
      <c r="F3139" s="30"/>
      <c r="G3139" s="30"/>
      <c r="H3139" s="47"/>
      <c r="I3139" s="63"/>
      <c r="J3139" s="31"/>
      <c r="K3139" s="31"/>
      <c r="L3139" s="32"/>
      <c r="M3139" s="32"/>
      <c r="N3139" s="32"/>
    </row>
    <row r="3140" spans="2:14" x14ac:dyDescent="0.25">
      <c r="B3140" s="42"/>
      <c r="C3140" s="30"/>
      <c r="D3140" s="30"/>
      <c r="E3140" s="30"/>
      <c r="F3140" s="30"/>
      <c r="G3140" s="30"/>
      <c r="H3140" s="47"/>
      <c r="I3140" s="63"/>
      <c r="J3140" s="31"/>
      <c r="K3140" s="31"/>
      <c r="L3140" s="32"/>
      <c r="M3140" s="32"/>
      <c r="N3140" s="32"/>
    </row>
    <row r="3141" spans="2:14" x14ac:dyDescent="0.25">
      <c r="B3141" s="42"/>
      <c r="C3141" s="30"/>
      <c r="D3141" s="30"/>
      <c r="E3141" s="30"/>
      <c r="F3141" s="30"/>
      <c r="G3141" s="30"/>
      <c r="H3141" s="47"/>
      <c r="I3141" s="63"/>
      <c r="J3141" s="31"/>
      <c r="K3141" s="31"/>
      <c r="L3141" s="32"/>
      <c r="M3141" s="32"/>
      <c r="N3141" s="32"/>
    </row>
    <row r="3142" spans="2:14" x14ac:dyDescent="0.25">
      <c r="B3142" s="42"/>
      <c r="C3142" s="30"/>
      <c r="D3142" s="30"/>
      <c r="E3142" s="30"/>
      <c r="F3142" s="30"/>
      <c r="G3142" s="30"/>
      <c r="H3142" s="47"/>
      <c r="I3142" s="63"/>
      <c r="J3142" s="31"/>
      <c r="K3142" s="31"/>
      <c r="L3142" s="32"/>
      <c r="M3142" s="32"/>
      <c r="N3142" s="32"/>
    </row>
    <row r="3143" spans="2:14" x14ac:dyDescent="0.25">
      <c r="B3143" s="42"/>
      <c r="C3143" s="30"/>
      <c r="D3143" s="30"/>
      <c r="E3143" s="30"/>
      <c r="F3143" s="30"/>
      <c r="G3143" s="30"/>
      <c r="H3143" s="47"/>
      <c r="I3143" s="63"/>
      <c r="J3143" s="31"/>
      <c r="K3143" s="31"/>
      <c r="L3143" s="32"/>
      <c r="M3143" s="32"/>
      <c r="N3143" s="32"/>
    </row>
    <row r="3144" spans="2:14" x14ac:dyDescent="0.25">
      <c r="B3144" s="42"/>
      <c r="C3144" s="30"/>
      <c r="D3144" s="30"/>
      <c r="E3144" s="30"/>
      <c r="F3144" s="30"/>
      <c r="G3144" s="30"/>
      <c r="H3144" s="47"/>
      <c r="I3144" s="63"/>
      <c r="J3144" s="31"/>
      <c r="K3144" s="31"/>
      <c r="L3144" s="32"/>
      <c r="M3144" s="32"/>
      <c r="N3144" s="32"/>
    </row>
    <row r="3145" spans="2:14" x14ac:dyDescent="0.25">
      <c r="B3145" s="42"/>
      <c r="C3145" s="30"/>
      <c r="D3145" s="30"/>
      <c r="E3145" s="30"/>
      <c r="F3145" s="30"/>
      <c r="G3145" s="30"/>
      <c r="H3145" s="47"/>
      <c r="I3145" s="63"/>
      <c r="J3145" s="31"/>
      <c r="K3145" s="31"/>
      <c r="L3145" s="32"/>
      <c r="M3145" s="32"/>
      <c r="N3145" s="32"/>
    </row>
    <row r="3146" spans="2:14" x14ac:dyDescent="0.25">
      <c r="B3146" s="42"/>
      <c r="C3146" s="30"/>
      <c r="D3146" s="30"/>
      <c r="E3146" s="30"/>
      <c r="F3146" s="30"/>
      <c r="G3146" s="30"/>
      <c r="H3146" s="47"/>
      <c r="I3146" s="63"/>
      <c r="J3146" s="31"/>
      <c r="K3146" s="31"/>
      <c r="L3146" s="32"/>
      <c r="M3146" s="32"/>
      <c r="N3146" s="32"/>
    </row>
    <row r="3147" spans="2:14" x14ac:dyDescent="0.25">
      <c r="B3147" s="42"/>
      <c r="C3147" s="30"/>
      <c r="D3147" s="30"/>
      <c r="E3147" s="30"/>
      <c r="F3147" s="30"/>
      <c r="G3147" s="30"/>
      <c r="H3147" s="47"/>
      <c r="I3147" s="63"/>
      <c r="J3147" s="31"/>
      <c r="K3147" s="31"/>
      <c r="L3147" s="32"/>
      <c r="M3147" s="32"/>
      <c r="N3147" s="32"/>
    </row>
    <row r="3148" spans="2:14" x14ac:dyDescent="0.25">
      <c r="B3148" s="42"/>
      <c r="C3148" s="30"/>
      <c r="D3148" s="30"/>
      <c r="E3148" s="30"/>
      <c r="F3148" s="30"/>
      <c r="G3148" s="30"/>
      <c r="H3148" s="47"/>
      <c r="I3148" s="63"/>
      <c r="J3148" s="31"/>
      <c r="K3148" s="31"/>
      <c r="L3148" s="32"/>
      <c r="M3148" s="32"/>
      <c r="N3148" s="32"/>
    </row>
    <row r="3149" spans="2:14" x14ac:dyDescent="0.25">
      <c r="B3149" s="42"/>
      <c r="C3149" s="30"/>
      <c r="D3149" s="30"/>
      <c r="E3149" s="30"/>
      <c r="F3149" s="30"/>
      <c r="G3149" s="30"/>
      <c r="H3149" s="47"/>
      <c r="I3149" s="63"/>
      <c r="J3149" s="31"/>
      <c r="K3149" s="31"/>
      <c r="L3149" s="32"/>
      <c r="M3149" s="32"/>
      <c r="N3149" s="32"/>
    </row>
    <row r="3150" spans="2:14" x14ac:dyDescent="0.25">
      <c r="B3150" s="42"/>
      <c r="C3150" s="30"/>
      <c r="D3150" s="30"/>
      <c r="E3150" s="30"/>
      <c r="F3150" s="30"/>
      <c r="G3150" s="30"/>
      <c r="H3150" s="47"/>
      <c r="I3150" s="63"/>
      <c r="J3150" s="31"/>
      <c r="K3150" s="31"/>
      <c r="L3150" s="32"/>
      <c r="M3150" s="32"/>
      <c r="N3150" s="32"/>
    </row>
    <row r="3151" spans="2:14" x14ac:dyDescent="0.25">
      <c r="B3151" s="42"/>
      <c r="C3151" s="30"/>
      <c r="D3151" s="30"/>
      <c r="E3151" s="30"/>
      <c r="F3151" s="30"/>
      <c r="G3151" s="30"/>
      <c r="H3151" s="47"/>
      <c r="I3151" s="63"/>
      <c r="J3151" s="31"/>
      <c r="K3151" s="31"/>
      <c r="L3151" s="32"/>
      <c r="M3151" s="32"/>
      <c r="N3151" s="32"/>
    </row>
    <row r="3152" spans="2:14" x14ac:dyDescent="0.25">
      <c r="B3152" s="42"/>
      <c r="C3152" s="30"/>
      <c r="D3152" s="30"/>
      <c r="E3152" s="30"/>
      <c r="F3152" s="30"/>
      <c r="G3152" s="30"/>
      <c r="H3152" s="47"/>
      <c r="I3152" s="63"/>
      <c r="J3152" s="31"/>
      <c r="K3152" s="31"/>
      <c r="L3152" s="32"/>
      <c r="M3152" s="32"/>
      <c r="N3152" s="32"/>
    </row>
    <row r="3153" spans="2:14" x14ac:dyDescent="0.25">
      <c r="B3153" s="42"/>
      <c r="C3153" s="30"/>
      <c r="D3153" s="30"/>
      <c r="E3153" s="30"/>
      <c r="F3153" s="30"/>
      <c r="G3153" s="30"/>
      <c r="H3153" s="47"/>
      <c r="I3153" s="63"/>
      <c r="J3153" s="31"/>
      <c r="K3153" s="31"/>
      <c r="L3153" s="32"/>
      <c r="M3153" s="32"/>
      <c r="N3153" s="32"/>
    </row>
    <row r="3154" spans="2:14" x14ac:dyDescent="0.25">
      <c r="B3154" s="42"/>
      <c r="C3154" s="30"/>
      <c r="D3154" s="30"/>
      <c r="E3154" s="30"/>
      <c r="F3154" s="30"/>
      <c r="G3154" s="30"/>
      <c r="H3154" s="47"/>
      <c r="I3154" s="63"/>
      <c r="J3154" s="31"/>
      <c r="K3154" s="31"/>
      <c r="L3154" s="32"/>
      <c r="M3154" s="32"/>
      <c r="N3154" s="32"/>
    </row>
    <row r="3155" spans="2:14" x14ac:dyDescent="0.25">
      <c r="B3155" s="42"/>
      <c r="C3155" s="30"/>
      <c r="D3155" s="30"/>
      <c r="E3155" s="30"/>
      <c r="F3155" s="30"/>
      <c r="G3155" s="30"/>
      <c r="H3155" s="47"/>
      <c r="I3155" s="63"/>
      <c r="J3155" s="31"/>
      <c r="K3155" s="31"/>
      <c r="L3155" s="32"/>
      <c r="M3155" s="32"/>
      <c r="N3155" s="32"/>
    </row>
    <row r="3156" spans="2:14" x14ac:dyDescent="0.25">
      <c r="B3156" s="42"/>
      <c r="C3156" s="30"/>
      <c r="D3156" s="30"/>
      <c r="E3156" s="30"/>
      <c r="F3156" s="30"/>
      <c r="G3156" s="30"/>
      <c r="H3156" s="47"/>
      <c r="I3156" s="63"/>
      <c r="J3156" s="31"/>
      <c r="K3156" s="31"/>
      <c r="L3156" s="32"/>
      <c r="M3156" s="32"/>
      <c r="N3156" s="32"/>
    </row>
    <row r="3157" spans="2:14" x14ac:dyDescent="0.25">
      <c r="B3157" s="42"/>
      <c r="C3157" s="30"/>
      <c r="D3157" s="30"/>
      <c r="E3157" s="30"/>
      <c r="F3157" s="30"/>
      <c r="G3157" s="30"/>
      <c r="H3157" s="47"/>
      <c r="I3157" s="63"/>
      <c r="J3157" s="31"/>
      <c r="K3157" s="31"/>
      <c r="L3157" s="32"/>
      <c r="M3157" s="32"/>
      <c r="N3157" s="32"/>
    </row>
    <row r="3158" spans="2:14" x14ac:dyDescent="0.25">
      <c r="B3158" s="42"/>
      <c r="C3158" s="30"/>
      <c r="D3158" s="30"/>
      <c r="E3158" s="30"/>
      <c r="F3158" s="30"/>
      <c r="G3158" s="30"/>
      <c r="H3158" s="47"/>
      <c r="I3158" s="63"/>
      <c r="J3158" s="31"/>
      <c r="K3158" s="31"/>
      <c r="L3158" s="32"/>
      <c r="M3158" s="32"/>
      <c r="N3158" s="32"/>
    </row>
    <row r="3159" spans="2:14" x14ac:dyDescent="0.25">
      <c r="B3159" s="42"/>
      <c r="C3159" s="30"/>
      <c r="D3159" s="30"/>
      <c r="E3159" s="30"/>
      <c r="F3159" s="30"/>
      <c r="G3159" s="30"/>
      <c r="H3159" s="47"/>
      <c r="I3159" s="63"/>
      <c r="J3159" s="31"/>
      <c r="K3159" s="31"/>
      <c r="L3159" s="32"/>
      <c r="M3159" s="32"/>
      <c r="N3159" s="32"/>
    </row>
    <row r="3160" spans="2:14" x14ac:dyDescent="0.25">
      <c r="B3160" s="42"/>
      <c r="C3160" s="30"/>
      <c r="D3160" s="30"/>
      <c r="E3160" s="30"/>
      <c r="F3160" s="30"/>
      <c r="G3160" s="30"/>
      <c r="H3160" s="47"/>
      <c r="I3160" s="63"/>
      <c r="J3160" s="31"/>
      <c r="K3160" s="31"/>
      <c r="L3160" s="32"/>
      <c r="M3160" s="32"/>
      <c r="N3160" s="32"/>
    </row>
    <row r="3161" spans="2:14" x14ac:dyDescent="0.25">
      <c r="B3161" s="42"/>
      <c r="C3161" s="30"/>
      <c r="D3161" s="30"/>
      <c r="E3161" s="30"/>
      <c r="F3161" s="30"/>
      <c r="G3161" s="30"/>
      <c r="H3161" s="47"/>
      <c r="I3161" s="63"/>
      <c r="J3161" s="31"/>
      <c r="K3161" s="31"/>
      <c r="L3161" s="32"/>
      <c r="M3161" s="32"/>
      <c r="N3161" s="32"/>
    </row>
    <row r="3162" spans="2:14" x14ac:dyDescent="0.25">
      <c r="B3162" s="42"/>
      <c r="C3162" s="30"/>
      <c r="D3162" s="30"/>
      <c r="E3162" s="30"/>
      <c r="F3162" s="30"/>
      <c r="G3162" s="30"/>
      <c r="H3162" s="47"/>
      <c r="I3162" s="63"/>
      <c r="J3162" s="31"/>
      <c r="K3162" s="31"/>
      <c r="L3162" s="32"/>
      <c r="M3162" s="32"/>
      <c r="N3162" s="32"/>
    </row>
    <row r="3163" spans="2:14" x14ac:dyDescent="0.25">
      <c r="B3163" s="42"/>
      <c r="C3163" s="30"/>
      <c r="D3163" s="30"/>
      <c r="E3163" s="30"/>
      <c r="F3163" s="30"/>
      <c r="G3163" s="30"/>
      <c r="H3163" s="47"/>
      <c r="I3163" s="63"/>
      <c r="J3163" s="31"/>
      <c r="K3163" s="31"/>
      <c r="L3163" s="32"/>
      <c r="M3163" s="32"/>
      <c r="N3163" s="32"/>
    </row>
    <row r="3164" spans="2:14" x14ac:dyDescent="0.25">
      <c r="B3164" s="42"/>
      <c r="C3164" s="30"/>
      <c r="D3164" s="30"/>
      <c r="E3164" s="30"/>
      <c r="F3164" s="30"/>
      <c r="G3164" s="30"/>
      <c r="H3164" s="47"/>
      <c r="I3164" s="63"/>
      <c r="J3164" s="31"/>
      <c r="K3164" s="31"/>
      <c r="L3164" s="32"/>
      <c r="M3164" s="32"/>
      <c r="N3164" s="32"/>
    </row>
    <row r="3165" spans="2:14" x14ac:dyDescent="0.25">
      <c r="B3165" s="42"/>
      <c r="C3165" s="30"/>
      <c r="D3165" s="30"/>
      <c r="E3165" s="30"/>
      <c r="F3165" s="30"/>
      <c r="G3165" s="30"/>
      <c r="H3165" s="47"/>
      <c r="I3165" s="63"/>
      <c r="J3165" s="31"/>
      <c r="K3165" s="31"/>
      <c r="L3165" s="32"/>
      <c r="M3165" s="32"/>
      <c r="N3165" s="32"/>
    </row>
    <row r="3166" spans="2:14" x14ac:dyDescent="0.25">
      <c r="B3166" s="42"/>
      <c r="C3166" s="30"/>
      <c r="D3166" s="30"/>
      <c r="E3166" s="30"/>
      <c r="F3166" s="30"/>
      <c r="G3166" s="30"/>
      <c r="H3166" s="47"/>
      <c r="I3166" s="63"/>
      <c r="J3166" s="31"/>
      <c r="K3166" s="31"/>
      <c r="L3166" s="32"/>
      <c r="M3166" s="32"/>
      <c r="N3166" s="32"/>
    </row>
    <row r="3167" spans="2:14" x14ac:dyDescent="0.25">
      <c r="B3167" s="42"/>
      <c r="C3167" s="30"/>
      <c r="D3167" s="30"/>
      <c r="E3167" s="30"/>
      <c r="F3167" s="30"/>
      <c r="G3167" s="30"/>
      <c r="H3167" s="47"/>
      <c r="I3167" s="63"/>
      <c r="J3167" s="31"/>
      <c r="K3167" s="31"/>
      <c r="L3167" s="32"/>
      <c r="M3167" s="32"/>
      <c r="N3167" s="32"/>
    </row>
    <row r="3168" spans="2:14" x14ac:dyDescent="0.25">
      <c r="B3168" s="42"/>
      <c r="C3168" s="30"/>
      <c r="D3168" s="30"/>
      <c r="E3168" s="30"/>
      <c r="F3168" s="30"/>
      <c r="G3168" s="30"/>
      <c r="H3168" s="47"/>
      <c r="I3168" s="63"/>
      <c r="J3168" s="31"/>
      <c r="K3168" s="31"/>
      <c r="L3168" s="32"/>
      <c r="M3168" s="32"/>
      <c r="N3168" s="32"/>
    </row>
    <row r="3169" spans="2:14" x14ac:dyDescent="0.25">
      <c r="B3169" s="42"/>
      <c r="C3169" s="30"/>
      <c r="D3169" s="30"/>
      <c r="E3169" s="30"/>
      <c r="F3169" s="30"/>
      <c r="G3169" s="30"/>
      <c r="H3169" s="47"/>
      <c r="I3169" s="63"/>
      <c r="J3169" s="31"/>
      <c r="K3169" s="31"/>
      <c r="L3169" s="32"/>
      <c r="M3169" s="32"/>
      <c r="N3169" s="32"/>
    </row>
    <row r="3170" spans="2:14" x14ac:dyDescent="0.25">
      <c r="B3170" s="42"/>
      <c r="C3170" s="30"/>
      <c r="D3170" s="30"/>
      <c r="E3170" s="30"/>
      <c r="F3170" s="30"/>
      <c r="G3170" s="30"/>
      <c r="H3170" s="47"/>
      <c r="I3170" s="63"/>
      <c r="J3170" s="31"/>
      <c r="K3170" s="31"/>
      <c r="L3170" s="32"/>
      <c r="M3170" s="32"/>
      <c r="N3170" s="32"/>
    </row>
    <row r="3171" spans="2:14" x14ac:dyDescent="0.25">
      <c r="B3171" s="42"/>
      <c r="C3171" s="30"/>
      <c r="D3171" s="30"/>
      <c r="E3171" s="30"/>
      <c r="F3171" s="30"/>
      <c r="G3171" s="30"/>
      <c r="H3171" s="47"/>
      <c r="I3171" s="63"/>
      <c r="J3171" s="31"/>
      <c r="K3171" s="31"/>
      <c r="L3171" s="32"/>
      <c r="M3171" s="32"/>
      <c r="N3171" s="32"/>
    </row>
    <row r="3172" spans="2:14" x14ac:dyDescent="0.25">
      <c r="B3172" s="42"/>
      <c r="C3172" s="30"/>
      <c r="D3172" s="30"/>
      <c r="E3172" s="30"/>
      <c r="F3172" s="30"/>
      <c r="G3172" s="30"/>
      <c r="H3172" s="47"/>
      <c r="I3172" s="63"/>
      <c r="J3172" s="31"/>
      <c r="K3172" s="31"/>
      <c r="L3172" s="32"/>
      <c r="M3172" s="32"/>
      <c r="N3172" s="32"/>
    </row>
    <row r="3173" spans="2:14" x14ac:dyDescent="0.25">
      <c r="B3173" s="42"/>
      <c r="C3173" s="30"/>
      <c r="D3173" s="30"/>
      <c r="E3173" s="30"/>
      <c r="F3173" s="30"/>
      <c r="G3173" s="30"/>
      <c r="H3173" s="47"/>
      <c r="I3173" s="63"/>
      <c r="J3173" s="31"/>
      <c r="K3173" s="31"/>
      <c r="L3173" s="32"/>
      <c r="M3173" s="32"/>
      <c r="N3173" s="32"/>
    </row>
    <row r="3174" spans="2:14" x14ac:dyDescent="0.25">
      <c r="B3174" s="42"/>
      <c r="C3174" s="30"/>
      <c r="D3174" s="30"/>
      <c r="E3174" s="30"/>
      <c r="F3174" s="30"/>
      <c r="G3174" s="30"/>
      <c r="H3174" s="47"/>
      <c r="I3174" s="63"/>
      <c r="J3174" s="31"/>
      <c r="K3174" s="31"/>
      <c r="L3174" s="32"/>
      <c r="M3174" s="32"/>
      <c r="N3174" s="32"/>
    </row>
    <row r="3175" spans="2:14" x14ac:dyDescent="0.25">
      <c r="B3175" s="42"/>
      <c r="C3175" s="30"/>
      <c r="D3175" s="30"/>
      <c r="E3175" s="30"/>
      <c r="F3175" s="30"/>
      <c r="G3175" s="30"/>
      <c r="H3175" s="47"/>
      <c r="I3175" s="63"/>
      <c r="J3175" s="31"/>
      <c r="K3175" s="31"/>
      <c r="L3175" s="32"/>
      <c r="M3175" s="32"/>
      <c r="N3175" s="32"/>
    </row>
    <row r="3176" spans="2:14" x14ac:dyDescent="0.25">
      <c r="B3176" s="42"/>
      <c r="C3176" s="30"/>
      <c r="D3176" s="30"/>
      <c r="E3176" s="30"/>
      <c r="F3176" s="30"/>
      <c r="G3176" s="30"/>
      <c r="H3176" s="47"/>
      <c r="I3176" s="63"/>
      <c r="J3176" s="31"/>
      <c r="K3176" s="31"/>
      <c r="L3176" s="32"/>
      <c r="M3176" s="32"/>
      <c r="N3176" s="32"/>
    </row>
    <row r="3177" spans="2:14" x14ac:dyDescent="0.25">
      <c r="B3177" s="42"/>
      <c r="C3177" s="30"/>
      <c r="D3177" s="30"/>
      <c r="E3177" s="30"/>
      <c r="F3177" s="30"/>
      <c r="G3177" s="30"/>
      <c r="H3177" s="47"/>
      <c r="I3177" s="63"/>
      <c r="J3177" s="31"/>
      <c r="K3177" s="31"/>
      <c r="L3177" s="32"/>
      <c r="M3177" s="32"/>
      <c r="N3177" s="32"/>
    </row>
    <row r="3178" spans="2:14" x14ac:dyDescent="0.25">
      <c r="B3178" s="42"/>
      <c r="C3178" s="30"/>
      <c r="D3178" s="30"/>
      <c r="E3178" s="30"/>
      <c r="F3178" s="30"/>
      <c r="G3178" s="30"/>
      <c r="H3178" s="47"/>
      <c r="I3178" s="63"/>
      <c r="J3178" s="31"/>
      <c r="K3178" s="31"/>
      <c r="L3178" s="32"/>
      <c r="M3178" s="32"/>
      <c r="N3178" s="32"/>
    </row>
    <row r="3179" spans="2:14" x14ac:dyDescent="0.25">
      <c r="B3179" s="42"/>
      <c r="C3179" s="30"/>
      <c r="D3179" s="30"/>
      <c r="E3179" s="30"/>
      <c r="F3179" s="30"/>
      <c r="G3179" s="30"/>
      <c r="H3179" s="47"/>
      <c r="I3179" s="63"/>
      <c r="J3179" s="31"/>
      <c r="K3179" s="31"/>
      <c r="L3179" s="32"/>
      <c r="M3179" s="32"/>
      <c r="N3179" s="32"/>
    </row>
    <row r="3180" spans="2:14" x14ac:dyDescent="0.25">
      <c r="B3180" s="42"/>
      <c r="C3180" s="30"/>
      <c r="D3180" s="30"/>
      <c r="E3180" s="30"/>
      <c r="F3180" s="30"/>
      <c r="G3180" s="30"/>
      <c r="H3180" s="47"/>
      <c r="I3180" s="63"/>
      <c r="J3180" s="31"/>
      <c r="K3180" s="31"/>
      <c r="L3180" s="32"/>
      <c r="M3180" s="32"/>
      <c r="N3180" s="32"/>
    </row>
    <row r="3181" spans="2:14" x14ac:dyDescent="0.25">
      <c r="B3181" s="42"/>
      <c r="C3181" s="30"/>
      <c r="D3181" s="30"/>
      <c r="E3181" s="30"/>
      <c r="F3181" s="30"/>
      <c r="G3181" s="30"/>
      <c r="H3181" s="47"/>
      <c r="I3181" s="63"/>
      <c r="J3181" s="31"/>
      <c r="K3181" s="31"/>
      <c r="L3181" s="32"/>
      <c r="M3181" s="32"/>
      <c r="N3181" s="32"/>
    </row>
    <row r="3182" spans="2:14" x14ac:dyDescent="0.25">
      <c r="B3182" s="42"/>
      <c r="C3182" s="30"/>
      <c r="D3182" s="30"/>
      <c r="E3182" s="30"/>
      <c r="F3182" s="30"/>
      <c r="G3182" s="30"/>
      <c r="H3182" s="47"/>
      <c r="I3182" s="63"/>
      <c r="J3182" s="31"/>
      <c r="K3182" s="31"/>
      <c r="L3182" s="32"/>
      <c r="M3182" s="32"/>
      <c r="N3182" s="32"/>
    </row>
    <row r="3183" spans="2:14" x14ac:dyDescent="0.25">
      <c r="B3183" s="42"/>
      <c r="C3183" s="30"/>
      <c r="D3183" s="30"/>
      <c r="E3183" s="30"/>
      <c r="F3183" s="30"/>
      <c r="G3183" s="30"/>
      <c r="H3183" s="47"/>
      <c r="I3183" s="63"/>
      <c r="J3183" s="31"/>
      <c r="K3183" s="31"/>
      <c r="L3183" s="32"/>
      <c r="M3183" s="32"/>
      <c r="N3183" s="32"/>
    </row>
    <row r="3184" spans="2:14" x14ac:dyDescent="0.25">
      <c r="B3184" s="42"/>
      <c r="C3184" s="30"/>
      <c r="D3184" s="30"/>
      <c r="E3184" s="30"/>
      <c r="F3184" s="30"/>
      <c r="G3184" s="30"/>
      <c r="H3184" s="47"/>
      <c r="I3184" s="63"/>
      <c r="J3184" s="31"/>
      <c r="K3184" s="31"/>
      <c r="L3184" s="32"/>
      <c r="M3184" s="32"/>
      <c r="N3184" s="32"/>
    </row>
    <row r="3185" spans="2:14" x14ac:dyDescent="0.25">
      <c r="B3185" s="42"/>
      <c r="C3185" s="30"/>
      <c r="D3185" s="30"/>
      <c r="E3185" s="30"/>
      <c r="F3185" s="30"/>
      <c r="G3185" s="30"/>
      <c r="H3185" s="47"/>
      <c r="I3185" s="63"/>
      <c r="J3185" s="31"/>
      <c r="K3185" s="31"/>
      <c r="L3185" s="32"/>
      <c r="M3185" s="32"/>
      <c r="N3185" s="32"/>
    </row>
    <row r="3186" spans="2:14" x14ac:dyDescent="0.25">
      <c r="B3186" s="42"/>
      <c r="C3186" s="30"/>
      <c r="D3186" s="30"/>
      <c r="E3186" s="30"/>
      <c r="F3186" s="30"/>
      <c r="G3186" s="30"/>
      <c r="H3186" s="47"/>
      <c r="I3186" s="63"/>
      <c r="J3186" s="31"/>
      <c r="K3186" s="31"/>
      <c r="L3186" s="32"/>
      <c r="M3186" s="32"/>
      <c r="N3186" s="32"/>
    </row>
    <row r="3187" spans="2:14" x14ac:dyDescent="0.25">
      <c r="B3187" s="42"/>
      <c r="C3187" s="30"/>
      <c r="D3187" s="30"/>
      <c r="E3187" s="30"/>
      <c r="F3187" s="30"/>
      <c r="G3187" s="30"/>
      <c r="H3187" s="47"/>
      <c r="I3187" s="63"/>
      <c r="J3187" s="31"/>
      <c r="K3187" s="31"/>
      <c r="L3187" s="32"/>
      <c r="M3187" s="32"/>
      <c r="N3187" s="32"/>
    </row>
    <row r="3188" spans="2:14" x14ac:dyDescent="0.25">
      <c r="B3188" s="42"/>
      <c r="C3188" s="30"/>
      <c r="D3188" s="30"/>
      <c r="E3188" s="30"/>
      <c r="F3188" s="30"/>
      <c r="G3188" s="30"/>
      <c r="H3188" s="47"/>
      <c r="I3188" s="63"/>
      <c r="J3188" s="31"/>
      <c r="K3188" s="31"/>
      <c r="L3188" s="32"/>
      <c r="M3188" s="32"/>
      <c r="N3188" s="32"/>
    </row>
    <row r="3189" spans="2:14" x14ac:dyDescent="0.25">
      <c r="B3189" s="42"/>
      <c r="C3189" s="30"/>
      <c r="D3189" s="30"/>
      <c r="E3189" s="30"/>
      <c r="F3189" s="30"/>
      <c r="G3189" s="30"/>
      <c r="H3189" s="47"/>
      <c r="I3189" s="63"/>
      <c r="J3189" s="31"/>
      <c r="K3189" s="31"/>
      <c r="L3189" s="32"/>
      <c r="M3189" s="32"/>
      <c r="N3189" s="32"/>
    </row>
    <row r="3190" spans="2:14" x14ac:dyDescent="0.25">
      <c r="B3190" s="42"/>
      <c r="C3190" s="30"/>
      <c r="D3190" s="30"/>
      <c r="E3190" s="30"/>
      <c r="F3190" s="30"/>
      <c r="G3190" s="30"/>
      <c r="H3190" s="47"/>
      <c r="I3190" s="63"/>
      <c r="J3190" s="31"/>
      <c r="K3190" s="31"/>
      <c r="L3190" s="32"/>
      <c r="M3190" s="32"/>
      <c r="N3190" s="32"/>
    </row>
    <row r="3191" spans="2:14" x14ac:dyDescent="0.25">
      <c r="B3191" s="42"/>
      <c r="C3191" s="30"/>
      <c r="D3191" s="30"/>
      <c r="E3191" s="30"/>
      <c r="F3191" s="30"/>
      <c r="G3191" s="30"/>
      <c r="H3191" s="47"/>
      <c r="I3191" s="63"/>
      <c r="J3191" s="31"/>
      <c r="K3191" s="31"/>
      <c r="L3191" s="32"/>
      <c r="M3191" s="32"/>
      <c r="N3191" s="32"/>
    </row>
    <row r="3192" spans="2:14" x14ac:dyDescent="0.25">
      <c r="B3192" s="42"/>
      <c r="C3192" s="30"/>
      <c r="D3192" s="30"/>
      <c r="E3192" s="30"/>
      <c r="F3192" s="30"/>
      <c r="G3192" s="30"/>
      <c r="H3192" s="47"/>
      <c r="I3192" s="63"/>
      <c r="J3192" s="31"/>
      <c r="K3192" s="31"/>
      <c r="L3192" s="32"/>
      <c r="M3192" s="32"/>
      <c r="N3192" s="32"/>
    </row>
    <row r="3193" spans="2:14" x14ac:dyDescent="0.25">
      <c r="B3193" s="42"/>
      <c r="C3193" s="30"/>
      <c r="D3193" s="30"/>
      <c r="E3193" s="30"/>
      <c r="F3193" s="30"/>
      <c r="G3193" s="30"/>
      <c r="H3193" s="47"/>
      <c r="I3193" s="63"/>
      <c r="J3193" s="31"/>
      <c r="K3193" s="31"/>
      <c r="L3193" s="32"/>
      <c r="M3193" s="32"/>
      <c r="N3193" s="32"/>
    </row>
    <row r="3194" spans="2:14" x14ac:dyDescent="0.25">
      <c r="B3194" s="42"/>
      <c r="C3194" s="30"/>
      <c r="D3194" s="30"/>
      <c r="E3194" s="30"/>
      <c r="F3194" s="30"/>
      <c r="G3194" s="30"/>
      <c r="H3194" s="47"/>
      <c r="I3194" s="63"/>
      <c r="J3194" s="31"/>
      <c r="K3194" s="31"/>
      <c r="L3194" s="32"/>
      <c r="M3194" s="32"/>
      <c r="N3194" s="32"/>
    </row>
    <row r="3195" spans="2:14" x14ac:dyDescent="0.25">
      <c r="B3195" s="42"/>
      <c r="C3195" s="30"/>
      <c r="D3195" s="30"/>
      <c r="E3195" s="30"/>
      <c r="F3195" s="30"/>
      <c r="G3195" s="30"/>
      <c r="H3195" s="47"/>
      <c r="I3195" s="63"/>
      <c r="J3195" s="31"/>
      <c r="K3195" s="31"/>
      <c r="L3195" s="32"/>
      <c r="M3195" s="32"/>
      <c r="N3195" s="32"/>
    </row>
    <row r="3196" spans="2:14" x14ac:dyDescent="0.25">
      <c r="B3196" s="42"/>
      <c r="C3196" s="30"/>
      <c r="D3196" s="30"/>
      <c r="E3196" s="30"/>
      <c r="F3196" s="30"/>
      <c r="G3196" s="30"/>
      <c r="H3196" s="47"/>
      <c r="I3196" s="63"/>
      <c r="J3196" s="31"/>
      <c r="K3196" s="31"/>
      <c r="L3196" s="32"/>
      <c r="M3196" s="32"/>
      <c r="N3196" s="32"/>
    </row>
    <row r="3197" spans="2:14" x14ac:dyDescent="0.25">
      <c r="B3197" s="42"/>
      <c r="C3197" s="30"/>
      <c r="D3197" s="30"/>
      <c r="E3197" s="30"/>
      <c r="F3197" s="30"/>
      <c r="G3197" s="30"/>
      <c r="H3197" s="47"/>
      <c r="I3197" s="63"/>
      <c r="J3197" s="31"/>
      <c r="K3197" s="31"/>
      <c r="L3197" s="32"/>
      <c r="M3197" s="32"/>
      <c r="N3197" s="32"/>
    </row>
    <row r="3198" spans="2:14" x14ac:dyDescent="0.25">
      <c r="B3198" s="42"/>
      <c r="C3198" s="30"/>
      <c r="D3198" s="30"/>
      <c r="E3198" s="30"/>
      <c r="F3198" s="30"/>
      <c r="G3198" s="30"/>
      <c r="H3198" s="47"/>
      <c r="I3198" s="63"/>
      <c r="J3198" s="31"/>
      <c r="K3198" s="31"/>
      <c r="L3198" s="32"/>
      <c r="M3198" s="32"/>
      <c r="N3198" s="32"/>
    </row>
    <row r="3199" spans="2:14" x14ac:dyDescent="0.25">
      <c r="B3199" s="42"/>
      <c r="C3199" s="30"/>
      <c r="D3199" s="30"/>
      <c r="E3199" s="30"/>
      <c r="F3199" s="30"/>
      <c r="G3199" s="30"/>
      <c r="H3199" s="47"/>
      <c r="I3199" s="63"/>
      <c r="J3199" s="31"/>
      <c r="K3199" s="31"/>
      <c r="L3199" s="32"/>
      <c r="M3199" s="32"/>
      <c r="N3199" s="32"/>
    </row>
    <row r="3200" spans="2:14" x14ac:dyDescent="0.25">
      <c r="B3200" s="42"/>
      <c r="C3200" s="30"/>
      <c r="D3200" s="30"/>
      <c r="E3200" s="30"/>
      <c r="F3200" s="30"/>
      <c r="G3200" s="30"/>
      <c r="H3200" s="47"/>
      <c r="I3200" s="63"/>
      <c r="J3200" s="31"/>
      <c r="K3200" s="31"/>
      <c r="L3200" s="32"/>
      <c r="M3200" s="32"/>
      <c r="N3200" s="32"/>
    </row>
    <row r="3201" spans="2:14" x14ac:dyDescent="0.25">
      <c r="B3201" s="42"/>
      <c r="C3201" s="30"/>
      <c r="D3201" s="30"/>
      <c r="E3201" s="30"/>
      <c r="F3201" s="30"/>
      <c r="G3201" s="30"/>
      <c r="H3201" s="47"/>
      <c r="I3201" s="63"/>
      <c r="J3201" s="31"/>
      <c r="K3201" s="31"/>
      <c r="L3201" s="32"/>
      <c r="M3201" s="32"/>
      <c r="N3201" s="32"/>
    </row>
    <row r="3202" spans="2:14" x14ac:dyDescent="0.25">
      <c r="B3202" s="42"/>
      <c r="C3202" s="30"/>
      <c r="D3202" s="30"/>
      <c r="E3202" s="30"/>
      <c r="F3202" s="30"/>
      <c r="G3202" s="30"/>
      <c r="H3202" s="47"/>
      <c r="I3202" s="63"/>
      <c r="J3202" s="31"/>
      <c r="K3202" s="31"/>
      <c r="L3202" s="32"/>
      <c r="M3202" s="32"/>
      <c r="N3202" s="32"/>
    </row>
    <row r="3203" spans="2:14" x14ac:dyDescent="0.25">
      <c r="B3203" s="42"/>
      <c r="C3203" s="30"/>
      <c r="D3203" s="30"/>
      <c r="E3203" s="30"/>
      <c r="F3203" s="30"/>
      <c r="G3203" s="30"/>
      <c r="H3203" s="47"/>
      <c r="I3203" s="63"/>
      <c r="J3203" s="31"/>
      <c r="K3203" s="31"/>
      <c r="L3203" s="32"/>
      <c r="M3203" s="32"/>
      <c r="N3203" s="32"/>
    </row>
    <row r="3204" spans="2:14" x14ac:dyDescent="0.25">
      <c r="B3204" s="42"/>
      <c r="C3204" s="30"/>
      <c r="D3204" s="30"/>
      <c r="E3204" s="30"/>
      <c r="F3204" s="30"/>
      <c r="G3204" s="30"/>
      <c r="H3204" s="47"/>
      <c r="I3204" s="63"/>
      <c r="J3204" s="31"/>
      <c r="K3204" s="31"/>
      <c r="L3204" s="32"/>
      <c r="M3204" s="32"/>
      <c r="N3204" s="32"/>
    </row>
    <row r="3205" spans="2:14" x14ac:dyDescent="0.25">
      <c r="B3205" s="42"/>
      <c r="C3205" s="30"/>
      <c r="D3205" s="30"/>
      <c r="E3205" s="30"/>
      <c r="F3205" s="30"/>
      <c r="G3205" s="30"/>
      <c r="H3205" s="47"/>
      <c r="I3205" s="63"/>
      <c r="J3205" s="31"/>
      <c r="K3205" s="31"/>
      <c r="L3205" s="32"/>
      <c r="M3205" s="32"/>
      <c r="N3205" s="32"/>
    </row>
    <row r="3206" spans="2:14" x14ac:dyDescent="0.25">
      <c r="B3206" s="42"/>
      <c r="C3206" s="30"/>
      <c r="D3206" s="30"/>
      <c r="E3206" s="30"/>
      <c r="F3206" s="30"/>
      <c r="G3206" s="30"/>
      <c r="H3206" s="47"/>
      <c r="I3206" s="63"/>
      <c r="J3206" s="31"/>
      <c r="K3206" s="31"/>
      <c r="L3206" s="32"/>
      <c r="M3206" s="32"/>
      <c r="N3206" s="32"/>
    </row>
    <row r="3207" spans="2:14" x14ac:dyDescent="0.25">
      <c r="B3207" s="42"/>
      <c r="C3207" s="30"/>
      <c r="D3207" s="30"/>
      <c r="E3207" s="30"/>
      <c r="F3207" s="30"/>
      <c r="G3207" s="30"/>
      <c r="H3207" s="47"/>
      <c r="I3207" s="63"/>
      <c r="J3207" s="31"/>
      <c r="K3207" s="31"/>
      <c r="L3207" s="32"/>
      <c r="M3207" s="32"/>
      <c r="N3207" s="32"/>
    </row>
    <row r="3208" spans="2:14" x14ac:dyDescent="0.25">
      <c r="B3208" s="42"/>
      <c r="C3208" s="30"/>
      <c r="D3208" s="30"/>
      <c r="E3208" s="30"/>
      <c r="F3208" s="30"/>
      <c r="G3208" s="30"/>
      <c r="H3208" s="47"/>
      <c r="I3208" s="63"/>
      <c r="J3208" s="31"/>
      <c r="K3208" s="31"/>
      <c r="L3208" s="32"/>
      <c r="M3208" s="32"/>
      <c r="N3208" s="32"/>
    </row>
    <row r="3209" spans="2:14" x14ac:dyDescent="0.25">
      <c r="B3209" s="42"/>
      <c r="C3209" s="30"/>
      <c r="D3209" s="30"/>
      <c r="E3209" s="30"/>
      <c r="F3209" s="30"/>
      <c r="G3209" s="30"/>
      <c r="H3209" s="47"/>
      <c r="I3209" s="63"/>
      <c r="J3209" s="31"/>
      <c r="K3209" s="31"/>
      <c r="L3209" s="32"/>
      <c r="M3209" s="32"/>
      <c r="N3209" s="32"/>
    </row>
    <row r="3210" spans="2:14" x14ac:dyDescent="0.25">
      <c r="B3210" s="42"/>
      <c r="C3210" s="30"/>
      <c r="D3210" s="30"/>
      <c r="E3210" s="30"/>
      <c r="F3210" s="30"/>
      <c r="G3210" s="30"/>
      <c r="H3210" s="47"/>
      <c r="I3210" s="63"/>
      <c r="J3210" s="31"/>
      <c r="K3210" s="31"/>
      <c r="L3210" s="32"/>
      <c r="M3210" s="32"/>
      <c r="N3210" s="32"/>
    </row>
    <row r="3211" spans="2:14" x14ac:dyDescent="0.25">
      <c r="B3211" s="42"/>
      <c r="C3211" s="30"/>
      <c r="D3211" s="30"/>
      <c r="E3211" s="30"/>
      <c r="F3211" s="30"/>
      <c r="G3211" s="30"/>
      <c r="H3211" s="47"/>
      <c r="I3211" s="63"/>
      <c r="J3211" s="31"/>
      <c r="K3211" s="31"/>
      <c r="L3211" s="32"/>
      <c r="M3211" s="32"/>
      <c r="N3211" s="32"/>
    </row>
    <row r="3212" spans="2:14" x14ac:dyDescent="0.25">
      <c r="B3212" s="42"/>
      <c r="C3212" s="30"/>
      <c r="D3212" s="30"/>
      <c r="E3212" s="30"/>
      <c r="F3212" s="30"/>
      <c r="G3212" s="30"/>
      <c r="H3212" s="47"/>
      <c r="I3212" s="63"/>
      <c r="J3212" s="31"/>
      <c r="K3212" s="31"/>
      <c r="L3212" s="32"/>
      <c r="M3212" s="32"/>
      <c r="N3212" s="32"/>
    </row>
    <row r="3213" spans="2:14" x14ac:dyDescent="0.25">
      <c r="B3213" s="42"/>
      <c r="C3213" s="30"/>
      <c r="D3213" s="30"/>
      <c r="E3213" s="30"/>
      <c r="F3213" s="30"/>
      <c r="G3213" s="30"/>
      <c r="H3213" s="47"/>
      <c r="I3213" s="63"/>
      <c r="J3213" s="31"/>
      <c r="K3213" s="31"/>
      <c r="L3213" s="32"/>
      <c r="M3213" s="32"/>
      <c r="N3213" s="32"/>
    </row>
    <row r="3214" spans="2:14" x14ac:dyDescent="0.25">
      <c r="B3214" s="42"/>
      <c r="C3214" s="30"/>
      <c r="D3214" s="30"/>
      <c r="E3214" s="30"/>
      <c r="F3214" s="30"/>
      <c r="G3214" s="30"/>
      <c r="H3214" s="47"/>
      <c r="I3214" s="63"/>
      <c r="J3214" s="31"/>
      <c r="K3214" s="31"/>
      <c r="L3214" s="32"/>
      <c r="M3214" s="32"/>
      <c r="N3214" s="32"/>
    </row>
    <row r="3215" spans="2:14" x14ac:dyDescent="0.25">
      <c r="B3215" s="42"/>
      <c r="C3215" s="30"/>
      <c r="D3215" s="30"/>
      <c r="E3215" s="30"/>
      <c r="F3215" s="30"/>
      <c r="G3215" s="30"/>
      <c r="H3215" s="47"/>
      <c r="I3215" s="63"/>
      <c r="J3215" s="31"/>
      <c r="K3215" s="31"/>
      <c r="L3215" s="32"/>
      <c r="M3215" s="32"/>
      <c r="N3215" s="32"/>
    </row>
    <row r="3216" spans="2:14" x14ac:dyDescent="0.25">
      <c r="B3216" s="42"/>
      <c r="C3216" s="30"/>
      <c r="D3216" s="30"/>
      <c r="E3216" s="30"/>
      <c r="F3216" s="30"/>
      <c r="G3216" s="30"/>
      <c r="H3216" s="47"/>
      <c r="I3216" s="63"/>
      <c r="J3216" s="31"/>
      <c r="K3216" s="31"/>
      <c r="L3216" s="32"/>
      <c r="M3216" s="32"/>
      <c r="N3216" s="32"/>
    </row>
    <row r="3217" spans="2:14" x14ac:dyDescent="0.25">
      <c r="B3217" s="42"/>
      <c r="C3217" s="30"/>
      <c r="D3217" s="30"/>
      <c r="E3217" s="30"/>
      <c r="F3217" s="30"/>
      <c r="G3217" s="30"/>
      <c r="H3217" s="47"/>
      <c r="I3217" s="63"/>
      <c r="J3217" s="31"/>
      <c r="K3217" s="31"/>
      <c r="L3217" s="32"/>
      <c r="M3217" s="32"/>
      <c r="N3217" s="32"/>
    </row>
    <row r="3218" spans="2:14" x14ac:dyDescent="0.25">
      <c r="B3218" s="42"/>
      <c r="C3218" s="30"/>
      <c r="D3218" s="30"/>
      <c r="E3218" s="30"/>
      <c r="F3218" s="30"/>
      <c r="G3218" s="30"/>
      <c r="H3218" s="47"/>
      <c r="I3218" s="63"/>
      <c r="J3218" s="31"/>
      <c r="K3218" s="31"/>
      <c r="L3218" s="32"/>
      <c r="M3218" s="32"/>
      <c r="N3218" s="32"/>
    </row>
    <row r="3219" spans="2:14" x14ac:dyDescent="0.25">
      <c r="B3219" s="42"/>
      <c r="C3219" s="30"/>
      <c r="D3219" s="30"/>
      <c r="E3219" s="30"/>
      <c r="F3219" s="30"/>
      <c r="G3219" s="30"/>
      <c r="H3219" s="47"/>
      <c r="I3219" s="63"/>
      <c r="J3219" s="31"/>
      <c r="K3219" s="31"/>
      <c r="L3219" s="32"/>
      <c r="M3219" s="32"/>
      <c r="N3219" s="32"/>
    </row>
    <row r="3220" spans="2:14" x14ac:dyDescent="0.25">
      <c r="B3220" s="42"/>
      <c r="C3220" s="30"/>
      <c r="D3220" s="30"/>
      <c r="E3220" s="30"/>
      <c r="F3220" s="30"/>
      <c r="G3220" s="30"/>
      <c r="H3220" s="47"/>
      <c r="I3220" s="63"/>
      <c r="J3220" s="31"/>
      <c r="K3220" s="31"/>
      <c r="L3220" s="32"/>
      <c r="M3220" s="32"/>
      <c r="N3220" s="32"/>
    </row>
    <row r="3221" spans="2:14" x14ac:dyDescent="0.25">
      <c r="B3221" s="42"/>
      <c r="C3221" s="30"/>
      <c r="D3221" s="30"/>
      <c r="E3221" s="30"/>
      <c r="F3221" s="30"/>
      <c r="G3221" s="30"/>
      <c r="H3221" s="47"/>
      <c r="I3221" s="63"/>
      <c r="J3221" s="31"/>
      <c r="K3221" s="31"/>
      <c r="L3221" s="32"/>
      <c r="M3221" s="32"/>
      <c r="N3221" s="32"/>
    </row>
    <row r="3222" spans="2:14" x14ac:dyDescent="0.25">
      <c r="B3222" s="42"/>
      <c r="C3222" s="30"/>
      <c r="D3222" s="30"/>
      <c r="E3222" s="30"/>
      <c r="F3222" s="30"/>
      <c r="G3222" s="30"/>
      <c r="H3222" s="47"/>
      <c r="I3222" s="63"/>
      <c r="J3222" s="31"/>
      <c r="K3222" s="31"/>
      <c r="L3222" s="32"/>
      <c r="M3222" s="32"/>
      <c r="N3222" s="32"/>
    </row>
    <row r="3223" spans="2:14" x14ac:dyDescent="0.25">
      <c r="B3223" s="42"/>
      <c r="C3223" s="30"/>
      <c r="D3223" s="30"/>
      <c r="E3223" s="30"/>
      <c r="F3223" s="30"/>
      <c r="G3223" s="30"/>
      <c r="H3223" s="47"/>
      <c r="I3223" s="63"/>
      <c r="J3223" s="31"/>
      <c r="K3223" s="31"/>
      <c r="L3223" s="32"/>
      <c r="M3223" s="32"/>
      <c r="N3223" s="32"/>
    </row>
    <row r="3224" spans="2:14" x14ac:dyDescent="0.25">
      <c r="B3224" s="42"/>
      <c r="C3224" s="30"/>
      <c r="D3224" s="30"/>
      <c r="E3224" s="30"/>
      <c r="F3224" s="30"/>
      <c r="G3224" s="30"/>
      <c r="H3224" s="47"/>
      <c r="I3224" s="63"/>
      <c r="J3224" s="31"/>
      <c r="K3224" s="31"/>
      <c r="L3224" s="32"/>
      <c r="M3224" s="32"/>
      <c r="N3224" s="32"/>
    </row>
    <row r="3225" spans="2:14" x14ac:dyDescent="0.25">
      <c r="B3225" s="42"/>
      <c r="C3225" s="30"/>
      <c r="D3225" s="30"/>
      <c r="E3225" s="30"/>
      <c r="F3225" s="30"/>
      <c r="G3225" s="30"/>
      <c r="H3225" s="47"/>
      <c r="I3225" s="63"/>
      <c r="J3225" s="31"/>
      <c r="K3225" s="31"/>
      <c r="L3225" s="32"/>
      <c r="M3225" s="32"/>
      <c r="N3225" s="32"/>
    </row>
    <row r="3226" spans="2:14" x14ac:dyDescent="0.25">
      <c r="B3226" s="42"/>
      <c r="C3226" s="30"/>
      <c r="D3226" s="30"/>
      <c r="E3226" s="30"/>
      <c r="F3226" s="30"/>
      <c r="G3226" s="30"/>
      <c r="H3226" s="47"/>
      <c r="I3226" s="63"/>
      <c r="J3226" s="31"/>
      <c r="K3226" s="31"/>
      <c r="L3226" s="32"/>
      <c r="M3226" s="32"/>
      <c r="N3226" s="32"/>
    </row>
    <row r="3227" spans="2:14" x14ac:dyDescent="0.25">
      <c r="B3227" s="42"/>
      <c r="C3227" s="30"/>
      <c r="D3227" s="30"/>
      <c r="E3227" s="30"/>
      <c r="F3227" s="30"/>
      <c r="G3227" s="30"/>
      <c r="H3227" s="47"/>
      <c r="I3227" s="63"/>
      <c r="J3227" s="31"/>
      <c r="K3227" s="31"/>
      <c r="L3227" s="32"/>
      <c r="M3227" s="32"/>
      <c r="N3227" s="32"/>
    </row>
    <row r="3228" spans="2:14" x14ac:dyDescent="0.25">
      <c r="B3228" s="42"/>
      <c r="C3228" s="30"/>
      <c r="D3228" s="30"/>
      <c r="E3228" s="30"/>
      <c r="F3228" s="30"/>
      <c r="G3228" s="30"/>
      <c r="H3228" s="47"/>
      <c r="I3228" s="63"/>
      <c r="J3228" s="31"/>
      <c r="K3228" s="31"/>
      <c r="L3228" s="32"/>
      <c r="M3228" s="32"/>
      <c r="N3228" s="32"/>
    </row>
    <row r="3229" spans="2:14" x14ac:dyDescent="0.25">
      <c r="B3229" s="42"/>
      <c r="C3229" s="30"/>
      <c r="D3229" s="30"/>
      <c r="E3229" s="30"/>
      <c r="F3229" s="30"/>
      <c r="G3229" s="30"/>
      <c r="H3229" s="47"/>
      <c r="I3229" s="63"/>
      <c r="J3229" s="31"/>
      <c r="K3229" s="31"/>
      <c r="L3229" s="32"/>
      <c r="M3229" s="32"/>
      <c r="N3229" s="32"/>
    </row>
    <row r="3230" spans="2:14" x14ac:dyDescent="0.25">
      <c r="B3230" s="42"/>
      <c r="C3230" s="30"/>
      <c r="D3230" s="30"/>
      <c r="E3230" s="30"/>
      <c r="F3230" s="30"/>
      <c r="G3230" s="30"/>
      <c r="H3230" s="47"/>
      <c r="I3230" s="63"/>
      <c r="J3230" s="31"/>
      <c r="K3230" s="31"/>
      <c r="L3230" s="32"/>
      <c r="M3230" s="32"/>
      <c r="N3230" s="32"/>
    </row>
    <row r="3231" spans="2:14" x14ac:dyDescent="0.25">
      <c r="B3231" s="42"/>
      <c r="C3231" s="30"/>
      <c r="D3231" s="30"/>
      <c r="E3231" s="30"/>
      <c r="F3231" s="30"/>
      <c r="G3231" s="30"/>
      <c r="H3231" s="47"/>
      <c r="I3231" s="63"/>
      <c r="J3231" s="31"/>
      <c r="K3231" s="31"/>
      <c r="L3231" s="32"/>
      <c r="M3231" s="32"/>
      <c r="N3231" s="32"/>
    </row>
    <row r="3232" spans="2:14" x14ac:dyDescent="0.25">
      <c r="B3232" s="42"/>
      <c r="C3232" s="30"/>
      <c r="D3232" s="30"/>
      <c r="E3232" s="30"/>
      <c r="F3232" s="30"/>
      <c r="G3232" s="30"/>
      <c r="H3232" s="47"/>
      <c r="I3232" s="63"/>
      <c r="J3232" s="31"/>
      <c r="K3232" s="31"/>
      <c r="L3232" s="32"/>
      <c r="M3232" s="32"/>
      <c r="N3232" s="32"/>
    </row>
    <row r="3233" spans="2:14" x14ac:dyDescent="0.25">
      <c r="B3233" s="42"/>
      <c r="C3233" s="30"/>
      <c r="D3233" s="30"/>
      <c r="E3233" s="30"/>
      <c r="F3233" s="30"/>
      <c r="G3233" s="30"/>
      <c r="H3233" s="47"/>
      <c r="I3233" s="63"/>
      <c r="J3233" s="31"/>
      <c r="K3233" s="31"/>
      <c r="L3233" s="32"/>
      <c r="M3233" s="32"/>
      <c r="N3233" s="32"/>
    </row>
    <row r="3234" spans="2:14" x14ac:dyDescent="0.25">
      <c r="B3234" s="42"/>
      <c r="C3234" s="30"/>
      <c r="D3234" s="30"/>
      <c r="E3234" s="30"/>
      <c r="F3234" s="30"/>
      <c r="G3234" s="30"/>
      <c r="H3234" s="47"/>
      <c r="I3234" s="63"/>
      <c r="J3234" s="31"/>
      <c r="K3234" s="31"/>
      <c r="L3234" s="32"/>
      <c r="M3234" s="32"/>
      <c r="N3234" s="32"/>
    </row>
    <row r="3235" spans="2:14" x14ac:dyDescent="0.25">
      <c r="B3235" s="42"/>
      <c r="C3235" s="30"/>
      <c r="D3235" s="30"/>
      <c r="E3235" s="30"/>
      <c r="F3235" s="30"/>
      <c r="G3235" s="30"/>
      <c r="H3235" s="47"/>
      <c r="I3235" s="63"/>
      <c r="J3235" s="31"/>
      <c r="K3235" s="31"/>
      <c r="L3235" s="32"/>
      <c r="M3235" s="32"/>
      <c r="N3235" s="32"/>
    </row>
    <row r="3236" spans="2:14" x14ac:dyDescent="0.25">
      <c r="B3236" s="42"/>
      <c r="C3236" s="30"/>
      <c r="D3236" s="30"/>
      <c r="E3236" s="30"/>
      <c r="F3236" s="30"/>
      <c r="G3236" s="30"/>
      <c r="H3236" s="47"/>
      <c r="I3236" s="63"/>
      <c r="J3236" s="31"/>
      <c r="K3236" s="31"/>
      <c r="L3236" s="32"/>
      <c r="M3236" s="32"/>
      <c r="N3236" s="32"/>
    </row>
    <row r="3237" spans="2:14" x14ac:dyDescent="0.25">
      <c r="B3237" s="42"/>
      <c r="C3237" s="30"/>
      <c r="D3237" s="30"/>
      <c r="E3237" s="30"/>
      <c r="F3237" s="30"/>
      <c r="G3237" s="30"/>
      <c r="H3237" s="47"/>
      <c r="I3237" s="63"/>
      <c r="J3237" s="31"/>
      <c r="K3237" s="31"/>
      <c r="L3237" s="32"/>
      <c r="M3237" s="32"/>
      <c r="N3237" s="32"/>
    </row>
    <row r="3238" spans="2:14" x14ac:dyDescent="0.25">
      <c r="B3238" s="42"/>
      <c r="C3238" s="30"/>
      <c r="D3238" s="30"/>
      <c r="E3238" s="30"/>
      <c r="F3238" s="30"/>
      <c r="G3238" s="30"/>
      <c r="H3238" s="47"/>
      <c r="I3238" s="63"/>
      <c r="J3238" s="31"/>
      <c r="K3238" s="31"/>
      <c r="L3238" s="32"/>
      <c r="M3238" s="32"/>
      <c r="N3238" s="32"/>
    </row>
    <row r="3239" spans="2:14" x14ac:dyDescent="0.25">
      <c r="B3239" s="42"/>
      <c r="C3239" s="30"/>
      <c r="D3239" s="30"/>
      <c r="E3239" s="30"/>
      <c r="F3239" s="30"/>
      <c r="G3239" s="30"/>
      <c r="H3239" s="47"/>
      <c r="I3239" s="63"/>
      <c r="J3239" s="31"/>
      <c r="K3239" s="31"/>
      <c r="L3239" s="32"/>
      <c r="M3239" s="32"/>
      <c r="N3239" s="32"/>
    </row>
    <row r="3240" spans="2:14" x14ac:dyDescent="0.25">
      <c r="B3240" s="42"/>
      <c r="C3240" s="30"/>
      <c r="D3240" s="30"/>
      <c r="E3240" s="30"/>
      <c r="F3240" s="30"/>
      <c r="G3240" s="30"/>
      <c r="H3240" s="47"/>
      <c r="I3240" s="63"/>
      <c r="J3240" s="31"/>
      <c r="K3240" s="31"/>
      <c r="L3240" s="32"/>
      <c r="M3240" s="32"/>
      <c r="N3240" s="32"/>
    </row>
    <row r="3241" spans="2:14" x14ac:dyDescent="0.25">
      <c r="B3241" s="42"/>
      <c r="C3241" s="30"/>
      <c r="D3241" s="30"/>
      <c r="E3241" s="30"/>
      <c r="F3241" s="30"/>
      <c r="G3241" s="30"/>
      <c r="H3241" s="47"/>
      <c r="I3241" s="63"/>
      <c r="J3241" s="31"/>
      <c r="K3241" s="31"/>
      <c r="L3241" s="32"/>
      <c r="M3241" s="32"/>
      <c r="N3241" s="32"/>
    </row>
    <row r="3242" spans="2:14" x14ac:dyDescent="0.25">
      <c r="B3242" s="42"/>
      <c r="C3242" s="30"/>
      <c r="D3242" s="30"/>
      <c r="E3242" s="30"/>
      <c r="F3242" s="30"/>
      <c r="G3242" s="30"/>
      <c r="H3242" s="47"/>
      <c r="I3242" s="63"/>
      <c r="J3242" s="31"/>
      <c r="K3242" s="31"/>
      <c r="L3242" s="32"/>
      <c r="M3242" s="32"/>
      <c r="N3242" s="32"/>
    </row>
    <row r="3243" spans="2:14" x14ac:dyDescent="0.25">
      <c r="B3243" s="42"/>
      <c r="C3243" s="30"/>
      <c r="D3243" s="30"/>
      <c r="E3243" s="30"/>
      <c r="F3243" s="30"/>
      <c r="G3243" s="30"/>
      <c r="H3243" s="47"/>
      <c r="I3243" s="63"/>
      <c r="J3243" s="31"/>
      <c r="K3243" s="31"/>
      <c r="L3243" s="32"/>
      <c r="M3243" s="32"/>
      <c r="N3243" s="32"/>
    </row>
    <row r="3244" spans="2:14" x14ac:dyDescent="0.25">
      <c r="B3244" s="42"/>
      <c r="C3244" s="30"/>
      <c r="D3244" s="30"/>
      <c r="E3244" s="30"/>
      <c r="F3244" s="30"/>
      <c r="G3244" s="30"/>
      <c r="H3244" s="47"/>
      <c r="I3244" s="63"/>
      <c r="J3244" s="31"/>
      <c r="K3244" s="31"/>
      <c r="L3244" s="32"/>
      <c r="M3244" s="32"/>
      <c r="N3244" s="32"/>
    </row>
    <row r="3245" spans="2:14" x14ac:dyDescent="0.25">
      <c r="B3245" s="42"/>
      <c r="C3245" s="30"/>
      <c r="D3245" s="30"/>
      <c r="E3245" s="30"/>
      <c r="F3245" s="30"/>
      <c r="G3245" s="30"/>
      <c r="H3245" s="47"/>
      <c r="I3245" s="63"/>
      <c r="J3245" s="31"/>
      <c r="K3245" s="31"/>
      <c r="L3245" s="32"/>
      <c r="M3245" s="32"/>
      <c r="N3245" s="32"/>
    </row>
    <row r="3246" spans="2:14" x14ac:dyDescent="0.25">
      <c r="B3246" s="42"/>
      <c r="C3246" s="30"/>
      <c r="D3246" s="30"/>
      <c r="E3246" s="30"/>
      <c r="F3246" s="30"/>
      <c r="G3246" s="30"/>
      <c r="H3246" s="47"/>
      <c r="I3246" s="63"/>
      <c r="J3246" s="31"/>
      <c r="K3246" s="31"/>
      <c r="L3246" s="32"/>
      <c r="M3246" s="32"/>
      <c r="N3246" s="32"/>
    </row>
    <row r="3247" spans="2:14" x14ac:dyDescent="0.25">
      <c r="B3247" s="42"/>
      <c r="C3247" s="30"/>
      <c r="D3247" s="30"/>
      <c r="E3247" s="30"/>
      <c r="F3247" s="30"/>
      <c r="G3247" s="30"/>
      <c r="H3247" s="47"/>
      <c r="I3247" s="63"/>
      <c r="J3247" s="31"/>
      <c r="K3247" s="31"/>
      <c r="L3247" s="32"/>
      <c r="M3247" s="32"/>
      <c r="N3247" s="32"/>
    </row>
    <row r="3248" spans="2:14" x14ac:dyDescent="0.25">
      <c r="B3248" s="42"/>
      <c r="C3248" s="30"/>
      <c r="D3248" s="30"/>
      <c r="E3248" s="30"/>
      <c r="F3248" s="30"/>
      <c r="G3248" s="30"/>
      <c r="H3248" s="47"/>
      <c r="I3248" s="63"/>
      <c r="J3248" s="31"/>
      <c r="K3248" s="31"/>
      <c r="L3248" s="32"/>
      <c r="M3248" s="32"/>
      <c r="N3248" s="32"/>
    </row>
    <row r="3249" spans="2:14" x14ac:dyDescent="0.25">
      <c r="B3249" s="42"/>
      <c r="C3249" s="30"/>
      <c r="D3249" s="30"/>
      <c r="E3249" s="30"/>
      <c r="F3249" s="30"/>
      <c r="G3249" s="30"/>
      <c r="H3249" s="47"/>
      <c r="I3249" s="63"/>
      <c r="J3249" s="31"/>
      <c r="K3249" s="31"/>
      <c r="L3249" s="32"/>
      <c r="M3249" s="32"/>
      <c r="N3249" s="32"/>
    </row>
    <row r="3250" spans="2:14" x14ac:dyDescent="0.25">
      <c r="B3250" s="42"/>
      <c r="C3250" s="30"/>
      <c r="D3250" s="30"/>
      <c r="E3250" s="30"/>
      <c r="F3250" s="30"/>
      <c r="G3250" s="30"/>
      <c r="H3250" s="47"/>
      <c r="I3250" s="63"/>
      <c r="J3250" s="31"/>
      <c r="K3250" s="31"/>
      <c r="L3250" s="32"/>
      <c r="M3250" s="32"/>
      <c r="N3250" s="32"/>
    </row>
    <row r="3251" spans="2:14" x14ac:dyDescent="0.25">
      <c r="B3251" s="42"/>
      <c r="C3251" s="30"/>
      <c r="D3251" s="30"/>
      <c r="E3251" s="30"/>
      <c r="F3251" s="30"/>
      <c r="G3251" s="30"/>
      <c r="H3251" s="47"/>
      <c r="I3251" s="63"/>
      <c r="J3251" s="31"/>
      <c r="K3251" s="31"/>
      <c r="L3251" s="32"/>
      <c r="M3251" s="32"/>
      <c r="N3251" s="32"/>
    </row>
    <row r="3252" spans="2:14" x14ac:dyDescent="0.25">
      <c r="B3252" s="42"/>
      <c r="C3252" s="30"/>
      <c r="D3252" s="30"/>
      <c r="E3252" s="30"/>
      <c r="F3252" s="30"/>
      <c r="G3252" s="30"/>
      <c r="H3252" s="47"/>
      <c r="I3252" s="63"/>
      <c r="J3252" s="31"/>
      <c r="K3252" s="31"/>
      <c r="L3252" s="32"/>
      <c r="M3252" s="32"/>
      <c r="N3252" s="32"/>
    </row>
    <row r="3253" spans="2:14" x14ac:dyDescent="0.25">
      <c r="B3253" s="42"/>
      <c r="C3253" s="30"/>
      <c r="D3253" s="30"/>
      <c r="E3253" s="30"/>
      <c r="F3253" s="30"/>
      <c r="G3253" s="30"/>
      <c r="H3253" s="47"/>
      <c r="I3253" s="63"/>
      <c r="J3253" s="31"/>
      <c r="K3253" s="31"/>
      <c r="L3253" s="32"/>
      <c r="M3253" s="32"/>
      <c r="N3253" s="32"/>
    </row>
    <row r="3254" spans="2:14" x14ac:dyDescent="0.25">
      <c r="B3254" s="42"/>
      <c r="C3254" s="30"/>
      <c r="D3254" s="30"/>
      <c r="E3254" s="30"/>
      <c r="F3254" s="30"/>
      <c r="G3254" s="30"/>
      <c r="H3254" s="47"/>
      <c r="I3254" s="63"/>
      <c r="J3254" s="31"/>
      <c r="K3254" s="31"/>
      <c r="L3254" s="32"/>
      <c r="M3254" s="32"/>
      <c r="N3254" s="32"/>
    </row>
    <row r="3255" spans="2:14" x14ac:dyDescent="0.25">
      <c r="B3255" s="42"/>
      <c r="C3255" s="30"/>
      <c r="D3255" s="30"/>
      <c r="E3255" s="30"/>
      <c r="F3255" s="30"/>
      <c r="G3255" s="30"/>
      <c r="H3255" s="47"/>
      <c r="I3255" s="63"/>
      <c r="J3255" s="31"/>
      <c r="K3255" s="31"/>
      <c r="L3255" s="32"/>
      <c r="M3255" s="32"/>
      <c r="N3255" s="32"/>
    </row>
    <row r="3256" spans="2:14" x14ac:dyDescent="0.25">
      <c r="B3256" s="42"/>
      <c r="C3256" s="30"/>
      <c r="D3256" s="30"/>
      <c r="E3256" s="30"/>
      <c r="F3256" s="30"/>
      <c r="G3256" s="30"/>
      <c r="H3256" s="47"/>
      <c r="I3256" s="63"/>
      <c r="J3256" s="31"/>
      <c r="K3256" s="31"/>
      <c r="L3256" s="32"/>
      <c r="M3256" s="32"/>
      <c r="N3256" s="32"/>
    </row>
    <row r="3257" spans="2:14" x14ac:dyDescent="0.25">
      <c r="B3257" s="42"/>
      <c r="C3257" s="30"/>
      <c r="D3257" s="30"/>
      <c r="E3257" s="30"/>
      <c r="F3257" s="30"/>
      <c r="G3257" s="30"/>
      <c r="H3257" s="47"/>
      <c r="I3257" s="63"/>
      <c r="J3257" s="31"/>
      <c r="K3257" s="31"/>
      <c r="L3257" s="32"/>
      <c r="M3257" s="32"/>
      <c r="N3257" s="32"/>
    </row>
    <row r="3258" spans="2:14" x14ac:dyDescent="0.25">
      <c r="B3258" s="42"/>
      <c r="C3258" s="30"/>
      <c r="D3258" s="30"/>
      <c r="E3258" s="30"/>
      <c r="F3258" s="30"/>
      <c r="G3258" s="30"/>
      <c r="H3258" s="47"/>
      <c r="I3258" s="63"/>
      <c r="J3258" s="31"/>
      <c r="K3258" s="31"/>
      <c r="L3258" s="32"/>
      <c r="M3258" s="32"/>
      <c r="N3258" s="32"/>
    </row>
    <row r="3259" spans="2:14" x14ac:dyDescent="0.25">
      <c r="B3259" s="42"/>
      <c r="C3259" s="30"/>
      <c r="D3259" s="30"/>
      <c r="E3259" s="30"/>
      <c r="F3259" s="30"/>
      <c r="G3259" s="30"/>
      <c r="H3259" s="47"/>
      <c r="I3259" s="63"/>
      <c r="J3259" s="31"/>
      <c r="K3259" s="31"/>
      <c r="L3259" s="32"/>
      <c r="M3259" s="32"/>
      <c r="N3259" s="32"/>
    </row>
    <row r="3260" spans="2:14" x14ac:dyDescent="0.25">
      <c r="B3260" s="42"/>
      <c r="C3260" s="30"/>
      <c r="D3260" s="30"/>
      <c r="E3260" s="30"/>
      <c r="F3260" s="30"/>
      <c r="G3260" s="30"/>
      <c r="H3260" s="47"/>
      <c r="I3260" s="63"/>
      <c r="J3260" s="31"/>
      <c r="K3260" s="31"/>
      <c r="L3260" s="32"/>
      <c r="M3260" s="32"/>
      <c r="N3260" s="32"/>
    </row>
    <row r="3261" spans="2:14" x14ac:dyDescent="0.25">
      <c r="B3261" s="42"/>
      <c r="C3261" s="30"/>
      <c r="D3261" s="30"/>
      <c r="E3261" s="30"/>
      <c r="F3261" s="30"/>
      <c r="G3261" s="30"/>
      <c r="H3261" s="47"/>
      <c r="I3261" s="63"/>
      <c r="J3261" s="31"/>
      <c r="K3261" s="31"/>
      <c r="L3261" s="32"/>
      <c r="M3261" s="32"/>
      <c r="N3261" s="32"/>
    </row>
    <row r="3262" spans="2:14" x14ac:dyDescent="0.25">
      <c r="B3262" s="42"/>
      <c r="C3262" s="30"/>
      <c r="D3262" s="30"/>
      <c r="E3262" s="30"/>
      <c r="F3262" s="30"/>
      <c r="G3262" s="30"/>
      <c r="H3262" s="47"/>
      <c r="I3262" s="63"/>
      <c r="J3262" s="31"/>
      <c r="K3262" s="31"/>
      <c r="L3262" s="32"/>
      <c r="M3262" s="32"/>
      <c r="N3262" s="32"/>
    </row>
    <row r="3263" spans="2:14" x14ac:dyDescent="0.25">
      <c r="B3263" s="42"/>
      <c r="C3263" s="30"/>
      <c r="D3263" s="30"/>
      <c r="E3263" s="30"/>
      <c r="F3263" s="30"/>
      <c r="G3263" s="30"/>
      <c r="H3263" s="47"/>
      <c r="I3263" s="63"/>
      <c r="J3263" s="31"/>
      <c r="K3263" s="31"/>
      <c r="L3263" s="32"/>
      <c r="M3263" s="32"/>
      <c r="N3263" s="32"/>
    </row>
    <row r="3264" spans="2:14" x14ac:dyDescent="0.25">
      <c r="B3264" s="42"/>
      <c r="C3264" s="30"/>
      <c r="D3264" s="30"/>
      <c r="E3264" s="30"/>
      <c r="F3264" s="30"/>
      <c r="G3264" s="30"/>
      <c r="H3264" s="47"/>
      <c r="I3264" s="63"/>
      <c r="J3264" s="31"/>
      <c r="K3264" s="31"/>
      <c r="L3264" s="32"/>
      <c r="M3264" s="32"/>
      <c r="N3264" s="32"/>
    </row>
    <row r="3265" spans="2:14" x14ac:dyDescent="0.25">
      <c r="B3265" s="42"/>
      <c r="C3265" s="30"/>
      <c r="D3265" s="30"/>
      <c r="E3265" s="30"/>
      <c r="F3265" s="30"/>
      <c r="G3265" s="30"/>
      <c r="H3265" s="47"/>
      <c r="I3265" s="63"/>
      <c r="J3265" s="31"/>
      <c r="K3265" s="31"/>
      <c r="L3265" s="32"/>
      <c r="M3265" s="32"/>
      <c r="N3265" s="32"/>
    </row>
    <row r="3266" spans="2:14" x14ac:dyDescent="0.25">
      <c r="B3266" s="42"/>
      <c r="C3266" s="30"/>
      <c r="D3266" s="30"/>
      <c r="E3266" s="30"/>
      <c r="F3266" s="30"/>
      <c r="G3266" s="30"/>
      <c r="H3266" s="47"/>
      <c r="I3266" s="63"/>
      <c r="J3266" s="31"/>
      <c r="K3266" s="31"/>
      <c r="L3266" s="32"/>
      <c r="M3266" s="32"/>
      <c r="N3266" s="32"/>
    </row>
    <row r="3267" spans="2:14" x14ac:dyDescent="0.25">
      <c r="B3267" s="42"/>
      <c r="C3267" s="30"/>
      <c r="D3267" s="30"/>
      <c r="E3267" s="30"/>
      <c r="F3267" s="30"/>
      <c r="G3267" s="30"/>
      <c r="H3267" s="47"/>
      <c r="I3267" s="63"/>
      <c r="J3267" s="31"/>
      <c r="K3267" s="31"/>
      <c r="L3267" s="32"/>
      <c r="M3267" s="32"/>
      <c r="N3267" s="32"/>
    </row>
    <row r="3268" spans="2:14" x14ac:dyDescent="0.25">
      <c r="B3268" s="42"/>
      <c r="C3268" s="30"/>
      <c r="D3268" s="30"/>
      <c r="E3268" s="30"/>
      <c r="F3268" s="30"/>
      <c r="G3268" s="30"/>
      <c r="H3268" s="47"/>
      <c r="I3268" s="63"/>
      <c r="J3268" s="31"/>
      <c r="K3268" s="31"/>
      <c r="L3268" s="32"/>
      <c r="M3268" s="32"/>
      <c r="N3268" s="32"/>
    </row>
    <row r="3269" spans="2:14" x14ac:dyDescent="0.25">
      <c r="B3269" s="42"/>
      <c r="C3269" s="30"/>
      <c r="D3269" s="30"/>
      <c r="E3269" s="30"/>
      <c r="F3269" s="30"/>
      <c r="G3269" s="30"/>
      <c r="H3269" s="47"/>
      <c r="I3269" s="63"/>
      <c r="J3269" s="31"/>
      <c r="K3269" s="31"/>
      <c r="L3269" s="32"/>
      <c r="M3269" s="32"/>
      <c r="N3269" s="32"/>
    </row>
    <row r="3270" spans="2:14" x14ac:dyDescent="0.25">
      <c r="B3270" s="42"/>
      <c r="C3270" s="30"/>
      <c r="D3270" s="30"/>
      <c r="E3270" s="30"/>
      <c r="F3270" s="30"/>
      <c r="G3270" s="30"/>
      <c r="H3270" s="47"/>
      <c r="I3270" s="63"/>
      <c r="J3270" s="31"/>
      <c r="K3270" s="31"/>
      <c r="L3270" s="32"/>
      <c r="M3270" s="32"/>
      <c r="N3270" s="32"/>
    </row>
    <row r="3271" spans="2:14" x14ac:dyDescent="0.25">
      <c r="B3271" s="42"/>
      <c r="C3271" s="30"/>
      <c r="D3271" s="30"/>
      <c r="E3271" s="30"/>
      <c r="F3271" s="30"/>
      <c r="G3271" s="30"/>
      <c r="H3271" s="47"/>
      <c r="I3271" s="63"/>
      <c r="J3271" s="31"/>
      <c r="K3271" s="31"/>
      <c r="L3271" s="32"/>
      <c r="M3271" s="32"/>
      <c r="N3271" s="32"/>
    </row>
    <row r="3272" spans="2:14" x14ac:dyDescent="0.25">
      <c r="B3272" s="42"/>
      <c r="C3272" s="30"/>
      <c r="D3272" s="30"/>
      <c r="E3272" s="30"/>
      <c r="F3272" s="30"/>
      <c r="G3272" s="30"/>
      <c r="H3272" s="47"/>
      <c r="I3272" s="63"/>
      <c r="J3272" s="31"/>
      <c r="K3272" s="31"/>
      <c r="L3272" s="32"/>
      <c r="M3272" s="32"/>
      <c r="N3272" s="32"/>
    </row>
    <row r="3273" spans="2:14" x14ac:dyDescent="0.25">
      <c r="B3273" s="42"/>
      <c r="C3273" s="30"/>
      <c r="D3273" s="30"/>
      <c r="E3273" s="30"/>
      <c r="F3273" s="30"/>
      <c r="G3273" s="30"/>
      <c r="H3273" s="47"/>
      <c r="I3273" s="63"/>
      <c r="J3273" s="31"/>
      <c r="K3273" s="31"/>
      <c r="L3273" s="32"/>
      <c r="M3273" s="32"/>
      <c r="N3273" s="32"/>
    </row>
    <row r="3274" spans="2:14" x14ac:dyDescent="0.25">
      <c r="B3274" s="42"/>
      <c r="C3274" s="30"/>
      <c r="D3274" s="30"/>
      <c r="E3274" s="30"/>
      <c r="F3274" s="30"/>
      <c r="G3274" s="30"/>
      <c r="H3274" s="47"/>
      <c r="I3274" s="63"/>
      <c r="J3274" s="31"/>
      <c r="K3274" s="31"/>
      <c r="L3274" s="32"/>
      <c r="M3274" s="32"/>
      <c r="N3274" s="32"/>
    </row>
    <row r="3275" spans="2:14" x14ac:dyDescent="0.25">
      <c r="B3275" s="42"/>
      <c r="C3275" s="30"/>
      <c r="D3275" s="30"/>
      <c r="E3275" s="30"/>
      <c r="F3275" s="30"/>
      <c r="G3275" s="30"/>
      <c r="H3275" s="47"/>
      <c r="I3275" s="63"/>
      <c r="J3275" s="31"/>
      <c r="K3275" s="31"/>
      <c r="L3275" s="32"/>
      <c r="M3275" s="32"/>
      <c r="N3275" s="32"/>
    </row>
    <row r="3276" spans="2:14" x14ac:dyDescent="0.25">
      <c r="B3276" s="42"/>
      <c r="C3276" s="30"/>
      <c r="D3276" s="30"/>
      <c r="E3276" s="30"/>
      <c r="F3276" s="30"/>
      <c r="G3276" s="30"/>
      <c r="H3276" s="47"/>
      <c r="I3276" s="63"/>
      <c r="J3276" s="31"/>
      <c r="K3276" s="31"/>
      <c r="L3276" s="32"/>
      <c r="M3276" s="32"/>
      <c r="N3276" s="32"/>
    </row>
    <row r="3277" spans="2:14" x14ac:dyDescent="0.25">
      <c r="B3277" s="42"/>
      <c r="C3277" s="30"/>
      <c r="D3277" s="30"/>
      <c r="E3277" s="30"/>
      <c r="F3277" s="30"/>
      <c r="G3277" s="30"/>
      <c r="H3277" s="47"/>
      <c r="I3277" s="63"/>
      <c r="J3277" s="31"/>
      <c r="K3277" s="31"/>
      <c r="L3277" s="32"/>
      <c r="M3277" s="32"/>
      <c r="N3277" s="32"/>
    </row>
    <row r="3278" spans="2:14" x14ac:dyDescent="0.25">
      <c r="B3278" s="42"/>
      <c r="C3278" s="30"/>
      <c r="D3278" s="30"/>
      <c r="E3278" s="30"/>
      <c r="F3278" s="30"/>
      <c r="G3278" s="30"/>
      <c r="H3278" s="47"/>
      <c r="I3278" s="63"/>
      <c r="J3278" s="31"/>
      <c r="K3278" s="31"/>
      <c r="L3278" s="32"/>
      <c r="M3278" s="32"/>
      <c r="N3278" s="32"/>
    </row>
    <row r="3279" spans="2:14" x14ac:dyDescent="0.25">
      <c r="B3279" s="42"/>
      <c r="C3279" s="30"/>
      <c r="D3279" s="30"/>
      <c r="E3279" s="30"/>
      <c r="F3279" s="30"/>
      <c r="G3279" s="30"/>
      <c r="H3279" s="47"/>
      <c r="I3279" s="63"/>
      <c r="J3279" s="31"/>
      <c r="K3279" s="31"/>
      <c r="L3279" s="32"/>
      <c r="M3279" s="32"/>
      <c r="N3279" s="32"/>
    </row>
    <row r="3280" spans="2:14" x14ac:dyDescent="0.25">
      <c r="B3280" s="42"/>
      <c r="C3280" s="30"/>
      <c r="D3280" s="30"/>
      <c r="E3280" s="30"/>
      <c r="F3280" s="30"/>
      <c r="G3280" s="30"/>
      <c r="H3280" s="47"/>
      <c r="I3280" s="63"/>
      <c r="J3280" s="31"/>
      <c r="K3280" s="31"/>
      <c r="L3280" s="32"/>
      <c r="M3280" s="32"/>
      <c r="N3280" s="32"/>
    </row>
    <row r="3281" spans="2:14" x14ac:dyDescent="0.25">
      <c r="B3281" s="42"/>
      <c r="C3281" s="30"/>
      <c r="D3281" s="30"/>
      <c r="E3281" s="30"/>
      <c r="F3281" s="30"/>
      <c r="G3281" s="30"/>
      <c r="H3281" s="47"/>
      <c r="I3281" s="63"/>
      <c r="J3281" s="31"/>
      <c r="K3281" s="31"/>
      <c r="L3281" s="32"/>
      <c r="M3281" s="32"/>
      <c r="N3281" s="32"/>
    </row>
    <row r="3282" spans="2:14" x14ac:dyDescent="0.25">
      <c r="B3282" s="42"/>
      <c r="C3282" s="30"/>
      <c r="D3282" s="30"/>
      <c r="E3282" s="30"/>
      <c r="F3282" s="30"/>
      <c r="G3282" s="30"/>
      <c r="H3282" s="47"/>
      <c r="I3282" s="63"/>
      <c r="J3282" s="31"/>
      <c r="K3282" s="31"/>
      <c r="L3282" s="32"/>
      <c r="M3282" s="32"/>
      <c r="N3282" s="32"/>
    </row>
    <row r="3283" spans="2:14" x14ac:dyDescent="0.25">
      <c r="B3283" s="42"/>
      <c r="C3283" s="30"/>
      <c r="D3283" s="30"/>
      <c r="E3283" s="30"/>
      <c r="F3283" s="30"/>
      <c r="G3283" s="30"/>
      <c r="H3283" s="47"/>
      <c r="I3283" s="63"/>
      <c r="J3283" s="31"/>
      <c r="K3283" s="31"/>
      <c r="L3283" s="32"/>
      <c r="M3283" s="32"/>
      <c r="N3283" s="32"/>
    </row>
    <row r="3284" spans="2:14" x14ac:dyDescent="0.25">
      <c r="B3284" s="42"/>
      <c r="C3284" s="30"/>
      <c r="D3284" s="30"/>
      <c r="E3284" s="30"/>
      <c r="F3284" s="30"/>
      <c r="G3284" s="30"/>
      <c r="H3284" s="47"/>
      <c r="I3284" s="63"/>
      <c r="J3284" s="31"/>
      <c r="K3284" s="31"/>
      <c r="L3284" s="32"/>
      <c r="M3284" s="32"/>
      <c r="N3284" s="32"/>
    </row>
    <row r="3285" spans="2:14" x14ac:dyDescent="0.25">
      <c r="B3285" s="42"/>
      <c r="C3285" s="30"/>
      <c r="D3285" s="30"/>
      <c r="E3285" s="30"/>
      <c r="F3285" s="30"/>
      <c r="G3285" s="30"/>
      <c r="H3285" s="47"/>
      <c r="I3285" s="63"/>
      <c r="J3285" s="31"/>
      <c r="K3285" s="31"/>
      <c r="L3285" s="32"/>
      <c r="M3285" s="32"/>
      <c r="N3285" s="32"/>
    </row>
    <row r="3286" spans="2:14" x14ac:dyDescent="0.25">
      <c r="B3286" s="42"/>
      <c r="C3286" s="30"/>
      <c r="D3286" s="30"/>
      <c r="E3286" s="30"/>
      <c r="F3286" s="30"/>
      <c r="G3286" s="30"/>
      <c r="H3286" s="47"/>
      <c r="I3286" s="63"/>
      <c r="J3286" s="31"/>
      <c r="K3286" s="31"/>
      <c r="L3286" s="32"/>
      <c r="M3286" s="32"/>
      <c r="N3286" s="32"/>
    </row>
    <row r="3287" spans="2:14" x14ac:dyDescent="0.25">
      <c r="B3287" s="42"/>
      <c r="C3287" s="30"/>
      <c r="D3287" s="30"/>
      <c r="E3287" s="30"/>
      <c r="F3287" s="30"/>
      <c r="G3287" s="30"/>
      <c r="H3287" s="47"/>
      <c r="I3287" s="63"/>
      <c r="J3287" s="31"/>
      <c r="K3287" s="31"/>
      <c r="L3287" s="32"/>
      <c r="M3287" s="32"/>
      <c r="N3287" s="32"/>
    </row>
    <row r="3288" spans="2:14" x14ac:dyDescent="0.25">
      <c r="B3288" s="42"/>
      <c r="C3288" s="30"/>
      <c r="D3288" s="30"/>
      <c r="E3288" s="30"/>
      <c r="F3288" s="30"/>
      <c r="G3288" s="30"/>
      <c r="H3288" s="47"/>
      <c r="I3288" s="63"/>
      <c r="J3288" s="31"/>
      <c r="K3288" s="31"/>
      <c r="L3288" s="32"/>
      <c r="M3288" s="32"/>
      <c r="N3288" s="32"/>
    </row>
    <row r="3289" spans="2:14" x14ac:dyDescent="0.25">
      <c r="B3289" s="42"/>
      <c r="C3289" s="30"/>
      <c r="D3289" s="30"/>
      <c r="E3289" s="30"/>
      <c r="F3289" s="30"/>
      <c r="G3289" s="30"/>
      <c r="H3289" s="47"/>
      <c r="I3289" s="63"/>
      <c r="J3289" s="31"/>
      <c r="K3289" s="31"/>
      <c r="L3289" s="32"/>
      <c r="M3289" s="32"/>
      <c r="N3289" s="32"/>
    </row>
    <row r="3290" spans="2:14" x14ac:dyDescent="0.25">
      <c r="B3290" s="42"/>
      <c r="C3290" s="30"/>
      <c r="D3290" s="30"/>
      <c r="E3290" s="30"/>
      <c r="F3290" s="30"/>
      <c r="G3290" s="30"/>
      <c r="H3290" s="47"/>
      <c r="I3290" s="63"/>
      <c r="J3290" s="31"/>
      <c r="K3290" s="31"/>
      <c r="L3290" s="32"/>
      <c r="M3290" s="32"/>
      <c r="N3290" s="32"/>
    </row>
    <row r="3291" spans="2:14" x14ac:dyDescent="0.25">
      <c r="B3291" s="42"/>
      <c r="C3291" s="30"/>
      <c r="D3291" s="30"/>
      <c r="E3291" s="30"/>
      <c r="F3291" s="30"/>
      <c r="G3291" s="30"/>
      <c r="H3291" s="47"/>
      <c r="I3291" s="63"/>
      <c r="J3291" s="31"/>
      <c r="K3291" s="31"/>
      <c r="L3291" s="32"/>
      <c r="M3291" s="32"/>
      <c r="N3291" s="32"/>
    </row>
    <row r="3292" spans="2:14" x14ac:dyDescent="0.25">
      <c r="B3292" s="42"/>
      <c r="C3292" s="30"/>
      <c r="D3292" s="30"/>
      <c r="E3292" s="30"/>
      <c r="F3292" s="30"/>
      <c r="G3292" s="30"/>
      <c r="H3292" s="47"/>
      <c r="I3292" s="63"/>
      <c r="J3292" s="31"/>
      <c r="K3292" s="31"/>
      <c r="L3292" s="32"/>
      <c r="M3292" s="32"/>
      <c r="N3292" s="32"/>
    </row>
    <row r="3293" spans="2:14" x14ac:dyDescent="0.25">
      <c r="B3293" s="42"/>
      <c r="C3293" s="30"/>
      <c r="D3293" s="30"/>
      <c r="E3293" s="30"/>
      <c r="F3293" s="30"/>
      <c r="G3293" s="30"/>
      <c r="H3293" s="47"/>
      <c r="I3293" s="63"/>
      <c r="J3293" s="31"/>
      <c r="K3293" s="31"/>
      <c r="L3293" s="32"/>
      <c r="M3293" s="32"/>
      <c r="N3293" s="32"/>
    </row>
    <row r="3294" spans="2:14" x14ac:dyDescent="0.25">
      <c r="B3294" s="42"/>
      <c r="C3294" s="30"/>
      <c r="D3294" s="30"/>
      <c r="E3294" s="30"/>
      <c r="F3294" s="30"/>
      <c r="G3294" s="30"/>
      <c r="H3294" s="47"/>
      <c r="I3294" s="63"/>
      <c r="J3294" s="31"/>
      <c r="K3294" s="31"/>
      <c r="L3294" s="32"/>
      <c r="M3294" s="32"/>
      <c r="N3294" s="32"/>
    </row>
    <row r="3295" spans="2:14" x14ac:dyDescent="0.25">
      <c r="B3295" s="42"/>
      <c r="C3295" s="30"/>
      <c r="D3295" s="30"/>
      <c r="E3295" s="30"/>
      <c r="F3295" s="30"/>
      <c r="G3295" s="30"/>
      <c r="H3295" s="47"/>
      <c r="I3295" s="63"/>
      <c r="J3295" s="31"/>
      <c r="K3295" s="31"/>
      <c r="L3295" s="32"/>
      <c r="M3295" s="32"/>
      <c r="N3295" s="32"/>
    </row>
    <row r="3296" spans="2:14" x14ac:dyDescent="0.25">
      <c r="B3296" s="42"/>
      <c r="C3296" s="30"/>
      <c r="D3296" s="30"/>
      <c r="E3296" s="30"/>
      <c r="F3296" s="30"/>
      <c r="G3296" s="30"/>
      <c r="H3296" s="47"/>
      <c r="I3296" s="63"/>
      <c r="J3296" s="31"/>
      <c r="K3296" s="31"/>
      <c r="L3296" s="32"/>
      <c r="M3296" s="32"/>
      <c r="N3296" s="32"/>
    </row>
    <row r="3297" spans="2:14" x14ac:dyDescent="0.25">
      <c r="B3297" s="42"/>
      <c r="C3297" s="30"/>
      <c r="D3297" s="30"/>
      <c r="E3297" s="30"/>
      <c r="F3297" s="30"/>
      <c r="G3297" s="30"/>
      <c r="H3297" s="47"/>
      <c r="I3297" s="63"/>
      <c r="J3297" s="31"/>
      <c r="K3297" s="31"/>
      <c r="L3297" s="32"/>
      <c r="M3297" s="32"/>
      <c r="N3297" s="32"/>
    </row>
    <row r="3298" spans="2:14" x14ac:dyDescent="0.25">
      <c r="B3298" s="42"/>
      <c r="C3298" s="30"/>
      <c r="D3298" s="30"/>
      <c r="E3298" s="30"/>
      <c r="F3298" s="30"/>
      <c r="G3298" s="30"/>
      <c r="H3298" s="47"/>
      <c r="I3298" s="63"/>
      <c r="J3298" s="31"/>
      <c r="K3298" s="31"/>
      <c r="L3298" s="32"/>
      <c r="M3298" s="32"/>
      <c r="N3298" s="32"/>
    </row>
    <row r="3299" spans="2:14" x14ac:dyDescent="0.25">
      <c r="B3299" s="42"/>
      <c r="C3299" s="30"/>
      <c r="D3299" s="30"/>
      <c r="E3299" s="30"/>
      <c r="F3299" s="30"/>
      <c r="G3299" s="30"/>
      <c r="H3299" s="47"/>
      <c r="I3299" s="63"/>
      <c r="J3299" s="31"/>
      <c r="K3299" s="31"/>
      <c r="L3299" s="32"/>
      <c r="M3299" s="32"/>
      <c r="N3299" s="32"/>
    </row>
    <row r="3300" spans="2:14" x14ac:dyDescent="0.25">
      <c r="B3300" s="42"/>
      <c r="C3300" s="30"/>
      <c r="D3300" s="30"/>
      <c r="E3300" s="30"/>
      <c r="F3300" s="30"/>
      <c r="G3300" s="30"/>
      <c r="H3300" s="47"/>
      <c r="I3300" s="63"/>
      <c r="J3300" s="31"/>
      <c r="K3300" s="31"/>
      <c r="L3300" s="32"/>
      <c r="M3300" s="32"/>
      <c r="N3300" s="32"/>
    </row>
    <row r="3301" spans="2:14" x14ac:dyDescent="0.25">
      <c r="B3301" s="42"/>
      <c r="C3301" s="30"/>
      <c r="D3301" s="30"/>
      <c r="E3301" s="30"/>
      <c r="F3301" s="30"/>
      <c r="G3301" s="30"/>
      <c r="H3301" s="47"/>
      <c r="I3301" s="63"/>
      <c r="J3301" s="31"/>
      <c r="K3301" s="31"/>
      <c r="L3301" s="32"/>
      <c r="M3301" s="32"/>
      <c r="N3301" s="32"/>
    </row>
    <row r="3302" spans="2:14" x14ac:dyDescent="0.25">
      <c r="B3302" s="42"/>
      <c r="C3302" s="30"/>
      <c r="D3302" s="30"/>
      <c r="E3302" s="30"/>
      <c r="F3302" s="30"/>
      <c r="G3302" s="30"/>
      <c r="H3302" s="47"/>
      <c r="I3302" s="63"/>
      <c r="J3302" s="31"/>
      <c r="K3302" s="31"/>
      <c r="L3302" s="32"/>
      <c r="M3302" s="32"/>
      <c r="N3302" s="32"/>
    </row>
    <row r="3303" spans="2:14" x14ac:dyDescent="0.25">
      <c r="B3303" s="42"/>
      <c r="C3303" s="30"/>
      <c r="D3303" s="30"/>
      <c r="E3303" s="30"/>
      <c r="F3303" s="30"/>
      <c r="G3303" s="30"/>
      <c r="H3303" s="47"/>
      <c r="I3303" s="63"/>
      <c r="J3303" s="31"/>
      <c r="K3303" s="31"/>
      <c r="L3303" s="32"/>
      <c r="M3303" s="32"/>
      <c r="N3303" s="32"/>
    </row>
    <row r="3304" spans="2:14" x14ac:dyDescent="0.25">
      <c r="B3304" s="42"/>
      <c r="C3304" s="30"/>
      <c r="D3304" s="30"/>
      <c r="E3304" s="30"/>
      <c r="F3304" s="30"/>
      <c r="G3304" s="30"/>
      <c r="H3304" s="47"/>
      <c r="I3304" s="63"/>
      <c r="J3304" s="31"/>
      <c r="K3304" s="31"/>
      <c r="L3304" s="32"/>
      <c r="M3304" s="32"/>
      <c r="N3304" s="32"/>
    </row>
    <row r="3305" spans="2:14" x14ac:dyDescent="0.25">
      <c r="B3305" s="42"/>
      <c r="C3305" s="30"/>
      <c r="D3305" s="30"/>
      <c r="E3305" s="30"/>
      <c r="F3305" s="30"/>
      <c r="G3305" s="30"/>
      <c r="H3305" s="47"/>
      <c r="I3305" s="63"/>
      <c r="J3305" s="31"/>
      <c r="K3305" s="31"/>
      <c r="L3305" s="32"/>
      <c r="M3305" s="32"/>
      <c r="N3305" s="32"/>
    </row>
    <row r="3306" spans="2:14" x14ac:dyDescent="0.25">
      <c r="B3306" s="42"/>
      <c r="C3306" s="30"/>
      <c r="D3306" s="30"/>
      <c r="E3306" s="30"/>
      <c r="F3306" s="30"/>
      <c r="G3306" s="30"/>
      <c r="H3306" s="47"/>
      <c r="I3306" s="63"/>
      <c r="J3306" s="31"/>
      <c r="K3306" s="31"/>
      <c r="L3306" s="32"/>
      <c r="M3306" s="32"/>
      <c r="N3306" s="32"/>
    </row>
    <row r="3307" spans="2:14" x14ac:dyDescent="0.25">
      <c r="B3307" s="42"/>
      <c r="C3307" s="30"/>
      <c r="D3307" s="30"/>
      <c r="E3307" s="30"/>
      <c r="F3307" s="30"/>
      <c r="G3307" s="30"/>
      <c r="H3307" s="47"/>
      <c r="I3307" s="63"/>
      <c r="J3307" s="31"/>
      <c r="K3307" s="31"/>
      <c r="L3307" s="32"/>
      <c r="M3307" s="32"/>
      <c r="N3307" s="32"/>
    </row>
    <row r="3308" spans="2:14" x14ac:dyDescent="0.25">
      <c r="B3308" s="42"/>
      <c r="C3308" s="30"/>
      <c r="D3308" s="30"/>
      <c r="E3308" s="30"/>
      <c r="F3308" s="30"/>
      <c r="G3308" s="30"/>
      <c r="H3308" s="47"/>
      <c r="I3308" s="63"/>
      <c r="J3308" s="31"/>
      <c r="K3308" s="31"/>
      <c r="L3308" s="32"/>
      <c r="M3308" s="32"/>
      <c r="N3308" s="32"/>
    </row>
    <row r="3309" spans="2:14" x14ac:dyDescent="0.25">
      <c r="B3309" s="42"/>
      <c r="C3309" s="30"/>
      <c r="D3309" s="30"/>
      <c r="E3309" s="30"/>
      <c r="F3309" s="30"/>
      <c r="G3309" s="30"/>
      <c r="H3309" s="47"/>
      <c r="I3309" s="63"/>
      <c r="J3309" s="31"/>
      <c r="K3309" s="31"/>
      <c r="L3309" s="32"/>
      <c r="M3309" s="32"/>
      <c r="N3309" s="32"/>
    </row>
    <row r="3310" spans="2:14" x14ac:dyDescent="0.25">
      <c r="B3310" s="42"/>
      <c r="C3310" s="30"/>
      <c r="D3310" s="30"/>
      <c r="E3310" s="30"/>
      <c r="F3310" s="30"/>
      <c r="G3310" s="30"/>
      <c r="H3310" s="47"/>
      <c r="I3310" s="63"/>
      <c r="J3310" s="31"/>
      <c r="K3310" s="31"/>
      <c r="L3310" s="32"/>
      <c r="M3310" s="32"/>
      <c r="N3310" s="32"/>
    </row>
    <row r="3311" spans="2:14" x14ac:dyDescent="0.25">
      <c r="B3311" s="42"/>
      <c r="C3311" s="30"/>
      <c r="D3311" s="30"/>
      <c r="E3311" s="30"/>
      <c r="F3311" s="30"/>
      <c r="G3311" s="30"/>
      <c r="H3311" s="47"/>
      <c r="I3311" s="63"/>
      <c r="J3311" s="31"/>
      <c r="K3311" s="31"/>
      <c r="L3311" s="32"/>
      <c r="M3311" s="32"/>
      <c r="N3311" s="32"/>
    </row>
    <row r="3312" spans="2:14" x14ac:dyDescent="0.25">
      <c r="B3312" s="42"/>
      <c r="C3312" s="30"/>
      <c r="D3312" s="30"/>
      <c r="E3312" s="30"/>
      <c r="F3312" s="30"/>
      <c r="G3312" s="30"/>
      <c r="H3312" s="47"/>
      <c r="I3312" s="63"/>
      <c r="J3312" s="31"/>
      <c r="K3312" s="31"/>
      <c r="L3312" s="32"/>
      <c r="M3312" s="32"/>
      <c r="N3312" s="32"/>
    </row>
    <row r="3313" spans="2:14" x14ac:dyDescent="0.25">
      <c r="B3313" s="42"/>
      <c r="C3313" s="30"/>
      <c r="D3313" s="30"/>
      <c r="E3313" s="30"/>
      <c r="F3313" s="30"/>
      <c r="G3313" s="30"/>
      <c r="H3313" s="47"/>
      <c r="I3313" s="63"/>
      <c r="J3313" s="31"/>
      <c r="K3313" s="31"/>
      <c r="L3313" s="32"/>
      <c r="M3313" s="32"/>
      <c r="N3313" s="32"/>
    </row>
    <row r="3314" spans="2:14" x14ac:dyDescent="0.25">
      <c r="B3314" s="42"/>
      <c r="C3314" s="30"/>
      <c r="D3314" s="30"/>
      <c r="E3314" s="30"/>
      <c r="F3314" s="30"/>
      <c r="G3314" s="30"/>
      <c r="H3314" s="47"/>
      <c r="I3314" s="63"/>
      <c r="J3314" s="31"/>
      <c r="K3314" s="31"/>
      <c r="L3314" s="32"/>
      <c r="M3314" s="32"/>
      <c r="N3314" s="32"/>
    </row>
    <row r="3315" spans="2:14" x14ac:dyDescent="0.25">
      <c r="B3315" s="42"/>
      <c r="C3315" s="30"/>
      <c r="D3315" s="30"/>
      <c r="E3315" s="30"/>
      <c r="F3315" s="30"/>
      <c r="G3315" s="30"/>
      <c r="H3315" s="47"/>
      <c r="I3315" s="63"/>
      <c r="J3315" s="31"/>
      <c r="K3315" s="31"/>
      <c r="L3315" s="32"/>
      <c r="M3315" s="32"/>
      <c r="N3315" s="32"/>
    </row>
    <row r="3316" spans="2:14" x14ac:dyDescent="0.25">
      <c r="B3316" s="42"/>
      <c r="C3316" s="30"/>
      <c r="D3316" s="30"/>
      <c r="E3316" s="30"/>
      <c r="F3316" s="30"/>
      <c r="G3316" s="30"/>
      <c r="H3316" s="47"/>
      <c r="I3316" s="63"/>
      <c r="J3316" s="31"/>
      <c r="K3316" s="31"/>
      <c r="L3316" s="32"/>
      <c r="M3316" s="32"/>
      <c r="N3316" s="32"/>
    </row>
    <row r="3317" spans="2:14" x14ac:dyDescent="0.25">
      <c r="B3317" s="42"/>
      <c r="C3317" s="30"/>
      <c r="D3317" s="30"/>
      <c r="E3317" s="30"/>
      <c r="F3317" s="30"/>
      <c r="G3317" s="30"/>
      <c r="H3317" s="47"/>
      <c r="I3317" s="63"/>
      <c r="J3317" s="31"/>
      <c r="K3317" s="31"/>
      <c r="L3317" s="32"/>
      <c r="M3317" s="32"/>
      <c r="N3317" s="32"/>
    </row>
    <row r="3318" spans="2:14" x14ac:dyDescent="0.25">
      <c r="B3318" s="42"/>
      <c r="C3318" s="30"/>
      <c r="D3318" s="30"/>
      <c r="E3318" s="30"/>
      <c r="F3318" s="30"/>
      <c r="G3318" s="30"/>
      <c r="H3318" s="47"/>
      <c r="I3318" s="63"/>
      <c r="J3318" s="31"/>
      <c r="K3318" s="31"/>
      <c r="L3318" s="32"/>
      <c r="M3318" s="32"/>
      <c r="N3318" s="32"/>
    </row>
    <row r="3319" spans="2:14" x14ac:dyDescent="0.25">
      <c r="B3319" s="42"/>
      <c r="C3319" s="30"/>
      <c r="D3319" s="30"/>
      <c r="E3319" s="30"/>
      <c r="F3319" s="30"/>
      <c r="G3319" s="30"/>
      <c r="H3319" s="47"/>
      <c r="I3319" s="63"/>
      <c r="J3319" s="31"/>
      <c r="K3319" s="31"/>
      <c r="L3319" s="32"/>
      <c r="M3319" s="32"/>
      <c r="N3319" s="32"/>
    </row>
    <row r="3320" spans="2:14" x14ac:dyDescent="0.25">
      <c r="B3320" s="42"/>
      <c r="C3320" s="30"/>
      <c r="D3320" s="30"/>
      <c r="E3320" s="30"/>
      <c r="F3320" s="30"/>
      <c r="G3320" s="30"/>
      <c r="H3320" s="47"/>
      <c r="I3320" s="63"/>
      <c r="J3320" s="31"/>
      <c r="K3320" s="31"/>
      <c r="L3320" s="32"/>
      <c r="M3320" s="32"/>
      <c r="N3320" s="32"/>
    </row>
    <row r="3321" spans="2:14" x14ac:dyDescent="0.25">
      <c r="B3321" s="42"/>
      <c r="C3321" s="30"/>
      <c r="D3321" s="30"/>
      <c r="E3321" s="30"/>
      <c r="F3321" s="30"/>
      <c r="G3321" s="30"/>
      <c r="H3321" s="47"/>
      <c r="I3321" s="63"/>
      <c r="J3321" s="31"/>
      <c r="K3321" s="31"/>
      <c r="L3321" s="32"/>
      <c r="M3321" s="32"/>
      <c r="N3321" s="32"/>
    </row>
    <row r="3322" spans="2:14" x14ac:dyDescent="0.25">
      <c r="B3322" s="42"/>
      <c r="C3322" s="30"/>
      <c r="D3322" s="30"/>
      <c r="E3322" s="30"/>
      <c r="F3322" s="30"/>
      <c r="G3322" s="30"/>
      <c r="H3322" s="47"/>
      <c r="I3322" s="63"/>
      <c r="J3322" s="31"/>
      <c r="K3322" s="31"/>
      <c r="L3322" s="32"/>
      <c r="M3322" s="32"/>
      <c r="N3322" s="32"/>
    </row>
    <row r="3323" spans="2:14" x14ac:dyDescent="0.25">
      <c r="B3323" s="42"/>
      <c r="C3323" s="30"/>
      <c r="D3323" s="30"/>
      <c r="E3323" s="30"/>
      <c r="F3323" s="30"/>
      <c r="G3323" s="30"/>
      <c r="H3323" s="47"/>
      <c r="I3323" s="63"/>
      <c r="J3323" s="31"/>
      <c r="K3323" s="31"/>
      <c r="L3323" s="32"/>
      <c r="M3323" s="32"/>
      <c r="N3323" s="32"/>
    </row>
    <row r="3324" spans="2:14" x14ac:dyDescent="0.25">
      <c r="B3324" s="42"/>
      <c r="C3324" s="30"/>
      <c r="D3324" s="30"/>
      <c r="E3324" s="30"/>
      <c r="F3324" s="30"/>
      <c r="G3324" s="30"/>
      <c r="H3324" s="47"/>
      <c r="I3324" s="63"/>
      <c r="J3324" s="31"/>
      <c r="K3324" s="31"/>
      <c r="L3324" s="32"/>
      <c r="M3324" s="32"/>
      <c r="N3324" s="32"/>
    </row>
    <row r="3325" spans="2:14" x14ac:dyDescent="0.25">
      <c r="B3325" s="42"/>
      <c r="C3325" s="30"/>
      <c r="D3325" s="30"/>
      <c r="E3325" s="30"/>
      <c r="F3325" s="30"/>
      <c r="G3325" s="30"/>
      <c r="H3325" s="47"/>
      <c r="I3325" s="63"/>
      <c r="J3325" s="31"/>
      <c r="K3325" s="31"/>
      <c r="L3325" s="32"/>
      <c r="M3325" s="32"/>
      <c r="N3325" s="32"/>
    </row>
    <row r="3326" spans="2:14" x14ac:dyDescent="0.25">
      <c r="B3326" s="42"/>
      <c r="C3326" s="30"/>
      <c r="D3326" s="30"/>
      <c r="E3326" s="30"/>
      <c r="F3326" s="30"/>
      <c r="G3326" s="30"/>
      <c r="H3326" s="47"/>
      <c r="I3326" s="63"/>
      <c r="J3326" s="31"/>
      <c r="K3326" s="31"/>
      <c r="L3326" s="32"/>
      <c r="M3326" s="32"/>
      <c r="N3326" s="32"/>
    </row>
    <row r="3327" spans="2:14" x14ac:dyDescent="0.25">
      <c r="B3327" s="42"/>
      <c r="C3327" s="30"/>
      <c r="D3327" s="30"/>
      <c r="E3327" s="30"/>
      <c r="F3327" s="30"/>
      <c r="G3327" s="30"/>
      <c r="H3327" s="47"/>
      <c r="I3327" s="63"/>
      <c r="J3327" s="31"/>
      <c r="K3327" s="31"/>
      <c r="L3327" s="32"/>
      <c r="M3327" s="32"/>
      <c r="N3327" s="32"/>
    </row>
    <row r="3328" spans="2:14" x14ac:dyDescent="0.25">
      <c r="B3328" s="42"/>
      <c r="C3328" s="30"/>
      <c r="D3328" s="30"/>
      <c r="E3328" s="30"/>
      <c r="F3328" s="30"/>
      <c r="G3328" s="30"/>
      <c r="H3328" s="47"/>
      <c r="I3328" s="63"/>
      <c r="J3328" s="31"/>
      <c r="K3328" s="31"/>
      <c r="L3328" s="32"/>
      <c r="M3328" s="32"/>
      <c r="N3328" s="32"/>
    </row>
    <row r="3329" spans="2:14" x14ac:dyDescent="0.25">
      <c r="B3329" s="42"/>
      <c r="C3329" s="30"/>
      <c r="D3329" s="30"/>
      <c r="E3329" s="30"/>
      <c r="F3329" s="30"/>
      <c r="G3329" s="30"/>
      <c r="H3329" s="47"/>
      <c r="I3329" s="63"/>
      <c r="J3329" s="31"/>
      <c r="K3329" s="31"/>
      <c r="L3329" s="32"/>
      <c r="M3329" s="32"/>
      <c r="N3329" s="32"/>
    </row>
    <row r="3330" spans="2:14" x14ac:dyDescent="0.25">
      <c r="B3330" s="42"/>
      <c r="C3330" s="30"/>
      <c r="D3330" s="30"/>
      <c r="E3330" s="30"/>
      <c r="F3330" s="30"/>
      <c r="G3330" s="30"/>
      <c r="H3330" s="47"/>
      <c r="I3330" s="63"/>
      <c r="J3330" s="31"/>
      <c r="K3330" s="31"/>
      <c r="L3330" s="32"/>
      <c r="M3330" s="32"/>
      <c r="N3330" s="32"/>
    </row>
    <row r="3331" spans="2:14" x14ac:dyDescent="0.25">
      <c r="B3331" s="42"/>
      <c r="C3331" s="30"/>
      <c r="D3331" s="30"/>
      <c r="E3331" s="30"/>
      <c r="F3331" s="30"/>
      <c r="G3331" s="30"/>
      <c r="H3331" s="47"/>
      <c r="I3331" s="63"/>
      <c r="J3331" s="31"/>
      <c r="K3331" s="31"/>
      <c r="L3331" s="32"/>
      <c r="M3331" s="32"/>
      <c r="N3331" s="32"/>
    </row>
    <row r="3332" spans="2:14" x14ac:dyDescent="0.25">
      <c r="B3332" s="42"/>
      <c r="C3332" s="30"/>
      <c r="D3332" s="30"/>
      <c r="E3332" s="30"/>
      <c r="F3332" s="30"/>
      <c r="G3332" s="30"/>
      <c r="H3332" s="47"/>
      <c r="I3332" s="63"/>
      <c r="J3332" s="31"/>
      <c r="K3332" s="31"/>
      <c r="L3332" s="32"/>
      <c r="M3332" s="32"/>
      <c r="N3332" s="32"/>
    </row>
    <row r="3333" spans="2:14" x14ac:dyDescent="0.25">
      <c r="B3333" s="42"/>
      <c r="C3333" s="30"/>
      <c r="D3333" s="30"/>
      <c r="E3333" s="30"/>
      <c r="F3333" s="30"/>
      <c r="G3333" s="30"/>
      <c r="H3333" s="47"/>
      <c r="I3333" s="63"/>
      <c r="J3333" s="31"/>
      <c r="K3333" s="31"/>
      <c r="L3333" s="32"/>
      <c r="M3333" s="32"/>
      <c r="N3333" s="32"/>
    </row>
    <row r="3334" spans="2:14" x14ac:dyDescent="0.25">
      <c r="B3334" s="42"/>
      <c r="C3334" s="30"/>
      <c r="D3334" s="30"/>
      <c r="E3334" s="30"/>
      <c r="F3334" s="30"/>
      <c r="G3334" s="30"/>
      <c r="H3334" s="47"/>
      <c r="I3334" s="63"/>
      <c r="J3334" s="31"/>
      <c r="K3334" s="31"/>
      <c r="L3334" s="32"/>
      <c r="M3334" s="32"/>
      <c r="N3334" s="32"/>
    </row>
    <row r="3335" spans="2:14" x14ac:dyDescent="0.25">
      <c r="B3335" s="42"/>
      <c r="C3335" s="30"/>
      <c r="D3335" s="30"/>
      <c r="E3335" s="30"/>
      <c r="F3335" s="30"/>
      <c r="G3335" s="30"/>
      <c r="H3335" s="47"/>
      <c r="I3335" s="63"/>
      <c r="J3335" s="31"/>
      <c r="K3335" s="31"/>
      <c r="L3335" s="32"/>
      <c r="M3335" s="32"/>
      <c r="N3335" s="32"/>
    </row>
    <row r="3336" spans="2:14" x14ac:dyDescent="0.25">
      <c r="B3336" s="42"/>
      <c r="C3336" s="30"/>
      <c r="D3336" s="30"/>
      <c r="E3336" s="30"/>
      <c r="F3336" s="30"/>
      <c r="G3336" s="30"/>
      <c r="H3336" s="47"/>
      <c r="I3336" s="63"/>
      <c r="J3336" s="31"/>
      <c r="K3336" s="31"/>
      <c r="L3336" s="32"/>
      <c r="M3336" s="32"/>
      <c r="N3336" s="32"/>
    </row>
    <row r="3337" spans="2:14" x14ac:dyDescent="0.25">
      <c r="B3337" s="42"/>
      <c r="C3337" s="30"/>
      <c r="D3337" s="30"/>
      <c r="E3337" s="30"/>
      <c r="F3337" s="30"/>
      <c r="G3337" s="30"/>
      <c r="H3337" s="47"/>
      <c r="I3337" s="63"/>
      <c r="J3337" s="31"/>
      <c r="K3337" s="31"/>
      <c r="L3337" s="32"/>
      <c r="M3337" s="32"/>
      <c r="N3337" s="32"/>
    </row>
    <row r="3338" spans="2:14" x14ac:dyDescent="0.25">
      <c r="B3338" s="42"/>
      <c r="C3338" s="30"/>
      <c r="D3338" s="30"/>
      <c r="E3338" s="30"/>
      <c r="F3338" s="30"/>
      <c r="G3338" s="30"/>
      <c r="H3338" s="47"/>
      <c r="I3338" s="63"/>
      <c r="J3338" s="31"/>
      <c r="K3338" s="31"/>
      <c r="L3338" s="32"/>
      <c r="M3338" s="32"/>
      <c r="N3338" s="32"/>
    </row>
    <row r="3339" spans="2:14" x14ac:dyDescent="0.25">
      <c r="B3339" s="42"/>
      <c r="C3339" s="30"/>
      <c r="D3339" s="30"/>
      <c r="E3339" s="30"/>
      <c r="F3339" s="30"/>
      <c r="G3339" s="30"/>
      <c r="H3339" s="47"/>
      <c r="I3339" s="63"/>
      <c r="J3339" s="31"/>
      <c r="K3339" s="31"/>
      <c r="L3339" s="32"/>
      <c r="M3339" s="32"/>
      <c r="N3339" s="32"/>
    </row>
    <row r="3340" spans="2:14" x14ac:dyDescent="0.25">
      <c r="B3340" s="42"/>
      <c r="C3340" s="30"/>
      <c r="D3340" s="30"/>
      <c r="E3340" s="30"/>
      <c r="F3340" s="30"/>
      <c r="G3340" s="30"/>
      <c r="H3340" s="47"/>
      <c r="I3340" s="63"/>
      <c r="J3340" s="31"/>
      <c r="K3340" s="31"/>
      <c r="L3340" s="32"/>
      <c r="M3340" s="32"/>
      <c r="N3340" s="32"/>
    </row>
    <row r="3341" spans="2:14" x14ac:dyDescent="0.25">
      <c r="B3341" s="42"/>
      <c r="C3341" s="30"/>
      <c r="D3341" s="30"/>
      <c r="E3341" s="30"/>
      <c r="F3341" s="30"/>
      <c r="G3341" s="30"/>
      <c r="H3341" s="47"/>
      <c r="I3341" s="63"/>
      <c r="J3341" s="31"/>
      <c r="K3341" s="31"/>
      <c r="L3341" s="32"/>
      <c r="M3341" s="32"/>
      <c r="N3341" s="32"/>
    </row>
    <row r="3342" spans="2:14" x14ac:dyDescent="0.25">
      <c r="B3342" s="42"/>
      <c r="C3342" s="30"/>
      <c r="D3342" s="30"/>
      <c r="E3342" s="30"/>
      <c r="F3342" s="30"/>
      <c r="G3342" s="30"/>
      <c r="H3342" s="47"/>
      <c r="I3342" s="63"/>
      <c r="J3342" s="31"/>
      <c r="K3342" s="31"/>
      <c r="L3342" s="32"/>
      <c r="M3342" s="32"/>
      <c r="N3342" s="32"/>
    </row>
    <row r="3343" spans="2:14" x14ac:dyDescent="0.25">
      <c r="B3343" s="42"/>
      <c r="C3343" s="30"/>
      <c r="D3343" s="30"/>
      <c r="E3343" s="30"/>
      <c r="F3343" s="30"/>
      <c r="G3343" s="30"/>
      <c r="H3343" s="47"/>
      <c r="I3343" s="63"/>
      <c r="J3343" s="31"/>
      <c r="K3343" s="31"/>
      <c r="L3343" s="32"/>
      <c r="M3343" s="32"/>
      <c r="N3343" s="32"/>
    </row>
    <row r="3344" spans="2:14" x14ac:dyDescent="0.25">
      <c r="B3344" s="42"/>
      <c r="C3344" s="30"/>
      <c r="D3344" s="30"/>
      <c r="E3344" s="30"/>
      <c r="F3344" s="30"/>
      <c r="G3344" s="30"/>
      <c r="H3344" s="47"/>
      <c r="I3344" s="63"/>
      <c r="J3344" s="31"/>
      <c r="K3344" s="31"/>
      <c r="L3344" s="32"/>
      <c r="M3344" s="32"/>
      <c r="N3344" s="32"/>
    </row>
    <row r="3345" spans="2:14" x14ac:dyDescent="0.25">
      <c r="B3345" s="42"/>
      <c r="C3345" s="30"/>
      <c r="D3345" s="30"/>
      <c r="E3345" s="30"/>
      <c r="F3345" s="30"/>
      <c r="G3345" s="30"/>
      <c r="H3345" s="47"/>
      <c r="I3345" s="63"/>
      <c r="J3345" s="31"/>
      <c r="K3345" s="31"/>
      <c r="L3345" s="32"/>
      <c r="M3345" s="32"/>
      <c r="N3345" s="32"/>
    </row>
    <row r="3346" spans="2:14" x14ac:dyDescent="0.25">
      <c r="B3346" s="42"/>
      <c r="C3346" s="30"/>
      <c r="D3346" s="30"/>
      <c r="E3346" s="30"/>
      <c r="F3346" s="30"/>
      <c r="G3346" s="30"/>
      <c r="H3346" s="47"/>
      <c r="I3346" s="63"/>
      <c r="J3346" s="31"/>
      <c r="K3346" s="31"/>
      <c r="L3346" s="32"/>
      <c r="M3346" s="32"/>
      <c r="N3346" s="32"/>
    </row>
    <row r="3347" spans="2:14" x14ac:dyDescent="0.25">
      <c r="B3347" s="42"/>
      <c r="C3347" s="30"/>
      <c r="D3347" s="30"/>
      <c r="E3347" s="30"/>
      <c r="F3347" s="30"/>
      <c r="G3347" s="30"/>
      <c r="H3347" s="47"/>
      <c r="I3347" s="63"/>
      <c r="J3347" s="31"/>
      <c r="K3347" s="31"/>
      <c r="L3347" s="32"/>
      <c r="M3347" s="32"/>
      <c r="N3347" s="32"/>
    </row>
    <row r="3348" spans="2:14" x14ac:dyDescent="0.25">
      <c r="B3348" s="42"/>
      <c r="C3348" s="30"/>
      <c r="D3348" s="30"/>
      <c r="E3348" s="30"/>
      <c r="F3348" s="30"/>
      <c r="G3348" s="30"/>
      <c r="H3348" s="47"/>
      <c r="I3348" s="63"/>
      <c r="J3348" s="31"/>
      <c r="K3348" s="31"/>
      <c r="L3348" s="32"/>
      <c r="M3348" s="32"/>
      <c r="N3348" s="32"/>
    </row>
    <row r="3349" spans="2:14" x14ac:dyDescent="0.25">
      <c r="B3349" s="42"/>
      <c r="C3349" s="30"/>
      <c r="D3349" s="30"/>
      <c r="E3349" s="30"/>
      <c r="F3349" s="30"/>
      <c r="G3349" s="30"/>
      <c r="H3349" s="47"/>
      <c r="I3349" s="63"/>
      <c r="J3349" s="31"/>
      <c r="K3349" s="31"/>
      <c r="L3349" s="32"/>
      <c r="M3349" s="32"/>
      <c r="N3349" s="32"/>
    </row>
    <row r="3350" spans="2:14" x14ac:dyDescent="0.25">
      <c r="B3350" s="42"/>
      <c r="C3350" s="30"/>
      <c r="D3350" s="30"/>
      <c r="E3350" s="30"/>
      <c r="F3350" s="30"/>
      <c r="G3350" s="30"/>
      <c r="H3350" s="47"/>
      <c r="I3350" s="63"/>
      <c r="J3350" s="31"/>
      <c r="K3350" s="31"/>
      <c r="L3350" s="32"/>
      <c r="M3350" s="32"/>
      <c r="N3350" s="32"/>
    </row>
    <row r="3351" spans="2:14" x14ac:dyDescent="0.25">
      <c r="B3351" s="42"/>
      <c r="C3351" s="30"/>
      <c r="D3351" s="30"/>
      <c r="E3351" s="30"/>
      <c r="F3351" s="30"/>
      <c r="G3351" s="30"/>
      <c r="H3351" s="47"/>
      <c r="I3351" s="63"/>
      <c r="J3351" s="31"/>
      <c r="K3351" s="31"/>
      <c r="L3351" s="32"/>
      <c r="M3351" s="32"/>
      <c r="N3351" s="32"/>
    </row>
    <row r="3352" spans="2:14" x14ac:dyDescent="0.25">
      <c r="B3352" s="42"/>
      <c r="C3352" s="30"/>
      <c r="D3352" s="30"/>
      <c r="E3352" s="30"/>
      <c r="F3352" s="30"/>
      <c r="G3352" s="30"/>
      <c r="H3352" s="47"/>
      <c r="I3352" s="63"/>
      <c r="J3352" s="31"/>
      <c r="K3352" s="31"/>
      <c r="L3352" s="32"/>
      <c r="M3352" s="32"/>
      <c r="N3352" s="32"/>
    </row>
    <row r="3353" spans="2:14" x14ac:dyDescent="0.25">
      <c r="B3353" s="42"/>
      <c r="C3353" s="30"/>
      <c r="D3353" s="30"/>
      <c r="E3353" s="30"/>
      <c r="F3353" s="30"/>
      <c r="G3353" s="30"/>
      <c r="H3353" s="47"/>
      <c r="I3353" s="63"/>
      <c r="J3353" s="31"/>
      <c r="K3353" s="31"/>
      <c r="L3353" s="32"/>
      <c r="M3353" s="32"/>
      <c r="N3353" s="32"/>
    </row>
    <row r="3354" spans="2:14" x14ac:dyDescent="0.25">
      <c r="B3354" s="42"/>
      <c r="C3354" s="30"/>
      <c r="D3354" s="30"/>
      <c r="E3354" s="30"/>
      <c r="F3354" s="30"/>
      <c r="G3354" s="30"/>
      <c r="H3354" s="47"/>
      <c r="I3354" s="63"/>
      <c r="J3354" s="31"/>
      <c r="K3354" s="31"/>
      <c r="L3354" s="32"/>
      <c r="M3354" s="32"/>
      <c r="N3354" s="32"/>
    </row>
    <row r="3355" spans="2:14" x14ac:dyDescent="0.25">
      <c r="B3355" s="42"/>
      <c r="C3355" s="30"/>
      <c r="D3355" s="30"/>
      <c r="E3355" s="30"/>
      <c r="F3355" s="30"/>
      <c r="G3355" s="30"/>
      <c r="H3355" s="47"/>
      <c r="I3355" s="63"/>
      <c r="J3355" s="31"/>
      <c r="K3355" s="31"/>
      <c r="L3355" s="32"/>
      <c r="M3355" s="32"/>
      <c r="N3355" s="32"/>
    </row>
    <row r="3356" spans="2:14" x14ac:dyDescent="0.25">
      <c r="B3356" s="42"/>
      <c r="C3356" s="30"/>
      <c r="D3356" s="30"/>
      <c r="E3356" s="30"/>
      <c r="F3356" s="30"/>
      <c r="G3356" s="30"/>
      <c r="H3356" s="47"/>
      <c r="I3356" s="63"/>
      <c r="J3356" s="31"/>
      <c r="K3356" s="31"/>
      <c r="L3356" s="32"/>
      <c r="M3356" s="32"/>
      <c r="N3356" s="32"/>
    </row>
    <row r="3357" spans="2:14" x14ac:dyDescent="0.25">
      <c r="B3357" s="42"/>
      <c r="C3357" s="30"/>
      <c r="D3357" s="30"/>
      <c r="E3357" s="30"/>
      <c r="F3357" s="30"/>
      <c r="G3357" s="30"/>
      <c r="H3357" s="47"/>
      <c r="I3357" s="63"/>
      <c r="J3357" s="31"/>
      <c r="K3357" s="31"/>
      <c r="L3357" s="32"/>
      <c r="M3357" s="32"/>
      <c r="N3357" s="32"/>
    </row>
    <row r="3358" spans="2:14" x14ac:dyDescent="0.25">
      <c r="B3358" s="42"/>
      <c r="C3358" s="30"/>
      <c r="D3358" s="30"/>
      <c r="E3358" s="30"/>
      <c r="F3358" s="30"/>
      <c r="G3358" s="30"/>
      <c r="H3358" s="47"/>
      <c r="I3358" s="63"/>
      <c r="J3358" s="31"/>
      <c r="K3358" s="31"/>
      <c r="L3358" s="32"/>
      <c r="M3358" s="32"/>
      <c r="N3358" s="32"/>
    </row>
    <row r="3359" spans="2:14" x14ac:dyDescent="0.25">
      <c r="B3359" s="42"/>
      <c r="C3359" s="30"/>
      <c r="D3359" s="30"/>
      <c r="E3359" s="30"/>
      <c r="F3359" s="30"/>
      <c r="G3359" s="30"/>
      <c r="H3359" s="47"/>
      <c r="I3359" s="63"/>
      <c r="J3359" s="31"/>
      <c r="K3359" s="31"/>
      <c r="L3359" s="32"/>
      <c r="M3359" s="32"/>
      <c r="N3359" s="32"/>
    </row>
    <row r="3360" spans="2:14" x14ac:dyDescent="0.25">
      <c r="B3360" s="42"/>
      <c r="C3360" s="30"/>
      <c r="D3360" s="30"/>
      <c r="E3360" s="30"/>
      <c r="F3360" s="30"/>
      <c r="G3360" s="30"/>
      <c r="H3360" s="47"/>
      <c r="I3360" s="63"/>
      <c r="J3360" s="31"/>
      <c r="K3360" s="31"/>
      <c r="L3360" s="32"/>
      <c r="M3360" s="32"/>
      <c r="N3360" s="32"/>
    </row>
    <row r="3361" spans="2:14" x14ac:dyDescent="0.25">
      <c r="B3361" s="42"/>
      <c r="C3361" s="30"/>
      <c r="D3361" s="30"/>
      <c r="E3361" s="30"/>
      <c r="F3361" s="30"/>
      <c r="G3361" s="30"/>
      <c r="H3361" s="47"/>
      <c r="I3361" s="63"/>
      <c r="J3361" s="31"/>
      <c r="K3361" s="31"/>
      <c r="L3361" s="32"/>
      <c r="M3361" s="32"/>
      <c r="N3361" s="32"/>
    </row>
    <row r="3362" spans="2:14" x14ac:dyDescent="0.25">
      <c r="B3362" s="42"/>
      <c r="C3362" s="30"/>
      <c r="D3362" s="30"/>
      <c r="E3362" s="30"/>
      <c r="F3362" s="30"/>
      <c r="G3362" s="30"/>
      <c r="H3362" s="47"/>
      <c r="I3362" s="63"/>
      <c r="J3362" s="31"/>
      <c r="K3362" s="31"/>
      <c r="L3362" s="32"/>
      <c r="M3362" s="32"/>
      <c r="N3362" s="32"/>
    </row>
    <row r="3363" spans="2:14" x14ac:dyDescent="0.25">
      <c r="B3363" s="42"/>
      <c r="C3363" s="30"/>
      <c r="D3363" s="30"/>
      <c r="E3363" s="30"/>
      <c r="F3363" s="30"/>
      <c r="G3363" s="30"/>
      <c r="H3363" s="47"/>
      <c r="I3363" s="63"/>
      <c r="J3363" s="31"/>
      <c r="K3363" s="31"/>
      <c r="L3363" s="32"/>
      <c r="M3363" s="32"/>
      <c r="N3363" s="32"/>
    </row>
    <row r="3364" spans="2:14" x14ac:dyDescent="0.25">
      <c r="B3364" s="42"/>
      <c r="C3364" s="30"/>
      <c r="D3364" s="30"/>
      <c r="E3364" s="30"/>
      <c r="F3364" s="30"/>
      <c r="G3364" s="30"/>
      <c r="H3364" s="47"/>
      <c r="I3364" s="63"/>
      <c r="J3364" s="31"/>
      <c r="K3364" s="31"/>
      <c r="L3364" s="32"/>
      <c r="M3364" s="32"/>
      <c r="N3364" s="32"/>
    </row>
    <row r="3365" spans="2:14" x14ac:dyDescent="0.25">
      <c r="B3365" s="42"/>
      <c r="C3365" s="30"/>
      <c r="D3365" s="30"/>
      <c r="E3365" s="30"/>
      <c r="F3365" s="30"/>
      <c r="G3365" s="30"/>
      <c r="H3365" s="47"/>
      <c r="I3365" s="63"/>
      <c r="J3365" s="31"/>
      <c r="K3365" s="31"/>
      <c r="L3365" s="32"/>
      <c r="M3365" s="32"/>
      <c r="N3365" s="32"/>
    </row>
    <row r="3366" spans="2:14" x14ac:dyDescent="0.25">
      <c r="B3366" s="42"/>
      <c r="C3366" s="30"/>
      <c r="D3366" s="30"/>
      <c r="E3366" s="30"/>
      <c r="F3366" s="30"/>
      <c r="G3366" s="30"/>
      <c r="H3366" s="47"/>
      <c r="I3366" s="63"/>
      <c r="J3366" s="31"/>
      <c r="K3366" s="31"/>
      <c r="L3366" s="32"/>
      <c r="M3366" s="32"/>
      <c r="N3366" s="32"/>
    </row>
    <row r="3367" spans="2:14" x14ac:dyDescent="0.25">
      <c r="B3367" s="42"/>
      <c r="C3367" s="30"/>
      <c r="D3367" s="30"/>
      <c r="E3367" s="30"/>
      <c r="F3367" s="30"/>
      <c r="G3367" s="30"/>
      <c r="H3367" s="47"/>
      <c r="I3367" s="63"/>
      <c r="J3367" s="31"/>
      <c r="K3367" s="31"/>
      <c r="L3367" s="32"/>
      <c r="M3367" s="32"/>
      <c r="N3367" s="32"/>
    </row>
    <row r="3368" spans="2:14" x14ac:dyDescent="0.25">
      <c r="B3368" s="42"/>
      <c r="C3368" s="30"/>
      <c r="D3368" s="30"/>
      <c r="E3368" s="30"/>
      <c r="F3368" s="30"/>
      <c r="G3368" s="30"/>
      <c r="H3368" s="47"/>
      <c r="I3368" s="63"/>
      <c r="J3368" s="31"/>
      <c r="K3368" s="31"/>
      <c r="L3368" s="32"/>
      <c r="M3368" s="32"/>
      <c r="N3368" s="32"/>
    </row>
    <row r="3369" spans="2:14" x14ac:dyDescent="0.25">
      <c r="B3369" s="42"/>
      <c r="C3369" s="30"/>
      <c r="D3369" s="30"/>
      <c r="E3369" s="30"/>
      <c r="F3369" s="30"/>
      <c r="G3369" s="30"/>
      <c r="H3369" s="47"/>
      <c r="I3369" s="63"/>
      <c r="J3369" s="31"/>
      <c r="K3369" s="31"/>
      <c r="L3369" s="32"/>
      <c r="M3369" s="32"/>
      <c r="N3369" s="32"/>
    </row>
    <row r="3370" spans="2:14" x14ac:dyDescent="0.25">
      <c r="B3370" s="42"/>
      <c r="C3370" s="30"/>
      <c r="D3370" s="30"/>
      <c r="E3370" s="30"/>
      <c r="F3370" s="30"/>
      <c r="G3370" s="30"/>
      <c r="H3370" s="47"/>
      <c r="I3370" s="63"/>
      <c r="J3370" s="31"/>
      <c r="K3370" s="31"/>
      <c r="L3370" s="32"/>
      <c r="M3370" s="32"/>
      <c r="N3370" s="32"/>
    </row>
    <row r="3371" spans="2:14" x14ac:dyDescent="0.25">
      <c r="B3371" s="42"/>
      <c r="C3371" s="30"/>
      <c r="D3371" s="30"/>
      <c r="E3371" s="30"/>
      <c r="F3371" s="30"/>
      <c r="G3371" s="30"/>
      <c r="H3371" s="47"/>
      <c r="I3371" s="63"/>
      <c r="J3371" s="31"/>
      <c r="K3371" s="31"/>
      <c r="L3371" s="32"/>
      <c r="M3371" s="32"/>
      <c r="N3371" s="32"/>
    </row>
    <row r="3372" spans="2:14" x14ac:dyDescent="0.25">
      <c r="B3372" s="42"/>
      <c r="C3372" s="30"/>
      <c r="D3372" s="30"/>
      <c r="E3372" s="30"/>
      <c r="F3372" s="30"/>
      <c r="G3372" s="30"/>
      <c r="H3372" s="47"/>
      <c r="I3372" s="63"/>
      <c r="J3372" s="31"/>
      <c r="K3372" s="31"/>
      <c r="L3372" s="32"/>
      <c r="M3372" s="32"/>
      <c r="N3372" s="32"/>
    </row>
    <row r="3373" spans="2:14" x14ac:dyDescent="0.25">
      <c r="B3373" s="42"/>
      <c r="C3373" s="30"/>
      <c r="D3373" s="30"/>
      <c r="E3373" s="30"/>
      <c r="F3373" s="30"/>
      <c r="G3373" s="30"/>
      <c r="H3373" s="47"/>
      <c r="I3373" s="63"/>
      <c r="J3373" s="31"/>
      <c r="K3373" s="31"/>
      <c r="L3373" s="32"/>
      <c r="M3373" s="32"/>
      <c r="N3373" s="32"/>
    </row>
    <row r="3374" spans="2:14" x14ac:dyDescent="0.25">
      <c r="B3374" s="42"/>
      <c r="C3374" s="30"/>
      <c r="D3374" s="30"/>
      <c r="E3374" s="30"/>
      <c r="F3374" s="30"/>
      <c r="G3374" s="30"/>
      <c r="H3374" s="47"/>
      <c r="I3374" s="63"/>
      <c r="J3374" s="31"/>
      <c r="K3374" s="31"/>
      <c r="L3374" s="32"/>
      <c r="M3374" s="32"/>
      <c r="N3374" s="32"/>
    </row>
    <row r="3375" spans="2:14" x14ac:dyDescent="0.25">
      <c r="B3375" s="42"/>
      <c r="C3375" s="30"/>
      <c r="D3375" s="30"/>
      <c r="E3375" s="30"/>
      <c r="F3375" s="30"/>
      <c r="G3375" s="30"/>
      <c r="H3375" s="47"/>
      <c r="I3375" s="63"/>
      <c r="J3375" s="31"/>
      <c r="K3375" s="31"/>
      <c r="L3375" s="32"/>
      <c r="M3375" s="32"/>
      <c r="N3375" s="32"/>
    </row>
    <row r="3376" spans="2:14" x14ac:dyDescent="0.25">
      <c r="B3376" s="42"/>
      <c r="C3376" s="30"/>
      <c r="D3376" s="30"/>
      <c r="E3376" s="30"/>
      <c r="F3376" s="30"/>
      <c r="G3376" s="30"/>
      <c r="H3376" s="47"/>
      <c r="I3376" s="63"/>
      <c r="J3376" s="31"/>
      <c r="K3376" s="31"/>
      <c r="L3376" s="32"/>
      <c r="M3376" s="32"/>
      <c r="N3376" s="32"/>
    </row>
    <row r="3377" spans="2:14" x14ac:dyDescent="0.25">
      <c r="B3377" s="42"/>
      <c r="C3377" s="30"/>
      <c r="D3377" s="30"/>
      <c r="E3377" s="30"/>
      <c r="F3377" s="30"/>
      <c r="G3377" s="30"/>
      <c r="H3377" s="47"/>
      <c r="I3377" s="63"/>
      <c r="J3377" s="31"/>
      <c r="K3377" s="31"/>
      <c r="L3377" s="32"/>
      <c r="M3377" s="32"/>
      <c r="N3377" s="32"/>
    </row>
    <row r="3378" spans="2:14" x14ac:dyDescent="0.25">
      <c r="B3378" s="42"/>
      <c r="C3378" s="30"/>
      <c r="D3378" s="30"/>
      <c r="E3378" s="30"/>
      <c r="F3378" s="30"/>
      <c r="G3378" s="30"/>
      <c r="H3378" s="47"/>
      <c r="I3378" s="63"/>
      <c r="J3378" s="31"/>
      <c r="K3378" s="31"/>
      <c r="L3378" s="32"/>
      <c r="M3378" s="32"/>
      <c r="N3378" s="32"/>
    </row>
    <row r="3379" spans="2:14" x14ac:dyDescent="0.25">
      <c r="B3379" s="42"/>
      <c r="C3379" s="30"/>
      <c r="D3379" s="30"/>
      <c r="E3379" s="30"/>
      <c r="F3379" s="30"/>
      <c r="G3379" s="30"/>
      <c r="H3379" s="47"/>
      <c r="I3379" s="63"/>
      <c r="J3379" s="31"/>
      <c r="K3379" s="31"/>
      <c r="L3379" s="32"/>
      <c r="M3379" s="32"/>
      <c r="N3379" s="32"/>
    </row>
    <row r="3380" spans="2:14" x14ac:dyDescent="0.25">
      <c r="B3380" s="42"/>
      <c r="C3380" s="30"/>
      <c r="D3380" s="30"/>
      <c r="E3380" s="30"/>
      <c r="F3380" s="30"/>
      <c r="G3380" s="30"/>
      <c r="H3380" s="47"/>
      <c r="I3380" s="63"/>
      <c r="J3380" s="31"/>
      <c r="K3380" s="31"/>
      <c r="L3380" s="32"/>
      <c r="M3380" s="32"/>
      <c r="N3380" s="32"/>
    </row>
    <row r="3381" spans="2:14" x14ac:dyDescent="0.25">
      <c r="B3381" s="42"/>
      <c r="C3381" s="30"/>
      <c r="D3381" s="30"/>
      <c r="E3381" s="30"/>
      <c r="F3381" s="30"/>
      <c r="G3381" s="30"/>
      <c r="H3381" s="47"/>
      <c r="I3381" s="63"/>
      <c r="J3381" s="31"/>
      <c r="K3381" s="31"/>
      <c r="L3381" s="32"/>
      <c r="M3381" s="32"/>
      <c r="N3381" s="32"/>
    </row>
    <row r="3382" spans="2:14" x14ac:dyDescent="0.25">
      <c r="B3382" s="42"/>
      <c r="C3382" s="30"/>
      <c r="D3382" s="30"/>
      <c r="E3382" s="30"/>
      <c r="F3382" s="30"/>
      <c r="G3382" s="30"/>
      <c r="H3382" s="47"/>
      <c r="I3382" s="63"/>
      <c r="J3382" s="31"/>
      <c r="K3382" s="31"/>
      <c r="L3382" s="32"/>
      <c r="M3382" s="32"/>
      <c r="N3382" s="32"/>
    </row>
    <row r="3383" spans="2:14" x14ac:dyDescent="0.25">
      <c r="B3383" s="42"/>
      <c r="C3383" s="30"/>
      <c r="D3383" s="30"/>
      <c r="E3383" s="30"/>
      <c r="F3383" s="30"/>
      <c r="G3383" s="30"/>
      <c r="H3383" s="47"/>
      <c r="I3383" s="63"/>
      <c r="J3383" s="31"/>
      <c r="K3383" s="31"/>
      <c r="L3383" s="32"/>
      <c r="M3383" s="32"/>
      <c r="N3383" s="32"/>
    </row>
    <row r="3384" spans="2:14" x14ac:dyDescent="0.25">
      <c r="B3384" s="42"/>
      <c r="C3384" s="30"/>
      <c r="D3384" s="30"/>
      <c r="E3384" s="30"/>
      <c r="F3384" s="30"/>
      <c r="G3384" s="30"/>
      <c r="H3384" s="47"/>
      <c r="I3384" s="63"/>
      <c r="J3384" s="31"/>
      <c r="K3384" s="31"/>
      <c r="L3384" s="32"/>
      <c r="M3384" s="32"/>
      <c r="N3384" s="32"/>
    </row>
    <row r="3385" spans="2:14" x14ac:dyDescent="0.25">
      <c r="B3385" s="42"/>
      <c r="C3385" s="30"/>
      <c r="D3385" s="30"/>
      <c r="E3385" s="30"/>
      <c r="F3385" s="30"/>
      <c r="G3385" s="30"/>
      <c r="H3385" s="47"/>
      <c r="I3385" s="63"/>
      <c r="J3385" s="31"/>
      <c r="K3385" s="31"/>
      <c r="L3385" s="32"/>
      <c r="M3385" s="32"/>
      <c r="N3385" s="32"/>
    </row>
    <row r="3386" spans="2:14" x14ac:dyDescent="0.25">
      <c r="B3386" s="42"/>
      <c r="C3386" s="30"/>
      <c r="D3386" s="30"/>
      <c r="E3386" s="30"/>
      <c r="F3386" s="30"/>
      <c r="G3386" s="30"/>
      <c r="H3386" s="47"/>
      <c r="I3386" s="63"/>
      <c r="J3386" s="31"/>
      <c r="K3386" s="31"/>
      <c r="L3386" s="32"/>
      <c r="M3386" s="32"/>
      <c r="N3386" s="32"/>
    </row>
    <row r="3387" spans="2:14" x14ac:dyDescent="0.25">
      <c r="B3387" s="42"/>
      <c r="C3387" s="30"/>
      <c r="D3387" s="30"/>
      <c r="E3387" s="30"/>
      <c r="F3387" s="30"/>
      <c r="G3387" s="30"/>
      <c r="H3387" s="47"/>
      <c r="I3387" s="63"/>
      <c r="J3387" s="31"/>
      <c r="K3387" s="31"/>
      <c r="L3387" s="32"/>
      <c r="M3387" s="32"/>
      <c r="N3387" s="32"/>
    </row>
    <row r="3388" spans="2:14" x14ac:dyDescent="0.25">
      <c r="B3388" s="42"/>
      <c r="C3388" s="30"/>
      <c r="D3388" s="30"/>
      <c r="E3388" s="30"/>
      <c r="F3388" s="30"/>
      <c r="G3388" s="30"/>
      <c r="H3388" s="47"/>
      <c r="I3388" s="63"/>
      <c r="J3388" s="31"/>
      <c r="K3388" s="31"/>
      <c r="L3388" s="32"/>
      <c r="M3388" s="32"/>
      <c r="N3388" s="32"/>
    </row>
    <row r="3389" spans="2:14" x14ac:dyDescent="0.25">
      <c r="B3389" s="42"/>
      <c r="C3389" s="30"/>
      <c r="D3389" s="30"/>
      <c r="E3389" s="30"/>
      <c r="F3389" s="30"/>
      <c r="G3389" s="30"/>
      <c r="H3389" s="47"/>
      <c r="I3389" s="63"/>
      <c r="J3389" s="31"/>
      <c r="K3389" s="31"/>
      <c r="L3389" s="32"/>
      <c r="M3389" s="32"/>
      <c r="N3389" s="32"/>
    </row>
    <row r="3390" spans="2:14" x14ac:dyDescent="0.25">
      <c r="B3390" s="42"/>
      <c r="C3390" s="30"/>
      <c r="D3390" s="30"/>
      <c r="E3390" s="30"/>
      <c r="F3390" s="30"/>
      <c r="G3390" s="30"/>
      <c r="H3390" s="47"/>
      <c r="I3390" s="63"/>
      <c r="J3390" s="31"/>
      <c r="K3390" s="31"/>
      <c r="L3390" s="32"/>
      <c r="M3390" s="32"/>
      <c r="N3390" s="32"/>
    </row>
    <row r="3391" spans="2:14" x14ac:dyDescent="0.25">
      <c r="B3391" s="42"/>
      <c r="C3391" s="30"/>
      <c r="D3391" s="30"/>
      <c r="E3391" s="30"/>
      <c r="F3391" s="30"/>
      <c r="G3391" s="30"/>
      <c r="H3391" s="47"/>
      <c r="I3391" s="63"/>
      <c r="J3391" s="31"/>
      <c r="K3391" s="31"/>
      <c r="L3391" s="32"/>
      <c r="M3391" s="32"/>
      <c r="N3391" s="32"/>
    </row>
    <row r="3392" spans="2:14" x14ac:dyDescent="0.25">
      <c r="B3392" s="42"/>
      <c r="C3392" s="30"/>
      <c r="D3392" s="30"/>
      <c r="E3392" s="30"/>
      <c r="F3392" s="30"/>
      <c r="G3392" s="30"/>
      <c r="H3392" s="47"/>
      <c r="I3392" s="63"/>
      <c r="J3392" s="31"/>
      <c r="K3392" s="31"/>
      <c r="L3392" s="32"/>
      <c r="M3392" s="32"/>
      <c r="N3392" s="32"/>
    </row>
    <row r="3393" spans="2:14" x14ac:dyDescent="0.25">
      <c r="B3393" s="42"/>
      <c r="C3393" s="30"/>
      <c r="D3393" s="30"/>
      <c r="E3393" s="30"/>
      <c r="F3393" s="30"/>
      <c r="G3393" s="30"/>
      <c r="H3393" s="47"/>
      <c r="I3393" s="63"/>
      <c r="J3393" s="31"/>
      <c r="K3393" s="31"/>
      <c r="L3393" s="32"/>
      <c r="M3393" s="32"/>
      <c r="N3393" s="32"/>
    </row>
    <row r="3394" spans="2:14" x14ac:dyDescent="0.25">
      <c r="B3394" s="42"/>
      <c r="C3394" s="30"/>
      <c r="D3394" s="30"/>
      <c r="E3394" s="30"/>
      <c r="F3394" s="30"/>
      <c r="G3394" s="30"/>
      <c r="H3394" s="47"/>
      <c r="I3394" s="63"/>
      <c r="J3394" s="31"/>
      <c r="K3394" s="31"/>
      <c r="L3394" s="32"/>
      <c r="M3394" s="32"/>
      <c r="N3394" s="32"/>
    </row>
    <row r="3395" spans="2:14" x14ac:dyDescent="0.25">
      <c r="B3395" s="42"/>
      <c r="C3395" s="30"/>
      <c r="D3395" s="30"/>
      <c r="E3395" s="30"/>
      <c r="F3395" s="30"/>
      <c r="G3395" s="30"/>
      <c r="H3395" s="47"/>
      <c r="I3395" s="63"/>
      <c r="J3395" s="31"/>
      <c r="K3395" s="31"/>
      <c r="L3395" s="32"/>
      <c r="M3395" s="32"/>
      <c r="N3395" s="32"/>
    </row>
    <row r="3396" spans="2:14" x14ac:dyDescent="0.25">
      <c r="B3396" s="42"/>
      <c r="C3396" s="30"/>
      <c r="D3396" s="30"/>
      <c r="E3396" s="30"/>
      <c r="F3396" s="30"/>
      <c r="G3396" s="30"/>
      <c r="H3396" s="47"/>
      <c r="I3396" s="63"/>
      <c r="J3396" s="31"/>
      <c r="K3396" s="31"/>
      <c r="L3396" s="32"/>
      <c r="M3396" s="32"/>
      <c r="N3396" s="32"/>
    </row>
    <row r="3397" spans="2:14" x14ac:dyDescent="0.25">
      <c r="B3397" s="42"/>
      <c r="C3397" s="30"/>
      <c r="D3397" s="30"/>
      <c r="E3397" s="30"/>
      <c r="F3397" s="30"/>
      <c r="G3397" s="30"/>
      <c r="H3397" s="47"/>
      <c r="I3397" s="63"/>
      <c r="J3397" s="31"/>
      <c r="K3397" s="31"/>
      <c r="L3397" s="32"/>
      <c r="M3397" s="32"/>
      <c r="N3397" s="32"/>
    </row>
    <row r="3398" spans="2:14" x14ac:dyDescent="0.25">
      <c r="B3398" s="42"/>
      <c r="C3398" s="30"/>
      <c r="D3398" s="30"/>
      <c r="E3398" s="30"/>
      <c r="F3398" s="30"/>
      <c r="G3398" s="30"/>
      <c r="H3398" s="47"/>
      <c r="I3398" s="63"/>
      <c r="J3398" s="31"/>
      <c r="K3398" s="31"/>
      <c r="L3398" s="32"/>
      <c r="M3398" s="32"/>
      <c r="N3398" s="32"/>
    </row>
    <row r="3399" spans="2:14" x14ac:dyDescent="0.25">
      <c r="B3399" s="42"/>
      <c r="C3399" s="30"/>
      <c r="D3399" s="30"/>
      <c r="E3399" s="30"/>
      <c r="F3399" s="30"/>
      <c r="G3399" s="30"/>
      <c r="H3399" s="47"/>
      <c r="I3399" s="63"/>
      <c r="J3399" s="31"/>
      <c r="K3399" s="31"/>
      <c r="L3399" s="32"/>
      <c r="M3399" s="32"/>
      <c r="N3399" s="32"/>
    </row>
    <row r="3400" spans="2:14" x14ac:dyDescent="0.25">
      <c r="B3400" s="42"/>
      <c r="C3400" s="30"/>
      <c r="D3400" s="30"/>
      <c r="E3400" s="30"/>
      <c r="F3400" s="30"/>
      <c r="G3400" s="30"/>
      <c r="H3400" s="47"/>
      <c r="I3400" s="63"/>
      <c r="J3400" s="31"/>
      <c r="K3400" s="31"/>
      <c r="L3400" s="32"/>
      <c r="M3400" s="32"/>
      <c r="N3400" s="32"/>
    </row>
    <row r="3401" spans="2:14" x14ac:dyDescent="0.25">
      <c r="B3401" s="42"/>
      <c r="C3401" s="30"/>
      <c r="D3401" s="30"/>
      <c r="E3401" s="30"/>
      <c r="F3401" s="30"/>
      <c r="G3401" s="30"/>
      <c r="H3401" s="47"/>
      <c r="I3401" s="63"/>
      <c r="J3401" s="31"/>
      <c r="K3401" s="31"/>
      <c r="L3401" s="32"/>
      <c r="M3401" s="32"/>
      <c r="N3401" s="32"/>
    </row>
    <row r="3402" spans="2:14" x14ac:dyDescent="0.25">
      <c r="B3402" s="42"/>
      <c r="C3402" s="30"/>
      <c r="D3402" s="30"/>
      <c r="E3402" s="30"/>
      <c r="F3402" s="30"/>
      <c r="G3402" s="30"/>
      <c r="H3402" s="47"/>
      <c r="I3402" s="63"/>
      <c r="J3402" s="31"/>
      <c r="K3402" s="31"/>
      <c r="L3402" s="32"/>
      <c r="M3402" s="32"/>
      <c r="N3402" s="32"/>
    </row>
    <row r="3403" spans="2:14" x14ac:dyDescent="0.25">
      <c r="B3403" s="42"/>
      <c r="C3403" s="30"/>
      <c r="D3403" s="30"/>
      <c r="E3403" s="30"/>
      <c r="F3403" s="30"/>
      <c r="G3403" s="30"/>
      <c r="H3403" s="47"/>
      <c r="I3403" s="63"/>
      <c r="J3403" s="31"/>
      <c r="K3403" s="31"/>
      <c r="L3403" s="32"/>
      <c r="M3403" s="32"/>
      <c r="N3403" s="32"/>
    </row>
    <row r="3404" spans="2:14" x14ac:dyDescent="0.25">
      <c r="B3404" s="42"/>
      <c r="C3404" s="30"/>
      <c r="D3404" s="30"/>
      <c r="E3404" s="30"/>
      <c r="F3404" s="30"/>
      <c r="G3404" s="30"/>
      <c r="H3404" s="47"/>
      <c r="I3404" s="63"/>
      <c r="J3404" s="31"/>
      <c r="K3404" s="31"/>
      <c r="L3404" s="32"/>
      <c r="M3404" s="32"/>
      <c r="N3404" s="32"/>
    </row>
    <row r="3405" spans="2:14" x14ac:dyDescent="0.25">
      <c r="B3405" s="42"/>
      <c r="C3405" s="30"/>
      <c r="D3405" s="30"/>
      <c r="E3405" s="30"/>
      <c r="F3405" s="30"/>
      <c r="G3405" s="30"/>
      <c r="H3405" s="47"/>
      <c r="I3405" s="63"/>
      <c r="J3405" s="31"/>
      <c r="K3405" s="31"/>
      <c r="L3405" s="32"/>
      <c r="M3405" s="32"/>
      <c r="N3405" s="32"/>
    </row>
    <row r="3406" spans="2:14" x14ac:dyDescent="0.25">
      <c r="B3406" s="42"/>
      <c r="C3406" s="30"/>
      <c r="D3406" s="30"/>
      <c r="E3406" s="30"/>
      <c r="F3406" s="30"/>
      <c r="G3406" s="30"/>
      <c r="H3406" s="47"/>
      <c r="I3406" s="63"/>
      <c r="J3406" s="31"/>
      <c r="K3406" s="31"/>
      <c r="L3406" s="32"/>
      <c r="M3406" s="32"/>
      <c r="N3406" s="32"/>
    </row>
    <row r="3407" spans="2:14" x14ac:dyDescent="0.25">
      <c r="B3407" s="42"/>
      <c r="C3407" s="30"/>
      <c r="D3407" s="30"/>
      <c r="E3407" s="30"/>
      <c r="F3407" s="30"/>
      <c r="G3407" s="30"/>
      <c r="H3407" s="47"/>
      <c r="I3407" s="63"/>
      <c r="J3407" s="31"/>
      <c r="K3407" s="31"/>
      <c r="L3407" s="32"/>
      <c r="M3407" s="32"/>
      <c r="N3407" s="32"/>
    </row>
    <row r="3408" spans="2:14" x14ac:dyDescent="0.25">
      <c r="B3408" s="42"/>
      <c r="C3408" s="30"/>
      <c r="D3408" s="30"/>
      <c r="E3408" s="30"/>
      <c r="F3408" s="30"/>
      <c r="G3408" s="30"/>
      <c r="H3408" s="47"/>
      <c r="I3408" s="63"/>
      <c r="J3408" s="31"/>
      <c r="K3408" s="31"/>
      <c r="L3408" s="32"/>
      <c r="M3408" s="32"/>
      <c r="N3408" s="32"/>
    </row>
    <row r="3409" spans="2:14" x14ac:dyDescent="0.25">
      <c r="B3409" s="42"/>
      <c r="C3409" s="30"/>
      <c r="D3409" s="30"/>
      <c r="E3409" s="30"/>
      <c r="F3409" s="30"/>
      <c r="G3409" s="30"/>
      <c r="H3409" s="47"/>
      <c r="I3409" s="63"/>
      <c r="J3409" s="31"/>
      <c r="K3409" s="31"/>
      <c r="L3409" s="32"/>
      <c r="M3409" s="32"/>
      <c r="N3409" s="32"/>
    </row>
    <row r="3410" spans="2:14" x14ac:dyDescent="0.25">
      <c r="B3410" s="42"/>
      <c r="C3410" s="30"/>
      <c r="D3410" s="30"/>
      <c r="E3410" s="30"/>
      <c r="F3410" s="30"/>
      <c r="G3410" s="30"/>
      <c r="H3410" s="47"/>
      <c r="I3410" s="63"/>
      <c r="J3410" s="31"/>
      <c r="K3410" s="31"/>
      <c r="L3410" s="32"/>
      <c r="M3410" s="32"/>
      <c r="N3410" s="32"/>
    </row>
    <row r="3411" spans="2:14" x14ac:dyDescent="0.25">
      <c r="B3411" s="42"/>
      <c r="C3411" s="30"/>
      <c r="D3411" s="30"/>
      <c r="E3411" s="30"/>
      <c r="F3411" s="30"/>
      <c r="G3411" s="30"/>
      <c r="H3411" s="47"/>
      <c r="I3411" s="63"/>
      <c r="J3411" s="31"/>
      <c r="K3411" s="31"/>
      <c r="L3411" s="32"/>
      <c r="M3411" s="32"/>
      <c r="N3411" s="32"/>
    </row>
    <row r="3412" spans="2:14" x14ac:dyDescent="0.25">
      <c r="B3412" s="42"/>
      <c r="C3412" s="30"/>
      <c r="D3412" s="30"/>
      <c r="E3412" s="30"/>
      <c r="F3412" s="30"/>
      <c r="G3412" s="30"/>
      <c r="H3412" s="47"/>
      <c r="I3412" s="63"/>
      <c r="J3412" s="31"/>
      <c r="K3412" s="31"/>
      <c r="L3412" s="32"/>
      <c r="M3412" s="32"/>
      <c r="N3412" s="32"/>
    </row>
    <row r="3413" spans="2:14" x14ac:dyDescent="0.25">
      <c r="B3413" s="42"/>
      <c r="C3413" s="30"/>
      <c r="D3413" s="30"/>
      <c r="E3413" s="30"/>
      <c r="F3413" s="30"/>
      <c r="G3413" s="30"/>
      <c r="H3413" s="47"/>
      <c r="I3413" s="63"/>
      <c r="J3413" s="31"/>
      <c r="K3413" s="31"/>
      <c r="L3413" s="32"/>
      <c r="M3413" s="32"/>
      <c r="N3413" s="32"/>
    </row>
    <row r="3414" spans="2:14" x14ac:dyDescent="0.25">
      <c r="B3414" s="42"/>
      <c r="C3414" s="30"/>
      <c r="D3414" s="30"/>
      <c r="E3414" s="30"/>
      <c r="F3414" s="30"/>
      <c r="G3414" s="30"/>
      <c r="H3414" s="47"/>
      <c r="I3414" s="63"/>
      <c r="J3414" s="31"/>
      <c r="K3414" s="31"/>
      <c r="L3414" s="32"/>
      <c r="M3414" s="32"/>
      <c r="N3414" s="32"/>
    </row>
    <row r="3415" spans="2:14" x14ac:dyDescent="0.25">
      <c r="B3415" s="42"/>
      <c r="C3415" s="30"/>
      <c r="D3415" s="30"/>
      <c r="E3415" s="30"/>
      <c r="F3415" s="30"/>
      <c r="G3415" s="30"/>
      <c r="H3415" s="47"/>
      <c r="I3415" s="63"/>
      <c r="J3415" s="31"/>
      <c r="K3415" s="31"/>
      <c r="L3415" s="32"/>
      <c r="M3415" s="32"/>
      <c r="N3415" s="32"/>
    </row>
    <row r="3416" spans="2:14" x14ac:dyDescent="0.25">
      <c r="B3416" s="42"/>
      <c r="C3416" s="30"/>
      <c r="D3416" s="30"/>
      <c r="E3416" s="30"/>
      <c r="F3416" s="30"/>
      <c r="G3416" s="30"/>
      <c r="H3416" s="47"/>
      <c r="I3416" s="63"/>
      <c r="J3416" s="31"/>
      <c r="K3416" s="31"/>
      <c r="L3416" s="32"/>
      <c r="M3416" s="32"/>
      <c r="N3416" s="32"/>
    </row>
    <row r="3417" spans="2:14" x14ac:dyDescent="0.25">
      <c r="B3417" s="42"/>
      <c r="C3417" s="30"/>
      <c r="D3417" s="30"/>
      <c r="E3417" s="30"/>
      <c r="F3417" s="30"/>
      <c r="G3417" s="30"/>
      <c r="H3417" s="47"/>
      <c r="I3417" s="63"/>
      <c r="J3417" s="31"/>
      <c r="K3417" s="31"/>
      <c r="L3417" s="32"/>
      <c r="M3417" s="32"/>
      <c r="N3417" s="32"/>
    </row>
    <row r="3418" spans="2:14" x14ac:dyDescent="0.25">
      <c r="B3418" s="42"/>
      <c r="C3418" s="30"/>
      <c r="D3418" s="30"/>
      <c r="E3418" s="30"/>
      <c r="F3418" s="30"/>
      <c r="G3418" s="30"/>
      <c r="H3418" s="47"/>
      <c r="I3418" s="63"/>
      <c r="J3418" s="31"/>
      <c r="K3418" s="31"/>
      <c r="L3418" s="32"/>
      <c r="M3418" s="32"/>
      <c r="N3418" s="32"/>
    </row>
    <row r="3419" spans="2:14" x14ac:dyDescent="0.25">
      <c r="B3419" s="42"/>
      <c r="C3419" s="30"/>
      <c r="D3419" s="30"/>
      <c r="E3419" s="30"/>
      <c r="F3419" s="30"/>
      <c r="G3419" s="30"/>
      <c r="H3419" s="47"/>
      <c r="I3419" s="63"/>
      <c r="J3419" s="31"/>
      <c r="K3419" s="31"/>
      <c r="L3419" s="32"/>
      <c r="M3419" s="32"/>
      <c r="N3419" s="32"/>
    </row>
    <row r="3420" spans="2:14" x14ac:dyDescent="0.25">
      <c r="B3420" s="42"/>
      <c r="C3420" s="30"/>
      <c r="D3420" s="30"/>
      <c r="E3420" s="30"/>
      <c r="F3420" s="30"/>
      <c r="G3420" s="30"/>
      <c r="H3420" s="47"/>
      <c r="I3420" s="63"/>
      <c r="J3420" s="31"/>
      <c r="K3420" s="31"/>
      <c r="L3420" s="32"/>
      <c r="M3420" s="32"/>
      <c r="N3420" s="32"/>
    </row>
    <row r="3421" spans="2:14" x14ac:dyDescent="0.25">
      <c r="B3421" s="42"/>
      <c r="C3421" s="30"/>
      <c r="D3421" s="30"/>
      <c r="E3421" s="30"/>
      <c r="F3421" s="30"/>
      <c r="G3421" s="30"/>
      <c r="H3421" s="47"/>
      <c r="I3421" s="63"/>
      <c r="J3421" s="31"/>
      <c r="K3421" s="31"/>
      <c r="L3421" s="32"/>
      <c r="M3421" s="32"/>
      <c r="N3421" s="32"/>
    </row>
    <row r="3422" spans="2:14" x14ac:dyDescent="0.25">
      <c r="B3422" s="42"/>
      <c r="C3422" s="30"/>
      <c r="D3422" s="30"/>
      <c r="E3422" s="30"/>
      <c r="F3422" s="30"/>
      <c r="G3422" s="30"/>
      <c r="H3422" s="47"/>
      <c r="I3422" s="63"/>
      <c r="J3422" s="31"/>
      <c r="K3422" s="31"/>
      <c r="L3422" s="32"/>
      <c r="M3422" s="32"/>
      <c r="N3422" s="32"/>
    </row>
    <row r="3423" spans="2:14" x14ac:dyDescent="0.25">
      <c r="B3423" s="42"/>
      <c r="C3423" s="30"/>
      <c r="D3423" s="30"/>
      <c r="E3423" s="30"/>
      <c r="F3423" s="30"/>
      <c r="G3423" s="30"/>
      <c r="H3423" s="47"/>
      <c r="I3423" s="63"/>
      <c r="J3423" s="31"/>
      <c r="K3423" s="31"/>
      <c r="L3423" s="32"/>
      <c r="M3423" s="32"/>
      <c r="N3423" s="32"/>
    </row>
    <row r="3424" spans="2:14" x14ac:dyDescent="0.25">
      <c r="B3424" s="42"/>
      <c r="C3424" s="30"/>
      <c r="D3424" s="30"/>
      <c r="E3424" s="30"/>
      <c r="F3424" s="30"/>
      <c r="G3424" s="30"/>
      <c r="H3424" s="47"/>
      <c r="I3424" s="63"/>
      <c r="J3424" s="31"/>
      <c r="K3424" s="31"/>
      <c r="L3424" s="32"/>
      <c r="M3424" s="32"/>
      <c r="N3424" s="32"/>
    </row>
    <row r="3425" spans="2:14" x14ac:dyDescent="0.25">
      <c r="B3425" s="42"/>
      <c r="C3425" s="30"/>
      <c r="D3425" s="30"/>
      <c r="E3425" s="30"/>
      <c r="F3425" s="30"/>
      <c r="G3425" s="30"/>
      <c r="H3425" s="47"/>
      <c r="I3425" s="63"/>
      <c r="J3425" s="31"/>
      <c r="K3425" s="31"/>
      <c r="L3425" s="32"/>
      <c r="M3425" s="32"/>
      <c r="N3425" s="32"/>
    </row>
    <row r="3426" spans="2:14" x14ac:dyDescent="0.25">
      <c r="B3426" s="42"/>
      <c r="C3426" s="30"/>
      <c r="D3426" s="30"/>
      <c r="E3426" s="30"/>
      <c r="F3426" s="30"/>
      <c r="G3426" s="30"/>
      <c r="H3426" s="47"/>
      <c r="I3426" s="63"/>
      <c r="J3426" s="31"/>
      <c r="K3426" s="31"/>
      <c r="L3426" s="32"/>
      <c r="M3426" s="32"/>
      <c r="N3426" s="32"/>
    </row>
    <row r="3427" spans="2:14" x14ac:dyDescent="0.25">
      <c r="B3427" s="42"/>
      <c r="C3427" s="30"/>
      <c r="D3427" s="30"/>
      <c r="E3427" s="30"/>
      <c r="F3427" s="30"/>
      <c r="G3427" s="30"/>
      <c r="H3427" s="47"/>
      <c r="I3427" s="63"/>
      <c r="J3427" s="31"/>
      <c r="K3427" s="31"/>
      <c r="L3427" s="32"/>
      <c r="M3427" s="32"/>
      <c r="N3427" s="32"/>
    </row>
    <row r="3428" spans="2:14" x14ac:dyDescent="0.25">
      <c r="B3428" s="42"/>
      <c r="C3428" s="30"/>
      <c r="D3428" s="30"/>
      <c r="E3428" s="30"/>
      <c r="F3428" s="30"/>
      <c r="G3428" s="30"/>
      <c r="H3428" s="47"/>
      <c r="I3428" s="63"/>
      <c r="J3428" s="31"/>
      <c r="K3428" s="31"/>
      <c r="L3428" s="32"/>
      <c r="M3428" s="32"/>
      <c r="N3428" s="32"/>
    </row>
    <row r="3429" spans="2:14" x14ac:dyDescent="0.25">
      <c r="B3429" s="42"/>
      <c r="C3429" s="30"/>
      <c r="D3429" s="30"/>
      <c r="E3429" s="30"/>
      <c r="F3429" s="30"/>
      <c r="G3429" s="30"/>
      <c r="H3429" s="47"/>
      <c r="I3429" s="63"/>
      <c r="J3429" s="31"/>
      <c r="K3429" s="31"/>
      <c r="L3429" s="32"/>
      <c r="M3429" s="32"/>
      <c r="N3429" s="32"/>
    </row>
    <row r="3430" spans="2:14" x14ac:dyDescent="0.25">
      <c r="B3430" s="42"/>
      <c r="C3430" s="30"/>
      <c r="D3430" s="30"/>
      <c r="E3430" s="30"/>
      <c r="F3430" s="30"/>
      <c r="G3430" s="30"/>
      <c r="H3430" s="47"/>
      <c r="I3430" s="63"/>
      <c r="J3430" s="31"/>
      <c r="K3430" s="31"/>
      <c r="L3430" s="32"/>
      <c r="M3430" s="32"/>
      <c r="N3430" s="32"/>
    </row>
    <row r="3431" spans="2:14" x14ac:dyDescent="0.25">
      <c r="B3431" s="42"/>
      <c r="C3431" s="30"/>
      <c r="D3431" s="30"/>
      <c r="E3431" s="30"/>
      <c r="F3431" s="30"/>
      <c r="G3431" s="30"/>
      <c r="H3431" s="47"/>
      <c r="I3431" s="63"/>
      <c r="J3431" s="31"/>
      <c r="K3431" s="31"/>
      <c r="L3431" s="32"/>
      <c r="M3431" s="32"/>
      <c r="N3431" s="32"/>
    </row>
    <row r="3432" spans="2:14" x14ac:dyDescent="0.25">
      <c r="B3432" s="42"/>
      <c r="C3432" s="30"/>
      <c r="D3432" s="30"/>
      <c r="E3432" s="30"/>
      <c r="F3432" s="30"/>
      <c r="G3432" s="30"/>
      <c r="H3432" s="47"/>
      <c r="I3432" s="63"/>
      <c r="J3432" s="31"/>
      <c r="K3432" s="31"/>
      <c r="L3432" s="32"/>
      <c r="M3432" s="32"/>
      <c r="N3432" s="32"/>
    </row>
    <row r="3433" spans="2:14" x14ac:dyDescent="0.25">
      <c r="B3433" s="42"/>
      <c r="C3433" s="30"/>
      <c r="D3433" s="30"/>
      <c r="E3433" s="30"/>
      <c r="F3433" s="30"/>
      <c r="G3433" s="30"/>
      <c r="H3433" s="47"/>
      <c r="I3433" s="63"/>
      <c r="J3433" s="31"/>
      <c r="K3433" s="31"/>
      <c r="L3433" s="32"/>
      <c r="M3433" s="32"/>
      <c r="N3433" s="32"/>
    </row>
    <row r="3434" spans="2:14" x14ac:dyDescent="0.25">
      <c r="B3434" s="42"/>
      <c r="C3434" s="30"/>
      <c r="D3434" s="30"/>
      <c r="E3434" s="30"/>
      <c r="F3434" s="30"/>
      <c r="G3434" s="30"/>
      <c r="H3434" s="47"/>
      <c r="I3434" s="63"/>
      <c r="J3434" s="31"/>
      <c r="K3434" s="31"/>
      <c r="L3434" s="32"/>
      <c r="M3434" s="32"/>
      <c r="N3434" s="32"/>
    </row>
    <row r="3435" spans="2:14" x14ac:dyDescent="0.25">
      <c r="B3435" s="42"/>
      <c r="C3435" s="30"/>
      <c r="D3435" s="30"/>
      <c r="E3435" s="30"/>
      <c r="F3435" s="30"/>
      <c r="G3435" s="30"/>
      <c r="H3435" s="47"/>
      <c r="I3435" s="63"/>
      <c r="J3435" s="31"/>
      <c r="K3435" s="31"/>
      <c r="L3435" s="32"/>
      <c r="M3435" s="32"/>
      <c r="N3435" s="32"/>
    </row>
    <row r="3436" spans="2:14" x14ac:dyDescent="0.25">
      <c r="B3436" s="42"/>
      <c r="C3436" s="30"/>
      <c r="D3436" s="30"/>
      <c r="E3436" s="30"/>
      <c r="F3436" s="30"/>
      <c r="G3436" s="30"/>
      <c r="H3436" s="47"/>
      <c r="I3436" s="63"/>
      <c r="J3436" s="31"/>
      <c r="K3436" s="31"/>
      <c r="L3436" s="32"/>
      <c r="M3436" s="32"/>
      <c r="N3436" s="32"/>
    </row>
    <row r="3437" spans="2:14" x14ac:dyDescent="0.25">
      <c r="B3437" s="42"/>
      <c r="C3437" s="30"/>
      <c r="D3437" s="30"/>
      <c r="E3437" s="30"/>
      <c r="F3437" s="30"/>
      <c r="G3437" s="30"/>
      <c r="H3437" s="47"/>
      <c r="I3437" s="63"/>
      <c r="J3437" s="31"/>
      <c r="K3437" s="31"/>
      <c r="L3437" s="32"/>
      <c r="M3437" s="32"/>
      <c r="N3437" s="32"/>
    </row>
    <row r="3438" spans="2:14" x14ac:dyDescent="0.25">
      <c r="B3438" s="42"/>
      <c r="C3438" s="30"/>
      <c r="D3438" s="30"/>
      <c r="E3438" s="30"/>
      <c r="F3438" s="30"/>
      <c r="G3438" s="30"/>
      <c r="H3438" s="47"/>
      <c r="I3438" s="63"/>
      <c r="J3438" s="31"/>
      <c r="K3438" s="31"/>
      <c r="L3438" s="32"/>
      <c r="M3438" s="32"/>
      <c r="N3438" s="32"/>
    </row>
    <row r="3439" spans="2:14" x14ac:dyDescent="0.25">
      <c r="B3439" s="42"/>
      <c r="C3439" s="30"/>
      <c r="D3439" s="30"/>
      <c r="E3439" s="30"/>
      <c r="F3439" s="30"/>
      <c r="G3439" s="30"/>
      <c r="H3439" s="47"/>
      <c r="I3439" s="63"/>
      <c r="J3439" s="31"/>
      <c r="K3439" s="31"/>
      <c r="L3439" s="32"/>
      <c r="M3439" s="32"/>
      <c r="N3439" s="32"/>
    </row>
    <row r="3440" spans="2:14" x14ac:dyDescent="0.25">
      <c r="B3440" s="42"/>
      <c r="C3440" s="30"/>
      <c r="D3440" s="30"/>
      <c r="E3440" s="30"/>
      <c r="F3440" s="30"/>
      <c r="G3440" s="30"/>
      <c r="H3440" s="47"/>
      <c r="I3440" s="63"/>
      <c r="J3440" s="31"/>
      <c r="K3440" s="31"/>
      <c r="L3440" s="32"/>
      <c r="M3440" s="32"/>
      <c r="N3440" s="32"/>
    </row>
    <row r="3441" spans="2:14" x14ac:dyDescent="0.25">
      <c r="B3441" s="42"/>
      <c r="C3441" s="30"/>
      <c r="D3441" s="30"/>
      <c r="E3441" s="30"/>
      <c r="F3441" s="30"/>
      <c r="G3441" s="30"/>
      <c r="H3441" s="47"/>
      <c r="I3441" s="63"/>
      <c r="J3441" s="31"/>
      <c r="K3441" s="31"/>
      <c r="L3441" s="32"/>
      <c r="M3441" s="32"/>
      <c r="N3441" s="32"/>
    </row>
    <row r="3442" spans="2:14" x14ac:dyDescent="0.25">
      <c r="B3442" s="42"/>
      <c r="C3442" s="30"/>
      <c r="D3442" s="30"/>
      <c r="E3442" s="30"/>
      <c r="F3442" s="30"/>
      <c r="G3442" s="30"/>
      <c r="H3442" s="47"/>
      <c r="I3442" s="63"/>
      <c r="J3442" s="31"/>
      <c r="K3442" s="31"/>
      <c r="L3442" s="32"/>
      <c r="M3442" s="32"/>
      <c r="N3442" s="32"/>
    </row>
    <row r="3443" spans="2:14" x14ac:dyDescent="0.25">
      <c r="B3443" s="42"/>
      <c r="C3443" s="30"/>
      <c r="D3443" s="30"/>
      <c r="E3443" s="30"/>
      <c r="F3443" s="30"/>
      <c r="G3443" s="30"/>
      <c r="H3443" s="47"/>
      <c r="I3443" s="63"/>
      <c r="J3443" s="31"/>
      <c r="K3443" s="31"/>
      <c r="L3443" s="32"/>
      <c r="M3443" s="32"/>
      <c r="N3443" s="32"/>
    </row>
    <row r="3444" spans="2:14" x14ac:dyDescent="0.25">
      <c r="B3444" s="42"/>
      <c r="C3444" s="30"/>
      <c r="D3444" s="30"/>
      <c r="E3444" s="30"/>
      <c r="F3444" s="30"/>
      <c r="G3444" s="30"/>
      <c r="H3444" s="47"/>
      <c r="I3444" s="63"/>
      <c r="J3444" s="31"/>
      <c r="K3444" s="31"/>
      <c r="L3444" s="32"/>
      <c r="M3444" s="32"/>
      <c r="N3444" s="32"/>
    </row>
    <row r="3445" spans="2:14" x14ac:dyDescent="0.25">
      <c r="B3445" s="42"/>
      <c r="C3445" s="30"/>
      <c r="D3445" s="30"/>
      <c r="E3445" s="30"/>
      <c r="F3445" s="30"/>
      <c r="G3445" s="30"/>
      <c r="H3445" s="47"/>
      <c r="I3445" s="63"/>
      <c r="J3445" s="31"/>
      <c r="K3445" s="31"/>
      <c r="L3445" s="32"/>
      <c r="M3445" s="32"/>
      <c r="N3445" s="32"/>
    </row>
    <row r="3446" spans="2:14" x14ac:dyDescent="0.25">
      <c r="B3446" s="42"/>
      <c r="C3446" s="30"/>
      <c r="D3446" s="30"/>
      <c r="E3446" s="30"/>
      <c r="F3446" s="30"/>
      <c r="G3446" s="30"/>
      <c r="H3446" s="47"/>
      <c r="I3446" s="63"/>
      <c r="J3446" s="31"/>
      <c r="K3446" s="31"/>
      <c r="L3446" s="32"/>
      <c r="M3446" s="32"/>
      <c r="N3446" s="32"/>
    </row>
    <row r="3447" spans="2:14" x14ac:dyDescent="0.25">
      <c r="B3447" s="42"/>
      <c r="C3447" s="30"/>
      <c r="D3447" s="30"/>
      <c r="E3447" s="30"/>
      <c r="F3447" s="30"/>
      <c r="G3447" s="30"/>
      <c r="H3447" s="47"/>
      <c r="I3447" s="63"/>
      <c r="J3447" s="31"/>
      <c r="K3447" s="31"/>
      <c r="L3447" s="32"/>
      <c r="M3447" s="32"/>
      <c r="N3447" s="32"/>
    </row>
    <row r="3448" spans="2:14" x14ac:dyDescent="0.25">
      <c r="B3448" s="42"/>
      <c r="C3448" s="30"/>
      <c r="D3448" s="30"/>
      <c r="E3448" s="30"/>
      <c r="F3448" s="30"/>
      <c r="G3448" s="30"/>
      <c r="H3448" s="47"/>
      <c r="I3448" s="63"/>
      <c r="J3448" s="31"/>
      <c r="K3448" s="31"/>
      <c r="L3448" s="32"/>
      <c r="M3448" s="32"/>
      <c r="N3448" s="32"/>
    </row>
    <row r="3449" spans="2:14" x14ac:dyDescent="0.25">
      <c r="B3449" s="42"/>
      <c r="C3449" s="30"/>
      <c r="D3449" s="30"/>
      <c r="E3449" s="30"/>
      <c r="F3449" s="30"/>
      <c r="G3449" s="30"/>
      <c r="H3449" s="47"/>
      <c r="I3449" s="63"/>
      <c r="J3449" s="31"/>
      <c r="K3449" s="31"/>
      <c r="L3449" s="32"/>
      <c r="M3449" s="32"/>
      <c r="N3449" s="32"/>
    </row>
    <row r="3450" spans="2:14" x14ac:dyDescent="0.25">
      <c r="B3450" s="42"/>
      <c r="C3450" s="30"/>
      <c r="D3450" s="30"/>
      <c r="E3450" s="30"/>
      <c r="F3450" s="30"/>
      <c r="G3450" s="30"/>
      <c r="H3450" s="47"/>
      <c r="I3450" s="63"/>
      <c r="J3450" s="31"/>
      <c r="K3450" s="31"/>
      <c r="L3450" s="32"/>
      <c r="M3450" s="32"/>
      <c r="N3450" s="32"/>
    </row>
    <row r="3451" spans="2:14" x14ac:dyDescent="0.25">
      <c r="B3451" s="42"/>
      <c r="C3451" s="30"/>
      <c r="D3451" s="30"/>
      <c r="E3451" s="30"/>
      <c r="F3451" s="30"/>
      <c r="G3451" s="30"/>
      <c r="H3451" s="47"/>
      <c r="I3451" s="63"/>
      <c r="J3451" s="31"/>
      <c r="K3451" s="31"/>
      <c r="L3451" s="32"/>
      <c r="M3451" s="32"/>
      <c r="N3451" s="32"/>
    </row>
    <row r="3452" spans="2:14" x14ac:dyDescent="0.25">
      <c r="B3452" s="42"/>
      <c r="C3452" s="30"/>
      <c r="D3452" s="30"/>
      <c r="E3452" s="30"/>
      <c r="F3452" s="30"/>
      <c r="G3452" s="30"/>
      <c r="H3452" s="47"/>
      <c r="I3452" s="63"/>
      <c r="J3452" s="31"/>
      <c r="K3452" s="31"/>
      <c r="L3452" s="32"/>
      <c r="M3452" s="32"/>
      <c r="N3452" s="32"/>
    </row>
    <row r="3453" spans="2:14" x14ac:dyDescent="0.25">
      <c r="B3453" s="42"/>
      <c r="C3453" s="30"/>
      <c r="D3453" s="30"/>
      <c r="E3453" s="30"/>
      <c r="F3453" s="30"/>
      <c r="G3453" s="30"/>
      <c r="H3453" s="47"/>
      <c r="I3453" s="63"/>
      <c r="J3453" s="31"/>
      <c r="K3453" s="31"/>
      <c r="L3453" s="32"/>
      <c r="M3453" s="32"/>
      <c r="N3453" s="32"/>
    </row>
    <row r="3454" spans="2:14" x14ac:dyDescent="0.25">
      <c r="B3454" s="42"/>
      <c r="C3454" s="30"/>
      <c r="D3454" s="30"/>
      <c r="E3454" s="30"/>
      <c r="F3454" s="30"/>
      <c r="G3454" s="30"/>
      <c r="H3454" s="47"/>
      <c r="I3454" s="63"/>
      <c r="J3454" s="31"/>
      <c r="K3454" s="31"/>
      <c r="L3454" s="32"/>
      <c r="M3454" s="32"/>
      <c r="N3454" s="32"/>
    </row>
    <row r="3455" spans="2:14" x14ac:dyDescent="0.25">
      <c r="B3455" s="42"/>
      <c r="C3455" s="30"/>
      <c r="D3455" s="30"/>
      <c r="E3455" s="30"/>
      <c r="F3455" s="30"/>
      <c r="G3455" s="30"/>
      <c r="H3455" s="47"/>
      <c r="I3455" s="63"/>
      <c r="J3455" s="31"/>
      <c r="K3455" s="31"/>
      <c r="L3455" s="32"/>
      <c r="M3455" s="32"/>
      <c r="N3455" s="32"/>
    </row>
    <row r="3456" spans="2:14" x14ac:dyDescent="0.25">
      <c r="B3456" s="42"/>
      <c r="C3456" s="30"/>
      <c r="D3456" s="30"/>
      <c r="E3456" s="30"/>
      <c r="F3456" s="30"/>
      <c r="G3456" s="30"/>
      <c r="H3456" s="47"/>
      <c r="I3456" s="63"/>
      <c r="J3456" s="31"/>
      <c r="K3456" s="31"/>
      <c r="L3456" s="32"/>
      <c r="M3456" s="32"/>
      <c r="N3456" s="32"/>
    </row>
    <row r="3457" spans="2:14" x14ac:dyDescent="0.25">
      <c r="B3457" s="42"/>
      <c r="C3457" s="30"/>
      <c r="D3457" s="30"/>
      <c r="E3457" s="30"/>
      <c r="F3457" s="30"/>
      <c r="G3457" s="30"/>
      <c r="H3457" s="47"/>
      <c r="I3457" s="63"/>
      <c r="J3457" s="31"/>
      <c r="K3457" s="31"/>
      <c r="L3457" s="32"/>
      <c r="M3457" s="32"/>
      <c r="N3457" s="32"/>
    </row>
    <row r="3458" spans="2:14" x14ac:dyDescent="0.25">
      <c r="B3458" s="42"/>
      <c r="C3458" s="30"/>
      <c r="D3458" s="30"/>
      <c r="E3458" s="30"/>
      <c r="F3458" s="30"/>
      <c r="G3458" s="30"/>
      <c r="H3458" s="47"/>
      <c r="I3458" s="63"/>
      <c r="J3458" s="31"/>
      <c r="K3458" s="31"/>
      <c r="L3458" s="32"/>
      <c r="M3458" s="32"/>
      <c r="N3458" s="32"/>
    </row>
    <row r="3459" spans="2:14" x14ac:dyDescent="0.25">
      <c r="B3459" s="42"/>
      <c r="C3459" s="30"/>
      <c r="D3459" s="30"/>
      <c r="E3459" s="30"/>
      <c r="F3459" s="30"/>
      <c r="G3459" s="30"/>
      <c r="H3459" s="47"/>
      <c r="I3459" s="63"/>
      <c r="J3459" s="31"/>
      <c r="K3459" s="31"/>
      <c r="L3459" s="32"/>
      <c r="M3459" s="32"/>
      <c r="N3459" s="32"/>
    </row>
    <row r="3460" spans="2:14" x14ac:dyDescent="0.25">
      <c r="B3460" s="42"/>
      <c r="C3460" s="30"/>
      <c r="D3460" s="30"/>
      <c r="E3460" s="30"/>
      <c r="F3460" s="30"/>
      <c r="G3460" s="30"/>
      <c r="H3460" s="47"/>
      <c r="I3460" s="63"/>
      <c r="J3460" s="31"/>
      <c r="K3460" s="31"/>
      <c r="L3460" s="32"/>
      <c r="M3460" s="32"/>
      <c r="N3460" s="32"/>
    </row>
    <row r="3461" spans="2:14" x14ac:dyDescent="0.25">
      <c r="B3461" s="42"/>
      <c r="C3461" s="30"/>
      <c r="D3461" s="30"/>
      <c r="E3461" s="30"/>
      <c r="F3461" s="30"/>
      <c r="G3461" s="30"/>
      <c r="H3461" s="47"/>
      <c r="I3461" s="63"/>
      <c r="J3461" s="31"/>
      <c r="K3461" s="31"/>
      <c r="L3461" s="32"/>
      <c r="M3461" s="32"/>
      <c r="N3461" s="32"/>
    </row>
    <row r="3462" spans="2:14" x14ac:dyDescent="0.25">
      <c r="B3462" s="42"/>
      <c r="C3462" s="30"/>
      <c r="D3462" s="30"/>
      <c r="E3462" s="30"/>
      <c r="F3462" s="30"/>
      <c r="G3462" s="30"/>
      <c r="H3462" s="47"/>
      <c r="I3462" s="63"/>
      <c r="J3462" s="31"/>
      <c r="K3462" s="31"/>
      <c r="L3462" s="32"/>
      <c r="M3462" s="32"/>
      <c r="N3462" s="32"/>
    </row>
    <row r="3463" spans="2:14" x14ac:dyDescent="0.25">
      <c r="B3463" s="42"/>
      <c r="C3463" s="30"/>
      <c r="D3463" s="30"/>
      <c r="E3463" s="30"/>
      <c r="F3463" s="30"/>
      <c r="G3463" s="30"/>
      <c r="H3463" s="47"/>
      <c r="I3463" s="63"/>
      <c r="J3463" s="31"/>
      <c r="K3463" s="31"/>
      <c r="L3463" s="32"/>
      <c r="M3463" s="32"/>
      <c r="N3463" s="32"/>
    </row>
    <row r="3464" spans="2:14" x14ac:dyDescent="0.25">
      <c r="B3464" s="42"/>
      <c r="C3464" s="30"/>
      <c r="D3464" s="30"/>
      <c r="E3464" s="30"/>
      <c r="F3464" s="30"/>
      <c r="G3464" s="30"/>
      <c r="H3464" s="47"/>
      <c r="I3464" s="63"/>
      <c r="J3464" s="31"/>
      <c r="K3464" s="31"/>
      <c r="L3464" s="32"/>
      <c r="M3464" s="32"/>
      <c r="N3464" s="32"/>
    </row>
    <row r="3465" spans="2:14" x14ac:dyDescent="0.25">
      <c r="B3465" s="42"/>
      <c r="C3465" s="30"/>
      <c r="D3465" s="30"/>
      <c r="E3465" s="30"/>
      <c r="F3465" s="30"/>
      <c r="G3465" s="30"/>
      <c r="H3465" s="47"/>
      <c r="I3465" s="63"/>
      <c r="J3465" s="31"/>
      <c r="K3465" s="31"/>
      <c r="L3465" s="32"/>
      <c r="M3465" s="32"/>
      <c r="N3465" s="32"/>
    </row>
    <row r="3466" spans="2:14" x14ac:dyDescent="0.25">
      <c r="B3466" s="42"/>
      <c r="C3466" s="30"/>
      <c r="D3466" s="30"/>
      <c r="E3466" s="30"/>
      <c r="F3466" s="30"/>
      <c r="G3466" s="30"/>
      <c r="H3466" s="47"/>
      <c r="I3466" s="63"/>
      <c r="J3466" s="31"/>
      <c r="K3466" s="31"/>
      <c r="L3466" s="32"/>
      <c r="M3466" s="32"/>
      <c r="N3466" s="32"/>
    </row>
    <row r="3467" spans="2:14" x14ac:dyDescent="0.25">
      <c r="B3467" s="42"/>
      <c r="C3467" s="30"/>
      <c r="D3467" s="30"/>
      <c r="E3467" s="30"/>
      <c r="F3467" s="30"/>
      <c r="G3467" s="30"/>
      <c r="H3467" s="47"/>
      <c r="I3467" s="63"/>
      <c r="J3467" s="31"/>
      <c r="K3467" s="31"/>
      <c r="L3467" s="32"/>
      <c r="M3467" s="32"/>
      <c r="N3467" s="32"/>
    </row>
    <row r="3468" spans="2:14" x14ac:dyDescent="0.25">
      <c r="B3468" s="42"/>
      <c r="C3468" s="30"/>
      <c r="D3468" s="30"/>
      <c r="E3468" s="30"/>
      <c r="F3468" s="30"/>
      <c r="G3468" s="30"/>
      <c r="H3468" s="47"/>
      <c r="I3468" s="63"/>
      <c r="J3468" s="31"/>
      <c r="K3468" s="31"/>
      <c r="L3468" s="32"/>
      <c r="M3468" s="32"/>
      <c r="N3468" s="32"/>
    </row>
    <row r="3469" spans="2:14" x14ac:dyDescent="0.25">
      <c r="B3469" s="42"/>
      <c r="C3469" s="30"/>
      <c r="D3469" s="30"/>
      <c r="E3469" s="30"/>
      <c r="F3469" s="30"/>
      <c r="G3469" s="30"/>
      <c r="H3469" s="47"/>
      <c r="I3469" s="63"/>
      <c r="J3469" s="31"/>
      <c r="K3469" s="31"/>
      <c r="L3469" s="32"/>
      <c r="M3469" s="32"/>
      <c r="N3469" s="32"/>
    </row>
    <row r="3470" spans="2:14" x14ac:dyDescent="0.25">
      <c r="B3470" s="42"/>
      <c r="C3470" s="30"/>
      <c r="D3470" s="30"/>
      <c r="E3470" s="30"/>
      <c r="F3470" s="30"/>
      <c r="G3470" s="30"/>
      <c r="H3470" s="47"/>
      <c r="I3470" s="63"/>
      <c r="J3470" s="31"/>
      <c r="K3470" s="31"/>
      <c r="L3470" s="32"/>
      <c r="M3470" s="32"/>
      <c r="N3470" s="32"/>
    </row>
    <row r="3471" spans="2:14" x14ac:dyDescent="0.25">
      <c r="B3471" s="42"/>
      <c r="C3471" s="30"/>
      <c r="D3471" s="30"/>
      <c r="E3471" s="30"/>
      <c r="F3471" s="30"/>
      <c r="G3471" s="30"/>
      <c r="H3471" s="47"/>
      <c r="I3471" s="63"/>
      <c r="J3471" s="31"/>
      <c r="K3471" s="31"/>
      <c r="L3471" s="32"/>
      <c r="M3471" s="32"/>
      <c r="N3471" s="32"/>
    </row>
    <row r="3472" spans="2:14" x14ac:dyDescent="0.25">
      <c r="B3472" s="42"/>
      <c r="C3472" s="30"/>
      <c r="D3472" s="30"/>
      <c r="E3472" s="30"/>
      <c r="F3472" s="30"/>
      <c r="G3472" s="30"/>
      <c r="H3472" s="47"/>
      <c r="I3472" s="63"/>
      <c r="J3472" s="31"/>
      <c r="K3472" s="31"/>
      <c r="L3472" s="32"/>
      <c r="M3472" s="32"/>
      <c r="N3472" s="32"/>
    </row>
    <row r="3473" spans="2:14" x14ac:dyDescent="0.25">
      <c r="B3473" s="42"/>
      <c r="C3473" s="30"/>
      <c r="D3473" s="30"/>
      <c r="E3473" s="30"/>
      <c r="F3473" s="30"/>
      <c r="G3473" s="30"/>
      <c r="H3473" s="47"/>
      <c r="I3473" s="63"/>
      <c r="J3473" s="31"/>
      <c r="K3473" s="31"/>
      <c r="L3473" s="32"/>
      <c r="M3473" s="32"/>
      <c r="N3473" s="32"/>
    </row>
    <row r="3474" spans="2:14" x14ac:dyDescent="0.25">
      <c r="B3474" s="42"/>
      <c r="C3474" s="30"/>
      <c r="D3474" s="30"/>
      <c r="E3474" s="30"/>
      <c r="F3474" s="30"/>
      <c r="G3474" s="30"/>
      <c r="H3474" s="47"/>
      <c r="I3474" s="63"/>
      <c r="J3474" s="31"/>
      <c r="K3474" s="31"/>
      <c r="L3474" s="32"/>
      <c r="M3474" s="32"/>
      <c r="N3474" s="32"/>
    </row>
    <row r="3475" spans="2:14" x14ac:dyDescent="0.25">
      <c r="B3475" s="42"/>
      <c r="C3475" s="30"/>
      <c r="D3475" s="30"/>
      <c r="E3475" s="30"/>
      <c r="F3475" s="30"/>
      <c r="G3475" s="30"/>
      <c r="H3475" s="47"/>
      <c r="I3475" s="63"/>
      <c r="J3475" s="31"/>
      <c r="K3475" s="31"/>
      <c r="L3475" s="32"/>
      <c r="M3475" s="32"/>
      <c r="N3475" s="32"/>
    </row>
    <row r="3476" spans="2:14" x14ac:dyDescent="0.25">
      <c r="B3476" s="42"/>
      <c r="C3476" s="30"/>
      <c r="D3476" s="30"/>
      <c r="E3476" s="30"/>
      <c r="F3476" s="30"/>
      <c r="G3476" s="30"/>
      <c r="H3476" s="47"/>
      <c r="I3476" s="63"/>
      <c r="J3476" s="31"/>
      <c r="K3476" s="31"/>
      <c r="L3476" s="32"/>
      <c r="M3476" s="32"/>
      <c r="N3476" s="32"/>
    </row>
    <row r="3477" spans="2:14" x14ac:dyDescent="0.25">
      <c r="B3477" s="42"/>
      <c r="C3477" s="30"/>
      <c r="D3477" s="30"/>
      <c r="E3477" s="30"/>
      <c r="F3477" s="30"/>
      <c r="G3477" s="30"/>
      <c r="H3477" s="47"/>
      <c r="I3477" s="63"/>
      <c r="J3477" s="31"/>
      <c r="K3477" s="31"/>
      <c r="L3477" s="32"/>
      <c r="M3477" s="32"/>
      <c r="N3477" s="32"/>
    </row>
    <row r="3478" spans="2:14" x14ac:dyDescent="0.25">
      <c r="B3478" s="42"/>
      <c r="C3478" s="30"/>
      <c r="D3478" s="30"/>
      <c r="E3478" s="30"/>
      <c r="F3478" s="30"/>
      <c r="G3478" s="30"/>
      <c r="H3478" s="47"/>
      <c r="I3478" s="63"/>
      <c r="J3478" s="31"/>
      <c r="K3478" s="31"/>
      <c r="L3478" s="32"/>
      <c r="M3478" s="32"/>
      <c r="N3478" s="32"/>
    </row>
    <row r="3479" spans="2:14" x14ac:dyDescent="0.25">
      <c r="B3479" s="42"/>
      <c r="C3479" s="30"/>
      <c r="D3479" s="30"/>
      <c r="E3479" s="30"/>
      <c r="F3479" s="30"/>
      <c r="G3479" s="30"/>
      <c r="H3479" s="47"/>
      <c r="I3479" s="63"/>
      <c r="J3479" s="31"/>
      <c r="K3479" s="31"/>
      <c r="L3479" s="32"/>
      <c r="M3479" s="32"/>
      <c r="N3479" s="32"/>
    </row>
    <row r="3480" spans="2:14" x14ac:dyDescent="0.25">
      <c r="B3480" s="42"/>
      <c r="C3480" s="30"/>
      <c r="D3480" s="30"/>
      <c r="E3480" s="30"/>
      <c r="F3480" s="30"/>
      <c r="G3480" s="30"/>
      <c r="H3480" s="47"/>
      <c r="I3480" s="63"/>
      <c r="J3480" s="31"/>
      <c r="K3480" s="31"/>
      <c r="L3480" s="32"/>
      <c r="M3480" s="32"/>
      <c r="N3480" s="32"/>
    </row>
    <row r="3481" spans="2:14" x14ac:dyDescent="0.25">
      <c r="B3481" s="42"/>
      <c r="C3481" s="30"/>
      <c r="D3481" s="30"/>
      <c r="E3481" s="30"/>
      <c r="F3481" s="30"/>
      <c r="G3481" s="30"/>
      <c r="H3481" s="47"/>
      <c r="I3481" s="63"/>
      <c r="J3481" s="31"/>
      <c r="K3481" s="31"/>
      <c r="L3481" s="32"/>
      <c r="M3481" s="32"/>
      <c r="N3481" s="32"/>
    </row>
    <row r="3482" spans="2:14" x14ac:dyDescent="0.25">
      <c r="B3482" s="42"/>
      <c r="C3482" s="30"/>
      <c r="D3482" s="30"/>
      <c r="E3482" s="30"/>
      <c r="F3482" s="30"/>
      <c r="G3482" s="30"/>
      <c r="H3482" s="47"/>
      <c r="I3482" s="63"/>
      <c r="J3482" s="31"/>
      <c r="K3482" s="31"/>
      <c r="L3482" s="32"/>
      <c r="M3482" s="32"/>
      <c r="N3482" s="32"/>
    </row>
    <row r="3483" spans="2:14" x14ac:dyDescent="0.25">
      <c r="B3483" s="42"/>
      <c r="C3483" s="30"/>
      <c r="D3483" s="30"/>
      <c r="E3483" s="30"/>
      <c r="F3483" s="30"/>
      <c r="G3483" s="30"/>
      <c r="H3483" s="47"/>
      <c r="I3483" s="63"/>
      <c r="J3483" s="31"/>
      <c r="K3483" s="31"/>
      <c r="L3483" s="32"/>
      <c r="M3483" s="32"/>
      <c r="N3483" s="32"/>
    </row>
    <row r="3484" spans="2:14" x14ac:dyDescent="0.25">
      <c r="B3484" s="42"/>
      <c r="C3484" s="30"/>
      <c r="D3484" s="30"/>
      <c r="E3484" s="30"/>
      <c r="F3484" s="30"/>
      <c r="G3484" s="30"/>
      <c r="H3484" s="47"/>
      <c r="I3484" s="63"/>
      <c r="J3484" s="31"/>
      <c r="K3484" s="31"/>
      <c r="L3484" s="32"/>
      <c r="M3484" s="32"/>
      <c r="N3484" s="32"/>
    </row>
    <row r="3485" spans="2:14" x14ac:dyDescent="0.25">
      <c r="B3485" s="42"/>
      <c r="C3485" s="30"/>
      <c r="D3485" s="30"/>
      <c r="E3485" s="30"/>
      <c r="F3485" s="30"/>
      <c r="G3485" s="30"/>
      <c r="H3485" s="47"/>
      <c r="I3485" s="63"/>
      <c r="J3485" s="31"/>
      <c r="K3485" s="31"/>
      <c r="L3485" s="32"/>
      <c r="M3485" s="32"/>
      <c r="N3485" s="32"/>
    </row>
    <row r="3486" spans="2:14" x14ac:dyDescent="0.25">
      <c r="B3486" s="42"/>
      <c r="C3486" s="30"/>
      <c r="D3486" s="30"/>
      <c r="E3486" s="30"/>
      <c r="F3486" s="30"/>
      <c r="G3486" s="30"/>
      <c r="H3486" s="47"/>
      <c r="I3486" s="63"/>
      <c r="J3486" s="31"/>
      <c r="K3486" s="31"/>
      <c r="L3486" s="32"/>
      <c r="M3486" s="32"/>
      <c r="N3486" s="32"/>
    </row>
    <row r="3487" spans="2:14" x14ac:dyDescent="0.25">
      <c r="B3487" s="42"/>
      <c r="C3487" s="30"/>
      <c r="D3487" s="30"/>
      <c r="E3487" s="30"/>
      <c r="F3487" s="30"/>
      <c r="G3487" s="30"/>
      <c r="H3487" s="47"/>
      <c r="I3487" s="63"/>
      <c r="J3487" s="31"/>
      <c r="K3487" s="31"/>
      <c r="L3487" s="32"/>
      <c r="M3487" s="32"/>
      <c r="N3487" s="32"/>
    </row>
    <row r="3488" spans="2:14" x14ac:dyDescent="0.25">
      <c r="B3488" s="42"/>
      <c r="C3488" s="30"/>
      <c r="D3488" s="30"/>
      <c r="E3488" s="30"/>
      <c r="F3488" s="30"/>
      <c r="G3488" s="30"/>
      <c r="H3488" s="47"/>
      <c r="I3488" s="63"/>
      <c r="J3488" s="31"/>
      <c r="K3488" s="31"/>
      <c r="L3488" s="32"/>
      <c r="M3488" s="32"/>
      <c r="N3488" s="32"/>
    </row>
    <row r="3489" spans="2:14" x14ac:dyDescent="0.25">
      <c r="B3489" s="42"/>
      <c r="C3489" s="30"/>
      <c r="D3489" s="30"/>
      <c r="E3489" s="30"/>
      <c r="F3489" s="30"/>
      <c r="G3489" s="30"/>
      <c r="H3489" s="47"/>
      <c r="I3489" s="63"/>
      <c r="J3489" s="31"/>
      <c r="K3489" s="31"/>
      <c r="L3489" s="32"/>
      <c r="M3489" s="32"/>
      <c r="N3489" s="32"/>
    </row>
    <row r="3490" spans="2:14" x14ac:dyDescent="0.25">
      <c r="B3490" s="42"/>
      <c r="C3490" s="30"/>
      <c r="D3490" s="30"/>
      <c r="E3490" s="30"/>
      <c r="F3490" s="30"/>
      <c r="G3490" s="30"/>
      <c r="H3490" s="47"/>
      <c r="I3490" s="63"/>
      <c r="J3490" s="31"/>
      <c r="K3490" s="31"/>
      <c r="L3490" s="32"/>
      <c r="M3490" s="32"/>
      <c r="N3490" s="32"/>
    </row>
    <row r="3491" spans="2:14" x14ac:dyDescent="0.25">
      <c r="B3491" s="42"/>
      <c r="C3491" s="30"/>
      <c r="D3491" s="30"/>
      <c r="E3491" s="30"/>
      <c r="F3491" s="30"/>
      <c r="G3491" s="30"/>
      <c r="H3491" s="47"/>
      <c r="I3491" s="63"/>
      <c r="J3491" s="31"/>
      <c r="K3491" s="31"/>
      <c r="L3491" s="32"/>
      <c r="M3491" s="32"/>
      <c r="N3491" s="32"/>
    </row>
    <row r="3492" spans="2:14" x14ac:dyDescent="0.25">
      <c r="B3492" s="42"/>
      <c r="C3492" s="30"/>
      <c r="D3492" s="30"/>
      <c r="E3492" s="30"/>
      <c r="F3492" s="30"/>
      <c r="G3492" s="30"/>
      <c r="H3492" s="47"/>
      <c r="I3492" s="63"/>
      <c r="J3492" s="31"/>
      <c r="K3492" s="31"/>
      <c r="L3492" s="32"/>
      <c r="M3492" s="32"/>
      <c r="N3492" s="32"/>
    </row>
    <row r="3493" spans="2:14" x14ac:dyDescent="0.25">
      <c r="B3493" s="42"/>
      <c r="C3493" s="30"/>
      <c r="D3493" s="30"/>
      <c r="E3493" s="30"/>
      <c r="F3493" s="30"/>
      <c r="G3493" s="30"/>
      <c r="H3493" s="47"/>
      <c r="I3493" s="63"/>
      <c r="J3493" s="31"/>
      <c r="K3493" s="31"/>
      <c r="L3493" s="32"/>
      <c r="M3493" s="32"/>
      <c r="N3493" s="32"/>
    </row>
    <row r="3494" spans="2:14" x14ac:dyDescent="0.25">
      <c r="B3494" s="42"/>
      <c r="C3494" s="30"/>
      <c r="D3494" s="30"/>
      <c r="E3494" s="30"/>
      <c r="F3494" s="30"/>
      <c r="G3494" s="30"/>
      <c r="H3494" s="47"/>
      <c r="I3494" s="63"/>
      <c r="J3494" s="31"/>
      <c r="K3494" s="31"/>
      <c r="L3494" s="32"/>
      <c r="M3494" s="32"/>
      <c r="N3494" s="32"/>
    </row>
    <row r="3495" spans="2:14" x14ac:dyDescent="0.25">
      <c r="B3495" s="42"/>
      <c r="C3495" s="30"/>
      <c r="D3495" s="30"/>
      <c r="E3495" s="30"/>
      <c r="F3495" s="30"/>
      <c r="G3495" s="30"/>
      <c r="H3495" s="47"/>
      <c r="I3495" s="63"/>
      <c r="J3495" s="31"/>
      <c r="K3495" s="31"/>
      <c r="L3495" s="32"/>
      <c r="M3495" s="32"/>
      <c r="N3495" s="32"/>
    </row>
    <row r="3496" spans="2:14" x14ac:dyDescent="0.25">
      <c r="B3496" s="42"/>
      <c r="C3496" s="30"/>
      <c r="D3496" s="30"/>
      <c r="E3496" s="30"/>
      <c r="F3496" s="30"/>
      <c r="G3496" s="30"/>
      <c r="H3496" s="47"/>
      <c r="I3496" s="63"/>
      <c r="J3496" s="31"/>
      <c r="K3496" s="31"/>
      <c r="L3496" s="32"/>
      <c r="M3496" s="32"/>
      <c r="N3496" s="32"/>
    </row>
    <row r="3497" spans="2:14" x14ac:dyDescent="0.25">
      <c r="B3497" s="42"/>
      <c r="C3497" s="30"/>
      <c r="D3497" s="30"/>
      <c r="E3497" s="30"/>
      <c r="F3497" s="30"/>
      <c r="G3497" s="30"/>
      <c r="H3497" s="47"/>
      <c r="I3497" s="63"/>
      <c r="J3497" s="31"/>
      <c r="K3497" s="31"/>
      <c r="L3497" s="32"/>
      <c r="M3497" s="32"/>
      <c r="N3497" s="32"/>
    </row>
    <row r="3498" spans="2:14" x14ac:dyDescent="0.25">
      <c r="B3498" s="42"/>
      <c r="C3498" s="30"/>
      <c r="D3498" s="30"/>
      <c r="E3498" s="30"/>
      <c r="F3498" s="30"/>
      <c r="G3498" s="30"/>
      <c r="H3498" s="47"/>
      <c r="I3498" s="63"/>
      <c r="J3498" s="31"/>
      <c r="K3498" s="31"/>
      <c r="L3498" s="32"/>
      <c r="M3498" s="32"/>
      <c r="N3498" s="32"/>
    </row>
    <row r="3499" spans="2:14" x14ac:dyDescent="0.25">
      <c r="B3499" s="42"/>
      <c r="C3499" s="30"/>
      <c r="D3499" s="30"/>
      <c r="E3499" s="30"/>
      <c r="F3499" s="30"/>
      <c r="G3499" s="30"/>
      <c r="H3499" s="47"/>
      <c r="I3499" s="63"/>
      <c r="J3499" s="31"/>
      <c r="K3499" s="31"/>
      <c r="L3499" s="32"/>
      <c r="M3499" s="32"/>
      <c r="N3499" s="32"/>
    </row>
    <row r="3500" spans="2:14" x14ac:dyDescent="0.25">
      <c r="B3500" s="42"/>
      <c r="C3500" s="30"/>
      <c r="D3500" s="30"/>
      <c r="E3500" s="30"/>
      <c r="F3500" s="30"/>
      <c r="G3500" s="30"/>
      <c r="H3500" s="47"/>
      <c r="I3500" s="63"/>
      <c r="J3500" s="31"/>
      <c r="K3500" s="31"/>
      <c r="L3500" s="32"/>
      <c r="M3500" s="32"/>
      <c r="N3500" s="32"/>
    </row>
    <row r="3501" spans="2:14" x14ac:dyDescent="0.25">
      <c r="B3501" s="42"/>
      <c r="C3501" s="30"/>
      <c r="D3501" s="30"/>
      <c r="E3501" s="30"/>
      <c r="F3501" s="30"/>
      <c r="G3501" s="30"/>
      <c r="H3501" s="47"/>
      <c r="I3501" s="63"/>
      <c r="J3501" s="31"/>
      <c r="K3501" s="31"/>
      <c r="L3501" s="32"/>
      <c r="M3501" s="32"/>
      <c r="N3501" s="32"/>
    </row>
    <row r="3502" spans="2:14" x14ac:dyDescent="0.25">
      <c r="B3502" s="42"/>
      <c r="C3502" s="30"/>
      <c r="D3502" s="30"/>
      <c r="E3502" s="30"/>
      <c r="F3502" s="30"/>
      <c r="G3502" s="30"/>
      <c r="H3502" s="47"/>
      <c r="I3502" s="63"/>
      <c r="J3502" s="31"/>
      <c r="K3502" s="31"/>
      <c r="L3502" s="32"/>
      <c r="M3502" s="32"/>
      <c r="N3502" s="32"/>
    </row>
    <row r="3503" spans="2:14" x14ac:dyDescent="0.25">
      <c r="B3503" s="42"/>
      <c r="C3503" s="30"/>
      <c r="D3503" s="30"/>
      <c r="E3503" s="30"/>
      <c r="F3503" s="30"/>
      <c r="G3503" s="30"/>
      <c r="H3503" s="47"/>
      <c r="I3503" s="63"/>
      <c r="J3503" s="31"/>
      <c r="K3503" s="31"/>
      <c r="L3503" s="32"/>
      <c r="M3503" s="32"/>
      <c r="N3503" s="32"/>
    </row>
    <row r="3504" spans="2:14" x14ac:dyDescent="0.25">
      <c r="B3504" s="42"/>
      <c r="C3504" s="30"/>
      <c r="D3504" s="30"/>
      <c r="E3504" s="30"/>
      <c r="F3504" s="30"/>
      <c r="G3504" s="30"/>
      <c r="H3504" s="47"/>
      <c r="I3504" s="63"/>
      <c r="J3504" s="31"/>
      <c r="K3504" s="31"/>
      <c r="L3504" s="32"/>
      <c r="M3504" s="32"/>
      <c r="N3504" s="32"/>
    </row>
    <row r="3505" spans="2:14" x14ac:dyDescent="0.25">
      <c r="B3505" s="42"/>
      <c r="C3505" s="30"/>
      <c r="D3505" s="30"/>
      <c r="E3505" s="30"/>
      <c r="F3505" s="30"/>
      <c r="G3505" s="30"/>
      <c r="H3505" s="47"/>
      <c r="I3505" s="63"/>
      <c r="J3505" s="31"/>
      <c r="K3505" s="31"/>
      <c r="L3505" s="32"/>
      <c r="M3505" s="32"/>
      <c r="N3505" s="32"/>
    </row>
    <row r="3506" spans="2:14" x14ac:dyDescent="0.25">
      <c r="B3506" s="42"/>
      <c r="C3506" s="30"/>
      <c r="D3506" s="30"/>
      <c r="E3506" s="30"/>
      <c r="F3506" s="30"/>
      <c r="G3506" s="30"/>
      <c r="H3506" s="47"/>
      <c r="I3506" s="63"/>
      <c r="J3506" s="31"/>
      <c r="K3506" s="31"/>
      <c r="L3506" s="32"/>
      <c r="M3506" s="32"/>
      <c r="N3506" s="32"/>
    </row>
    <row r="3507" spans="2:14" x14ac:dyDescent="0.25">
      <c r="B3507" s="42"/>
      <c r="C3507" s="30"/>
      <c r="D3507" s="30"/>
      <c r="E3507" s="30"/>
      <c r="F3507" s="30"/>
      <c r="G3507" s="30"/>
      <c r="H3507" s="47"/>
      <c r="I3507" s="63"/>
      <c r="J3507" s="31"/>
      <c r="K3507" s="31"/>
      <c r="L3507" s="32"/>
      <c r="M3507" s="32"/>
      <c r="N3507" s="32"/>
    </row>
    <row r="3508" spans="2:14" x14ac:dyDescent="0.25">
      <c r="B3508" s="42"/>
      <c r="C3508" s="30"/>
      <c r="D3508" s="30"/>
      <c r="E3508" s="30"/>
      <c r="F3508" s="30"/>
      <c r="G3508" s="30"/>
      <c r="H3508" s="47"/>
      <c r="I3508" s="63"/>
      <c r="J3508" s="31"/>
      <c r="K3508" s="31"/>
      <c r="L3508" s="32"/>
      <c r="M3508" s="32"/>
      <c r="N3508" s="32"/>
    </row>
    <row r="3509" spans="2:14" x14ac:dyDescent="0.25">
      <c r="B3509" s="42"/>
      <c r="C3509" s="30"/>
      <c r="D3509" s="30"/>
      <c r="E3509" s="30"/>
      <c r="F3509" s="30"/>
      <c r="G3509" s="30"/>
      <c r="H3509" s="47"/>
      <c r="I3509" s="63"/>
      <c r="J3509" s="31"/>
      <c r="K3509" s="31"/>
      <c r="L3509" s="32"/>
      <c r="M3509" s="32"/>
      <c r="N3509" s="32"/>
    </row>
    <row r="3510" spans="2:14" x14ac:dyDescent="0.25">
      <c r="B3510" s="42"/>
      <c r="C3510" s="30"/>
      <c r="D3510" s="30"/>
      <c r="E3510" s="30"/>
      <c r="F3510" s="30"/>
      <c r="G3510" s="30"/>
      <c r="H3510" s="47"/>
      <c r="I3510" s="63"/>
      <c r="J3510" s="31"/>
      <c r="K3510" s="31"/>
      <c r="L3510" s="32"/>
      <c r="M3510" s="32"/>
      <c r="N3510" s="32"/>
    </row>
    <row r="3511" spans="2:14" x14ac:dyDescent="0.25">
      <c r="B3511" s="42"/>
      <c r="C3511" s="30"/>
      <c r="D3511" s="30"/>
      <c r="E3511" s="30"/>
      <c r="F3511" s="30"/>
      <c r="G3511" s="30"/>
      <c r="H3511" s="47"/>
      <c r="I3511" s="63"/>
      <c r="J3511" s="31"/>
      <c r="K3511" s="31"/>
      <c r="L3511" s="32"/>
      <c r="M3511" s="32"/>
      <c r="N3511" s="32"/>
    </row>
    <row r="3512" spans="2:14" x14ac:dyDescent="0.25">
      <c r="B3512" s="42"/>
      <c r="C3512" s="30"/>
      <c r="D3512" s="30"/>
      <c r="E3512" s="30"/>
      <c r="F3512" s="30"/>
      <c r="G3512" s="30"/>
      <c r="H3512" s="47"/>
      <c r="I3512" s="63"/>
      <c r="J3512" s="31"/>
      <c r="K3512" s="31"/>
      <c r="L3512" s="32"/>
      <c r="M3512" s="32"/>
      <c r="N3512" s="32"/>
    </row>
    <row r="3513" spans="2:14" x14ac:dyDescent="0.25">
      <c r="B3513" s="42"/>
      <c r="C3513" s="30"/>
      <c r="D3513" s="30"/>
      <c r="E3513" s="30"/>
      <c r="F3513" s="30"/>
      <c r="G3513" s="30"/>
      <c r="H3513" s="47"/>
      <c r="I3513" s="63"/>
      <c r="J3513" s="31"/>
      <c r="K3513" s="31"/>
      <c r="L3513" s="32"/>
      <c r="M3513" s="32"/>
      <c r="N3513" s="32"/>
    </row>
    <row r="3514" spans="2:14" x14ac:dyDescent="0.25">
      <c r="B3514" s="42"/>
      <c r="C3514" s="30"/>
      <c r="D3514" s="30"/>
      <c r="E3514" s="30"/>
      <c r="F3514" s="30"/>
      <c r="G3514" s="30"/>
      <c r="H3514" s="47"/>
      <c r="I3514" s="63"/>
      <c r="J3514" s="31"/>
      <c r="K3514" s="31"/>
      <c r="L3514" s="32"/>
      <c r="M3514" s="32"/>
      <c r="N3514" s="32"/>
    </row>
    <row r="3515" spans="2:14" x14ac:dyDescent="0.25">
      <c r="B3515" s="42"/>
      <c r="C3515" s="30"/>
      <c r="D3515" s="30"/>
      <c r="E3515" s="30"/>
      <c r="F3515" s="30"/>
      <c r="G3515" s="30"/>
      <c r="H3515" s="47"/>
      <c r="I3515" s="63"/>
      <c r="J3515" s="31"/>
      <c r="K3515" s="31"/>
      <c r="L3515" s="32"/>
      <c r="M3515" s="32"/>
      <c r="N3515" s="32"/>
    </row>
    <row r="3516" spans="2:14" x14ac:dyDescent="0.25">
      <c r="B3516" s="42"/>
      <c r="C3516" s="30"/>
      <c r="D3516" s="30"/>
      <c r="E3516" s="30"/>
      <c r="F3516" s="30"/>
      <c r="G3516" s="30"/>
      <c r="H3516" s="47"/>
      <c r="I3516" s="63"/>
      <c r="J3516" s="31"/>
      <c r="K3516" s="31"/>
      <c r="L3516" s="32"/>
      <c r="M3516" s="32"/>
      <c r="N3516" s="32"/>
    </row>
    <row r="3517" spans="2:14" x14ac:dyDescent="0.25">
      <c r="B3517" s="42"/>
      <c r="C3517" s="30"/>
      <c r="D3517" s="30"/>
      <c r="E3517" s="30"/>
      <c r="F3517" s="30"/>
      <c r="G3517" s="30"/>
      <c r="H3517" s="47"/>
      <c r="I3517" s="63"/>
      <c r="J3517" s="31"/>
      <c r="K3517" s="31"/>
      <c r="L3517" s="32"/>
      <c r="M3517" s="32"/>
      <c r="N3517" s="32"/>
    </row>
    <row r="3518" spans="2:14" x14ac:dyDescent="0.25">
      <c r="B3518" s="42"/>
      <c r="C3518" s="30"/>
      <c r="D3518" s="30"/>
      <c r="E3518" s="30"/>
      <c r="F3518" s="30"/>
      <c r="G3518" s="30"/>
      <c r="H3518" s="47"/>
      <c r="I3518" s="63"/>
      <c r="J3518" s="31"/>
      <c r="K3518" s="31"/>
      <c r="L3518" s="32"/>
      <c r="M3518" s="32"/>
      <c r="N3518" s="32"/>
    </row>
    <row r="3519" spans="2:14" x14ac:dyDescent="0.25">
      <c r="B3519" s="42"/>
      <c r="C3519" s="30"/>
      <c r="D3519" s="30"/>
      <c r="E3519" s="30"/>
      <c r="F3519" s="30"/>
      <c r="G3519" s="30"/>
      <c r="H3519" s="47"/>
      <c r="I3519" s="63"/>
      <c r="J3519" s="31"/>
      <c r="K3519" s="31"/>
      <c r="L3519" s="32"/>
      <c r="M3519" s="32"/>
      <c r="N3519" s="32"/>
    </row>
    <row r="3520" spans="2:14" x14ac:dyDescent="0.25">
      <c r="B3520" s="42"/>
      <c r="C3520" s="30"/>
      <c r="D3520" s="30"/>
      <c r="E3520" s="30"/>
      <c r="F3520" s="30"/>
      <c r="G3520" s="30"/>
      <c r="H3520" s="47"/>
      <c r="I3520" s="63"/>
      <c r="J3520" s="31"/>
      <c r="K3520" s="31"/>
      <c r="L3520" s="32"/>
      <c r="M3520" s="32"/>
      <c r="N3520" s="32"/>
    </row>
    <row r="3521" spans="2:14" x14ac:dyDescent="0.25">
      <c r="B3521" s="42"/>
      <c r="C3521" s="30"/>
      <c r="D3521" s="30"/>
      <c r="E3521" s="30"/>
      <c r="F3521" s="30"/>
      <c r="G3521" s="30"/>
      <c r="H3521" s="47"/>
      <c r="I3521" s="63"/>
      <c r="J3521" s="31"/>
      <c r="K3521" s="31"/>
      <c r="L3521" s="32"/>
      <c r="M3521" s="32"/>
      <c r="N3521" s="32"/>
    </row>
    <row r="3522" spans="2:14" x14ac:dyDescent="0.25">
      <c r="B3522" s="42"/>
      <c r="C3522" s="30"/>
      <c r="D3522" s="30"/>
      <c r="E3522" s="30"/>
      <c r="F3522" s="30"/>
      <c r="G3522" s="30"/>
      <c r="H3522" s="47"/>
      <c r="I3522" s="63"/>
      <c r="J3522" s="31"/>
      <c r="K3522" s="31"/>
      <c r="L3522" s="32"/>
      <c r="M3522" s="32"/>
      <c r="N3522" s="32"/>
    </row>
    <row r="3523" spans="2:14" x14ac:dyDescent="0.25">
      <c r="B3523" s="42"/>
      <c r="C3523" s="30"/>
      <c r="D3523" s="30"/>
      <c r="E3523" s="30"/>
      <c r="F3523" s="30"/>
      <c r="G3523" s="30"/>
      <c r="H3523" s="47"/>
      <c r="I3523" s="63"/>
      <c r="J3523" s="31"/>
      <c r="K3523" s="31"/>
      <c r="L3523" s="32"/>
      <c r="M3523" s="32"/>
      <c r="N3523" s="32"/>
    </row>
    <row r="3524" spans="2:14" x14ac:dyDescent="0.25">
      <c r="B3524" s="42"/>
      <c r="C3524" s="30"/>
      <c r="D3524" s="30"/>
      <c r="E3524" s="30"/>
      <c r="F3524" s="30"/>
      <c r="G3524" s="30"/>
      <c r="H3524" s="47"/>
      <c r="I3524" s="63"/>
      <c r="J3524" s="31"/>
      <c r="K3524" s="31"/>
      <c r="L3524" s="32"/>
      <c r="M3524" s="32"/>
      <c r="N3524" s="32"/>
    </row>
    <row r="3525" spans="2:14" x14ac:dyDescent="0.25">
      <c r="B3525" s="42"/>
      <c r="C3525" s="30"/>
      <c r="D3525" s="30"/>
      <c r="E3525" s="30"/>
      <c r="F3525" s="30"/>
      <c r="G3525" s="30"/>
      <c r="H3525" s="47"/>
      <c r="I3525" s="63"/>
      <c r="J3525" s="31"/>
      <c r="K3525" s="31"/>
      <c r="L3525" s="32"/>
      <c r="M3525" s="32"/>
      <c r="N3525" s="32"/>
    </row>
    <row r="3526" spans="2:14" x14ac:dyDescent="0.25">
      <c r="B3526" s="42"/>
      <c r="C3526" s="30"/>
      <c r="D3526" s="30"/>
      <c r="E3526" s="30"/>
      <c r="F3526" s="30"/>
      <c r="G3526" s="30"/>
      <c r="H3526" s="47"/>
      <c r="I3526" s="63"/>
      <c r="J3526" s="31"/>
      <c r="K3526" s="31"/>
      <c r="L3526" s="32"/>
      <c r="M3526" s="32"/>
      <c r="N3526" s="32"/>
    </row>
    <row r="3527" spans="2:14" x14ac:dyDescent="0.25">
      <c r="B3527" s="42"/>
      <c r="C3527" s="30"/>
      <c r="D3527" s="30"/>
      <c r="E3527" s="30"/>
      <c r="F3527" s="30"/>
      <c r="G3527" s="30"/>
      <c r="H3527" s="47"/>
      <c r="I3527" s="63"/>
      <c r="J3527" s="31"/>
      <c r="K3527" s="31"/>
      <c r="L3527" s="32"/>
      <c r="M3527" s="32"/>
      <c r="N3527" s="32"/>
    </row>
    <row r="3528" spans="2:14" x14ac:dyDescent="0.25">
      <c r="B3528" s="42"/>
      <c r="C3528" s="30"/>
      <c r="D3528" s="30"/>
      <c r="E3528" s="30"/>
      <c r="F3528" s="30"/>
      <c r="G3528" s="30"/>
      <c r="H3528" s="47"/>
      <c r="I3528" s="63"/>
      <c r="J3528" s="31"/>
      <c r="K3528" s="31"/>
      <c r="L3528" s="32"/>
      <c r="M3528" s="32"/>
      <c r="N3528" s="32"/>
    </row>
    <row r="3529" spans="2:14" x14ac:dyDescent="0.25">
      <c r="B3529" s="42"/>
      <c r="C3529" s="30"/>
      <c r="D3529" s="30"/>
      <c r="E3529" s="30"/>
      <c r="F3529" s="30"/>
      <c r="G3529" s="30"/>
      <c r="H3529" s="47"/>
      <c r="I3529" s="63"/>
      <c r="J3529" s="31"/>
      <c r="K3529" s="31"/>
      <c r="L3529" s="32"/>
      <c r="M3529" s="32"/>
      <c r="N3529" s="32"/>
    </row>
    <row r="3530" spans="2:14" x14ac:dyDescent="0.25">
      <c r="B3530" s="42"/>
      <c r="C3530" s="30"/>
      <c r="D3530" s="30"/>
      <c r="E3530" s="30"/>
      <c r="F3530" s="30"/>
      <c r="G3530" s="30"/>
      <c r="H3530" s="47"/>
      <c r="I3530" s="63"/>
      <c r="J3530" s="31"/>
      <c r="K3530" s="31"/>
      <c r="L3530" s="32"/>
      <c r="M3530" s="32"/>
      <c r="N3530" s="32"/>
    </row>
    <row r="3531" spans="2:14" x14ac:dyDescent="0.25">
      <c r="B3531" s="42"/>
      <c r="C3531" s="30"/>
      <c r="D3531" s="30"/>
      <c r="E3531" s="30"/>
      <c r="F3531" s="30"/>
      <c r="G3531" s="30"/>
      <c r="H3531" s="47"/>
      <c r="I3531" s="63"/>
      <c r="J3531" s="31"/>
      <c r="K3531" s="31"/>
      <c r="L3531" s="32"/>
      <c r="M3531" s="32"/>
      <c r="N3531" s="32"/>
    </row>
    <row r="3532" spans="2:14" x14ac:dyDescent="0.25">
      <c r="B3532" s="42"/>
      <c r="C3532" s="30"/>
      <c r="D3532" s="30"/>
      <c r="E3532" s="30"/>
      <c r="F3532" s="30"/>
      <c r="G3532" s="30"/>
      <c r="H3532" s="47"/>
      <c r="I3532" s="63"/>
      <c r="J3532" s="31"/>
      <c r="K3532" s="31"/>
      <c r="L3532" s="32"/>
      <c r="M3532" s="32"/>
      <c r="N3532" s="32"/>
    </row>
    <row r="3533" spans="2:14" x14ac:dyDescent="0.25">
      <c r="B3533" s="42"/>
      <c r="C3533" s="30"/>
      <c r="D3533" s="30"/>
      <c r="E3533" s="30"/>
      <c r="F3533" s="30"/>
      <c r="G3533" s="30"/>
      <c r="H3533" s="47"/>
      <c r="I3533" s="63"/>
      <c r="J3533" s="31"/>
      <c r="K3533" s="31"/>
      <c r="L3533" s="32"/>
      <c r="M3533" s="32"/>
      <c r="N3533" s="32"/>
    </row>
    <row r="3534" spans="2:14" x14ac:dyDescent="0.25">
      <c r="B3534" s="42"/>
      <c r="C3534" s="30"/>
      <c r="D3534" s="30"/>
      <c r="E3534" s="30"/>
      <c r="F3534" s="30"/>
      <c r="G3534" s="30"/>
      <c r="H3534" s="47"/>
      <c r="I3534" s="63"/>
      <c r="J3534" s="31"/>
      <c r="K3534" s="31"/>
      <c r="L3534" s="32"/>
      <c r="M3534" s="32"/>
      <c r="N3534" s="32"/>
    </row>
    <row r="3535" spans="2:14" x14ac:dyDescent="0.25">
      <c r="B3535" s="42"/>
      <c r="C3535" s="30"/>
      <c r="D3535" s="30"/>
      <c r="E3535" s="30"/>
      <c r="F3535" s="30"/>
      <c r="G3535" s="30"/>
      <c r="H3535" s="47"/>
      <c r="I3535" s="63"/>
      <c r="J3535" s="31"/>
      <c r="K3535" s="31"/>
      <c r="L3535" s="32"/>
      <c r="M3535" s="32"/>
      <c r="N3535" s="32"/>
    </row>
    <row r="3536" spans="2:14" x14ac:dyDescent="0.25">
      <c r="B3536" s="42"/>
      <c r="C3536" s="30"/>
      <c r="D3536" s="30"/>
      <c r="E3536" s="30"/>
      <c r="F3536" s="30"/>
      <c r="G3536" s="30"/>
      <c r="H3536" s="47"/>
      <c r="I3536" s="63"/>
      <c r="J3536" s="31"/>
      <c r="K3536" s="31"/>
      <c r="L3536" s="32"/>
      <c r="M3536" s="32"/>
      <c r="N3536" s="32"/>
    </row>
    <row r="3537" spans="2:14" x14ac:dyDescent="0.25">
      <c r="B3537" s="42"/>
      <c r="C3537" s="30"/>
      <c r="D3537" s="30"/>
      <c r="E3537" s="30"/>
      <c r="F3537" s="30"/>
      <c r="G3537" s="30"/>
      <c r="H3537" s="47"/>
      <c r="I3537" s="63"/>
      <c r="J3537" s="31"/>
      <c r="K3537" s="31"/>
      <c r="L3537" s="32"/>
      <c r="M3537" s="32"/>
      <c r="N3537" s="32"/>
    </row>
    <row r="3538" spans="2:14" x14ac:dyDescent="0.25">
      <c r="B3538" s="42"/>
      <c r="C3538" s="30"/>
      <c r="D3538" s="30"/>
      <c r="E3538" s="30"/>
      <c r="F3538" s="30"/>
      <c r="G3538" s="30"/>
      <c r="H3538" s="47"/>
      <c r="I3538" s="63"/>
      <c r="J3538" s="31"/>
      <c r="K3538" s="31"/>
      <c r="L3538" s="32"/>
      <c r="M3538" s="32"/>
      <c r="N3538" s="32"/>
    </row>
    <row r="3539" spans="2:14" x14ac:dyDescent="0.25">
      <c r="B3539" s="42"/>
      <c r="C3539" s="30"/>
      <c r="D3539" s="30"/>
      <c r="E3539" s="30"/>
      <c r="F3539" s="30"/>
      <c r="G3539" s="30"/>
      <c r="H3539" s="47"/>
      <c r="I3539" s="63"/>
      <c r="J3539" s="31"/>
      <c r="K3539" s="31"/>
      <c r="L3539" s="32"/>
      <c r="M3539" s="32"/>
      <c r="N3539" s="32"/>
    </row>
    <row r="3540" spans="2:14" x14ac:dyDescent="0.25">
      <c r="B3540" s="42"/>
      <c r="C3540" s="30"/>
      <c r="D3540" s="30"/>
      <c r="E3540" s="30"/>
      <c r="F3540" s="30"/>
      <c r="G3540" s="30"/>
      <c r="H3540" s="47"/>
      <c r="I3540" s="63"/>
      <c r="J3540" s="31"/>
      <c r="K3540" s="31"/>
      <c r="L3540" s="32"/>
      <c r="M3540" s="32"/>
      <c r="N3540" s="32"/>
    </row>
    <row r="3541" spans="2:14" x14ac:dyDescent="0.25">
      <c r="B3541" s="42"/>
      <c r="C3541" s="30"/>
      <c r="D3541" s="30"/>
      <c r="E3541" s="30"/>
      <c r="F3541" s="30"/>
      <c r="G3541" s="30"/>
      <c r="H3541" s="47"/>
      <c r="I3541" s="63"/>
      <c r="J3541" s="31"/>
      <c r="K3541" s="31"/>
      <c r="L3541" s="32"/>
      <c r="M3541" s="32"/>
      <c r="N3541" s="32"/>
    </row>
    <row r="3542" spans="2:14" x14ac:dyDescent="0.25">
      <c r="B3542" s="42"/>
      <c r="C3542" s="30"/>
      <c r="D3542" s="30"/>
      <c r="E3542" s="30"/>
      <c r="F3542" s="30"/>
      <c r="G3542" s="30"/>
      <c r="H3542" s="47"/>
      <c r="I3542" s="63"/>
      <c r="J3542" s="31"/>
      <c r="K3542" s="31"/>
      <c r="L3542" s="32"/>
      <c r="M3542" s="32"/>
      <c r="N3542" s="32"/>
    </row>
    <row r="3543" spans="2:14" x14ac:dyDescent="0.25">
      <c r="B3543" s="42"/>
      <c r="C3543" s="30"/>
      <c r="D3543" s="30"/>
      <c r="E3543" s="30"/>
      <c r="F3543" s="30"/>
      <c r="G3543" s="30"/>
      <c r="H3543" s="47"/>
      <c r="I3543" s="63"/>
      <c r="J3543" s="31"/>
      <c r="K3543" s="31"/>
      <c r="L3543" s="32"/>
      <c r="M3543" s="32"/>
      <c r="N3543" s="32"/>
    </row>
    <row r="3544" spans="2:14" x14ac:dyDescent="0.25">
      <c r="B3544" s="42"/>
      <c r="C3544" s="30"/>
      <c r="D3544" s="30"/>
      <c r="E3544" s="30"/>
      <c r="F3544" s="30"/>
      <c r="G3544" s="30"/>
      <c r="H3544" s="47"/>
      <c r="I3544" s="63"/>
      <c r="J3544" s="31"/>
      <c r="K3544" s="31"/>
      <c r="L3544" s="32"/>
      <c r="M3544" s="32"/>
      <c r="N3544" s="32"/>
    </row>
    <row r="3545" spans="2:14" x14ac:dyDescent="0.25">
      <c r="B3545" s="42"/>
      <c r="C3545" s="30"/>
      <c r="D3545" s="30"/>
      <c r="E3545" s="30"/>
      <c r="F3545" s="30"/>
      <c r="G3545" s="30"/>
      <c r="H3545" s="47"/>
      <c r="I3545" s="63"/>
      <c r="J3545" s="31"/>
      <c r="K3545" s="31"/>
      <c r="L3545" s="32"/>
      <c r="M3545" s="32"/>
      <c r="N3545" s="32"/>
    </row>
    <row r="3546" spans="2:14" x14ac:dyDescent="0.25">
      <c r="B3546" s="42"/>
      <c r="C3546" s="30"/>
      <c r="D3546" s="30"/>
      <c r="E3546" s="30"/>
      <c r="F3546" s="30"/>
      <c r="G3546" s="30"/>
      <c r="H3546" s="47"/>
      <c r="I3546" s="63"/>
      <c r="J3546" s="31"/>
      <c r="K3546" s="31"/>
      <c r="L3546" s="32"/>
      <c r="M3546" s="32"/>
      <c r="N3546" s="32"/>
    </row>
    <row r="3547" spans="2:14" x14ac:dyDescent="0.25">
      <c r="B3547" s="42"/>
      <c r="C3547" s="30"/>
      <c r="D3547" s="30"/>
      <c r="E3547" s="30"/>
      <c r="F3547" s="30"/>
      <c r="G3547" s="30"/>
      <c r="H3547" s="47"/>
      <c r="I3547" s="63"/>
      <c r="J3547" s="31"/>
      <c r="K3547" s="31"/>
      <c r="L3547" s="32"/>
      <c r="M3547" s="32"/>
      <c r="N3547" s="32"/>
    </row>
    <row r="3548" spans="2:14" x14ac:dyDescent="0.25">
      <c r="B3548" s="42"/>
      <c r="C3548" s="30"/>
      <c r="D3548" s="30"/>
      <c r="E3548" s="30"/>
      <c r="F3548" s="30"/>
      <c r="G3548" s="30"/>
      <c r="H3548" s="47"/>
      <c r="I3548" s="63"/>
      <c r="J3548" s="31"/>
      <c r="K3548" s="31"/>
      <c r="L3548" s="32"/>
      <c r="M3548" s="32"/>
      <c r="N3548" s="32"/>
    </row>
    <row r="3549" spans="2:14" x14ac:dyDescent="0.25">
      <c r="B3549" s="42"/>
      <c r="C3549" s="30"/>
      <c r="D3549" s="30"/>
      <c r="E3549" s="30"/>
      <c r="F3549" s="30"/>
      <c r="G3549" s="30"/>
      <c r="H3549" s="47"/>
      <c r="I3549" s="63"/>
      <c r="J3549" s="31"/>
      <c r="K3549" s="31"/>
      <c r="L3549" s="32"/>
      <c r="M3549" s="32"/>
      <c r="N3549" s="32"/>
    </row>
    <row r="3550" spans="2:14" x14ac:dyDescent="0.25">
      <c r="B3550" s="42"/>
      <c r="C3550" s="30"/>
      <c r="D3550" s="30"/>
      <c r="E3550" s="30"/>
      <c r="F3550" s="30"/>
      <c r="G3550" s="30"/>
      <c r="H3550" s="47"/>
      <c r="I3550" s="63"/>
      <c r="J3550" s="31"/>
      <c r="K3550" s="31"/>
      <c r="L3550" s="32"/>
      <c r="M3550" s="32"/>
      <c r="N3550" s="32"/>
    </row>
    <row r="3551" spans="2:14" x14ac:dyDescent="0.25">
      <c r="B3551" s="42"/>
      <c r="C3551" s="30"/>
      <c r="D3551" s="30"/>
      <c r="E3551" s="30"/>
      <c r="F3551" s="30"/>
      <c r="G3551" s="30"/>
      <c r="H3551" s="47"/>
      <c r="I3551" s="63"/>
      <c r="J3551" s="31"/>
      <c r="K3551" s="31"/>
      <c r="L3551" s="32"/>
      <c r="M3551" s="32"/>
      <c r="N3551" s="32"/>
    </row>
    <row r="3552" spans="2:14" x14ac:dyDescent="0.25">
      <c r="B3552" s="42"/>
      <c r="C3552" s="30"/>
      <c r="D3552" s="30"/>
      <c r="E3552" s="30"/>
      <c r="F3552" s="30"/>
      <c r="G3552" s="30"/>
      <c r="H3552" s="47"/>
      <c r="I3552" s="63"/>
      <c r="J3552" s="31"/>
      <c r="K3552" s="31"/>
      <c r="L3552" s="32"/>
      <c r="M3552" s="32"/>
      <c r="N3552" s="32"/>
    </row>
    <row r="3553" spans="2:14" x14ac:dyDescent="0.25">
      <c r="B3553" s="42"/>
      <c r="C3553" s="30"/>
      <c r="D3553" s="30"/>
      <c r="E3553" s="30"/>
      <c r="F3553" s="30"/>
      <c r="G3553" s="30"/>
      <c r="H3553" s="47"/>
      <c r="I3553" s="63"/>
      <c r="J3553" s="31"/>
      <c r="K3553" s="31"/>
      <c r="L3553" s="32"/>
      <c r="M3553" s="32"/>
      <c r="N3553" s="32"/>
    </row>
    <row r="3554" spans="2:14" x14ac:dyDescent="0.25">
      <c r="B3554" s="42"/>
      <c r="C3554" s="30"/>
      <c r="D3554" s="30"/>
      <c r="E3554" s="30"/>
      <c r="F3554" s="30"/>
      <c r="G3554" s="30"/>
      <c r="H3554" s="47"/>
      <c r="I3554" s="63"/>
      <c r="J3554" s="31"/>
      <c r="K3554" s="31"/>
      <c r="L3554" s="32"/>
      <c r="M3554" s="32"/>
      <c r="N3554" s="32"/>
    </row>
    <row r="3555" spans="2:14" x14ac:dyDescent="0.25">
      <c r="B3555" s="42"/>
      <c r="C3555" s="30"/>
      <c r="D3555" s="30"/>
      <c r="E3555" s="30"/>
      <c r="F3555" s="30"/>
      <c r="G3555" s="30"/>
      <c r="H3555" s="47"/>
      <c r="I3555" s="63"/>
      <c r="J3555" s="31"/>
      <c r="K3555" s="31"/>
      <c r="L3555" s="32"/>
      <c r="M3555" s="32"/>
      <c r="N3555" s="32"/>
    </row>
    <row r="3556" spans="2:14" x14ac:dyDescent="0.25">
      <c r="B3556" s="42"/>
      <c r="C3556" s="30"/>
      <c r="D3556" s="30"/>
      <c r="E3556" s="30"/>
      <c r="F3556" s="30"/>
      <c r="G3556" s="30"/>
      <c r="H3556" s="47"/>
      <c r="I3556" s="63"/>
      <c r="J3556" s="31"/>
      <c r="K3556" s="31"/>
      <c r="L3556" s="32"/>
      <c r="M3556" s="32"/>
      <c r="N3556" s="32"/>
    </row>
    <row r="3557" spans="2:14" x14ac:dyDescent="0.25">
      <c r="B3557" s="42"/>
      <c r="C3557" s="30"/>
      <c r="D3557" s="30"/>
      <c r="E3557" s="30"/>
      <c r="F3557" s="30"/>
      <c r="G3557" s="30"/>
      <c r="H3557" s="47"/>
      <c r="I3557" s="63"/>
      <c r="J3557" s="31"/>
      <c r="K3557" s="31"/>
      <c r="L3557" s="32"/>
      <c r="M3557" s="32"/>
      <c r="N3557" s="32"/>
    </row>
    <row r="3558" spans="2:14" x14ac:dyDescent="0.25">
      <c r="B3558" s="42"/>
      <c r="C3558" s="30"/>
      <c r="D3558" s="30"/>
      <c r="E3558" s="30"/>
      <c r="F3558" s="30"/>
      <c r="G3558" s="30"/>
      <c r="H3558" s="47"/>
      <c r="I3558" s="63"/>
      <c r="J3558" s="31"/>
      <c r="K3558" s="31"/>
      <c r="L3558" s="32"/>
      <c r="M3558" s="32"/>
      <c r="N3558" s="32"/>
    </row>
    <row r="3559" spans="2:14" x14ac:dyDescent="0.25">
      <c r="B3559" s="42"/>
      <c r="C3559" s="30"/>
      <c r="D3559" s="30"/>
      <c r="E3559" s="30"/>
      <c r="F3559" s="30"/>
      <c r="G3559" s="30"/>
      <c r="H3559" s="47"/>
      <c r="I3559" s="63"/>
      <c r="J3559" s="31"/>
      <c r="K3559" s="31"/>
      <c r="L3559" s="32"/>
      <c r="M3559" s="32"/>
      <c r="N3559" s="32"/>
    </row>
    <row r="3560" spans="2:14" x14ac:dyDescent="0.25">
      <c r="B3560" s="42"/>
      <c r="C3560" s="30"/>
      <c r="D3560" s="30"/>
      <c r="E3560" s="30"/>
      <c r="F3560" s="30"/>
      <c r="G3560" s="30"/>
      <c r="H3560" s="47"/>
      <c r="I3560" s="63"/>
      <c r="J3560" s="31"/>
      <c r="K3560" s="31"/>
      <c r="L3560" s="32"/>
      <c r="M3560" s="32"/>
      <c r="N3560" s="32"/>
    </row>
    <row r="3561" spans="2:14" x14ac:dyDescent="0.25">
      <c r="B3561" s="42"/>
      <c r="C3561" s="30"/>
      <c r="D3561" s="30"/>
      <c r="E3561" s="30"/>
      <c r="F3561" s="30"/>
      <c r="G3561" s="30"/>
      <c r="H3561" s="47"/>
      <c r="I3561" s="63"/>
      <c r="J3561" s="31"/>
      <c r="K3561" s="31"/>
      <c r="L3561" s="32"/>
      <c r="M3561" s="32"/>
      <c r="N3561" s="32"/>
    </row>
    <row r="3562" spans="2:14" x14ac:dyDescent="0.25">
      <c r="B3562" s="42"/>
      <c r="C3562" s="30"/>
      <c r="D3562" s="30"/>
      <c r="E3562" s="30"/>
      <c r="F3562" s="30"/>
      <c r="G3562" s="30"/>
      <c r="H3562" s="47"/>
      <c r="I3562" s="63"/>
      <c r="J3562" s="31"/>
      <c r="K3562" s="31"/>
      <c r="L3562" s="32"/>
      <c r="M3562" s="32"/>
      <c r="N3562" s="32"/>
    </row>
    <row r="3563" spans="2:14" x14ac:dyDescent="0.25">
      <c r="B3563" s="42"/>
      <c r="C3563" s="30"/>
      <c r="D3563" s="30"/>
      <c r="E3563" s="30"/>
      <c r="F3563" s="30"/>
      <c r="G3563" s="30"/>
      <c r="H3563" s="47"/>
      <c r="I3563" s="63"/>
      <c r="J3563" s="31"/>
      <c r="K3563" s="31"/>
      <c r="L3563" s="32"/>
      <c r="M3563" s="32"/>
      <c r="N3563" s="32"/>
    </row>
    <row r="3564" spans="2:14" x14ac:dyDescent="0.25">
      <c r="B3564" s="42"/>
      <c r="C3564" s="30"/>
      <c r="D3564" s="30"/>
      <c r="E3564" s="30"/>
      <c r="F3564" s="30"/>
      <c r="G3564" s="30"/>
      <c r="H3564" s="47"/>
      <c r="I3564" s="63"/>
      <c r="J3564" s="31"/>
      <c r="K3564" s="31"/>
      <c r="L3564" s="32"/>
      <c r="M3564" s="32"/>
      <c r="N3564" s="32"/>
    </row>
    <row r="3565" spans="2:14" x14ac:dyDescent="0.25">
      <c r="B3565" s="42"/>
      <c r="C3565" s="30"/>
      <c r="D3565" s="30"/>
      <c r="E3565" s="30"/>
      <c r="F3565" s="30"/>
      <c r="G3565" s="30"/>
      <c r="H3565" s="47"/>
      <c r="I3565" s="63"/>
      <c r="J3565" s="31"/>
      <c r="K3565" s="31"/>
      <c r="L3565" s="32"/>
      <c r="M3565" s="32"/>
      <c r="N3565" s="32"/>
    </row>
    <row r="3566" spans="2:14" x14ac:dyDescent="0.25">
      <c r="B3566" s="42"/>
      <c r="C3566" s="30"/>
      <c r="D3566" s="30"/>
      <c r="E3566" s="30"/>
      <c r="F3566" s="30"/>
      <c r="G3566" s="30"/>
      <c r="H3566" s="47"/>
      <c r="I3566" s="63"/>
      <c r="J3566" s="31"/>
      <c r="K3566" s="31"/>
      <c r="L3566" s="32"/>
      <c r="M3566" s="32"/>
      <c r="N3566" s="32"/>
    </row>
    <row r="3567" spans="2:14" x14ac:dyDescent="0.25">
      <c r="B3567" s="42"/>
      <c r="C3567" s="30"/>
      <c r="D3567" s="30"/>
      <c r="E3567" s="30"/>
      <c r="F3567" s="30"/>
      <c r="G3567" s="30"/>
      <c r="H3567" s="47"/>
      <c r="I3567" s="63"/>
      <c r="J3567" s="31"/>
      <c r="K3567" s="31"/>
      <c r="L3567" s="32"/>
      <c r="M3567" s="32"/>
      <c r="N3567" s="32"/>
    </row>
    <row r="3568" spans="2:14" x14ac:dyDescent="0.25">
      <c r="B3568" s="42"/>
      <c r="C3568" s="30"/>
      <c r="D3568" s="30"/>
      <c r="E3568" s="30"/>
      <c r="F3568" s="30"/>
      <c r="G3568" s="30"/>
      <c r="H3568" s="47"/>
      <c r="I3568" s="63"/>
      <c r="J3568" s="31"/>
      <c r="K3568" s="31"/>
      <c r="L3568" s="32"/>
      <c r="M3568" s="32"/>
      <c r="N3568" s="32"/>
    </row>
    <row r="3569" spans="2:14" x14ac:dyDescent="0.25">
      <c r="B3569" s="42"/>
      <c r="C3569" s="30"/>
      <c r="D3569" s="30"/>
      <c r="E3569" s="30"/>
      <c r="F3569" s="30"/>
      <c r="G3569" s="30"/>
      <c r="H3569" s="47"/>
      <c r="I3569" s="63"/>
      <c r="J3569" s="31"/>
      <c r="K3569" s="31"/>
      <c r="L3569" s="32"/>
      <c r="M3569" s="32"/>
      <c r="N3569" s="32"/>
    </row>
    <row r="3570" spans="2:14" x14ac:dyDescent="0.25">
      <c r="B3570" s="42"/>
      <c r="C3570" s="30"/>
      <c r="D3570" s="30"/>
      <c r="E3570" s="30"/>
      <c r="F3570" s="30"/>
      <c r="G3570" s="30"/>
      <c r="H3570" s="47"/>
      <c r="I3570" s="63"/>
      <c r="J3570" s="31"/>
      <c r="K3570" s="31"/>
      <c r="L3570" s="32"/>
      <c r="M3570" s="32"/>
      <c r="N3570" s="32"/>
    </row>
    <row r="3571" spans="2:14" x14ac:dyDescent="0.25">
      <c r="B3571" s="42"/>
      <c r="C3571" s="30"/>
      <c r="D3571" s="30"/>
      <c r="E3571" s="30"/>
      <c r="F3571" s="30"/>
      <c r="G3571" s="30"/>
      <c r="H3571" s="47"/>
      <c r="I3571" s="63"/>
      <c r="J3571" s="31"/>
      <c r="K3571" s="31"/>
      <c r="L3571" s="32"/>
      <c r="M3571" s="32"/>
      <c r="N3571" s="32"/>
    </row>
    <row r="3572" spans="2:14" x14ac:dyDescent="0.25">
      <c r="B3572" s="42"/>
      <c r="C3572" s="30"/>
      <c r="D3572" s="30"/>
      <c r="E3572" s="30"/>
      <c r="F3572" s="30"/>
      <c r="G3572" s="30"/>
      <c r="H3572" s="47"/>
      <c r="I3572" s="63"/>
      <c r="J3572" s="31"/>
      <c r="K3572" s="31"/>
      <c r="L3572" s="32"/>
      <c r="M3572" s="32"/>
      <c r="N3572" s="32"/>
    </row>
    <row r="3573" spans="2:14" x14ac:dyDescent="0.25">
      <c r="B3573" s="42"/>
      <c r="C3573" s="30"/>
      <c r="D3573" s="30"/>
      <c r="E3573" s="30"/>
      <c r="F3573" s="30"/>
      <c r="G3573" s="30"/>
      <c r="H3573" s="47"/>
      <c r="I3573" s="63"/>
      <c r="J3573" s="31"/>
      <c r="K3573" s="31"/>
      <c r="L3573" s="32"/>
      <c r="M3573" s="32"/>
      <c r="N3573" s="32"/>
    </row>
    <row r="3574" spans="2:14" x14ac:dyDescent="0.25">
      <c r="B3574" s="42"/>
      <c r="C3574" s="30"/>
      <c r="D3574" s="30"/>
      <c r="E3574" s="30"/>
      <c r="F3574" s="30"/>
      <c r="G3574" s="30"/>
      <c r="H3574" s="47"/>
      <c r="I3574" s="63"/>
      <c r="J3574" s="31"/>
      <c r="K3574" s="31"/>
      <c r="L3574" s="32"/>
      <c r="M3574" s="32"/>
      <c r="N3574" s="32"/>
    </row>
    <row r="3575" spans="2:14" x14ac:dyDescent="0.25">
      <c r="B3575" s="42"/>
      <c r="C3575" s="30"/>
      <c r="D3575" s="30"/>
      <c r="E3575" s="30"/>
      <c r="F3575" s="30"/>
      <c r="G3575" s="30"/>
      <c r="H3575" s="47"/>
      <c r="I3575" s="63"/>
      <c r="J3575" s="31"/>
      <c r="K3575" s="31"/>
      <c r="L3575" s="32"/>
      <c r="M3575" s="32"/>
      <c r="N3575" s="32"/>
    </row>
    <row r="3576" spans="2:14" x14ac:dyDescent="0.25">
      <c r="B3576" s="42"/>
      <c r="C3576" s="30"/>
      <c r="D3576" s="30"/>
      <c r="E3576" s="30"/>
      <c r="F3576" s="30"/>
      <c r="G3576" s="30"/>
      <c r="H3576" s="47"/>
      <c r="I3576" s="63"/>
      <c r="J3576" s="31"/>
      <c r="K3576" s="31"/>
      <c r="L3576" s="32"/>
      <c r="M3576" s="32"/>
      <c r="N3576" s="32"/>
    </row>
    <row r="3577" spans="2:14" x14ac:dyDescent="0.25">
      <c r="B3577" s="42"/>
      <c r="C3577" s="30"/>
      <c r="D3577" s="30"/>
      <c r="E3577" s="30"/>
      <c r="F3577" s="30"/>
      <c r="G3577" s="30"/>
      <c r="H3577" s="47"/>
      <c r="I3577" s="63"/>
      <c r="J3577" s="31"/>
      <c r="K3577" s="31"/>
      <c r="L3577" s="32"/>
      <c r="M3577" s="32"/>
      <c r="N3577" s="32"/>
    </row>
    <row r="3578" spans="2:14" x14ac:dyDescent="0.25">
      <c r="B3578" s="42"/>
      <c r="C3578" s="30"/>
      <c r="D3578" s="30"/>
      <c r="E3578" s="30"/>
      <c r="F3578" s="30"/>
      <c r="G3578" s="30"/>
      <c r="H3578" s="47"/>
      <c r="I3578" s="63"/>
      <c r="J3578" s="31"/>
      <c r="K3578" s="31"/>
      <c r="L3578" s="32"/>
      <c r="M3578" s="32"/>
      <c r="N3578" s="32"/>
    </row>
    <row r="3579" spans="2:14" x14ac:dyDescent="0.25">
      <c r="B3579" s="42"/>
      <c r="C3579" s="30"/>
      <c r="D3579" s="30"/>
      <c r="E3579" s="30"/>
      <c r="F3579" s="30"/>
      <c r="G3579" s="30"/>
      <c r="H3579" s="47"/>
      <c r="I3579" s="63"/>
      <c r="J3579" s="31"/>
      <c r="K3579" s="31"/>
      <c r="L3579" s="32"/>
      <c r="M3579" s="32"/>
      <c r="N3579" s="32"/>
    </row>
    <row r="3580" spans="2:14" x14ac:dyDescent="0.25">
      <c r="B3580" s="42"/>
      <c r="C3580" s="30"/>
      <c r="D3580" s="30"/>
      <c r="E3580" s="30"/>
      <c r="F3580" s="30"/>
      <c r="G3580" s="30"/>
      <c r="H3580" s="47"/>
      <c r="I3580" s="63"/>
      <c r="J3580" s="31"/>
      <c r="K3580" s="31"/>
      <c r="L3580" s="32"/>
      <c r="M3580" s="32"/>
      <c r="N3580" s="32"/>
    </row>
    <row r="3581" spans="2:14" x14ac:dyDescent="0.25">
      <c r="B3581" s="42"/>
      <c r="C3581" s="30"/>
      <c r="D3581" s="30"/>
      <c r="E3581" s="30"/>
      <c r="F3581" s="30"/>
      <c r="G3581" s="30"/>
      <c r="H3581" s="47"/>
      <c r="I3581" s="63"/>
      <c r="J3581" s="31"/>
      <c r="K3581" s="31"/>
      <c r="L3581" s="32"/>
      <c r="M3581" s="32"/>
      <c r="N3581" s="32"/>
    </row>
    <row r="3582" spans="2:14" x14ac:dyDescent="0.25">
      <c r="B3582" s="42"/>
      <c r="C3582" s="30"/>
      <c r="D3582" s="30"/>
      <c r="E3582" s="30"/>
      <c r="F3582" s="30"/>
      <c r="G3582" s="30"/>
      <c r="H3582" s="47"/>
      <c r="I3582" s="63"/>
      <c r="J3582" s="31"/>
      <c r="K3582" s="31"/>
      <c r="L3582" s="32"/>
      <c r="M3582" s="32"/>
      <c r="N3582" s="32"/>
    </row>
    <row r="3583" spans="2:14" x14ac:dyDescent="0.25">
      <c r="B3583" s="42"/>
      <c r="C3583" s="30"/>
      <c r="D3583" s="30"/>
      <c r="E3583" s="30"/>
      <c r="F3583" s="30"/>
      <c r="G3583" s="30"/>
      <c r="H3583" s="47"/>
      <c r="I3583" s="63"/>
      <c r="J3583" s="31"/>
      <c r="K3583" s="31"/>
      <c r="L3583" s="32"/>
      <c r="M3583" s="32"/>
      <c r="N3583" s="32"/>
    </row>
    <row r="3584" spans="2:14" x14ac:dyDescent="0.25">
      <c r="B3584" s="42"/>
      <c r="C3584" s="30"/>
      <c r="D3584" s="30"/>
      <c r="E3584" s="30"/>
      <c r="F3584" s="30"/>
      <c r="G3584" s="30"/>
      <c r="H3584" s="47"/>
      <c r="I3584" s="63"/>
      <c r="J3584" s="31"/>
      <c r="K3584" s="31"/>
      <c r="L3584" s="32"/>
      <c r="M3584" s="32"/>
      <c r="N3584" s="32"/>
    </row>
    <row r="3585" spans="2:14" x14ac:dyDescent="0.25">
      <c r="B3585" s="42"/>
      <c r="C3585" s="30"/>
      <c r="D3585" s="30"/>
      <c r="E3585" s="30"/>
      <c r="F3585" s="30"/>
      <c r="G3585" s="30"/>
      <c r="H3585" s="47"/>
      <c r="I3585" s="63"/>
      <c r="J3585" s="31"/>
      <c r="K3585" s="31"/>
      <c r="L3585" s="32"/>
      <c r="M3585" s="32"/>
      <c r="N3585" s="32"/>
    </row>
    <row r="3586" spans="2:14" x14ac:dyDescent="0.25">
      <c r="B3586" s="42"/>
      <c r="C3586" s="30"/>
      <c r="D3586" s="30"/>
      <c r="E3586" s="30"/>
      <c r="F3586" s="30"/>
      <c r="G3586" s="30"/>
      <c r="H3586" s="47"/>
      <c r="I3586" s="63"/>
      <c r="J3586" s="31"/>
      <c r="K3586" s="31"/>
      <c r="L3586" s="32"/>
      <c r="M3586" s="32"/>
      <c r="N3586" s="32"/>
    </row>
    <row r="3587" spans="2:14" x14ac:dyDescent="0.25">
      <c r="B3587" s="42"/>
      <c r="C3587" s="30"/>
      <c r="D3587" s="30"/>
      <c r="E3587" s="30"/>
      <c r="F3587" s="30"/>
      <c r="G3587" s="30"/>
      <c r="H3587" s="47"/>
      <c r="I3587" s="63"/>
      <c r="J3587" s="31"/>
      <c r="K3587" s="31"/>
      <c r="L3587" s="32"/>
      <c r="M3587" s="32"/>
      <c r="N3587" s="32"/>
    </row>
    <row r="3588" spans="2:14" x14ac:dyDescent="0.25">
      <c r="B3588" s="42"/>
      <c r="C3588" s="30"/>
      <c r="D3588" s="30"/>
      <c r="E3588" s="30"/>
      <c r="F3588" s="30"/>
      <c r="G3588" s="30"/>
      <c r="H3588" s="47"/>
      <c r="I3588" s="63"/>
      <c r="J3588" s="31"/>
      <c r="K3588" s="31"/>
      <c r="L3588" s="32"/>
      <c r="M3588" s="32"/>
      <c r="N3588" s="32"/>
    </row>
    <row r="3589" spans="2:14" x14ac:dyDescent="0.25">
      <c r="B3589" s="42"/>
      <c r="C3589" s="30"/>
      <c r="D3589" s="30"/>
      <c r="E3589" s="30"/>
      <c r="F3589" s="30"/>
      <c r="G3589" s="30"/>
      <c r="H3589" s="47"/>
      <c r="I3589" s="63"/>
      <c r="J3589" s="31"/>
      <c r="K3589" s="31"/>
      <c r="L3589" s="32"/>
      <c r="M3589" s="32"/>
      <c r="N3589" s="32"/>
    </row>
    <row r="3590" spans="2:14" x14ac:dyDescent="0.25">
      <c r="B3590" s="42"/>
      <c r="C3590" s="30"/>
      <c r="D3590" s="30"/>
      <c r="E3590" s="30"/>
      <c r="F3590" s="30"/>
      <c r="G3590" s="30"/>
      <c r="H3590" s="47"/>
      <c r="I3590" s="63"/>
      <c r="J3590" s="31"/>
      <c r="K3590" s="31"/>
      <c r="L3590" s="32"/>
      <c r="M3590" s="32"/>
      <c r="N3590" s="32"/>
    </row>
    <row r="3591" spans="2:14" x14ac:dyDescent="0.25">
      <c r="B3591" s="42"/>
      <c r="C3591" s="30"/>
      <c r="D3591" s="30"/>
      <c r="E3591" s="30"/>
      <c r="F3591" s="30"/>
      <c r="G3591" s="30"/>
      <c r="H3591" s="47"/>
      <c r="I3591" s="63"/>
      <c r="J3591" s="31"/>
      <c r="K3591" s="31"/>
      <c r="L3591" s="32"/>
      <c r="M3591" s="32"/>
      <c r="N3591" s="32"/>
    </row>
    <row r="3592" spans="2:14" x14ac:dyDescent="0.25">
      <c r="B3592" s="42"/>
      <c r="C3592" s="30"/>
      <c r="D3592" s="30"/>
      <c r="E3592" s="30"/>
      <c r="F3592" s="30"/>
      <c r="G3592" s="30"/>
      <c r="H3592" s="47"/>
      <c r="I3592" s="63"/>
      <c r="J3592" s="31"/>
      <c r="K3592" s="31"/>
      <c r="L3592" s="32"/>
      <c r="M3592" s="32"/>
      <c r="N3592" s="32"/>
    </row>
    <row r="3593" spans="2:14" x14ac:dyDescent="0.25">
      <c r="B3593" s="42"/>
      <c r="C3593" s="30"/>
      <c r="D3593" s="30"/>
      <c r="E3593" s="30"/>
      <c r="F3593" s="30"/>
      <c r="G3593" s="30"/>
      <c r="H3593" s="47"/>
      <c r="I3593" s="63"/>
      <c r="J3593" s="31"/>
      <c r="K3593" s="31"/>
      <c r="L3593" s="32"/>
      <c r="M3593" s="32"/>
      <c r="N3593" s="32"/>
    </row>
    <row r="3594" spans="2:14" x14ac:dyDescent="0.25">
      <c r="B3594" s="42"/>
      <c r="C3594" s="30"/>
      <c r="D3594" s="30"/>
      <c r="E3594" s="30"/>
      <c r="F3594" s="30"/>
      <c r="G3594" s="30"/>
      <c r="H3594" s="47"/>
      <c r="I3594" s="63"/>
      <c r="J3594" s="31"/>
      <c r="K3594" s="31"/>
      <c r="L3594" s="32"/>
      <c r="M3594" s="32"/>
      <c r="N3594" s="32"/>
    </row>
    <row r="3595" spans="2:14" x14ac:dyDescent="0.25">
      <c r="B3595" s="42"/>
      <c r="C3595" s="30"/>
      <c r="D3595" s="30"/>
      <c r="E3595" s="30"/>
      <c r="F3595" s="30"/>
      <c r="G3595" s="30"/>
      <c r="H3595" s="47"/>
      <c r="I3595" s="63"/>
      <c r="J3595" s="31"/>
      <c r="K3595" s="31"/>
      <c r="L3595" s="32"/>
      <c r="M3595" s="32"/>
      <c r="N3595" s="32"/>
    </row>
    <row r="3596" spans="2:14" x14ac:dyDescent="0.25">
      <c r="B3596" s="42"/>
      <c r="C3596" s="30"/>
      <c r="D3596" s="30"/>
      <c r="E3596" s="30"/>
      <c r="F3596" s="30"/>
      <c r="G3596" s="30"/>
      <c r="H3596" s="47"/>
      <c r="I3596" s="63"/>
      <c r="J3596" s="31"/>
      <c r="K3596" s="31"/>
      <c r="L3596" s="32"/>
      <c r="M3596" s="32"/>
      <c r="N3596" s="32"/>
    </row>
    <row r="3597" spans="2:14" x14ac:dyDescent="0.25">
      <c r="B3597" s="42"/>
      <c r="C3597" s="30"/>
      <c r="D3597" s="30"/>
      <c r="E3597" s="30"/>
      <c r="F3597" s="30"/>
      <c r="G3597" s="30"/>
      <c r="H3597" s="47"/>
      <c r="I3597" s="63"/>
      <c r="J3597" s="31"/>
      <c r="K3597" s="31"/>
      <c r="L3597" s="32"/>
      <c r="M3597" s="32"/>
      <c r="N3597" s="32"/>
    </row>
    <row r="3598" spans="2:14" x14ac:dyDescent="0.25">
      <c r="B3598" s="42"/>
      <c r="C3598" s="30"/>
      <c r="D3598" s="30"/>
      <c r="E3598" s="30"/>
      <c r="F3598" s="30"/>
      <c r="G3598" s="30"/>
      <c r="H3598" s="47"/>
      <c r="I3598" s="63"/>
      <c r="J3598" s="31"/>
      <c r="K3598" s="31"/>
      <c r="L3598" s="32"/>
      <c r="M3598" s="32"/>
      <c r="N3598" s="32"/>
    </row>
    <row r="3599" spans="2:14" x14ac:dyDescent="0.25">
      <c r="B3599" s="42"/>
      <c r="C3599" s="30"/>
      <c r="D3599" s="30"/>
      <c r="E3599" s="30"/>
      <c r="F3599" s="30"/>
      <c r="G3599" s="30"/>
      <c r="H3599" s="47"/>
      <c r="I3599" s="63"/>
      <c r="J3599" s="31"/>
      <c r="K3599" s="31"/>
      <c r="L3599" s="32"/>
      <c r="M3599" s="32"/>
      <c r="N3599" s="32"/>
    </row>
    <row r="3600" spans="2:14" x14ac:dyDescent="0.25">
      <c r="B3600" s="42"/>
      <c r="C3600" s="30"/>
      <c r="D3600" s="30"/>
      <c r="E3600" s="30"/>
      <c r="F3600" s="30"/>
      <c r="G3600" s="30"/>
      <c r="H3600" s="47"/>
      <c r="I3600" s="63"/>
      <c r="J3600" s="31"/>
      <c r="K3600" s="31"/>
      <c r="L3600" s="32"/>
      <c r="M3600" s="32"/>
      <c r="N3600" s="32"/>
    </row>
    <row r="3601" spans="2:14" x14ac:dyDescent="0.25">
      <c r="B3601" s="42"/>
      <c r="C3601" s="30"/>
      <c r="D3601" s="30"/>
      <c r="E3601" s="30"/>
      <c r="F3601" s="30"/>
      <c r="G3601" s="30"/>
      <c r="H3601" s="47"/>
      <c r="I3601" s="63"/>
      <c r="J3601" s="31"/>
      <c r="K3601" s="31"/>
      <c r="L3601" s="32"/>
      <c r="M3601" s="32"/>
      <c r="N3601" s="32"/>
    </row>
    <row r="3602" spans="2:14" x14ac:dyDescent="0.25">
      <c r="B3602" s="42"/>
      <c r="C3602" s="30"/>
      <c r="D3602" s="30"/>
      <c r="E3602" s="30"/>
      <c r="F3602" s="30"/>
      <c r="G3602" s="30"/>
      <c r="H3602" s="47"/>
      <c r="I3602" s="63"/>
      <c r="J3602" s="31"/>
      <c r="K3602" s="31"/>
      <c r="L3602" s="32"/>
      <c r="M3602" s="32"/>
      <c r="N3602" s="32"/>
    </row>
    <row r="3603" spans="2:14" x14ac:dyDescent="0.25">
      <c r="B3603" s="42"/>
      <c r="C3603" s="30"/>
      <c r="D3603" s="30"/>
      <c r="E3603" s="30"/>
      <c r="F3603" s="30"/>
      <c r="G3603" s="30"/>
      <c r="H3603" s="47"/>
      <c r="I3603" s="63"/>
      <c r="J3603" s="31"/>
      <c r="K3603" s="31"/>
      <c r="L3603" s="32"/>
      <c r="M3603" s="32"/>
      <c r="N3603" s="32"/>
    </row>
    <row r="3604" spans="2:14" x14ac:dyDescent="0.25">
      <c r="B3604" s="42"/>
      <c r="C3604" s="30"/>
      <c r="D3604" s="30"/>
      <c r="E3604" s="30"/>
      <c r="F3604" s="30"/>
      <c r="G3604" s="30"/>
      <c r="H3604" s="47"/>
      <c r="I3604" s="63"/>
      <c r="J3604" s="31"/>
      <c r="K3604" s="31"/>
      <c r="L3604" s="32"/>
      <c r="M3604" s="32"/>
      <c r="N3604" s="32"/>
    </row>
    <row r="3605" spans="2:14" x14ac:dyDescent="0.25">
      <c r="B3605" s="42"/>
      <c r="C3605" s="30"/>
      <c r="D3605" s="30"/>
      <c r="E3605" s="30"/>
      <c r="F3605" s="30"/>
      <c r="G3605" s="30"/>
      <c r="H3605" s="47"/>
      <c r="I3605" s="63"/>
      <c r="J3605" s="31"/>
      <c r="K3605" s="31"/>
      <c r="L3605" s="32"/>
      <c r="M3605" s="32"/>
      <c r="N3605" s="32"/>
    </row>
    <row r="3606" spans="2:14" x14ac:dyDescent="0.25">
      <c r="B3606" s="42"/>
      <c r="C3606" s="30"/>
      <c r="D3606" s="30"/>
      <c r="E3606" s="30"/>
      <c r="F3606" s="30"/>
      <c r="G3606" s="30"/>
      <c r="H3606" s="47"/>
      <c r="I3606" s="63"/>
      <c r="J3606" s="31"/>
      <c r="K3606" s="31"/>
      <c r="L3606" s="32"/>
      <c r="M3606" s="32"/>
      <c r="N3606" s="32"/>
    </row>
    <row r="3607" spans="2:14" x14ac:dyDescent="0.25">
      <c r="B3607" s="42"/>
      <c r="C3607" s="30"/>
      <c r="D3607" s="30"/>
      <c r="E3607" s="30"/>
      <c r="F3607" s="30"/>
      <c r="G3607" s="30"/>
      <c r="H3607" s="47"/>
      <c r="I3607" s="63"/>
      <c r="J3607" s="31"/>
      <c r="K3607" s="31"/>
      <c r="L3607" s="32"/>
      <c r="M3607" s="32"/>
      <c r="N3607" s="32"/>
    </row>
    <row r="3608" spans="2:14" x14ac:dyDescent="0.25">
      <c r="B3608" s="42"/>
      <c r="C3608" s="30"/>
      <c r="D3608" s="30"/>
      <c r="E3608" s="30"/>
      <c r="F3608" s="30"/>
      <c r="G3608" s="30"/>
      <c r="H3608" s="47"/>
      <c r="I3608" s="63"/>
      <c r="J3608" s="31"/>
      <c r="K3608" s="31"/>
      <c r="L3608" s="32"/>
      <c r="M3608" s="32"/>
      <c r="N3608" s="32"/>
    </row>
    <row r="3609" spans="2:14" x14ac:dyDescent="0.25">
      <c r="B3609" s="42"/>
      <c r="C3609" s="30"/>
      <c r="D3609" s="30"/>
      <c r="E3609" s="30"/>
      <c r="F3609" s="30"/>
      <c r="G3609" s="30"/>
      <c r="H3609" s="47"/>
      <c r="I3609" s="63"/>
      <c r="J3609" s="31"/>
      <c r="K3609" s="31"/>
      <c r="L3609" s="32"/>
      <c r="M3609" s="32"/>
      <c r="N3609" s="32"/>
    </row>
    <row r="3610" spans="2:14" x14ac:dyDescent="0.25">
      <c r="B3610" s="42"/>
      <c r="C3610" s="30"/>
      <c r="D3610" s="30"/>
      <c r="E3610" s="30"/>
      <c r="F3610" s="30"/>
      <c r="G3610" s="30"/>
      <c r="H3610" s="47"/>
      <c r="I3610" s="63"/>
      <c r="J3610" s="31"/>
      <c r="K3610" s="31"/>
      <c r="L3610" s="32"/>
      <c r="M3610" s="32"/>
      <c r="N3610" s="32"/>
    </row>
    <row r="3611" spans="2:14" x14ac:dyDescent="0.25">
      <c r="B3611" s="42"/>
      <c r="C3611" s="30"/>
      <c r="D3611" s="30"/>
      <c r="E3611" s="30"/>
      <c r="F3611" s="30"/>
      <c r="G3611" s="30"/>
      <c r="H3611" s="47"/>
      <c r="I3611" s="63"/>
      <c r="J3611" s="31"/>
      <c r="K3611" s="31"/>
      <c r="L3611" s="32"/>
      <c r="M3611" s="32"/>
      <c r="N3611" s="32"/>
    </row>
    <row r="3612" spans="2:14" x14ac:dyDescent="0.25">
      <c r="B3612" s="42"/>
      <c r="C3612" s="30"/>
      <c r="D3612" s="30"/>
      <c r="E3612" s="30"/>
      <c r="F3612" s="30"/>
      <c r="G3612" s="30"/>
      <c r="H3612" s="47"/>
      <c r="I3612" s="63"/>
      <c r="J3612" s="31"/>
      <c r="K3612" s="31"/>
      <c r="L3612" s="32"/>
      <c r="M3612" s="32"/>
      <c r="N3612" s="32"/>
    </row>
    <row r="3613" spans="2:14" x14ac:dyDescent="0.25">
      <c r="B3613" s="42"/>
      <c r="C3613" s="30"/>
      <c r="D3613" s="30"/>
      <c r="E3613" s="30"/>
      <c r="F3613" s="30"/>
      <c r="G3613" s="30"/>
      <c r="H3613" s="47"/>
      <c r="I3613" s="63"/>
      <c r="J3613" s="31"/>
      <c r="K3613" s="31"/>
      <c r="L3613" s="32"/>
      <c r="M3613" s="32"/>
      <c r="N3613" s="32"/>
    </row>
    <row r="3614" spans="2:14" x14ac:dyDescent="0.25">
      <c r="B3614" s="42"/>
      <c r="C3614" s="30"/>
      <c r="D3614" s="30"/>
      <c r="E3614" s="30"/>
      <c r="F3614" s="30"/>
      <c r="G3614" s="30"/>
      <c r="H3614" s="47"/>
      <c r="I3614" s="63"/>
      <c r="J3614" s="31"/>
      <c r="K3614" s="31"/>
      <c r="L3614" s="32"/>
      <c r="M3614" s="32"/>
      <c r="N3614" s="32"/>
    </row>
    <row r="3615" spans="2:14" x14ac:dyDescent="0.25">
      <c r="B3615" s="42"/>
      <c r="C3615" s="30"/>
      <c r="D3615" s="30"/>
      <c r="E3615" s="30"/>
      <c r="F3615" s="30"/>
      <c r="G3615" s="30"/>
      <c r="H3615" s="47"/>
      <c r="I3615" s="63"/>
      <c r="J3615" s="31"/>
      <c r="K3615" s="31"/>
      <c r="L3615" s="32"/>
      <c r="M3615" s="32"/>
      <c r="N3615" s="32"/>
    </row>
    <row r="3616" spans="2:14" x14ac:dyDescent="0.25">
      <c r="B3616" s="42"/>
      <c r="C3616" s="30"/>
      <c r="D3616" s="30"/>
      <c r="E3616" s="30"/>
      <c r="F3616" s="30"/>
      <c r="G3616" s="30"/>
      <c r="H3616" s="47"/>
      <c r="I3616" s="63"/>
      <c r="J3616" s="31"/>
      <c r="K3616" s="31"/>
      <c r="L3616" s="32"/>
      <c r="M3616" s="32"/>
      <c r="N3616" s="32"/>
    </row>
    <row r="3617" spans="2:14" x14ac:dyDescent="0.25">
      <c r="B3617" s="42"/>
      <c r="C3617" s="30"/>
      <c r="D3617" s="30"/>
      <c r="E3617" s="30"/>
      <c r="F3617" s="30"/>
      <c r="G3617" s="30"/>
      <c r="H3617" s="47"/>
      <c r="I3617" s="63"/>
      <c r="J3617" s="31"/>
      <c r="K3617" s="31"/>
      <c r="L3617" s="32"/>
      <c r="M3617" s="32"/>
      <c r="N3617" s="32"/>
    </row>
    <row r="3618" spans="2:14" x14ac:dyDescent="0.25">
      <c r="B3618" s="42"/>
      <c r="C3618" s="30"/>
      <c r="D3618" s="30"/>
      <c r="E3618" s="30"/>
      <c r="F3618" s="30"/>
      <c r="G3618" s="30"/>
      <c r="H3618" s="47"/>
      <c r="I3618" s="63"/>
      <c r="J3618" s="31"/>
      <c r="K3618" s="31"/>
      <c r="L3618" s="32"/>
      <c r="M3618" s="32"/>
      <c r="N3618" s="32"/>
    </row>
    <row r="3619" spans="2:14" x14ac:dyDescent="0.25">
      <c r="B3619" s="42"/>
      <c r="C3619" s="30"/>
      <c r="D3619" s="30"/>
      <c r="E3619" s="30"/>
      <c r="F3619" s="30"/>
      <c r="G3619" s="30"/>
      <c r="H3619" s="47"/>
      <c r="I3619" s="63"/>
      <c r="J3619" s="31"/>
      <c r="K3619" s="31"/>
      <c r="L3619" s="32"/>
      <c r="M3619" s="32"/>
      <c r="N3619" s="32"/>
    </row>
    <row r="3620" spans="2:14" x14ac:dyDescent="0.25">
      <c r="B3620" s="42"/>
      <c r="C3620" s="30"/>
      <c r="D3620" s="30"/>
      <c r="E3620" s="30"/>
      <c r="F3620" s="30"/>
      <c r="G3620" s="30"/>
      <c r="H3620" s="47"/>
      <c r="I3620" s="63"/>
      <c r="J3620" s="31"/>
      <c r="K3620" s="31"/>
      <c r="L3620" s="32"/>
      <c r="M3620" s="32"/>
      <c r="N3620" s="32"/>
    </row>
    <row r="3621" spans="2:14" x14ac:dyDescent="0.25">
      <c r="B3621" s="42"/>
      <c r="C3621" s="30"/>
      <c r="D3621" s="30"/>
      <c r="E3621" s="30"/>
      <c r="F3621" s="30"/>
      <c r="G3621" s="30"/>
      <c r="H3621" s="47"/>
      <c r="I3621" s="63"/>
      <c r="J3621" s="31"/>
      <c r="K3621" s="31"/>
      <c r="L3621" s="32"/>
      <c r="M3621" s="32"/>
      <c r="N3621" s="32"/>
    </row>
    <row r="3622" spans="2:14" x14ac:dyDescent="0.25">
      <c r="B3622" s="42"/>
      <c r="C3622" s="30"/>
      <c r="D3622" s="30"/>
      <c r="E3622" s="30"/>
      <c r="F3622" s="30"/>
      <c r="G3622" s="30"/>
      <c r="H3622" s="47"/>
      <c r="I3622" s="63"/>
      <c r="J3622" s="31"/>
      <c r="K3622" s="31"/>
      <c r="L3622" s="32"/>
      <c r="M3622" s="32"/>
      <c r="N3622" s="32"/>
    </row>
    <row r="3623" spans="2:14" x14ac:dyDescent="0.25">
      <c r="B3623" s="42"/>
      <c r="C3623" s="30"/>
      <c r="D3623" s="30"/>
      <c r="E3623" s="30"/>
      <c r="F3623" s="30"/>
      <c r="G3623" s="30"/>
      <c r="H3623" s="47"/>
      <c r="I3623" s="63"/>
      <c r="J3623" s="31"/>
      <c r="K3623" s="31"/>
      <c r="L3623" s="32"/>
      <c r="M3623" s="32"/>
      <c r="N3623" s="32"/>
    </row>
    <row r="3624" spans="2:14" x14ac:dyDescent="0.25">
      <c r="B3624" s="42"/>
      <c r="C3624" s="30"/>
      <c r="D3624" s="30"/>
      <c r="E3624" s="30"/>
      <c r="F3624" s="30"/>
      <c r="G3624" s="30"/>
      <c r="H3624" s="47"/>
      <c r="I3624" s="63"/>
      <c r="J3624" s="31"/>
      <c r="K3624" s="31"/>
      <c r="L3624" s="32"/>
      <c r="M3624" s="32"/>
      <c r="N3624" s="32"/>
    </row>
    <row r="3625" spans="2:14" x14ac:dyDescent="0.25">
      <c r="B3625" s="42"/>
      <c r="C3625" s="30"/>
      <c r="D3625" s="30"/>
      <c r="E3625" s="30"/>
      <c r="F3625" s="30"/>
      <c r="G3625" s="30"/>
      <c r="H3625" s="47"/>
      <c r="I3625" s="63"/>
      <c r="J3625" s="31"/>
      <c r="K3625" s="31"/>
      <c r="L3625" s="32"/>
      <c r="M3625" s="32"/>
      <c r="N3625" s="32"/>
    </row>
    <row r="3626" spans="2:14" x14ac:dyDescent="0.25">
      <c r="B3626" s="42"/>
      <c r="C3626" s="30"/>
      <c r="D3626" s="30"/>
      <c r="E3626" s="30"/>
      <c r="F3626" s="30"/>
      <c r="G3626" s="30"/>
      <c r="H3626" s="47"/>
      <c r="I3626" s="63"/>
      <c r="J3626" s="31"/>
      <c r="K3626" s="31"/>
      <c r="L3626" s="32"/>
      <c r="M3626" s="32"/>
      <c r="N3626" s="32"/>
    </row>
    <row r="3627" spans="2:14" x14ac:dyDescent="0.25">
      <c r="B3627" s="42"/>
      <c r="C3627" s="30"/>
      <c r="D3627" s="30"/>
      <c r="E3627" s="30"/>
      <c r="F3627" s="30"/>
      <c r="G3627" s="30"/>
      <c r="H3627" s="47"/>
      <c r="I3627" s="63"/>
      <c r="J3627" s="31"/>
      <c r="K3627" s="31"/>
      <c r="L3627" s="32"/>
      <c r="M3627" s="32"/>
      <c r="N3627" s="32"/>
    </row>
    <row r="3628" spans="2:14" x14ac:dyDescent="0.25">
      <c r="B3628" s="42"/>
      <c r="C3628" s="30"/>
      <c r="D3628" s="30"/>
      <c r="E3628" s="30"/>
      <c r="F3628" s="30"/>
      <c r="G3628" s="30"/>
      <c r="H3628" s="47"/>
      <c r="I3628" s="63"/>
      <c r="J3628" s="31"/>
      <c r="K3628" s="31"/>
      <c r="L3628" s="32"/>
      <c r="M3628" s="32"/>
      <c r="N3628" s="32"/>
    </row>
    <row r="3629" spans="2:14" x14ac:dyDescent="0.25">
      <c r="B3629" s="42"/>
      <c r="C3629" s="30"/>
      <c r="D3629" s="30"/>
      <c r="E3629" s="30"/>
      <c r="F3629" s="30"/>
      <c r="G3629" s="30"/>
      <c r="H3629" s="47"/>
      <c r="I3629" s="63"/>
      <c r="J3629" s="31"/>
      <c r="K3629" s="31"/>
      <c r="L3629" s="32"/>
      <c r="M3629" s="32"/>
      <c r="N3629" s="32"/>
    </row>
    <row r="3630" spans="2:14" x14ac:dyDescent="0.25">
      <c r="B3630" s="42"/>
      <c r="C3630" s="30"/>
      <c r="D3630" s="30"/>
      <c r="E3630" s="30"/>
      <c r="F3630" s="30"/>
      <c r="G3630" s="30"/>
      <c r="H3630" s="47"/>
      <c r="I3630" s="63"/>
      <c r="J3630" s="31"/>
      <c r="K3630" s="31"/>
      <c r="L3630" s="32"/>
      <c r="M3630" s="32"/>
      <c r="N3630" s="32"/>
    </row>
    <row r="3631" spans="2:14" x14ac:dyDescent="0.25">
      <c r="B3631" s="42"/>
      <c r="C3631" s="30"/>
      <c r="D3631" s="30"/>
      <c r="E3631" s="30"/>
      <c r="F3631" s="30"/>
      <c r="G3631" s="30"/>
      <c r="H3631" s="47"/>
      <c r="I3631" s="63"/>
      <c r="J3631" s="31"/>
      <c r="K3631" s="31"/>
      <c r="L3631" s="32"/>
      <c r="M3631" s="32"/>
      <c r="N3631" s="32"/>
    </row>
    <row r="3632" spans="2:14" x14ac:dyDescent="0.25">
      <c r="B3632" s="42"/>
      <c r="C3632" s="30"/>
      <c r="D3632" s="30"/>
      <c r="E3632" s="30"/>
      <c r="F3632" s="30"/>
      <c r="G3632" s="30"/>
      <c r="H3632" s="47"/>
      <c r="I3632" s="63"/>
      <c r="J3632" s="31"/>
      <c r="K3632" s="31"/>
      <c r="L3632" s="32"/>
      <c r="M3632" s="32"/>
      <c r="N3632" s="32"/>
    </row>
    <row r="3633" spans="2:14" x14ac:dyDescent="0.25">
      <c r="B3633" s="42"/>
      <c r="C3633" s="30"/>
      <c r="D3633" s="30"/>
      <c r="E3633" s="30"/>
      <c r="F3633" s="30"/>
      <c r="G3633" s="30"/>
      <c r="H3633" s="47"/>
      <c r="I3633" s="63"/>
      <c r="J3633" s="31"/>
      <c r="K3633" s="31"/>
      <c r="L3633" s="32"/>
      <c r="M3633" s="32"/>
      <c r="N3633" s="32"/>
    </row>
    <row r="3634" spans="2:14" x14ac:dyDescent="0.25">
      <c r="B3634" s="42"/>
      <c r="C3634" s="30"/>
      <c r="D3634" s="30"/>
      <c r="E3634" s="30"/>
      <c r="F3634" s="30"/>
      <c r="G3634" s="30"/>
      <c r="H3634" s="47"/>
      <c r="I3634" s="63"/>
      <c r="J3634" s="31"/>
      <c r="K3634" s="31"/>
      <c r="L3634" s="32"/>
      <c r="M3634" s="32"/>
      <c r="N3634" s="32"/>
    </row>
    <row r="3635" spans="2:14" x14ac:dyDescent="0.25">
      <c r="B3635" s="42"/>
      <c r="C3635" s="30"/>
      <c r="D3635" s="30"/>
      <c r="E3635" s="30"/>
      <c r="F3635" s="30"/>
      <c r="G3635" s="30"/>
      <c r="H3635" s="47"/>
      <c r="I3635" s="63"/>
      <c r="J3635" s="31"/>
      <c r="K3635" s="31"/>
      <c r="L3635" s="32"/>
      <c r="M3635" s="32"/>
      <c r="N3635" s="32"/>
    </row>
    <row r="3636" spans="2:14" x14ac:dyDescent="0.25">
      <c r="B3636" s="42"/>
      <c r="C3636" s="30"/>
      <c r="D3636" s="30"/>
      <c r="E3636" s="30"/>
      <c r="F3636" s="30"/>
      <c r="G3636" s="30"/>
      <c r="H3636" s="47"/>
      <c r="I3636" s="63"/>
      <c r="J3636" s="31"/>
      <c r="K3636" s="31"/>
      <c r="L3636" s="32"/>
      <c r="M3636" s="32"/>
      <c r="N3636" s="32"/>
    </row>
    <row r="3637" spans="2:14" x14ac:dyDescent="0.25">
      <c r="B3637" s="42"/>
      <c r="C3637" s="30"/>
      <c r="D3637" s="30"/>
      <c r="E3637" s="30"/>
      <c r="F3637" s="30"/>
      <c r="G3637" s="30"/>
      <c r="H3637" s="47"/>
      <c r="I3637" s="63"/>
      <c r="J3637" s="31"/>
      <c r="K3637" s="31"/>
      <c r="L3637" s="32"/>
      <c r="M3637" s="32"/>
      <c r="N3637" s="32"/>
    </row>
    <row r="3638" spans="2:14" x14ac:dyDescent="0.25">
      <c r="B3638" s="42"/>
      <c r="C3638" s="30"/>
      <c r="D3638" s="30"/>
      <c r="E3638" s="30"/>
      <c r="F3638" s="30"/>
      <c r="G3638" s="30"/>
      <c r="H3638" s="47"/>
      <c r="I3638" s="63"/>
      <c r="J3638" s="31"/>
      <c r="K3638" s="31"/>
      <c r="L3638" s="32"/>
      <c r="M3638" s="32"/>
      <c r="N3638" s="32"/>
    </row>
    <row r="3639" spans="2:14" x14ac:dyDescent="0.25">
      <c r="B3639" s="42"/>
      <c r="C3639" s="30"/>
      <c r="D3639" s="30"/>
      <c r="E3639" s="30"/>
      <c r="F3639" s="30"/>
      <c r="G3639" s="30"/>
      <c r="H3639" s="47"/>
      <c r="I3639" s="63"/>
      <c r="J3639" s="31"/>
      <c r="K3639" s="31"/>
      <c r="L3639" s="32"/>
      <c r="M3639" s="32"/>
      <c r="N3639" s="32"/>
    </row>
    <row r="3640" spans="2:14" x14ac:dyDescent="0.25">
      <c r="B3640" s="42"/>
      <c r="C3640" s="30"/>
      <c r="D3640" s="30"/>
      <c r="E3640" s="30"/>
      <c r="F3640" s="30"/>
      <c r="G3640" s="30"/>
      <c r="H3640" s="47"/>
      <c r="I3640" s="63"/>
      <c r="J3640" s="31"/>
      <c r="K3640" s="31"/>
      <c r="L3640" s="32"/>
      <c r="M3640" s="32"/>
      <c r="N3640" s="32"/>
    </row>
    <row r="3641" spans="2:14" x14ac:dyDescent="0.25">
      <c r="B3641" s="42"/>
      <c r="C3641" s="30"/>
      <c r="D3641" s="30"/>
      <c r="E3641" s="30"/>
      <c r="F3641" s="30"/>
      <c r="G3641" s="30"/>
      <c r="H3641" s="47"/>
      <c r="I3641" s="63"/>
      <c r="J3641" s="31"/>
      <c r="K3641" s="31"/>
      <c r="L3641" s="32"/>
      <c r="M3641" s="32"/>
      <c r="N3641" s="32"/>
    </row>
    <row r="3642" spans="2:14" x14ac:dyDescent="0.25">
      <c r="B3642" s="42"/>
      <c r="C3642" s="30"/>
      <c r="D3642" s="30"/>
      <c r="E3642" s="30"/>
      <c r="F3642" s="30"/>
      <c r="G3642" s="30"/>
      <c r="H3642" s="47"/>
      <c r="I3642" s="63"/>
      <c r="J3642" s="31"/>
      <c r="K3642" s="31"/>
      <c r="L3642" s="32"/>
      <c r="M3642" s="32"/>
      <c r="N3642" s="32"/>
    </row>
    <row r="3643" spans="2:14" x14ac:dyDescent="0.25">
      <c r="B3643" s="42"/>
      <c r="C3643" s="30"/>
      <c r="D3643" s="30"/>
      <c r="E3643" s="30"/>
      <c r="F3643" s="30"/>
      <c r="G3643" s="30"/>
      <c r="H3643" s="47"/>
      <c r="I3643" s="63"/>
      <c r="J3643" s="31"/>
      <c r="K3643" s="31"/>
      <c r="L3643" s="32"/>
      <c r="M3643" s="32"/>
      <c r="N3643" s="32"/>
    </row>
    <row r="3644" spans="2:14" x14ac:dyDescent="0.25">
      <c r="B3644" s="42"/>
      <c r="C3644" s="30"/>
      <c r="D3644" s="30"/>
      <c r="E3644" s="30"/>
      <c r="F3644" s="30"/>
      <c r="G3644" s="30"/>
      <c r="H3644" s="47"/>
      <c r="I3644" s="63"/>
      <c r="J3644" s="31"/>
      <c r="K3644" s="31"/>
      <c r="L3644" s="32"/>
      <c r="M3644" s="32"/>
      <c r="N3644" s="32"/>
    </row>
    <row r="3645" spans="2:14" x14ac:dyDescent="0.25">
      <c r="B3645" s="42"/>
      <c r="C3645" s="30"/>
      <c r="D3645" s="30"/>
      <c r="E3645" s="30"/>
      <c r="F3645" s="30"/>
      <c r="G3645" s="30"/>
      <c r="H3645" s="47"/>
      <c r="I3645" s="63"/>
      <c r="J3645" s="31"/>
      <c r="K3645" s="31"/>
      <c r="L3645" s="32"/>
      <c r="M3645" s="32"/>
      <c r="N3645" s="32"/>
    </row>
  </sheetData>
  <autoFilter ref="B16:N16"/>
  <dataConsolidate/>
  <mergeCells count="3">
    <mergeCell ref="B1:P1"/>
    <mergeCell ref="G2:P2"/>
    <mergeCell ref="B15:N15"/>
  </mergeCells>
  <hyperlinks>
    <hyperlink ref="G4" location="Overview!$G$4" display="APS-C/ Kleinbild"/>
    <hyperlink ref="I6" location="Overview!$I$6" display="Motor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  <hyperlink ref="I5" location="Overview!$I$5" display="Canon"/>
    <hyperlink ref="J5" location="Overview!$J$5" display="Fuji"/>
    <hyperlink ref="K5" location="Overview!$K$5" display="Sony"/>
    <hyperlink ref="L5" location="Overview!$L$5" display="Leica"/>
    <hyperlink ref="M5" location="Overview!$M$5" display="Samyang"/>
    <hyperlink ref="O3" location="Overview!$O$3" display="Nikon 1"/>
    <hyperlink ref="N5" location="Overview!$N$5" display="Sigma"/>
    <hyperlink ref="O5" location="Overview!$O$5" display="Tamron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9</xdr:row>
                    <xdr:rowOff>209550</xdr:rowOff>
                  </from>
                  <to>
                    <xdr:col>5</xdr:col>
                    <xdr:colOff>180975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9</xdr:row>
                    <xdr:rowOff>200025</xdr:rowOff>
                  </from>
                  <to>
                    <xdr:col>1</xdr:col>
                    <xdr:colOff>1876425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4133850</xdr:colOff>
                    <xdr:row>10</xdr:row>
                    <xdr:rowOff>0</xdr:rowOff>
                  </from>
                  <to>
                    <xdr:col>2</xdr:col>
                    <xdr:colOff>752475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unAllPythonTests">
                <anchor moveWithCells="1" sizeWithCells="1">
                  <from>
                    <xdr:col>1</xdr:col>
                    <xdr:colOff>2400300</xdr:colOff>
                    <xdr:row>11</xdr:row>
                    <xdr:rowOff>0</xdr:rowOff>
                  </from>
                  <to>
                    <xdr:col>1</xdr:col>
                    <xdr:colOff>3971925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M2011"/>
  <sheetViews>
    <sheetView tabSelected="1" workbookViewId="0">
      <pane xSplit="1" topLeftCell="B1" activePane="topRight" state="frozen"/>
      <selection activeCell="A197" sqref="A197"/>
      <selection pane="topRight" activeCell="F7" sqref="F7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8" width="27.28515625" style="62" customWidth="1"/>
    <col min="9" max="10" width="17" bestFit="1" customWidth="1"/>
    <col min="11" max="11" width="11.28515625" style="46" bestFit="1" customWidth="1"/>
    <col min="12" max="12" width="12.28515625" style="22" customWidth="1"/>
    <col min="13" max="13" width="9.28515625" style="22" customWidth="1"/>
  </cols>
  <sheetData>
    <row r="1" spans="1:13" ht="19.5" x14ac:dyDescent="0.25">
      <c r="A1" s="23" t="s">
        <v>878</v>
      </c>
      <c r="B1" s="23" t="s">
        <v>880</v>
      </c>
      <c r="C1" s="23" t="s">
        <v>881</v>
      </c>
      <c r="D1" s="24" t="s">
        <v>883</v>
      </c>
      <c r="E1" s="24" t="s">
        <v>884</v>
      </c>
      <c r="F1" s="23" t="s">
        <v>895</v>
      </c>
      <c r="G1" s="23" t="s">
        <v>4505</v>
      </c>
      <c r="H1" s="23" t="s">
        <v>4532</v>
      </c>
      <c r="I1" s="23" t="s">
        <v>1</v>
      </c>
      <c r="J1" s="23" t="s">
        <v>885</v>
      </c>
      <c r="K1" s="44" t="s">
        <v>894</v>
      </c>
      <c r="L1" s="25" t="s">
        <v>887</v>
      </c>
      <c r="M1" s="25" t="s">
        <v>886</v>
      </c>
    </row>
    <row r="2" spans="1:13" x14ac:dyDescent="0.25">
      <c r="A2" t="str">
        <f>'RawData (GH)'!A2</f>
        <v>Canon EF 100-400mm 4.5-5.6 L IS II USM weiß</v>
      </c>
      <c r="B2" s="5">
        <f>getFocalLengthStart('RawData (GH)'!B2)</f>
        <v>100</v>
      </c>
      <c r="C2" s="5">
        <f>getFocalLengthEnd('RawData (GH)'!B2)</f>
        <v>400</v>
      </c>
      <c r="D2" s="9">
        <f>getApertureStart('RawData (GH)'!C2)</f>
        <v>4.5</v>
      </c>
      <c r="E2" s="9">
        <f>getApertureEnd('RawData (GH)'!C2)</f>
        <v>5.6</v>
      </c>
      <c r="F2" s="2">
        <f>getFiltersizeAsDouble('RawData (GH)'!D2)</f>
        <v>77</v>
      </c>
      <c r="G2" s="35">
        <f>getMagnification('RawData (GH)'!E2)</f>
        <v>3.23</v>
      </c>
      <c r="H2" s="62">
        <f>getMinimalFocus('RawData (GH)'!F2)</f>
        <v>0</v>
      </c>
      <c r="I2" t="str">
        <f>getMount('RawData (GH)'!G2)</f>
        <v>Canon EF</v>
      </c>
      <c r="J2" t="str">
        <f>getSensorCompatibility('RawData (GH)'!H2)</f>
        <v>APS-C/ Kleinbild</v>
      </c>
      <c r="K2" s="45">
        <f>getWeightAsDouble('RawData (GH)'!I2)</f>
        <v>1570</v>
      </c>
      <c r="L2" s="34">
        <f>getSizeDiameter('RawData (GH)'!J2)</f>
        <v>94</v>
      </c>
      <c r="M2" s="34">
        <f>getSizeLength('RawData (GH)'!J2)</f>
        <v>193</v>
      </c>
    </row>
    <row r="3" spans="1:13" x14ac:dyDescent="0.25">
      <c r="A3" t="str">
        <f>'RawData (GH)'!A3</f>
        <v>Canon EF 100-400mm 4.5-5.6 L IS USM weiß</v>
      </c>
      <c r="B3" s="5">
        <f>getFocalLengthStart('RawData (GH)'!B3)</f>
        <v>100</v>
      </c>
      <c r="C3" s="5">
        <f>getFocalLengthEnd('RawData (GH)'!B3)</f>
        <v>400</v>
      </c>
      <c r="D3" s="9">
        <f>getApertureStart('RawData (GH)'!C3)</f>
        <v>4.5</v>
      </c>
      <c r="E3" s="9">
        <f>getApertureEnd('RawData (GH)'!C3)</f>
        <v>5.6</v>
      </c>
      <c r="F3" s="2">
        <f>getFiltersizeAsDouble('RawData (GH)'!D3)</f>
        <v>77</v>
      </c>
      <c r="G3" s="35">
        <f>getMagnification('RawData (GH)'!E3)</f>
        <v>5</v>
      </c>
      <c r="H3" s="62">
        <f>getMinimalFocus('RawData (GH)'!F3)</f>
        <v>0</v>
      </c>
      <c r="I3" t="str">
        <f>getMount('RawData (GH)'!G3)</f>
        <v>Canon EF</v>
      </c>
      <c r="J3" t="str">
        <f>getSensorCompatibility('RawData (GH)'!H3)</f>
        <v>APS-C/ Kleinbild</v>
      </c>
      <c r="K3" s="45">
        <f>getWeightAsDouble('RawData (GH)'!I3)</f>
        <v>1360</v>
      </c>
      <c r="L3" s="34">
        <f>getSizeDiameter('RawData (GH)'!J3)</f>
        <v>92</v>
      </c>
      <c r="M3" s="34">
        <f>getSizeLength('RawData (GH)'!J3)</f>
        <v>189</v>
      </c>
    </row>
    <row r="4" spans="1:13" x14ac:dyDescent="0.25">
      <c r="A4" t="str">
        <f>'RawData (GH)'!A4</f>
        <v>Canon EF 100mm 2.0 USM schwarz</v>
      </c>
      <c r="B4" s="5">
        <f>getFocalLengthStart('RawData (GH)'!B4)</f>
        <v>100</v>
      </c>
      <c r="C4" s="5">
        <f>getFocalLengthEnd('RawData (GH)'!B4)</f>
        <v>100</v>
      </c>
      <c r="D4" s="9">
        <f>getApertureStart('RawData (GH)'!C4)</f>
        <v>2</v>
      </c>
      <c r="E4" s="9">
        <f>getApertureEnd('RawData (GH)'!C4)</f>
        <v>2</v>
      </c>
      <c r="F4" s="2">
        <f>getFiltersizeAsDouble('RawData (GH)'!D4)</f>
        <v>58</v>
      </c>
      <c r="G4" s="35">
        <f>getMagnification('RawData (GH)'!E4)</f>
        <v>7.14</v>
      </c>
      <c r="H4" s="62">
        <f>getMinimalFocus('RawData (GH)'!F4)</f>
        <v>0</v>
      </c>
      <c r="I4" t="str">
        <f>getMount('RawData (GH)'!G4)</f>
        <v>Canon EF</v>
      </c>
      <c r="J4" t="str">
        <f>getSensorCompatibility('RawData (GH)'!H4)</f>
        <v>APS-C/ Kleinbild</v>
      </c>
      <c r="K4" s="45">
        <f>getWeightAsDouble('RawData (GH)'!I4)</f>
        <v>460</v>
      </c>
      <c r="L4" s="34">
        <f>getSizeDiameter('RawData (GH)'!J4)</f>
        <v>75</v>
      </c>
      <c r="M4" s="34">
        <f>getSizeLength('RawData (GH)'!J4)</f>
        <v>73.5</v>
      </c>
    </row>
    <row r="5" spans="1:13" x14ac:dyDescent="0.25">
      <c r="A5" t="str">
        <f>'RawData (GH)'!A5</f>
        <v>Canon EF 100mm 2.8 L Makro IS USM schwarz</v>
      </c>
      <c r="B5" s="5">
        <f>getFocalLengthStart('RawData (GH)'!B5)</f>
        <v>100</v>
      </c>
      <c r="C5" s="5">
        <f>getFocalLengthEnd('RawData (GH)'!B5)</f>
        <v>100</v>
      </c>
      <c r="D5" s="9">
        <f>getApertureStart('RawData (GH)'!C5)</f>
        <v>2.8</v>
      </c>
      <c r="E5" s="9">
        <f>getApertureEnd('RawData (GH)'!C5)</f>
        <v>2.8</v>
      </c>
      <c r="F5" s="2">
        <f>getFiltersizeAsDouble('RawData (GH)'!D5)</f>
        <v>67</v>
      </c>
      <c r="G5" s="35">
        <f>getMagnification('RawData (GH)'!E5)</f>
        <v>1</v>
      </c>
      <c r="H5" s="62">
        <f>getMinimalFocus('RawData (GH)'!F5)</f>
        <v>0</v>
      </c>
      <c r="I5" t="str">
        <f>getMount('RawData (GH)'!G5)</f>
        <v>Canon EF</v>
      </c>
      <c r="J5" t="str">
        <f>getSensorCompatibility('RawData (GH)'!H5)</f>
        <v>APS-C/ Kleinbild</v>
      </c>
      <c r="K5" s="45">
        <f>getWeightAsDouble('RawData (GH)'!I5)</f>
        <v>625</v>
      </c>
      <c r="L5" s="34">
        <f>getSizeDiameter('RawData (GH)'!J5)</f>
        <v>77.7</v>
      </c>
      <c r="M5" s="34">
        <f>getSizeLength('RawData (GH)'!J5)</f>
        <v>123</v>
      </c>
    </row>
    <row r="6" spans="1:13" x14ac:dyDescent="0.25">
      <c r="A6" t="str">
        <f>'RawData (GH)'!A6</f>
        <v>Canon EF 100mm 2.8 Makro USM schwarz</v>
      </c>
      <c r="B6" s="5">
        <f>getFocalLengthStart('RawData (GH)'!B6)</f>
        <v>100</v>
      </c>
      <c r="C6" s="5">
        <f>getFocalLengthEnd('RawData (GH)'!B6)</f>
        <v>100</v>
      </c>
      <c r="D6" s="9">
        <f>getApertureStart('RawData (GH)'!C6)</f>
        <v>2.8</v>
      </c>
      <c r="E6" s="9">
        <f>getApertureEnd('RawData (GH)'!C6)</f>
        <v>2.8</v>
      </c>
      <c r="F6" s="2">
        <f>getFiltersizeAsDouble('RawData (GH)'!D6)</f>
        <v>58</v>
      </c>
      <c r="G6" s="35">
        <f>getMagnification('RawData (GH)'!E6)</f>
        <v>1</v>
      </c>
      <c r="H6" s="62">
        <f>getMinimalFocus('RawData (GH)'!F6)</f>
        <v>0</v>
      </c>
      <c r="I6" t="str">
        <f>getMount('RawData (GH)'!G6)</f>
        <v>Canon EF</v>
      </c>
      <c r="J6" t="str">
        <f>getSensorCompatibility('RawData (GH)'!H6)</f>
        <v>APS-C/ Kleinbild</v>
      </c>
      <c r="K6" s="45">
        <f>getWeightAsDouble('RawData (GH)'!I6)</f>
        <v>600</v>
      </c>
      <c r="L6" s="34">
        <f>getSizeDiameter('RawData (GH)'!J6)</f>
        <v>79</v>
      </c>
      <c r="M6" s="34">
        <f>getSizeLength('RawData (GH)'!J6)</f>
        <v>119</v>
      </c>
    </row>
    <row r="7" spans="1:13" x14ac:dyDescent="0.25">
      <c r="A7" t="str">
        <f>'RawData (GH)'!A7</f>
        <v>Canon EF 11-24mm 4.0 L USM schwarz</v>
      </c>
      <c r="B7" s="5">
        <f>getFocalLengthStart('RawData (GH)'!B7)</f>
        <v>11</v>
      </c>
      <c r="C7" s="5">
        <f>getFocalLengthEnd('RawData (GH)'!B7)</f>
        <v>24</v>
      </c>
      <c r="D7" s="9">
        <f>getApertureStart('RawData (GH)'!C7)</f>
        <v>4</v>
      </c>
      <c r="E7" s="9">
        <f>getApertureEnd('RawData (GH)'!C7)</f>
        <v>4</v>
      </c>
      <c r="F7" s="2">
        <f>getFiltersizeAsDouble('RawData (GH)'!D7)</f>
        <v>0</v>
      </c>
      <c r="G7" s="35">
        <f>getMagnification('RawData (GH)'!E7)</f>
        <v>6.25</v>
      </c>
      <c r="H7" s="62">
        <f>getMinimalFocus('RawData (GH)'!F7)</f>
        <v>0</v>
      </c>
      <c r="I7" t="str">
        <f>getMount('RawData (GH)'!G7)</f>
        <v>Canon EF</v>
      </c>
      <c r="J7" t="str">
        <f>getSensorCompatibility('RawData (GH)'!H7)</f>
        <v>APS-C/ Kleinbild</v>
      </c>
      <c r="K7" s="45">
        <f>getWeightAsDouble('RawData (GH)'!I7)</f>
        <v>1180</v>
      </c>
      <c r="L7" s="34">
        <f>getSizeDiameter('RawData (GH)'!J7)</f>
        <v>108</v>
      </c>
      <c r="M7" s="34">
        <f>getSizeLength('RawData (GH)'!J7)</f>
        <v>132</v>
      </c>
    </row>
    <row r="8" spans="1:13" x14ac:dyDescent="0.25">
      <c r="A8" t="str">
        <f>'RawData (GH)'!A8</f>
        <v>Canon EF 135mm 2.0 L USM schwarz</v>
      </c>
      <c r="B8" s="5">
        <f>getFocalLengthStart('RawData (GH)'!B8)</f>
        <v>135</v>
      </c>
      <c r="C8" s="5">
        <f>getFocalLengthEnd('RawData (GH)'!B8)</f>
        <v>135</v>
      </c>
      <c r="D8" s="9">
        <f>getApertureStart('RawData (GH)'!C8)</f>
        <v>2</v>
      </c>
      <c r="E8" s="9">
        <f>getApertureEnd('RawData (GH)'!C8)</f>
        <v>2</v>
      </c>
      <c r="F8" s="2">
        <f>getFiltersizeAsDouble('RawData (GH)'!D8)</f>
        <v>72</v>
      </c>
      <c r="G8" s="35">
        <f>getMagnification('RawData (GH)'!E8)</f>
        <v>5.26</v>
      </c>
      <c r="H8" s="62">
        <f>getMinimalFocus('RawData (GH)'!F8)</f>
        <v>0</v>
      </c>
      <c r="I8" t="str">
        <f>getMount('RawData (GH)'!G8)</f>
        <v>Canon EF</v>
      </c>
      <c r="J8" t="str">
        <f>getSensorCompatibility('RawData (GH)'!H8)</f>
        <v>APS-C/ Kleinbild</v>
      </c>
      <c r="K8" s="45">
        <f>getWeightAsDouble('RawData (GH)'!I8)</f>
        <v>750</v>
      </c>
      <c r="L8" s="34">
        <f>getSizeDiameter('RawData (GH)'!J8)</f>
        <v>82.5</v>
      </c>
      <c r="M8" s="34">
        <f>getSizeLength('RawData (GH)'!J8)</f>
        <v>112</v>
      </c>
    </row>
    <row r="9" spans="1:13" x14ac:dyDescent="0.25">
      <c r="A9" t="str">
        <f>'RawData (GH)'!A9</f>
        <v>Canon EF 135mm 2.8 Soft-Focus schwarz</v>
      </c>
      <c r="B9" s="5">
        <f>getFocalLengthStart('RawData (GH)'!B9)</f>
        <v>135</v>
      </c>
      <c r="C9" s="5">
        <f>getFocalLengthEnd('RawData (GH)'!B9)</f>
        <v>135</v>
      </c>
      <c r="D9" s="9">
        <f>getApertureStart('RawData (GH)'!C9)</f>
        <v>2.8</v>
      </c>
      <c r="E9" s="9">
        <f>getApertureEnd('RawData (GH)'!C9)</f>
        <v>2.8</v>
      </c>
      <c r="F9" s="2">
        <f>getFiltersizeAsDouble('RawData (GH)'!D9)</f>
        <v>52</v>
      </c>
      <c r="G9" s="35">
        <f>getMagnification('RawData (GH)'!E9)</f>
        <v>8.33</v>
      </c>
      <c r="H9" s="62">
        <f>getMinimalFocus('RawData (GH)'!F9)</f>
        <v>0</v>
      </c>
      <c r="I9" t="str">
        <f>getMount('RawData (GH)'!G9)</f>
        <v>Canon EF</v>
      </c>
      <c r="J9" t="str">
        <f>getSensorCompatibility('RawData (GH)'!H9)</f>
        <v>APS-C/ Kleinbild</v>
      </c>
      <c r="K9" s="45">
        <f>getWeightAsDouble('RawData (GH)'!I9)</f>
        <v>390</v>
      </c>
      <c r="L9" s="34">
        <f>getSizeDiameter('RawData (GH)'!J9)</f>
        <v>69.2</v>
      </c>
      <c r="M9" s="34">
        <f>getSizeLength('RawData (GH)'!J9)</f>
        <v>98.4</v>
      </c>
    </row>
    <row r="10" spans="1:13" x14ac:dyDescent="0.25">
      <c r="A10" t="str">
        <f>'RawData (GH)'!A10</f>
        <v>Canon EF 14mm 2.8 L II USM schwarz</v>
      </c>
      <c r="B10" s="5">
        <f>getFocalLengthStart('RawData (GH)'!B10)</f>
        <v>14</v>
      </c>
      <c r="C10" s="5">
        <f>getFocalLengthEnd('RawData (GH)'!B10)</f>
        <v>14</v>
      </c>
      <c r="D10" s="9">
        <f>getApertureStart('RawData (GH)'!C10)</f>
        <v>2.8</v>
      </c>
      <c r="E10" s="9">
        <f>getApertureEnd('RawData (GH)'!C10)</f>
        <v>2.8</v>
      </c>
      <c r="F10" s="2">
        <f>getFiltersizeAsDouble('RawData (GH)'!D10)</f>
        <v>0</v>
      </c>
      <c r="G10" s="35">
        <f>getMagnification('RawData (GH)'!E10)</f>
        <v>6.67</v>
      </c>
      <c r="H10" s="62">
        <f>getMinimalFocus('RawData (GH)'!F10)</f>
        <v>0</v>
      </c>
      <c r="I10" t="str">
        <f>getMount('RawData (GH)'!G10)</f>
        <v>Canon EF</v>
      </c>
      <c r="J10" t="str">
        <f>getSensorCompatibility('RawData (GH)'!H10)</f>
        <v>APS-C/ Kleinbild</v>
      </c>
      <c r="K10" s="45">
        <f>getWeightAsDouble('RawData (GH)'!I10)</f>
        <v>645</v>
      </c>
      <c r="L10" s="34">
        <f>getSizeDiameter('RawData (GH)'!J10)</f>
        <v>80</v>
      </c>
      <c r="M10" s="34">
        <f>getSizeLength('RawData (GH)'!J10)</f>
        <v>94</v>
      </c>
    </row>
    <row r="11" spans="1:13" x14ac:dyDescent="0.25">
      <c r="A11" t="str">
        <f>'RawData (GH)'!A11</f>
        <v>Canon EF 16-35mm 2.8 L II USM schwarz</v>
      </c>
      <c r="B11" s="5">
        <f>getFocalLengthStart('RawData (GH)'!B11)</f>
        <v>16</v>
      </c>
      <c r="C11" s="5">
        <f>getFocalLengthEnd('RawData (GH)'!B11)</f>
        <v>35</v>
      </c>
      <c r="D11" s="9">
        <f>getApertureStart('RawData (GH)'!C11)</f>
        <v>2.8</v>
      </c>
      <c r="E11" s="9">
        <f>getApertureEnd('RawData (GH)'!C11)</f>
        <v>2.8</v>
      </c>
      <c r="F11" s="2">
        <f>getFiltersizeAsDouble('RawData (GH)'!D11)</f>
        <v>82</v>
      </c>
      <c r="G11" s="35">
        <f>getMagnification('RawData (GH)'!E11)</f>
        <v>4.55</v>
      </c>
      <c r="H11" s="62">
        <f>getMinimalFocus('RawData (GH)'!F11)</f>
        <v>0</v>
      </c>
      <c r="I11" t="str">
        <f>getMount('RawData (GH)'!G11)</f>
        <v>Canon EF</v>
      </c>
      <c r="J11" t="str">
        <f>getSensorCompatibility('RawData (GH)'!H11)</f>
        <v>APS-C/ Kleinbild</v>
      </c>
      <c r="K11" s="45">
        <f>getWeightAsDouble('RawData (GH)'!I11)</f>
        <v>635</v>
      </c>
      <c r="L11" s="34">
        <f>getSizeDiameter('RawData (GH)'!J11)</f>
        <v>88.5</v>
      </c>
      <c r="M11" s="34">
        <f>getSizeLength('RawData (GH)'!J11)</f>
        <v>111.6</v>
      </c>
    </row>
    <row r="12" spans="1:13" x14ac:dyDescent="0.25">
      <c r="A12" t="str">
        <f>'RawData (GH)'!A12</f>
        <v>Canon EF 16-35mm 2.8 L III USM schwarz</v>
      </c>
      <c r="B12" s="5">
        <f>getFocalLengthStart('RawData (GH)'!B12)</f>
        <v>16</v>
      </c>
      <c r="C12" s="5">
        <f>getFocalLengthEnd('RawData (GH)'!B12)</f>
        <v>35</v>
      </c>
      <c r="D12" s="9">
        <f>getApertureStart('RawData (GH)'!C12)</f>
        <v>2.8</v>
      </c>
      <c r="E12" s="9">
        <f>getApertureEnd('RawData (GH)'!C12)</f>
        <v>2.8</v>
      </c>
      <c r="F12" s="2">
        <f>getFiltersizeAsDouble('RawData (GH)'!D12)</f>
        <v>82</v>
      </c>
      <c r="G12" s="35">
        <f>getMagnification('RawData (GH)'!E12)</f>
        <v>4</v>
      </c>
      <c r="H12" s="62">
        <f>getMinimalFocus('RawData (GH)'!F12)</f>
        <v>0</v>
      </c>
      <c r="I12" t="str">
        <f>getMount('RawData (GH)'!G12)</f>
        <v>Canon EF</v>
      </c>
      <c r="J12" t="str">
        <f>getSensorCompatibility('RawData (GH)'!H12)</f>
        <v>APS-C/ Kleinbild</v>
      </c>
      <c r="K12" s="45">
        <f>getWeightAsDouble('RawData (GH)'!I12)</f>
        <v>790</v>
      </c>
      <c r="L12" s="34">
        <f>getSizeDiameter('RawData (GH)'!J12)</f>
        <v>88.5</v>
      </c>
      <c r="M12" s="34">
        <f>getSizeLength('RawData (GH)'!J12)</f>
        <v>127.5</v>
      </c>
    </row>
    <row r="13" spans="1:13" x14ac:dyDescent="0.25">
      <c r="A13" t="str">
        <f>'RawData (GH)'!A13</f>
        <v>Canon EF 16-35mm 4.0 L IS USM schwarz</v>
      </c>
      <c r="B13" s="5">
        <f>getFocalLengthStart('RawData (GH)'!B13)</f>
        <v>16</v>
      </c>
      <c r="C13" s="5">
        <f>getFocalLengthEnd('RawData (GH)'!B13)</f>
        <v>35</v>
      </c>
      <c r="D13" s="9">
        <f>getApertureStart('RawData (GH)'!C13)</f>
        <v>4</v>
      </c>
      <c r="E13" s="9">
        <f>getApertureEnd('RawData (GH)'!C13)</f>
        <v>4</v>
      </c>
      <c r="F13" s="2">
        <f>getFiltersizeAsDouble('RawData (GH)'!D13)</f>
        <v>77</v>
      </c>
      <c r="G13" s="35">
        <f>getMagnification('RawData (GH)'!E13)</f>
        <v>4.3499999999999996</v>
      </c>
      <c r="H13" s="62">
        <f>getMinimalFocus('RawData (GH)'!F13)</f>
        <v>0</v>
      </c>
      <c r="I13" t="str">
        <f>getMount('RawData (GH)'!G13)</f>
        <v>Canon EF</v>
      </c>
      <c r="J13" t="str">
        <f>getSensorCompatibility('RawData (GH)'!H13)</f>
        <v>APS-C/ Kleinbild</v>
      </c>
      <c r="K13" s="45">
        <f>getWeightAsDouble('RawData (GH)'!I13)</f>
        <v>615</v>
      </c>
      <c r="L13" s="34">
        <f>getSizeDiameter('RawData (GH)'!J13)</f>
        <v>82.6</v>
      </c>
      <c r="M13" s="34">
        <f>getSizeLength('RawData (GH)'!J13)</f>
        <v>112.8</v>
      </c>
    </row>
    <row r="14" spans="1:13" x14ac:dyDescent="0.25">
      <c r="A14" t="str">
        <f>'RawData (GH)'!A14</f>
        <v>Canon EF 17-40mm 4.0 L USM schwarz</v>
      </c>
      <c r="B14" s="5">
        <f>getFocalLengthStart('RawData (GH)'!B14)</f>
        <v>17</v>
      </c>
      <c r="C14" s="5">
        <f>getFocalLengthEnd('RawData (GH)'!B14)</f>
        <v>40</v>
      </c>
      <c r="D14" s="9">
        <f>getApertureStart('RawData (GH)'!C14)</f>
        <v>4</v>
      </c>
      <c r="E14" s="9">
        <f>getApertureEnd('RawData (GH)'!C14)</f>
        <v>4</v>
      </c>
      <c r="F14" s="2">
        <f>getFiltersizeAsDouble('RawData (GH)'!D14)</f>
        <v>77</v>
      </c>
      <c r="G14" s="35">
        <f>getMagnification('RawData (GH)'!E14)</f>
        <v>4.17</v>
      </c>
      <c r="H14" s="62">
        <f>getMinimalFocus('RawData (GH)'!F14)</f>
        <v>0</v>
      </c>
      <c r="I14" t="str">
        <f>getMount('RawData (GH)'!G14)</f>
        <v>Canon EF</v>
      </c>
      <c r="J14" t="str">
        <f>getSensorCompatibility('RawData (GH)'!H14)</f>
        <v>APS-C/ Kleinbild</v>
      </c>
      <c r="K14" s="45">
        <f>getWeightAsDouble('RawData (GH)'!I14)</f>
        <v>500</v>
      </c>
      <c r="L14" s="34">
        <f>getSizeDiameter('RawData (GH)'!J14)</f>
        <v>83.5</v>
      </c>
      <c r="M14" s="34">
        <f>getSizeLength('RawData (GH)'!J14)</f>
        <v>96.8</v>
      </c>
    </row>
    <row r="15" spans="1:13" x14ac:dyDescent="0.25">
      <c r="A15" t="str">
        <f>'RawData (GH)'!A15</f>
        <v>Canon EF 180mm 3.5 L Makro USM schwarz</v>
      </c>
      <c r="B15" s="5">
        <f>getFocalLengthStart('RawData (GH)'!B15)</f>
        <v>180</v>
      </c>
      <c r="C15" s="5">
        <f>getFocalLengthEnd('RawData (GH)'!B15)</f>
        <v>180</v>
      </c>
      <c r="D15" s="9">
        <f>getApertureStart('RawData (GH)'!C15)</f>
        <v>3.5</v>
      </c>
      <c r="E15" s="9">
        <f>getApertureEnd('RawData (GH)'!C15)</f>
        <v>3.5</v>
      </c>
      <c r="F15" s="2">
        <f>getFiltersizeAsDouble('RawData (GH)'!D15)</f>
        <v>72</v>
      </c>
      <c r="G15" s="35">
        <f>getMagnification('RawData (GH)'!E15)</f>
        <v>1</v>
      </c>
      <c r="H15" s="62">
        <f>getMinimalFocus('RawData (GH)'!F15)</f>
        <v>0</v>
      </c>
      <c r="I15" t="str">
        <f>getMount('RawData (GH)'!G15)</f>
        <v>Canon EF</v>
      </c>
      <c r="J15" t="str">
        <f>getSensorCompatibility('RawData (GH)'!H15)</f>
        <v>APS-C/ Kleinbild</v>
      </c>
      <c r="K15" s="45">
        <f>getWeightAsDouble('RawData (GH)'!I15)</f>
        <v>1090</v>
      </c>
      <c r="L15" s="34">
        <f>getSizeDiameter('RawData (GH)'!J15)</f>
        <v>82.5</v>
      </c>
      <c r="M15" s="34">
        <f>getSizeLength('RawData (GH)'!J15)</f>
        <v>186.5</v>
      </c>
    </row>
    <row r="16" spans="1:13" x14ac:dyDescent="0.25">
      <c r="A16" t="str">
        <f>'RawData (GH)'!A16</f>
        <v>Canon EF 200-400mm 4.0 L IS USM Extender 1.4x weiß</v>
      </c>
      <c r="B16" s="5">
        <f>getFocalLengthStart('RawData (GH)'!B16)</f>
        <v>200</v>
      </c>
      <c r="C16" s="5">
        <f>getFocalLengthEnd('RawData (GH)'!B16)</f>
        <v>400</v>
      </c>
      <c r="D16" s="9">
        <f>getApertureStart('RawData (GH)'!C16)</f>
        <v>4</v>
      </c>
      <c r="E16" s="9">
        <f>getApertureEnd('RawData (GH)'!C16)</f>
        <v>4</v>
      </c>
      <c r="F16" s="2">
        <f>getFiltersizeAsDouble('RawData (GH)'!D16)</f>
        <v>52</v>
      </c>
      <c r="G16" s="35">
        <f>getMagnification('RawData (GH)'!E16)</f>
        <v>6.67</v>
      </c>
      <c r="H16" s="62">
        <f>getMinimalFocus('RawData (GH)'!F16)</f>
        <v>0</v>
      </c>
      <c r="I16" t="str">
        <f>getMount('RawData (GH)'!G16)</f>
        <v>Canon EF</v>
      </c>
      <c r="J16" t="str">
        <f>getSensorCompatibility('RawData (GH)'!H16)</f>
        <v>APS-C/ Kleinbild</v>
      </c>
      <c r="K16" s="45">
        <f>getWeightAsDouble('RawData (GH)'!I16)</f>
        <v>3620</v>
      </c>
      <c r="L16" s="34">
        <f>getSizeDiameter('RawData (GH)'!J16)</f>
        <v>128</v>
      </c>
      <c r="M16" s="34">
        <f>getSizeLength('RawData (GH)'!J16)</f>
        <v>366</v>
      </c>
    </row>
    <row r="17" spans="1:13" x14ac:dyDescent="0.25">
      <c r="A17" t="str">
        <f>'RawData (GH)'!A17</f>
        <v>Canon EF 200mm 2.0 L IS USM weiß</v>
      </c>
      <c r="B17" s="5">
        <f>getFocalLengthStart('RawData (GH)'!B17)</f>
        <v>200</v>
      </c>
      <c r="C17" s="5">
        <f>getFocalLengthEnd('RawData (GH)'!B17)</f>
        <v>200</v>
      </c>
      <c r="D17" s="9">
        <f>getApertureStart('RawData (GH)'!C17)</f>
        <v>2</v>
      </c>
      <c r="E17" s="9">
        <f>getApertureEnd('RawData (GH)'!C17)</f>
        <v>2</v>
      </c>
      <c r="F17" s="2">
        <f>getFiltersizeAsDouble('RawData (GH)'!D17)</f>
        <v>52</v>
      </c>
      <c r="G17" s="35">
        <f>getMagnification('RawData (GH)'!E17)</f>
        <v>8.33</v>
      </c>
      <c r="H17" s="62">
        <f>getMinimalFocus('RawData (GH)'!F17)</f>
        <v>0</v>
      </c>
      <c r="I17" t="str">
        <f>getMount('RawData (GH)'!G17)</f>
        <v>Canon EF</v>
      </c>
      <c r="J17" t="str">
        <f>getSensorCompatibility('RawData (GH)'!H17)</f>
        <v>APS-C/ Kleinbild</v>
      </c>
      <c r="K17" s="45">
        <f>getWeightAsDouble('RawData (GH)'!I17)</f>
        <v>2520</v>
      </c>
      <c r="L17" s="34">
        <f>getSizeDiameter('RawData (GH)'!J17)</f>
        <v>128</v>
      </c>
      <c r="M17" s="34">
        <f>getSizeLength('RawData (GH)'!J17)</f>
        <v>208</v>
      </c>
    </row>
    <row r="18" spans="1:13" x14ac:dyDescent="0.25">
      <c r="A18" t="str">
        <f>'RawData (GH)'!A18</f>
        <v>Canon EF 200mm 2.8 L II USM schwarz</v>
      </c>
      <c r="B18" s="5">
        <f>getFocalLengthStart('RawData (GH)'!B18)</f>
        <v>200</v>
      </c>
      <c r="C18" s="5">
        <f>getFocalLengthEnd('RawData (GH)'!B18)</f>
        <v>200</v>
      </c>
      <c r="D18" s="9">
        <f>getApertureStart('RawData (GH)'!C18)</f>
        <v>2.8</v>
      </c>
      <c r="E18" s="9">
        <f>getApertureEnd('RawData (GH)'!C18)</f>
        <v>2.8</v>
      </c>
      <c r="F18" s="2">
        <f>getFiltersizeAsDouble('RawData (GH)'!D18)</f>
        <v>72</v>
      </c>
      <c r="G18" s="35">
        <f>getMagnification('RawData (GH)'!E18)</f>
        <v>6.25</v>
      </c>
      <c r="H18" s="62">
        <f>getMinimalFocus('RawData (GH)'!F18)</f>
        <v>0</v>
      </c>
      <c r="I18" t="str">
        <f>getMount('RawData (GH)'!G18)</f>
        <v>Canon EF</v>
      </c>
      <c r="J18" t="str">
        <f>getSensorCompatibility('RawData (GH)'!H18)</f>
        <v>APS-C/ Kleinbild</v>
      </c>
      <c r="K18" s="45">
        <f>getWeightAsDouble('RawData (GH)'!I18)</f>
        <v>765</v>
      </c>
      <c r="L18" s="34">
        <f>getSizeDiameter('RawData (GH)'!J18)</f>
        <v>83.2</v>
      </c>
      <c r="M18" s="34">
        <f>getSizeLength('RawData (GH)'!J18)</f>
        <v>136</v>
      </c>
    </row>
    <row r="19" spans="1:13" x14ac:dyDescent="0.25">
      <c r="A19" t="str">
        <f>'RawData (GH)'!A19</f>
        <v>Canon EF 20mm 2.8 USM schwarz</v>
      </c>
      <c r="B19" s="5">
        <f>getFocalLengthStart('RawData (GH)'!B19)</f>
        <v>20</v>
      </c>
      <c r="C19" s="5">
        <f>getFocalLengthEnd('RawData (GH)'!B19)</f>
        <v>20</v>
      </c>
      <c r="D19" s="9">
        <f>getApertureStart('RawData (GH)'!C19)</f>
        <v>2.8</v>
      </c>
      <c r="E19" s="9">
        <f>getApertureEnd('RawData (GH)'!C19)</f>
        <v>2.8</v>
      </c>
      <c r="F19" s="2">
        <f>getFiltersizeAsDouble('RawData (GH)'!D19)</f>
        <v>72</v>
      </c>
      <c r="G19" s="35">
        <f>getMagnification('RawData (GH)'!E19)</f>
        <v>7.14</v>
      </c>
      <c r="H19" s="62">
        <f>getMinimalFocus('RawData (GH)'!F19)</f>
        <v>0</v>
      </c>
      <c r="I19" t="str">
        <f>getMount('RawData (GH)'!G19)</f>
        <v>Canon EF</v>
      </c>
      <c r="J19" t="str">
        <f>getSensorCompatibility('RawData (GH)'!H19)</f>
        <v>APS-C/ Kleinbild</v>
      </c>
      <c r="K19" s="45">
        <f>getWeightAsDouble('RawData (GH)'!I19)</f>
        <v>405</v>
      </c>
      <c r="L19" s="34">
        <f>getSizeDiameter('RawData (GH)'!J19)</f>
        <v>77.5</v>
      </c>
      <c r="M19" s="34">
        <f>getSizeLength('RawData (GH)'!J19)</f>
        <v>70.599999999999994</v>
      </c>
    </row>
    <row r="20" spans="1:13" x14ac:dyDescent="0.25">
      <c r="A20" t="str">
        <f>'RawData (GH)'!A20</f>
        <v>Canon EF 24-105mm 3.5-5.6 IS STM schwarz</v>
      </c>
      <c r="B20" s="5">
        <f>getFocalLengthStart('RawData (GH)'!B20)</f>
        <v>24</v>
      </c>
      <c r="C20" s="5">
        <f>getFocalLengthEnd('RawData (GH)'!B20)</f>
        <v>105</v>
      </c>
      <c r="D20" s="9">
        <f>getApertureStart('RawData (GH)'!C20)</f>
        <v>3.5</v>
      </c>
      <c r="E20" s="9">
        <f>getApertureEnd('RawData (GH)'!C20)</f>
        <v>5.6</v>
      </c>
      <c r="F20" s="2">
        <f>getFiltersizeAsDouble('RawData (GH)'!D20)</f>
        <v>77</v>
      </c>
      <c r="G20" s="35">
        <f>getMagnification('RawData (GH)'!E20)</f>
        <v>3.33</v>
      </c>
      <c r="H20" s="62">
        <f>getMinimalFocus('RawData (GH)'!F20)</f>
        <v>0</v>
      </c>
      <c r="I20" t="str">
        <f>getMount('RawData (GH)'!G20)</f>
        <v>Canon EF</v>
      </c>
      <c r="J20" t="str">
        <f>getSensorCompatibility('RawData (GH)'!H20)</f>
        <v>APS-C/ Kleinbild</v>
      </c>
      <c r="K20" s="45">
        <f>getWeightAsDouble('RawData (GH)'!I20)</f>
        <v>525</v>
      </c>
      <c r="L20" s="34">
        <f>getSizeDiameter('RawData (GH)'!J20)</f>
        <v>83.4</v>
      </c>
      <c r="M20" s="34">
        <f>getSizeLength('RawData (GH)'!J20)</f>
        <v>104</v>
      </c>
    </row>
    <row r="21" spans="1:13" x14ac:dyDescent="0.25">
      <c r="A21" t="str">
        <f>'RawData (GH)'!A21</f>
        <v>Canon EF 24-105mm 4.0 L IS II USM schwarz</v>
      </c>
      <c r="B21" s="5">
        <f>getFocalLengthStart('RawData (GH)'!B21)</f>
        <v>24</v>
      </c>
      <c r="C21" s="5">
        <f>getFocalLengthEnd('RawData (GH)'!B21)</f>
        <v>105</v>
      </c>
      <c r="D21" s="9">
        <f>getApertureStart('RawData (GH)'!C21)</f>
        <v>4</v>
      </c>
      <c r="E21" s="9">
        <f>getApertureEnd('RawData (GH)'!C21)</f>
        <v>4</v>
      </c>
      <c r="F21" s="2">
        <f>getFiltersizeAsDouble('RawData (GH)'!D21)</f>
        <v>77</v>
      </c>
      <c r="G21" s="35">
        <f>getMagnification('RawData (GH)'!E21)</f>
        <v>4.17</v>
      </c>
      <c r="H21" s="62">
        <f>getMinimalFocus('RawData (GH)'!F21)</f>
        <v>0</v>
      </c>
      <c r="I21" t="str">
        <f>getMount('RawData (GH)'!G21)</f>
        <v>Canon EF</v>
      </c>
      <c r="J21" t="str">
        <f>getSensorCompatibility('RawData (GH)'!H21)</f>
        <v>APS-C/ Kleinbild</v>
      </c>
      <c r="K21" s="45">
        <f>getWeightAsDouble('RawData (GH)'!I21)</f>
        <v>795</v>
      </c>
      <c r="L21" s="34">
        <f>getSizeDiameter('RawData (GH)'!J21)</f>
        <v>83.5</v>
      </c>
      <c r="M21" s="34">
        <f>getSizeLength('RawData (GH)'!J21)</f>
        <v>118</v>
      </c>
    </row>
    <row r="22" spans="1:13" x14ac:dyDescent="0.25">
      <c r="A22" t="str">
        <f>'RawData (GH)'!A22</f>
        <v>Canon EF 24-105mm 4.0 L IS USM schwarz</v>
      </c>
      <c r="B22" s="5">
        <f>getFocalLengthStart('RawData (GH)'!B22)</f>
        <v>24</v>
      </c>
      <c r="C22" s="5">
        <f>getFocalLengthEnd('RawData (GH)'!B22)</f>
        <v>105</v>
      </c>
      <c r="D22" s="9">
        <f>getApertureStart('RawData (GH)'!C22)</f>
        <v>4</v>
      </c>
      <c r="E22" s="9">
        <f>getApertureEnd('RawData (GH)'!C22)</f>
        <v>4</v>
      </c>
      <c r="F22" s="2">
        <f>getFiltersizeAsDouble('RawData (GH)'!D22)</f>
        <v>77</v>
      </c>
      <c r="G22" s="35">
        <f>getMagnification('RawData (GH)'!E22)</f>
        <v>4.3</v>
      </c>
      <c r="H22" s="62">
        <f>getMinimalFocus('RawData (GH)'!F22)</f>
        <v>0</v>
      </c>
      <c r="I22" t="str">
        <f>getMount('RawData (GH)'!G22)</f>
        <v>Canon EF</v>
      </c>
      <c r="J22" t="str">
        <f>getSensorCompatibility('RawData (GH)'!H22)</f>
        <v>APS-C/ Kleinbild</v>
      </c>
      <c r="K22" s="45">
        <f>getWeightAsDouble('RawData (GH)'!I22)</f>
        <v>670</v>
      </c>
      <c r="L22" s="34">
        <f>getSizeDiameter('RawData (GH)'!J22)</f>
        <v>83.5</v>
      </c>
      <c r="M22" s="34">
        <f>getSizeLength('RawData (GH)'!J22)</f>
        <v>107</v>
      </c>
    </row>
    <row r="23" spans="1:13" x14ac:dyDescent="0.25">
      <c r="A23" t="str">
        <f>'RawData (GH)'!A23</f>
        <v>Canon EF 24-70mm 2.8 II L USM schwarz</v>
      </c>
      <c r="B23" s="5">
        <f>getFocalLengthStart('RawData (GH)'!B23)</f>
        <v>24</v>
      </c>
      <c r="C23" s="5">
        <f>getFocalLengthEnd('RawData (GH)'!B23)</f>
        <v>70</v>
      </c>
      <c r="D23" s="9">
        <f>getApertureStart('RawData (GH)'!C23)</f>
        <v>2.8</v>
      </c>
      <c r="E23" s="9">
        <f>getApertureEnd('RawData (GH)'!C23)</f>
        <v>2.8</v>
      </c>
      <c r="F23" s="2">
        <f>getFiltersizeAsDouble('RawData (GH)'!D23)</f>
        <v>82</v>
      </c>
      <c r="G23" s="35">
        <f>getMagnification('RawData (GH)'!E23)</f>
        <v>4.76</v>
      </c>
      <c r="H23" s="62">
        <f>getMinimalFocus('RawData (GH)'!F23)</f>
        <v>0</v>
      </c>
      <c r="I23" t="str">
        <f>getMount('RawData (GH)'!G23)</f>
        <v>Canon EF</v>
      </c>
      <c r="J23" t="str">
        <f>getSensorCompatibility('RawData (GH)'!H23)</f>
        <v>APS-C/ Kleinbild</v>
      </c>
      <c r="K23" s="45">
        <f>getWeightAsDouble('RawData (GH)'!I23)</f>
        <v>805</v>
      </c>
      <c r="L23" s="34">
        <f>getSizeDiameter('RawData (GH)'!J23)</f>
        <v>88.5</v>
      </c>
      <c r="M23" s="34">
        <f>getSizeLength('RawData (GH)'!J23)</f>
        <v>113</v>
      </c>
    </row>
    <row r="24" spans="1:13" x14ac:dyDescent="0.25">
      <c r="A24" t="str">
        <f>'RawData (GH)'!A24</f>
        <v>Canon EF 24-70mm 4.0 L IS USM schwarz</v>
      </c>
      <c r="B24" s="5">
        <f>getFocalLengthStart('RawData (GH)'!B24)</f>
        <v>24</v>
      </c>
      <c r="C24" s="5">
        <f>getFocalLengthEnd('RawData (GH)'!B24)</f>
        <v>70</v>
      </c>
      <c r="D24" s="9">
        <f>getApertureStart('RawData (GH)'!C24)</f>
        <v>4</v>
      </c>
      <c r="E24" s="9">
        <f>getApertureEnd('RawData (GH)'!C24)</f>
        <v>4</v>
      </c>
      <c r="F24" s="2">
        <f>getFiltersizeAsDouble('RawData (GH)'!D24)</f>
        <v>77</v>
      </c>
      <c r="G24" s="35">
        <f>getMagnification('RawData (GH)'!E24)</f>
        <v>1.43</v>
      </c>
      <c r="H24" s="62">
        <f>getMinimalFocus('RawData (GH)'!F24)</f>
        <v>0</v>
      </c>
      <c r="I24" t="str">
        <f>getMount('RawData (GH)'!G24)</f>
        <v>Canon EF</v>
      </c>
      <c r="J24" t="str">
        <f>getSensorCompatibility('RawData (GH)'!H24)</f>
        <v>APS-C/ Kleinbild</v>
      </c>
      <c r="K24" s="45">
        <f>getWeightAsDouble('RawData (GH)'!I24)</f>
        <v>600</v>
      </c>
      <c r="L24" s="34">
        <f>getSizeDiameter('RawData (GH)'!J24)</f>
        <v>83.4</v>
      </c>
      <c r="M24" s="34">
        <f>getSizeLength('RawData (GH)'!J24)</f>
        <v>93</v>
      </c>
    </row>
    <row r="25" spans="1:13" x14ac:dyDescent="0.25">
      <c r="A25" t="str">
        <f>'RawData (GH)'!A25</f>
        <v>Canon EF 24-85mm 3.5-4.5 USM schwarz</v>
      </c>
      <c r="B25" s="5">
        <f>getFocalLengthStart('RawData (GH)'!B25)</f>
        <v>24</v>
      </c>
      <c r="C25" s="5">
        <f>getFocalLengthEnd('RawData (GH)'!B25)</f>
        <v>85</v>
      </c>
      <c r="D25" s="9">
        <f>getApertureStart('RawData (GH)'!C25)</f>
        <v>3.5</v>
      </c>
      <c r="E25" s="9">
        <f>getApertureEnd('RawData (GH)'!C25)</f>
        <v>4.5</v>
      </c>
      <c r="F25" s="2">
        <f>getFiltersizeAsDouble('RawData (GH)'!D25)</f>
        <v>67</v>
      </c>
      <c r="G25" s="35">
        <f>getMagnification('RawData (GH)'!E25)</f>
        <v>6.25</v>
      </c>
      <c r="H25" s="62">
        <f>getMinimalFocus('RawData (GH)'!F25)</f>
        <v>0</v>
      </c>
      <c r="I25" t="str">
        <f>getMount('RawData (GH)'!G25)</f>
        <v>Canon EF</v>
      </c>
      <c r="J25" t="str">
        <f>getSensorCompatibility('RawData (GH)'!H25)</f>
        <v>APS-C/ Kleinbild</v>
      </c>
      <c r="K25" s="45">
        <f>getWeightAsDouble('RawData (GH)'!I25)</f>
        <v>380</v>
      </c>
      <c r="L25" s="34">
        <f>getSizeDiameter('RawData (GH)'!J25)</f>
        <v>73</v>
      </c>
      <c r="M25" s="34">
        <f>getSizeLength('RawData (GH)'!J25)</f>
        <v>69.5</v>
      </c>
    </row>
    <row r="26" spans="1:13" x14ac:dyDescent="0.25">
      <c r="A26" t="str">
        <f>'RawData (GH)'!A26</f>
        <v>Canon EF 24mm 1.4 L USM II schwarz</v>
      </c>
      <c r="B26" s="5">
        <f>getFocalLengthStart('RawData (GH)'!B26)</f>
        <v>24</v>
      </c>
      <c r="C26" s="5">
        <f>getFocalLengthEnd('RawData (GH)'!B26)</f>
        <v>24</v>
      </c>
      <c r="D26" s="9">
        <f>getApertureStart('RawData (GH)'!C26)</f>
        <v>1.4</v>
      </c>
      <c r="E26" s="9">
        <f>getApertureEnd('RawData (GH)'!C26)</f>
        <v>1.4</v>
      </c>
      <c r="F26" s="2">
        <f>getFiltersizeAsDouble('RawData (GH)'!D26)</f>
        <v>77</v>
      </c>
      <c r="G26" s="35">
        <f>getMagnification('RawData (GH)'!E26)</f>
        <v>5.88</v>
      </c>
      <c r="H26" s="62">
        <f>getMinimalFocus('RawData (GH)'!F26)</f>
        <v>0</v>
      </c>
      <c r="I26" t="str">
        <f>getMount('RawData (GH)'!G26)</f>
        <v>Canon EF</v>
      </c>
      <c r="J26" t="str">
        <f>getSensorCompatibility('RawData (GH)'!H26)</f>
        <v>APS-C/ Kleinbild</v>
      </c>
      <c r="K26" s="45">
        <f>getWeightAsDouble('RawData (GH)'!I26)</f>
        <v>650</v>
      </c>
      <c r="L26" s="34">
        <f>getSizeDiameter('RawData (GH)'!J26)</f>
        <v>93.5</v>
      </c>
      <c r="M26" s="34">
        <f>getSizeLength('RawData (GH)'!J26)</f>
        <v>86.9</v>
      </c>
    </row>
    <row r="27" spans="1:13" x14ac:dyDescent="0.25">
      <c r="A27" t="str">
        <f>'RawData (GH)'!A27</f>
        <v>Canon EF 24mm 2.8 IS USM schwarz</v>
      </c>
      <c r="B27" s="5">
        <f>getFocalLengthStart('RawData (GH)'!B27)</f>
        <v>24</v>
      </c>
      <c r="C27" s="5">
        <f>getFocalLengthEnd('RawData (GH)'!B27)</f>
        <v>24</v>
      </c>
      <c r="D27" s="9">
        <f>getApertureStart('RawData (GH)'!C27)</f>
        <v>2.8</v>
      </c>
      <c r="E27" s="9">
        <f>getApertureEnd('RawData (GH)'!C27)</f>
        <v>2.8</v>
      </c>
      <c r="F27" s="2">
        <f>getFiltersizeAsDouble('RawData (GH)'!D27)</f>
        <v>58</v>
      </c>
      <c r="G27" s="35">
        <f>getMagnification('RawData (GH)'!E27)</f>
        <v>4.3499999999999996</v>
      </c>
      <c r="H27" s="62">
        <f>getMinimalFocus('RawData (GH)'!F27)</f>
        <v>0</v>
      </c>
      <c r="I27" t="str">
        <f>getMount('RawData (GH)'!G27)</f>
        <v>Canon EF</v>
      </c>
      <c r="J27" t="str">
        <f>getSensorCompatibility('RawData (GH)'!H27)</f>
        <v>APS-C/ Kleinbild</v>
      </c>
      <c r="K27" s="45">
        <f>getWeightAsDouble('RawData (GH)'!I27)</f>
        <v>280</v>
      </c>
      <c r="L27" s="34">
        <f>getSizeDiameter('RawData (GH)'!J27)</f>
        <v>68.400000000000006</v>
      </c>
      <c r="M27" s="34">
        <f>getSizeLength('RawData (GH)'!J27)</f>
        <v>55.7</v>
      </c>
    </row>
    <row r="28" spans="1:13" x14ac:dyDescent="0.25">
      <c r="A28" t="str">
        <f>'RawData (GH)'!A28</f>
        <v>Canon EF 24mm 2.8 schwarz</v>
      </c>
      <c r="B28" s="5">
        <f>getFocalLengthStart('RawData (GH)'!B28)</f>
        <v>24</v>
      </c>
      <c r="C28" s="5">
        <f>getFocalLengthEnd('RawData (GH)'!B28)</f>
        <v>24</v>
      </c>
      <c r="D28" s="9">
        <f>getApertureStart('RawData (GH)'!C28)</f>
        <v>2.8</v>
      </c>
      <c r="E28" s="9">
        <f>getApertureEnd('RawData (GH)'!C28)</f>
        <v>2.8</v>
      </c>
      <c r="F28" s="2">
        <f>getFiltersizeAsDouble('RawData (GH)'!D28)</f>
        <v>58</v>
      </c>
      <c r="G28" s="35">
        <f>getMagnification('RawData (GH)'!E28)</f>
        <v>6.25</v>
      </c>
      <c r="H28" s="62">
        <f>getMinimalFocus('RawData (GH)'!F28)</f>
        <v>0</v>
      </c>
      <c r="I28" t="str">
        <f>getMount('RawData (GH)'!G28)</f>
        <v>Canon EF</v>
      </c>
      <c r="J28" t="str">
        <f>getSensorCompatibility('RawData (GH)'!H28)</f>
        <v>APS-C/ Kleinbild</v>
      </c>
      <c r="K28" s="45">
        <f>getWeightAsDouble('RawData (GH)'!I28)</f>
        <v>270</v>
      </c>
      <c r="L28" s="34">
        <f>getSizeDiameter('RawData (GH)'!J28)</f>
        <v>67.5</v>
      </c>
      <c r="M28" s="34">
        <f>getSizeLength('RawData (GH)'!J28)</f>
        <v>48.5</v>
      </c>
    </row>
    <row r="29" spans="1:13" x14ac:dyDescent="0.25">
      <c r="A29" t="str">
        <f>'RawData (GH)'!A29</f>
        <v>Canon EF 28-135mm 3.5-5.6 IS USM schwarz</v>
      </c>
      <c r="B29" s="5">
        <f>getFocalLengthStart('RawData (GH)'!B29)</f>
        <v>28</v>
      </c>
      <c r="C29" s="5">
        <f>getFocalLengthEnd('RawData (GH)'!B29)</f>
        <v>135</v>
      </c>
      <c r="D29" s="9">
        <f>getApertureStart('RawData (GH)'!C29)</f>
        <v>3.5</v>
      </c>
      <c r="E29" s="9">
        <f>getApertureEnd('RawData (GH)'!C29)</f>
        <v>5.6</v>
      </c>
      <c r="F29" s="2">
        <f>getFiltersizeAsDouble('RawData (GH)'!D29)</f>
        <v>72</v>
      </c>
      <c r="G29" s="35">
        <f>getMagnification('RawData (GH)'!E29)</f>
        <v>5.26</v>
      </c>
      <c r="H29" s="62">
        <f>getMinimalFocus('RawData (GH)'!F29)</f>
        <v>0</v>
      </c>
      <c r="I29" t="str">
        <f>getMount('RawData (GH)'!G29)</f>
        <v>Canon EF</v>
      </c>
      <c r="J29" t="str">
        <f>getSensorCompatibility('RawData (GH)'!H29)</f>
        <v>APS-C/ Kleinbild</v>
      </c>
      <c r="K29" s="45">
        <f>getWeightAsDouble('RawData (GH)'!I29)</f>
        <v>540</v>
      </c>
      <c r="L29" s="34">
        <f>getSizeDiameter('RawData (GH)'!J29)</f>
        <v>78.400000000000006</v>
      </c>
      <c r="M29" s="34">
        <f>getSizeLength('RawData (GH)'!J29)</f>
        <v>96.8</v>
      </c>
    </row>
    <row r="30" spans="1:13" x14ac:dyDescent="0.25">
      <c r="A30" t="str">
        <f>'RawData (GH)'!A30</f>
        <v>Canon EF 28-300mm 3.5-5.6 L IS USM weiß</v>
      </c>
      <c r="B30" s="5">
        <f>getFocalLengthStart('RawData (GH)'!B30)</f>
        <v>28</v>
      </c>
      <c r="C30" s="5">
        <f>getFocalLengthEnd('RawData (GH)'!B30)</f>
        <v>300</v>
      </c>
      <c r="D30" s="9">
        <f>getApertureStart('RawData (GH)'!C30)</f>
        <v>3.5</v>
      </c>
      <c r="E30" s="9">
        <f>getApertureEnd('RawData (GH)'!C30)</f>
        <v>5.6</v>
      </c>
      <c r="F30" s="2">
        <f>getFiltersizeAsDouble('RawData (GH)'!D30)</f>
        <v>77</v>
      </c>
      <c r="G30" s="35">
        <f>getMagnification('RawData (GH)'!E30)</f>
        <v>3.33</v>
      </c>
      <c r="H30" s="62">
        <f>getMinimalFocus('RawData (GH)'!F30)</f>
        <v>0</v>
      </c>
      <c r="I30" t="str">
        <f>getMount('RawData (GH)'!G30)</f>
        <v>Canon EF</v>
      </c>
      <c r="J30" t="str">
        <f>getSensorCompatibility('RawData (GH)'!H30)</f>
        <v>APS-C/ Kleinbild</v>
      </c>
      <c r="K30" s="45">
        <f>getWeightAsDouble('RawData (GH)'!I30)</f>
        <v>1670</v>
      </c>
      <c r="L30" s="34">
        <f>getSizeDiameter('RawData (GH)'!J30)</f>
        <v>92</v>
      </c>
      <c r="M30" s="34">
        <f>getSizeLength('RawData (GH)'!J30)</f>
        <v>184</v>
      </c>
    </row>
    <row r="31" spans="1:13" x14ac:dyDescent="0.25">
      <c r="A31" t="str">
        <f>'RawData (GH)'!A31</f>
        <v>Canon EF 28mm 1.8 USM schwarz</v>
      </c>
      <c r="B31" s="5">
        <f>getFocalLengthStart('RawData (GH)'!B31)</f>
        <v>28</v>
      </c>
      <c r="C31" s="5">
        <f>getFocalLengthEnd('RawData (GH)'!B31)</f>
        <v>28</v>
      </c>
      <c r="D31" s="9">
        <f>getApertureStart('RawData (GH)'!C31)</f>
        <v>1.8</v>
      </c>
      <c r="E31" s="9">
        <f>getApertureEnd('RawData (GH)'!C31)</f>
        <v>1.8</v>
      </c>
      <c r="F31" s="2">
        <f>getFiltersizeAsDouble('RawData (GH)'!D31)</f>
        <v>58</v>
      </c>
      <c r="G31" s="35">
        <f>getMagnification('RawData (GH)'!E31)</f>
        <v>5.56</v>
      </c>
      <c r="H31" s="62">
        <f>getMinimalFocus('RawData (GH)'!F31)</f>
        <v>0</v>
      </c>
      <c r="I31" t="str">
        <f>getMount('RawData (GH)'!G31)</f>
        <v>Canon EF</v>
      </c>
      <c r="J31" t="str">
        <f>getSensorCompatibility('RawData (GH)'!H31)</f>
        <v>APS-C/ Kleinbild</v>
      </c>
      <c r="K31" s="45">
        <f>getWeightAsDouble('RawData (GH)'!I31)</f>
        <v>310</v>
      </c>
      <c r="L31" s="34">
        <f>getSizeDiameter('RawData (GH)'!J31)</f>
        <v>73.599999999999994</v>
      </c>
      <c r="M31" s="34">
        <f>getSizeLength('RawData (GH)'!J31)</f>
        <v>55.6</v>
      </c>
    </row>
    <row r="32" spans="1:13" x14ac:dyDescent="0.25">
      <c r="A32" t="str">
        <f>'RawData (GH)'!A32</f>
        <v>Canon EF 28mm 2.8 IS USM schwarz</v>
      </c>
      <c r="B32" s="5">
        <f>getFocalLengthStart('RawData (GH)'!B32)</f>
        <v>28</v>
      </c>
      <c r="C32" s="5">
        <f>getFocalLengthEnd('RawData (GH)'!B32)</f>
        <v>28</v>
      </c>
      <c r="D32" s="9">
        <f>getApertureStart('RawData (GH)'!C32)</f>
        <v>2.8</v>
      </c>
      <c r="E32" s="9">
        <f>getApertureEnd('RawData (GH)'!C32)</f>
        <v>2.8</v>
      </c>
      <c r="F32" s="2">
        <f>getFiltersizeAsDouble('RawData (GH)'!D32)</f>
        <v>58</v>
      </c>
      <c r="G32" s="35">
        <f>getMagnification('RawData (GH)'!E32)</f>
        <v>5</v>
      </c>
      <c r="H32" s="62">
        <f>getMinimalFocus('RawData (GH)'!F32)</f>
        <v>0</v>
      </c>
      <c r="I32" t="str">
        <f>getMount('RawData (GH)'!G32)</f>
        <v>Canon EF</v>
      </c>
      <c r="J32" t="str">
        <f>getSensorCompatibility('RawData (GH)'!H32)</f>
        <v>APS-C/ Kleinbild</v>
      </c>
      <c r="K32" s="45">
        <f>getWeightAsDouble('RawData (GH)'!I32)</f>
        <v>260</v>
      </c>
      <c r="L32" s="34">
        <f>getSizeDiameter('RawData (GH)'!J32)</f>
        <v>68.400000000000006</v>
      </c>
      <c r="M32" s="34">
        <f>getSizeLength('RawData (GH)'!J32)</f>
        <v>51.5</v>
      </c>
    </row>
    <row r="33" spans="1:13" x14ac:dyDescent="0.25">
      <c r="A33" t="str">
        <f>'RawData (GH)'!A33</f>
        <v>Canon EF 300mm 2.8 L IS II USM weiß</v>
      </c>
      <c r="B33" s="5">
        <f>getFocalLengthStart('RawData (GH)'!B33)</f>
        <v>300</v>
      </c>
      <c r="C33" s="5">
        <f>getFocalLengthEnd('RawData (GH)'!B33)</f>
        <v>300</v>
      </c>
      <c r="D33" s="9">
        <f>getApertureStart('RawData (GH)'!C33)</f>
        <v>2.8</v>
      </c>
      <c r="E33" s="9">
        <f>getApertureEnd('RawData (GH)'!C33)</f>
        <v>2.8</v>
      </c>
      <c r="F33" s="2">
        <f>getFiltersizeAsDouble('RawData (GH)'!D33)</f>
        <v>52</v>
      </c>
      <c r="G33" s="35">
        <f>getMagnification('RawData (GH)'!E33)</f>
        <v>5.56</v>
      </c>
      <c r="H33" s="62">
        <f>getMinimalFocus('RawData (GH)'!F33)</f>
        <v>0</v>
      </c>
      <c r="I33" t="str">
        <f>getMount('RawData (GH)'!G33)</f>
        <v>Canon EF</v>
      </c>
      <c r="J33" t="str">
        <f>getSensorCompatibility('RawData (GH)'!H33)</f>
        <v>APS-C/ Kleinbild</v>
      </c>
      <c r="K33" s="45">
        <f>getWeightAsDouble('RawData (GH)'!I33)</f>
        <v>2400</v>
      </c>
      <c r="L33" s="34">
        <f>getSizeDiameter('RawData (GH)'!J33)</f>
        <v>128</v>
      </c>
      <c r="M33" s="34">
        <f>getSizeLength('RawData (GH)'!J33)</f>
        <v>248</v>
      </c>
    </row>
    <row r="34" spans="1:13" x14ac:dyDescent="0.25">
      <c r="A34" t="str">
        <f>'RawData (GH)'!A34</f>
        <v>Canon EF 300mm 4.0 L IS USM weiß</v>
      </c>
      <c r="B34" s="5">
        <f>getFocalLengthStart('RawData (GH)'!B34)</f>
        <v>300</v>
      </c>
      <c r="C34" s="5">
        <f>getFocalLengthEnd('RawData (GH)'!B34)</f>
        <v>300</v>
      </c>
      <c r="D34" s="9">
        <f>getApertureStart('RawData (GH)'!C34)</f>
        <v>4</v>
      </c>
      <c r="E34" s="9">
        <f>getApertureEnd('RawData (GH)'!C34)</f>
        <v>4</v>
      </c>
      <c r="F34" s="2">
        <f>getFiltersizeAsDouble('RawData (GH)'!D34)</f>
        <v>77</v>
      </c>
      <c r="G34" s="35">
        <f>getMagnification('RawData (GH)'!E34)</f>
        <v>4.17</v>
      </c>
      <c r="H34" s="62">
        <f>getMinimalFocus('RawData (GH)'!F34)</f>
        <v>0</v>
      </c>
      <c r="I34" t="str">
        <f>getMount('RawData (GH)'!G34)</f>
        <v>Canon EF</v>
      </c>
      <c r="J34" t="str">
        <f>getSensorCompatibility('RawData (GH)'!H34)</f>
        <v>APS-C/ Kleinbild</v>
      </c>
      <c r="K34" s="45">
        <f>getWeightAsDouble('RawData (GH)'!I34)</f>
        <v>1190</v>
      </c>
      <c r="L34" s="34">
        <f>getSizeDiameter('RawData (GH)'!J34)</f>
        <v>90</v>
      </c>
      <c r="M34" s="34">
        <f>getSizeLength('RawData (GH)'!J34)</f>
        <v>221</v>
      </c>
    </row>
    <row r="35" spans="1:13" x14ac:dyDescent="0.25">
      <c r="A35" t="str">
        <f>'RawData (GH)'!A35</f>
        <v>Canon EF 35mm 1.4 L II USM schwarz</v>
      </c>
      <c r="B35" s="5">
        <f>getFocalLengthStart('RawData (GH)'!B35)</f>
        <v>35</v>
      </c>
      <c r="C35" s="5">
        <f>getFocalLengthEnd('RawData (GH)'!B35)</f>
        <v>35</v>
      </c>
      <c r="D35" s="9">
        <f>getApertureStart('RawData (GH)'!C35)</f>
        <v>1.4</v>
      </c>
      <c r="E35" s="9">
        <f>getApertureEnd('RawData (GH)'!C35)</f>
        <v>1.4</v>
      </c>
      <c r="F35" s="2">
        <f>getFiltersizeAsDouble('RawData (GH)'!D35)</f>
        <v>72</v>
      </c>
      <c r="G35" s="35">
        <f>getMagnification('RawData (GH)'!E35)</f>
        <v>4.76</v>
      </c>
      <c r="H35" s="62">
        <f>getMinimalFocus('RawData (GH)'!F35)</f>
        <v>0</v>
      </c>
      <c r="I35" t="str">
        <f>getMount('RawData (GH)'!G35)</f>
        <v>Canon EF</v>
      </c>
      <c r="J35" t="str">
        <f>getSensorCompatibility('RawData (GH)'!H35)</f>
        <v>APS-C/ Kleinbild</v>
      </c>
      <c r="K35" s="45">
        <f>getWeightAsDouble('RawData (GH)'!I35)</f>
        <v>760</v>
      </c>
      <c r="L35" s="34">
        <f>getSizeDiameter('RawData (GH)'!J35)</f>
        <v>80.400000000000006</v>
      </c>
      <c r="M35" s="34">
        <f>getSizeLength('RawData (GH)'!J35)</f>
        <v>105.5</v>
      </c>
    </row>
    <row r="36" spans="1:13" x14ac:dyDescent="0.25">
      <c r="A36" t="str">
        <f>'RawData (GH)'!A36</f>
        <v>Canon EF 35mm 1.4 L USM schwarz</v>
      </c>
      <c r="B36" s="5">
        <f>getFocalLengthStart('RawData (GH)'!B36)</f>
        <v>35</v>
      </c>
      <c r="C36" s="5">
        <f>getFocalLengthEnd('RawData (GH)'!B36)</f>
        <v>35</v>
      </c>
      <c r="D36" s="9">
        <f>getApertureStart('RawData (GH)'!C36)</f>
        <v>1.4</v>
      </c>
      <c r="E36" s="9">
        <f>getApertureEnd('RawData (GH)'!C36)</f>
        <v>1.4</v>
      </c>
      <c r="F36" s="2">
        <f>getFiltersizeAsDouble('RawData (GH)'!D36)</f>
        <v>72</v>
      </c>
      <c r="G36" s="35">
        <f>getMagnification('RawData (GH)'!E36)</f>
        <v>5.56</v>
      </c>
      <c r="H36" s="62">
        <f>getMinimalFocus('RawData (GH)'!F36)</f>
        <v>0</v>
      </c>
      <c r="I36" t="str">
        <f>getMount('RawData (GH)'!G36)</f>
        <v>Canon EF</v>
      </c>
      <c r="J36" t="str">
        <f>getSensorCompatibility('RawData (GH)'!H36)</f>
        <v>APS-C/ Kleinbild</v>
      </c>
      <c r="K36" s="45">
        <f>getWeightAsDouble('RawData (GH)'!I36)</f>
        <v>580</v>
      </c>
      <c r="L36" s="34">
        <f>getSizeDiameter('RawData (GH)'!J36)</f>
        <v>79</v>
      </c>
      <c r="M36" s="34">
        <f>getSizeLength('RawData (GH)'!J36)</f>
        <v>86</v>
      </c>
    </row>
    <row r="37" spans="1:13" x14ac:dyDescent="0.25">
      <c r="A37" t="str">
        <f>'RawData (GH)'!A37</f>
        <v>Canon EF 35mm 2.0 IS USM schwarz</v>
      </c>
      <c r="B37" s="5">
        <f>getFocalLengthStart('RawData (GH)'!B37)</f>
        <v>35</v>
      </c>
      <c r="C37" s="5">
        <f>getFocalLengthEnd('RawData (GH)'!B37)</f>
        <v>35</v>
      </c>
      <c r="D37" s="9">
        <f>getApertureStart('RawData (GH)'!C37)</f>
        <v>2</v>
      </c>
      <c r="E37" s="9">
        <f>getApertureEnd('RawData (GH)'!C37)</f>
        <v>2</v>
      </c>
      <c r="F37" s="2">
        <f>getFiltersizeAsDouble('RawData (GH)'!D37)</f>
        <v>67</v>
      </c>
      <c r="G37" s="35">
        <f>getMagnification('RawData (GH)'!E37)</f>
        <v>4.17</v>
      </c>
      <c r="H37" s="62">
        <f>getMinimalFocus('RawData (GH)'!F37)</f>
        <v>0</v>
      </c>
      <c r="I37" t="str">
        <f>getMount('RawData (GH)'!G37)</f>
        <v>Canon EF</v>
      </c>
      <c r="J37" t="str">
        <f>getSensorCompatibility('RawData (GH)'!H37)</f>
        <v>APS-C/ Kleinbild</v>
      </c>
      <c r="K37" s="45">
        <f>getWeightAsDouble('RawData (GH)'!I37)</f>
        <v>335</v>
      </c>
      <c r="L37" s="34">
        <f>getSizeDiameter('RawData (GH)'!J37)</f>
        <v>77.900000000000006</v>
      </c>
      <c r="M37" s="34">
        <f>getSizeLength('RawData (GH)'!J37)</f>
        <v>62.6</v>
      </c>
    </row>
    <row r="38" spans="1:13" x14ac:dyDescent="0.25">
      <c r="A38" t="str">
        <f>'RawData (GH)'!A38</f>
        <v>Canon EF 400mm 2.8 L IS II USM weiß</v>
      </c>
      <c r="B38" s="5">
        <f>getFocalLengthStart('RawData (GH)'!B38)</f>
        <v>400</v>
      </c>
      <c r="C38" s="5">
        <f>getFocalLengthEnd('RawData (GH)'!B38)</f>
        <v>400</v>
      </c>
      <c r="D38" s="9">
        <f>getApertureStart('RawData (GH)'!C38)</f>
        <v>2.8</v>
      </c>
      <c r="E38" s="9">
        <f>getApertureEnd('RawData (GH)'!C38)</f>
        <v>2.8</v>
      </c>
      <c r="F38" s="2">
        <f>getFiltersizeAsDouble('RawData (GH)'!D38)</f>
        <v>52</v>
      </c>
      <c r="G38" s="35">
        <f>getMagnification('RawData (GH)'!E38)</f>
        <v>5.88</v>
      </c>
      <c r="H38" s="62">
        <f>getMinimalFocus('RawData (GH)'!F38)</f>
        <v>0</v>
      </c>
      <c r="I38" t="str">
        <f>getMount('RawData (GH)'!G38)</f>
        <v>Canon EF</v>
      </c>
      <c r="J38" t="str">
        <f>getSensorCompatibility('RawData (GH)'!H38)</f>
        <v>APS-C/ Kleinbild</v>
      </c>
      <c r="K38" s="45">
        <f>getWeightAsDouble('RawData (GH)'!I38)</f>
        <v>3850</v>
      </c>
      <c r="L38" s="34">
        <f>getSizeDiameter('RawData (GH)'!J38)</f>
        <v>163</v>
      </c>
      <c r="M38" s="34">
        <f>getSizeLength('RawData (GH)'!J38)</f>
        <v>343</v>
      </c>
    </row>
    <row r="39" spans="1:13" x14ac:dyDescent="0.25">
      <c r="A39" t="str">
        <f>'RawData (GH)'!A39</f>
        <v>Canon EF 400mm 4.0 DO IS II USM weiß</v>
      </c>
      <c r="B39" s="5">
        <f>getFocalLengthStart('RawData (GH)'!B39)</f>
        <v>400</v>
      </c>
      <c r="C39" s="5">
        <f>getFocalLengthEnd('RawData (GH)'!B39)</f>
        <v>400</v>
      </c>
      <c r="D39" s="9">
        <f>getApertureStart('RawData (GH)'!C39)</f>
        <v>4</v>
      </c>
      <c r="E39" s="9">
        <f>getApertureEnd('RawData (GH)'!C39)</f>
        <v>4</v>
      </c>
      <c r="F39" s="2">
        <f>getFiltersizeAsDouble('RawData (GH)'!D39)</f>
        <v>52</v>
      </c>
      <c r="G39" s="35">
        <f>getMagnification('RawData (GH)'!E39)</f>
        <v>7.69</v>
      </c>
      <c r="H39" s="62">
        <f>getMinimalFocus('RawData (GH)'!F39)</f>
        <v>0</v>
      </c>
      <c r="I39" t="str">
        <f>getMount('RawData (GH)'!G39)</f>
        <v>Canon EF</v>
      </c>
      <c r="J39" t="str">
        <f>getSensorCompatibility('RawData (GH)'!H39)</f>
        <v>APS-C/ Kleinbild</v>
      </c>
      <c r="K39" s="45">
        <f>getWeightAsDouble('RawData (GH)'!I39)</f>
        <v>2100</v>
      </c>
      <c r="L39" s="34">
        <f>getSizeDiameter('RawData (GH)'!J39)</f>
        <v>128</v>
      </c>
      <c r="M39" s="34">
        <f>getSizeLength('RawData (GH)'!J39)</f>
        <v>232.7</v>
      </c>
    </row>
    <row r="40" spans="1:13" x14ac:dyDescent="0.25">
      <c r="A40" t="str">
        <f>'RawData (GH)'!A40</f>
        <v>Canon EF 400mm 5.6 L USM weiß</v>
      </c>
      <c r="B40" s="5">
        <f>getFocalLengthStart('RawData (GH)'!B40)</f>
        <v>400</v>
      </c>
      <c r="C40" s="5">
        <f>getFocalLengthEnd('RawData (GH)'!B40)</f>
        <v>400</v>
      </c>
      <c r="D40" s="9">
        <f>getApertureStart('RawData (GH)'!C40)</f>
        <v>5.6</v>
      </c>
      <c r="E40" s="9">
        <f>getApertureEnd('RawData (GH)'!C40)</f>
        <v>5.6</v>
      </c>
      <c r="F40" s="2">
        <f>getFiltersizeAsDouble('RawData (GH)'!D40)</f>
        <v>77</v>
      </c>
      <c r="G40" s="35">
        <f>getMagnification('RawData (GH)'!E40)</f>
        <v>8.33</v>
      </c>
      <c r="H40" s="62">
        <f>getMinimalFocus('RawData (GH)'!F40)</f>
        <v>0</v>
      </c>
      <c r="I40" t="str">
        <f>getMount('RawData (GH)'!G40)</f>
        <v>Canon EF</v>
      </c>
      <c r="J40" t="str">
        <f>getSensorCompatibility('RawData (GH)'!H40)</f>
        <v>APS-C/ Kleinbild</v>
      </c>
      <c r="K40" s="45">
        <f>getWeightAsDouble('RawData (GH)'!I40)</f>
        <v>1250</v>
      </c>
      <c r="L40" s="34">
        <f>getSizeDiameter('RawData (GH)'!J40)</f>
        <v>90</v>
      </c>
      <c r="M40" s="34">
        <f>getSizeLength('RawData (GH)'!J40)</f>
        <v>256.5</v>
      </c>
    </row>
    <row r="41" spans="1:13" x14ac:dyDescent="0.25">
      <c r="A41" t="str">
        <f>'RawData (GH)'!A41</f>
        <v>Canon EF 40mm 2.8 STM schwarz</v>
      </c>
      <c r="B41" s="5">
        <f>getFocalLengthStart('RawData (GH)'!B41)</f>
        <v>40</v>
      </c>
      <c r="C41" s="5">
        <f>getFocalLengthEnd('RawData (GH)'!B41)</f>
        <v>40</v>
      </c>
      <c r="D41" s="9">
        <f>getApertureStart('RawData (GH)'!C41)</f>
        <v>2.8</v>
      </c>
      <c r="E41" s="9">
        <f>getApertureEnd('RawData (GH)'!C41)</f>
        <v>2.8</v>
      </c>
      <c r="F41" s="2">
        <f>getFiltersizeAsDouble('RawData (GH)'!D41)</f>
        <v>52</v>
      </c>
      <c r="G41" s="35">
        <f>getMagnification('RawData (GH)'!E41)</f>
        <v>5.56</v>
      </c>
      <c r="H41" s="62">
        <f>getMinimalFocus('RawData (GH)'!F41)</f>
        <v>0</v>
      </c>
      <c r="I41" t="str">
        <f>getMount('RawData (GH)'!G41)</f>
        <v>Canon EF</v>
      </c>
      <c r="J41" t="str">
        <f>getSensorCompatibility('RawData (GH)'!H41)</f>
        <v>APS-C/ Kleinbild</v>
      </c>
      <c r="K41" s="45">
        <f>getWeightAsDouble('RawData (GH)'!I41)</f>
        <v>130</v>
      </c>
      <c r="L41" s="34">
        <f>getSizeDiameter('RawData (GH)'!J41)</f>
        <v>68.2</v>
      </c>
      <c r="M41" s="34">
        <f>getSizeLength('RawData (GH)'!J41)</f>
        <v>22.8</v>
      </c>
    </row>
    <row r="42" spans="1:13" x14ac:dyDescent="0.25">
      <c r="A42" t="str">
        <f>'RawData (GH)'!A42</f>
        <v>Canon EF 500mm 4.0 L IS II USM weiß</v>
      </c>
      <c r="B42" s="5">
        <f>getFocalLengthStart('RawData (GH)'!B42)</f>
        <v>500</v>
      </c>
      <c r="C42" s="5">
        <f>getFocalLengthEnd('RawData (GH)'!B42)</f>
        <v>500</v>
      </c>
      <c r="D42" s="9">
        <f>getApertureStart('RawData (GH)'!C42)</f>
        <v>4</v>
      </c>
      <c r="E42" s="9">
        <f>getApertureEnd('RawData (GH)'!C42)</f>
        <v>4</v>
      </c>
      <c r="F42" s="2">
        <f>getFiltersizeAsDouble('RawData (GH)'!D42)</f>
        <v>52</v>
      </c>
      <c r="G42" s="35">
        <f>getMagnification('RawData (GH)'!E42)</f>
        <v>6.67</v>
      </c>
      <c r="H42" s="62">
        <f>getMinimalFocus('RawData (GH)'!F42)</f>
        <v>0</v>
      </c>
      <c r="I42" t="str">
        <f>getMount('RawData (GH)'!G42)</f>
        <v>Canon EF</v>
      </c>
      <c r="J42" t="str">
        <f>getSensorCompatibility('RawData (GH)'!H42)</f>
        <v>APS-C/ Kleinbild</v>
      </c>
      <c r="K42" s="45">
        <f>getWeightAsDouble('RawData (GH)'!I42)</f>
        <v>3190</v>
      </c>
      <c r="L42" s="34">
        <f>getSizeDiameter('RawData (GH)'!J42)</f>
        <v>146</v>
      </c>
      <c r="M42" s="34">
        <f>getSizeLength('RawData (GH)'!J42)</f>
        <v>383</v>
      </c>
    </row>
    <row r="43" spans="1:13" x14ac:dyDescent="0.25">
      <c r="A43" t="str">
        <f>'RawData (GH)'!A43</f>
        <v>Canon EF 50mm 1.2 L USM schwarz</v>
      </c>
      <c r="B43" s="5">
        <f>getFocalLengthStart('RawData (GH)'!B43)</f>
        <v>50</v>
      </c>
      <c r="C43" s="5">
        <f>getFocalLengthEnd('RawData (GH)'!B43)</f>
        <v>50</v>
      </c>
      <c r="D43" s="9">
        <f>getApertureStart('RawData (GH)'!C43)</f>
        <v>1.2</v>
      </c>
      <c r="E43" s="9">
        <f>getApertureEnd('RawData (GH)'!C43)</f>
        <v>1.2</v>
      </c>
      <c r="F43" s="2">
        <f>getFiltersizeAsDouble('RawData (GH)'!D43)</f>
        <v>72</v>
      </c>
      <c r="G43" s="35">
        <f>getMagnification('RawData (GH)'!E43)</f>
        <v>6.67</v>
      </c>
      <c r="H43" s="62">
        <f>getMinimalFocus('RawData (GH)'!F43)</f>
        <v>0</v>
      </c>
      <c r="I43" t="str">
        <f>getMount('RawData (GH)'!G43)</f>
        <v>Canon EF</v>
      </c>
      <c r="J43" t="str">
        <f>getSensorCompatibility('RawData (GH)'!H43)</f>
        <v>APS-C/ Kleinbild</v>
      </c>
      <c r="K43" s="45">
        <f>getWeightAsDouble('RawData (GH)'!I43)</f>
        <v>580</v>
      </c>
      <c r="L43" s="34">
        <f>getSizeDiameter('RawData (GH)'!J43)</f>
        <v>85.8</v>
      </c>
      <c r="M43" s="34">
        <f>getSizeLength('RawData (GH)'!J43)</f>
        <v>65.5</v>
      </c>
    </row>
    <row r="44" spans="1:13" x14ac:dyDescent="0.25">
      <c r="A44" t="str">
        <f>'RawData (GH)'!A44</f>
        <v>Canon EF 50mm 1.4 USM schwarz</v>
      </c>
      <c r="B44" s="5">
        <f>getFocalLengthStart('RawData (GH)'!B44)</f>
        <v>50</v>
      </c>
      <c r="C44" s="5">
        <f>getFocalLengthEnd('RawData (GH)'!B44)</f>
        <v>50</v>
      </c>
      <c r="D44" s="9">
        <f>getApertureStart('RawData (GH)'!C44)</f>
        <v>1.4</v>
      </c>
      <c r="E44" s="9">
        <f>getApertureEnd('RawData (GH)'!C44)</f>
        <v>1.4</v>
      </c>
      <c r="F44" s="2">
        <f>getFiltersizeAsDouble('RawData (GH)'!D44)</f>
        <v>58</v>
      </c>
      <c r="G44" s="35">
        <f>getMagnification('RawData (GH)'!E44)</f>
        <v>6.67</v>
      </c>
      <c r="H44" s="62">
        <f>getMinimalFocus('RawData (GH)'!F44)</f>
        <v>0</v>
      </c>
      <c r="I44" t="str">
        <f>getMount('RawData (GH)'!G44)</f>
        <v>Canon EF</v>
      </c>
      <c r="J44" t="str">
        <f>getSensorCompatibility('RawData (GH)'!H44)</f>
        <v>APS-C/ Kleinbild</v>
      </c>
      <c r="K44" s="45">
        <f>getWeightAsDouble('RawData (GH)'!I44)</f>
        <v>290</v>
      </c>
      <c r="L44" s="34">
        <f>getSizeDiameter('RawData (GH)'!J44)</f>
        <v>73.8</v>
      </c>
      <c r="M44" s="34">
        <f>getSizeLength('RawData (GH)'!J44)</f>
        <v>50.5</v>
      </c>
    </row>
    <row r="45" spans="1:13" x14ac:dyDescent="0.25">
      <c r="A45" t="str">
        <f>'RawData (GH)'!A45</f>
        <v>Canon EF 50mm 1.8 II schwarz</v>
      </c>
      <c r="B45" s="5">
        <f>getFocalLengthStart('RawData (GH)'!B45)</f>
        <v>50</v>
      </c>
      <c r="C45" s="5">
        <f>getFocalLengthEnd('RawData (GH)'!B45)</f>
        <v>50</v>
      </c>
      <c r="D45" s="9">
        <f>getApertureStart('RawData (GH)'!C45)</f>
        <v>1.8</v>
      </c>
      <c r="E45" s="9">
        <f>getApertureEnd('RawData (GH)'!C45)</f>
        <v>1.8</v>
      </c>
      <c r="F45" s="2">
        <f>getFiltersizeAsDouble('RawData (GH)'!D45)</f>
        <v>52</v>
      </c>
      <c r="G45" s="35">
        <f>getMagnification('RawData (GH)'!E45)</f>
        <v>6.67</v>
      </c>
      <c r="H45" s="62">
        <f>getMinimalFocus('RawData (GH)'!F45)</f>
        <v>0</v>
      </c>
      <c r="I45" t="str">
        <f>getMount('RawData (GH)'!G45)</f>
        <v>Canon EF</v>
      </c>
      <c r="J45" t="str">
        <f>getSensorCompatibility('RawData (GH)'!H45)</f>
        <v>APS-C/ Kleinbild</v>
      </c>
      <c r="K45" s="45">
        <f>getWeightAsDouble('RawData (GH)'!I45)</f>
        <v>130</v>
      </c>
      <c r="L45" s="34">
        <f>getSizeDiameter('RawData (GH)'!J45)</f>
        <v>68.2</v>
      </c>
      <c r="M45" s="34">
        <f>getSizeLength('RawData (GH)'!J45)</f>
        <v>41</v>
      </c>
    </row>
    <row r="46" spans="1:13" x14ac:dyDescent="0.25">
      <c r="A46" t="str">
        <f>'RawData (GH)'!A46</f>
        <v>Canon EF 50mm 1.8 STM schwarz</v>
      </c>
      <c r="B46" s="5">
        <f>getFocalLengthStart('RawData (GH)'!B46)</f>
        <v>50</v>
      </c>
      <c r="C46" s="5">
        <f>getFocalLengthEnd('RawData (GH)'!B46)</f>
        <v>50</v>
      </c>
      <c r="D46" s="9">
        <f>getApertureStart('RawData (GH)'!C46)</f>
        <v>1.8</v>
      </c>
      <c r="E46" s="9">
        <f>getApertureEnd('RawData (GH)'!C46)</f>
        <v>1.8</v>
      </c>
      <c r="F46" s="2">
        <f>getFiltersizeAsDouble('RawData (GH)'!D46)</f>
        <v>49</v>
      </c>
      <c r="G46" s="35">
        <f>getMagnification('RawData (GH)'!E46)</f>
        <v>4.76</v>
      </c>
      <c r="H46" s="62">
        <f>getMinimalFocus('RawData (GH)'!F46)</f>
        <v>0</v>
      </c>
      <c r="I46" t="str">
        <f>getMount('RawData (GH)'!G46)</f>
        <v>Canon EF</v>
      </c>
      <c r="J46" t="str">
        <f>getSensorCompatibility('RawData (GH)'!H46)</f>
        <v>APS-C/ Kleinbild</v>
      </c>
      <c r="K46" s="45">
        <f>getWeightAsDouble('RawData (GH)'!I46)</f>
        <v>159</v>
      </c>
      <c r="L46" s="34">
        <f>getSizeDiameter('RawData (GH)'!J46)</f>
        <v>69.2</v>
      </c>
      <c r="M46" s="34">
        <f>getSizeLength('RawData (GH)'!J46)</f>
        <v>39.299999999999997</v>
      </c>
    </row>
    <row r="47" spans="1:13" x14ac:dyDescent="0.25">
      <c r="A47" t="str">
        <f>'RawData (GH)'!A47</f>
        <v>Canon EF 50mm 2.5 Compact Makro schwarz</v>
      </c>
      <c r="B47" s="5">
        <f>getFocalLengthStart('RawData (GH)'!B47)</f>
        <v>50</v>
      </c>
      <c r="C47" s="5">
        <f>getFocalLengthEnd('RawData (GH)'!B47)</f>
        <v>50</v>
      </c>
      <c r="D47" s="9">
        <f>getApertureStart('RawData (GH)'!C47)</f>
        <v>2.5</v>
      </c>
      <c r="E47" s="9">
        <f>getApertureEnd('RawData (GH)'!C47)</f>
        <v>2.5</v>
      </c>
      <c r="F47" s="2">
        <f>getFiltersizeAsDouble('RawData (GH)'!D47)</f>
        <v>52</v>
      </c>
      <c r="G47" s="35">
        <f>getMagnification('RawData (GH)'!E47)</f>
        <v>2</v>
      </c>
      <c r="H47" s="62">
        <f>getMinimalFocus('RawData (GH)'!F47)</f>
        <v>0</v>
      </c>
      <c r="I47" t="str">
        <f>getMount('RawData (GH)'!G47)</f>
        <v>Canon EF</v>
      </c>
      <c r="J47" t="str">
        <f>getSensorCompatibility('RawData (GH)'!H47)</f>
        <v>APS-C/ Kleinbild</v>
      </c>
      <c r="K47" s="45">
        <f>getWeightAsDouble('RawData (GH)'!I47)</f>
        <v>280</v>
      </c>
      <c r="L47" s="34">
        <f>getSizeDiameter('RawData (GH)'!J47)</f>
        <v>67.599999999999994</v>
      </c>
      <c r="M47" s="34">
        <f>getSizeLength('RawData (GH)'!J47)</f>
        <v>63</v>
      </c>
    </row>
    <row r="48" spans="1:13" x14ac:dyDescent="0.25">
      <c r="A48" t="str">
        <f>'RawData (GH)'!A48</f>
        <v>Canon EF 600mm 4.0 L IS II USM weiß</v>
      </c>
      <c r="B48" s="5">
        <f>getFocalLengthStart('RawData (GH)'!B48)</f>
        <v>600</v>
      </c>
      <c r="C48" s="5">
        <f>getFocalLengthEnd('RawData (GH)'!B48)</f>
        <v>600</v>
      </c>
      <c r="D48" s="9">
        <f>getApertureStart('RawData (GH)'!C48)</f>
        <v>4</v>
      </c>
      <c r="E48" s="9">
        <f>getApertureEnd('RawData (GH)'!C48)</f>
        <v>4</v>
      </c>
      <c r="F48" s="2">
        <f>getFiltersizeAsDouble('RawData (GH)'!D48)</f>
        <v>52</v>
      </c>
      <c r="G48" s="35">
        <f>getMagnification('RawData (GH)'!E48)</f>
        <v>6.67</v>
      </c>
      <c r="H48" s="62">
        <f>getMinimalFocus('RawData (GH)'!F48)</f>
        <v>0</v>
      </c>
      <c r="I48" t="str">
        <f>getMount('RawData (GH)'!G48)</f>
        <v>Canon EF</v>
      </c>
      <c r="J48" t="str">
        <f>getSensorCompatibility('RawData (GH)'!H48)</f>
        <v>APS-C/ Kleinbild</v>
      </c>
      <c r="K48" s="45">
        <f>getWeightAsDouble('RawData (GH)'!I48)</f>
        <v>3920</v>
      </c>
      <c r="L48" s="34">
        <f>getSizeDiameter('RawData (GH)'!J48)</f>
        <v>168</v>
      </c>
      <c r="M48" s="34">
        <f>getSizeLength('RawData (GH)'!J48)</f>
        <v>448</v>
      </c>
    </row>
    <row r="49" spans="1:13" x14ac:dyDescent="0.25">
      <c r="A49" t="str">
        <f>'RawData (GH)'!A49</f>
        <v>Canon EF 70-200mm 2.8 L IS II USM weiß</v>
      </c>
      <c r="B49" s="5">
        <f>getFocalLengthStart('RawData (GH)'!B49)</f>
        <v>70</v>
      </c>
      <c r="C49" s="5">
        <f>getFocalLengthEnd('RawData (GH)'!B49)</f>
        <v>200</v>
      </c>
      <c r="D49" s="9">
        <f>getApertureStart('RawData (GH)'!C49)</f>
        <v>2.8</v>
      </c>
      <c r="E49" s="9">
        <f>getApertureEnd('RawData (GH)'!C49)</f>
        <v>2.8</v>
      </c>
      <c r="F49" s="2">
        <f>getFiltersizeAsDouble('RawData (GH)'!D49)</f>
        <v>77</v>
      </c>
      <c r="G49" s="35">
        <f>getMagnification('RawData (GH)'!E49)</f>
        <v>4.76</v>
      </c>
      <c r="H49" s="62">
        <f>getMinimalFocus('RawData (GH)'!F49)</f>
        <v>0</v>
      </c>
      <c r="I49" t="str">
        <f>getMount('RawData (GH)'!G49)</f>
        <v>Canon EF</v>
      </c>
      <c r="J49" t="str">
        <f>getSensorCompatibility('RawData (GH)'!H49)</f>
        <v>APS-C/ Kleinbild</v>
      </c>
      <c r="K49" s="45">
        <f>getWeightAsDouble('RawData (GH)'!I49)</f>
        <v>1490</v>
      </c>
      <c r="L49" s="34">
        <f>getSizeDiameter('RawData (GH)'!J49)</f>
        <v>88.8</v>
      </c>
      <c r="M49" s="34">
        <f>getSizeLength('RawData (GH)'!J49)</f>
        <v>199</v>
      </c>
    </row>
    <row r="50" spans="1:13" x14ac:dyDescent="0.25">
      <c r="A50" t="str">
        <f>'RawData (GH)'!A50</f>
        <v>Canon EF 70-200mm 2.8 L USM weiß</v>
      </c>
      <c r="B50" s="5">
        <f>getFocalLengthStart('RawData (GH)'!B50)</f>
        <v>70</v>
      </c>
      <c r="C50" s="5">
        <f>getFocalLengthEnd('RawData (GH)'!B50)</f>
        <v>200</v>
      </c>
      <c r="D50" s="9">
        <f>getApertureStart('RawData (GH)'!C50)</f>
        <v>2.8</v>
      </c>
      <c r="E50" s="9">
        <f>getApertureEnd('RawData (GH)'!C50)</f>
        <v>2.8</v>
      </c>
      <c r="F50" s="2">
        <f>getFiltersizeAsDouble('RawData (GH)'!D50)</f>
        <v>77</v>
      </c>
      <c r="G50" s="35">
        <f>getMagnification('RawData (GH)'!E50)</f>
        <v>6.25</v>
      </c>
      <c r="H50" s="62">
        <f>getMinimalFocus('RawData (GH)'!F50)</f>
        <v>0</v>
      </c>
      <c r="I50" t="str">
        <f>getMount('RawData (GH)'!G50)</f>
        <v>Canon EF</v>
      </c>
      <c r="J50" t="str">
        <f>getSensorCompatibility('RawData (GH)'!H50)</f>
        <v>APS-C/ Kleinbild</v>
      </c>
      <c r="K50" s="45">
        <f>getWeightAsDouble('RawData (GH)'!I50)</f>
        <v>1310</v>
      </c>
      <c r="L50" s="34">
        <f>getSizeDiameter('RawData (GH)'!J50)</f>
        <v>84.6</v>
      </c>
      <c r="M50" s="34">
        <f>getSizeLength('RawData (GH)'!J50)</f>
        <v>193.6</v>
      </c>
    </row>
    <row r="51" spans="1:13" x14ac:dyDescent="0.25">
      <c r="A51" t="str">
        <f>'RawData (GH)'!A51</f>
        <v>Canon EF 70-200mm 4.0 L IS USM weiß</v>
      </c>
      <c r="B51" s="5">
        <f>getFocalLengthStart('RawData (GH)'!B51)</f>
        <v>70</v>
      </c>
      <c r="C51" s="5">
        <f>getFocalLengthEnd('RawData (GH)'!B51)</f>
        <v>200</v>
      </c>
      <c r="D51" s="9">
        <f>getApertureStart('RawData (GH)'!C51)</f>
        <v>4</v>
      </c>
      <c r="E51" s="9">
        <f>getApertureEnd('RawData (GH)'!C51)</f>
        <v>4</v>
      </c>
      <c r="F51" s="2">
        <f>getFiltersizeAsDouble('RawData (GH)'!D51)</f>
        <v>67</v>
      </c>
      <c r="G51" s="35">
        <f>getMagnification('RawData (GH)'!E51)</f>
        <v>4.8</v>
      </c>
      <c r="H51" s="62">
        <f>getMinimalFocus('RawData (GH)'!F51)</f>
        <v>0</v>
      </c>
      <c r="I51" t="str">
        <f>getMount('RawData (GH)'!G51)</f>
        <v>Canon EF</v>
      </c>
      <c r="J51" t="str">
        <f>getSensorCompatibility('RawData (GH)'!H51)</f>
        <v>APS-C/ Kleinbild</v>
      </c>
      <c r="K51" s="45">
        <f>getWeightAsDouble('RawData (GH)'!I51)</f>
        <v>760</v>
      </c>
      <c r="L51" s="34">
        <f>getSizeDiameter('RawData (GH)'!J51)</f>
        <v>76</v>
      </c>
      <c r="M51" s="34">
        <f>getSizeLength('RawData (GH)'!J51)</f>
        <v>172</v>
      </c>
    </row>
    <row r="52" spans="1:13" x14ac:dyDescent="0.25">
      <c r="A52" t="str">
        <f>'RawData (GH)'!A52</f>
        <v>Canon EF 70-200mm 4.0 L USM weiß</v>
      </c>
      <c r="B52" s="5">
        <f>getFocalLengthStart('RawData (GH)'!B52)</f>
        <v>70</v>
      </c>
      <c r="C52" s="5">
        <f>getFocalLengthEnd('RawData (GH)'!B52)</f>
        <v>200</v>
      </c>
      <c r="D52" s="9">
        <f>getApertureStart('RawData (GH)'!C52)</f>
        <v>4</v>
      </c>
      <c r="E52" s="9">
        <f>getApertureEnd('RawData (GH)'!C52)</f>
        <v>4</v>
      </c>
      <c r="F52" s="2">
        <f>getFiltersizeAsDouble('RawData (GH)'!D52)</f>
        <v>67</v>
      </c>
      <c r="G52" s="35">
        <f>getMagnification('RawData (GH)'!E52)</f>
        <v>4.76</v>
      </c>
      <c r="H52" s="62">
        <f>getMinimalFocus('RawData (GH)'!F52)</f>
        <v>0</v>
      </c>
      <c r="I52" t="str">
        <f>getMount('RawData (GH)'!G52)</f>
        <v>Canon EF</v>
      </c>
      <c r="J52" t="str">
        <f>getSensorCompatibility('RawData (GH)'!H52)</f>
        <v>APS-C/ Kleinbild</v>
      </c>
      <c r="K52" s="45">
        <f>getWeightAsDouble('RawData (GH)'!I52)</f>
        <v>705</v>
      </c>
      <c r="L52" s="34">
        <f>getSizeDiameter('RawData (GH)'!J52)</f>
        <v>76</v>
      </c>
      <c r="M52" s="34">
        <f>getSizeLength('RawData (GH)'!J52)</f>
        <v>172</v>
      </c>
    </row>
    <row r="53" spans="1:13" x14ac:dyDescent="0.25">
      <c r="A53" t="str">
        <f>'RawData (GH)'!A53</f>
        <v>Canon EF 70-300mm 4.0-5.6 IS II USM schwarz</v>
      </c>
      <c r="B53" s="5">
        <f>getFocalLengthStart('RawData (GH)'!B53)</f>
        <v>70</v>
      </c>
      <c r="C53" s="5">
        <f>getFocalLengthEnd('RawData (GH)'!B53)</f>
        <v>300</v>
      </c>
      <c r="D53" s="9">
        <f>getApertureStart('RawData (GH)'!C53)</f>
        <v>4</v>
      </c>
      <c r="E53" s="9">
        <f>getApertureEnd('RawData (GH)'!C53)</f>
        <v>5.6</v>
      </c>
      <c r="F53" s="2">
        <f>getFiltersizeAsDouble('RawData (GH)'!D53)</f>
        <v>67</v>
      </c>
      <c r="G53" s="35">
        <f>getMagnification('RawData (GH)'!E53)</f>
        <v>4</v>
      </c>
      <c r="H53" s="62">
        <f>getMinimalFocus('RawData (GH)'!F53)</f>
        <v>0</v>
      </c>
      <c r="I53" t="str">
        <f>getMount('RawData (GH)'!G53)</f>
        <v>Canon EF</v>
      </c>
      <c r="J53" t="str">
        <f>getSensorCompatibility('RawData (GH)'!H53)</f>
        <v>APS-C/ Kleinbild</v>
      </c>
      <c r="K53" s="45">
        <f>getWeightAsDouble('RawData (GH)'!I53)</f>
        <v>710</v>
      </c>
      <c r="L53" s="34">
        <f>getSizeDiameter('RawData (GH)'!J53)</f>
        <v>80</v>
      </c>
      <c r="M53" s="34">
        <f>getSizeLength('RawData (GH)'!J53)</f>
        <v>145.5</v>
      </c>
    </row>
    <row r="54" spans="1:13" x14ac:dyDescent="0.25">
      <c r="A54" t="str">
        <f>'RawData (GH)'!A54</f>
        <v>Canon EF 70-300mm 4.0-5.6 IS USM schwarz</v>
      </c>
      <c r="B54" s="5">
        <f>getFocalLengthStart('RawData (GH)'!B54)</f>
        <v>70</v>
      </c>
      <c r="C54" s="5">
        <f>getFocalLengthEnd('RawData (GH)'!B54)</f>
        <v>300</v>
      </c>
      <c r="D54" s="9">
        <f>getApertureStart('RawData (GH)'!C54)</f>
        <v>4</v>
      </c>
      <c r="E54" s="9">
        <f>getApertureEnd('RawData (GH)'!C54)</f>
        <v>5.6</v>
      </c>
      <c r="F54" s="2">
        <f>getFiltersizeAsDouble('RawData (GH)'!D54)</f>
        <v>58</v>
      </c>
      <c r="G54" s="35">
        <f>getMagnification('RawData (GH)'!E54)</f>
        <v>3.8</v>
      </c>
      <c r="H54" s="62">
        <f>getMinimalFocus('RawData (GH)'!F54)</f>
        <v>0</v>
      </c>
      <c r="I54" t="str">
        <f>getMount('RawData (GH)'!G54)</f>
        <v>Canon EF</v>
      </c>
      <c r="J54" t="str">
        <f>getSensorCompatibility('RawData (GH)'!H54)</f>
        <v>APS-C/ Kleinbild</v>
      </c>
      <c r="K54" s="45">
        <f>getWeightAsDouble('RawData (GH)'!I54)</f>
        <v>630</v>
      </c>
      <c r="L54" s="34">
        <f>getSizeDiameter('RawData (GH)'!J54)</f>
        <v>76.5</v>
      </c>
      <c r="M54" s="34">
        <f>getSizeLength('RawData (GH)'!J54)</f>
        <v>142.80000000000001</v>
      </c>
    </row>
    <row r="55" spans="1:13" x14ac:dyDescent="0.25">
      <c r="A55" t="str">
        <f>'RawData (GH)'!A55</f>
        <v>Canon EF 70-300mm 4.0-5.6 L IS USM weiß</v>
      </c>
      <c r="B55" s="5">
        <f>getFocalLengthStart('RawData (GH)'!B55)</f>
        <v>70</v>
      </c>
      <c r="C55" s="5">
        <f>getFocalLengthEnd('RawData (GH)'!B55)</f>
        <v>300</v>
      </c>
      <c r="D55" s="9">
        <f>getApertureStart('RawData (GH)'!C55)</f>
        <v>4</v>
      </c>
      <c r="E55" s="9">
        <f>getApertureEnd('RawData (GH)'!C55)</f>
        <v>5.6</v>
      </c>
      <c r="F55" s="2">
        <f>getFiltersizeAsDouble('RawData (GH)'!D55)</f>
        <v>67</v>
      </c>
      <c r="G55" s="35">
        <f>getMagnification('RawData (GH)'!E55)</f>
        <v>4.76</v>
      </c>
      <c r="H55" s="62">
        <f>getMinimalFocus('RawData (GH)'!F55)</f>
        <v>0</v>
      </c>
      <c r="I55" t="str">
        <f>getMount('RawData (GH)'!G55)</f>
        <v>Canon EF</v>
      </c>
      <c r="J55" t="str">
        <f>getSensorCompatibility('RawData (GH)'!H55)</f>
        <v>APS-C/ Kleinbild</v>
      </c>
      <c r="K55" s="45">
        <f>getWeightAsDouble('RawData (GH)'!I55)</f>
        <v>1050</v>
      </c>
      <c r="L55" s="34">
        <f>getSizeDiameter('RawData (GH)'!J55)</f>
        <v>89</v>
      </c>
      <c r="M55" s="34">
        <f>getSizeLength('RawData (GH)'!J55)</f>
        <v>143</v>
      </c>
    </row>
    <row r="56" spans="1:13" x14ac:dyDescent="0.25">
      <c r="A56" t="str">
        <f>'RawData (GH)'!A56</f>
        <v>Canon EF 70-300mm 4.5-5.6 DO IS USM schwarz</v>
      </c>
      <c r="B56" s="5">
        <f>getFocalLengthStart('RawData (GH)'!B56)</f>
        <v>70</v>
      </c>
      <c r="C56" s="5">
        <f>getFocalLengthEnd('RawData (GH)'!B56)</f>
        <v>300</v>
      </c>
      <c r="D56" s="9">
        <f>getApertureStart('RawData (GH)'!C56)</f>
        <v>4.5</v>
      </c>
      <c r="E56" s="9">
        <f>getApertureEnd('RawData (GH)'!C56)</f>
        <v>5.6</v>
      </c>
      <c r="F56" s="2">
        <f>getFiltersizeAsDouble('RawData (GH)'!D56)</f>
        <v>58</v>
      </c>
      <c r="G56" s="35">
        <f>getMagnification('RawData (GH)'!E56)</f>
        <v>5.26</v>
      </c>
      <c r="H56" s="62">
        <f>getMinimalFocus('RawData (GH)'!F56)</f>
        <v>0</v>
      </c>
      <c r="I56" t="str">
        <f>getMount('RawData (GH)'!G56)</f>
        <v>Canon EF</v>
      </c>
      <c r="J56" t="str">
        <f>getSensorCompatibility('RawData (GH)'!H56)</f>
        <v>APS-C/ Kleinbild</v>
      </c>
      <c r="K56" s="45">
        <f>getWeightAsDouble('RawData (GH)'!I56)</f>
        <v>720</v>
      </c>
      <c r="L56" s="34">
        <f>getSizeDiameter('RawData (GH)'!J56)</f>
        <v>82.4</v>
      </c>
      <c r="M56" s="34">
        <f>getSizeLength('RawData (GH)'!J56)</f>
        <v>99.9</v>
      </c>
    </row>
    <row r="57" spans="1:13" x14ac:dyDescent="0.25">
      <c r="A57" t="str">
        <f>'RawData (GH)'!A57</f>
        <v>Canon EF 75-300mm 4.0-5.6 III schwarz</v>
      </c>
      <c r="B57" s="5">
        <f>getFocalLengthStart('RawData (GH)'!B57)</f>
        <v>75</v>
      </c>
      <c r="C57" s="5">
        <f>getFocalLengthEnd('RawData (GH)'!B57)</f>
        <v>300</v>
      </c>
      <c r="D57" s="9">
        <f>getApertureStart('RawData (GH)'!C57)</f>
        <v>4</v>
      </c>
      <c r="E57" s="9">
        <f>getApertureEnd('RawData (GH)'!C57)</f>
        <v>5.6</v>
      </c>
      <c r="F57" s="2">
        <f>getFiltersizeAsDouble('RawData (GH)'!D57)</f>
        <v>58</v>
      </c>
      <c r="G57" s="35">
        <f>getMagnification('RawData (GH)'!E57)</f>
        <v>4</v>
      </c>
      <c r="H57" s="62">
        <f>getMinimalFocus('RawData (GH)'!F57)</f>
        <v>0</v>
      </c>
      <c r="I57" t="str">
        <f>getMount('RawData (GH)'!G57)</f>
        <v>Canon EF</v>
      </c>
      <c r="J57" t="str">
        <f>getSensorCompatibility('RawData (GH)'!H57)</f>
        <v>APS-C/ Kleinbild</v>
      </c>
      <c r="K57" s="45">
        <f>getWeightAsDouble('RawData (GH)'!I57)</f>
        <v>480</v>
      </c>
      <c r="L57" s="34">
        <f>getSizeDiameter('RawData (GH)'!J57)</f>
        <v>71</v>
      </c>
      <c r="M57" s="34">
        <f>getSizeLength('RawData (GH)'!J57)</f>
        <v>122</v>
      </c>
    </row>
    <row r="58" spans="1:13" x14ac:dyDescent="0.25">
      <c r="A58" t="str">
        <f>'RawData (GH)'!A58</f>
        <v>Canon EF 75-300mm 4.0-5.6 III USM schwarz</v>
      </c>
      <c r="B58" s="5">
        <f>getFocalLengthStart('RawData (GH)'!B58)</f>
        <v>75</v>
      </c>
      <c r="C58" s="5">
        <f>getFocalLengthEnd('RawData (GH)'!B58)</f>
        <v>300</v>
      </c>
      <c r="D58" s="9">
        <f>getApertureStart('RawData (GH)'!C58)</f>
        <v>4</v>
      </c>
      <c r="E58" s="9">
        <f>getApertureEnd('RawData (GH)'!C58)</f>
        <v>5.6</v>
      </c>
      <c r="F58" s="2">
        <f>getFiltersizeAsDouble('RawData (GH)'!D58)</f>
        <v>58</v>
      </c>
      <c r="G58" s="35">
        <f>getMagnification('RawData (GH)'!E58)</f>
        <v>4</v>
      </c>
      <c r="H58" s="62">
        <f>getMinimalFocus('RawData (GH)'!F58)</f>
        <v>0</v>
      </c>
      <c r="I58" t="str">
        <f>getMount('RawData (GH)'!G58)</f>
        <v>Canon EF</v>
      </c>
      <c r="J58" t="str">
        <f>getSensorCompatibility('RawData (GH)'!H58)</f>
        <v>APS-C/ Kleinbild</v>
      </c>
      <c r="K58" s="45">
        <f>getWeightAsDouble('RawData (GH)'!I58)</f>
        <v>480</v>
      </c>
      <c r="L58" s="34">
        <f>getSizeDiameter('RawData (GH)'!J58)</f>
        <v>71</v>
      </c>
      <c r="M58" s="34">
        <f>getSizeLength('RawData (GH)'!J58)</f>
        <v>122</v>
      </c>
    </row>
    <row r="59" spans="1:13" x14ac:dyDescent="0.25">
      <c r="A59" t="str">
        <f>'RawData (GH)'!A59</f>
        <v>Canon EF 800mm 5.6 L IS USM weiß</v>
      </c>
      <c r="B59" s="5">
        <f>getFocalLengthStart('RawData (GH)'!B59)</f>
        <v>800</v>
      </c>
      <c r="C59" s="5">
        <f>getFocalLengthEnd('RawData (GH)'!B59)</f>
        <v>800</v>
      </c>
      <c r="D59" s="9">
        <f>getApertureStart('RawData (GH)'!C59)</f>
        <v>5.6</v>
      </c>
      <c r="E59" s="9">
        <f>getApertureEnd('RawData (GH)'!C59)</f>
        <v>5.6</v>
      </c>
      <c r="F59" s="2">
        <f>getFiltersizeAsDouble('RawData (GH)'!D59)</f>
        <v>52</v>
      </c>
      <c r="G59" s="35">
        <f>getMagnification('RawData (GH)'!E59)</f>
        <v>7.14</v>
      </c>
      <c r="H59" s="62">
        <f>getMinimalFocus('RawData (GH)'!F59)</f>
        <v>0</v>
      </c>
      <c r="I59" t="str">
        <f>getMount('RawData (GH)'!G59)</f>
        <v>Canon EF</v>
      </c>
      <c r="J59" t="str">
        <f>getSensorCompatibility('RawData (GH)'!H59)</f>
        <v>APS-C/ Kleinbild</v>
      </c>
      <c r="K59" s="45">
        <f>getWeightAsDouble('RawData (GH)'!I59)</f>
        <v>4500</v>
      </c>
      <c r="L59" s="34">
        <f>getSizeDiameter('RawData (GH)'!J59)</f>
        <v>163</v>
      </c>
      <c r="M59" s="34">
        <f>getSizeLength('RawData (GH)'!J59)</f>
        <v>461</v>
      </c>
    </row>
    <row r="60" spans="1:13" x14ac:dyDescent="0.25">
      <c r="A60" t="str">
        <f>'RawData (GH)'!A60</f>
        <v>Canon EF 8-15mm 4.0 L Fisheye schwarz</v>
      </c>
      <c r="B60" s="5">
        <f>getFocalLengthStart('RawData (GH)'!B60)</f>
        <v>8</v>
      </c>
      <c r="C60" s="5">
        <f>getFocalLengthEnd('RawData (GH)'!B60)</f>
        <v>15</v>
      </c>
      <c r="D60" s="9">
        <f>getApertureStart('RawData (GH)'!C60)</f>
        <v>4</v>
      </c>
      <c r="E60" s="9">
        <f>getApertureEnd('RawData (GH)'!C60)</f>
        <v>4</v>
      </c>
      <c r="F60" s="2">
        <f>getFiltersizeAsDouble('RawData (GH)'!D60)</f>
        <v>0</v>
      </c>
      <c r="G60" s="35">
        <f>getMagnification('RawData (GH)'!E60)</f>
        <v>2.94</v>
      </c>
      <c r="H60" s="62">
        <f>getMinimalFocus('RawData (GH)'!F60)</f>
        <v>0</v>
      </c>
      <c r="I60" t="str">
        <f>getMount('RawData (GH)'!G60)</f>
        <v>Canon EF</v>
      </c>
      <c r="J60" t="str">
        <f>getSensorCompatibility('RawData (GH)'!H60)</f>
        <v>APS-C/ Kleinbild</v>
      </c>
      <c r="K60" s="45">
        <f>getWeightAsDouble('RawData (GH)'!I60)</f>
        <v>540</v>
      </c>
      <c r="L60" s="34">
        <f>getSizeDiameter('RawData (GH)'!J60)</f>
        <v>78.5</v>
      </c>
      <c r="M60" s="34">
        <f>getSizeLength('RawData (GH)'!J60)</f>
        <v>83</v>
      </c>
    </row>
    <row r="61" spans="1:13" x14ac:dyDescent="0.25">
      <c r="A61" t="str">
        <f>'RawData (GH)'!A61</f>
        <v>Canon EF 85mm 1.2 II L USM schwarz</v>
      </c>
      <c r="B61" s="5">
        <f>getFocalLengthStart('RawData (GH)'!B61)</f>
        <v>85</v>
      </c>
      <c r="C61" s="5">
        <f>getFocalLengthEnd('RawData (GH)'!B61)</f>
        <v>85</v>
      </c>
      <c r="D61" s="9">
        <f>getApertureStart('RawData (GH)'!C61)</f>
        <v>1.2</v>
      </c>
      <c r="E61" s="9">
        <f>getApertureEnd('RawData (GH)'!C61)</f>
        <v>1.2</v>
      </c>
      <c r="F61" s="2">
        <f>getFiltersizeAsDouble('RawData (GH)'!D61)</f>
        <v>72</v>
      </c>
      <c r="G61" s="35">
        <f>getMagnification('RawData (GH)'!E61)</f>
        <v>9.09</v>
      </c>
      <c r="H61" s="62">
        <f>getMinimalFocus('RawData (GH)'!F61)</f>
        <v>0</v>
      </c>
      <c r="I61" t="str">
        <f>getMount('RawData (GH)'!G61)</f>
        <v>Canon EF</v>
      </c>
      <c r="J61" t="str">
        <f>getSensorCompatibility('RawData (GH)'!H61)</f>
        <v>APS-C/ Kleinbild</v>
      </c>
      <c r="K61" s="45">
        <f>getWeightAsDouble('RawData (GH)'!I61)</f>
        <v>1020</v>
      </c>
      <c r="L61" s="34">
        <f>getSizeDiameter('RawData (GH)'!J61)</f>
        <v>91.5</v>
      </c>
      <c r="M61" s="34">
        <f>getSizeLength('RawData (GH)'!J61)</f>
        <v>84</v>
      </c>
    </row>
    <row r="62" spans="1:13" x14ac:dyDescent="0.25">
      <c r="A62" t="str">
        <f>'RawData (GH)'!A62</f>
        <v>Canon EF 85mm 1.4 L IS USM schwarz</v>
      </c>
      <c r="B62" s="5">
        <f>getFocalLengthStart('RawData (GH)'!B62)</f>
        <v>85</v>
      </c>
      <c r="C62" s="5">
        <f>getFocalLengthEnd('RawData (GH)'!B62)</f>
        <v>85</v>
      </c>
      <c r="D62" s="9">
        <f>getApertureStart('RawData (GH)'!C62)</f>
        <v>1.4</v>
      </c>
      <c r="E62" s="9">
        <f>getApertureEnd('RawData (GH)'!C62)</f>
        <v>1.4</v>
      </c>
      <c r="F62" s="2">
        <f>getFiltersizeAsDouble('RawData (GH)'!D62)</f>
        <v>77</v>
      </c>
      <c r="G62" s="35">
        <f>getMagnification('RawData (GH)'!E62)</f>
        <v>8.33</v>
      </c>
      <c r="H62" s="62">
        <f>getMinimalFocus('RawData (GH)'!F62)</f>
        <v>0</v>
      </c>
      <c r="I62" t="str">
        <f>getMount('RawData (GH)'!G62)</f>
        <v>Canon EF</v>
      </c>
      <c r="J62" t="str">
        <f>getSensorCompatibility('RawData (GH)'!H62)</f>
        <v>APS-C/ Kleinbild</v>
      </c>
      <c r="K62" s="45">
        <f>getWeightAsDouble('RawData (GH)'!I62)</f>
        <v>960</v>
      </c>
      <c r="L62" s="34">
        <f>getSizeDiameter('RawData (GH)'!J62)</f>
        <v>88.6</v>
      </c>
      <c r="M62" s="34">
        <f>getSizeLength('RawData (GH)'!J62)</f>
        <v>105.4</v>
      </c>
    </row>
    <row r="63" spans="1:13" x14ac:dyDescent="0.25">
      <c r="A63" t="str">
        <f>'RawData (GH)'!A63</f>
        <v>Canon EF 85mm 1.8 USM schwarz</v>
      </c>
      <c r="B63" s="5">
        <f>getFocalLengthStart('RawData (GH)'!B63)</f>
        <v>85</v>
      </c>
      <c r="C63" s="5">
        <f>getFocalLengthEnd('RawData (GH)'!B63)</f>
        <v>85</v>
      </c>
      <c r="D63" s="9">
        <f>getApertureStart('RawData (GH)'!C63)</f>
        <v>1.8</v>
      </c>
      <c r="E63" s="9">
        <f>getApertureEnd('RawData (GH)'!C63)</f>
        <v>1.8</v>
      </c>
      <c r="F63" s="2">
        <f>getFiltersizeAsDouble('RawData (GH)'!D63)</f>
        <v>58</v>
      </c>
      <c r="G63" s="35">
        <f>getMagnification('RawData (GH)'!E63)</f>
        <v>7.69</v>
      </c>
      <c r="H63" s="62">
        <f>getMinimalFocus('RawData (GH)'!F63)</f>
        <v>0</v>
      </c>
      <c r="I63" t="str">
        <f>getMount('RawData (GH)'!G63)</f>
        <v>Canon EF</v>
      </c>
      <c r="J63" t="str">
        <f>getSensorCompatibility('RawData (GH)'!H63)</f>
        <v>APS-C/ Kleinbild</v>
      </c>
      <c r="K63" s="45">
        <f>getWeightAsDouble('RawData (GH)'!I63)</f>
        <v>425</v>
      </c>
      <c r="L63" s="34">
        <f>getSizeDiameter('RawData (GH)'!J63)</f>
        <v>75</v>
      </c>
      <c r="M63" s="34">
        <f>getSizeLength('RawData (GH)'!J63)</f>
        <v>71.5</v>
      </c>
    </row>
    <row r="64" spans="1:13" x14ac:dyDescent="0.25">
      <c r="A64" t="str">
        <f>'RawData (GH)'!A64</f>
        <v>Canon EF-M 11-22mm 4.0-5.6 IS STM schwarz</v>
      </c>
      <c r="B64" s="5">
        <f>getFocalLengthStart('RawData (GH)'!B64)</f>
        <v>11</v>
      </c>
      <c r="C64" s="5">
        <f>getFocalLengthEnd('RawData (GH)'!B64)</f>
        <v>22</v>
      </c>
      <c r="D64" s="9">
        <f>getApertureStart('RawData (GH)'!C64)</f>
        <v>4</v>
      </c>
      <c r="E64" s="9">
        <f>getApertureEnd('RawData (GH)'!C64)</f>
        <v>5.6</v>
      </c>
      <c r="F64" s="2">
        <f>getFiltersizeAsDouble('RawData (GH)'!D64)</f>
        <v>55</v>
      </c>
      <c r="G64" s="35">
        <f>getMagnification('RawData (GH)'!E64)</f>
        <v>3.33</v>
      </c>
      <c r="H64" s="62">
        <f>getMinimalFocus('RawData (GH)'!F64)</f>
        <v>0</v>
      </c>
      <c r="I64" t="str">
        <f>getMount('RawData (GH)'!G64)</f>
        <v>Canon EF-M</v>
      </c>
      <c r="J64" t="str">
        <f>getSensorCompatibility('RawData (GH)'!H64)</f>
        <v>APS-C</v>
      </c>
      <c r="K64" s="45">
        <f>getWeightAsDouble('RawData (GH)'!I64)</f>
        <v>220</v>
      </c>
      <c r="L64" s="34">
        <f>getSizeDiameter('RawData (GH)'!J64)</f>
        <v>60.9</v>
      </c>
      <c r="M64" s="34">
        <f>getSizeLength('RawData (GH)'!J64)</f>
        <v>58.2</v>
      </c>
    </row>
    <row r="65" spans="1:13" x14ac:dyDescent="0.25">
      <c r="A65" t="str">
        <f>'RawData (GH)'!A65</f>
        <v>Canon EF-M 15-45mm 3.5-6.3 IS STM schwarz</v>
      </c>
      <c r="B65" s="5">
        <f>getFocalLengthStart('RawData (GH)'!B65)</f>
        <v>15</v>
      </c>
      <c r="C65" s="5">
        <f>getFocalLengthEnd('RawData (GH)'!B65)</f>
        <v>45</v>
      </c>
      <c r="D65" s="9">
        <f>getApertureStart('RawData (GH)'!C65)</f>
        <v>3.5</v>
      </c>
      <c r="E65" s="9">
        <f>getApertureEnd('RawData (GH)'!C65)</f>
        <v>6.3</v>
      </c>
      <c r="F65" s="2">
        <f>getFiltersizeAsDouble('RawData (GH)'!D65)</f>
        <v>49</v>
      </c>
      <c r="G65" s="35">
        <f>getMagnification('RawData (GH)'!E65)</f>
        <v>4</v>
      </c>
      <c r="H65" s="62">
        <f>getMinimalFocus('RawData (GH)'!F65)</f>
        <v>0</v>
      </c>
      <c r="I65" t="str">
        <f>getMount('RawData (GH)'!G65)</f>
        <v>Canon EF-M</v>
      </c>
      <c r="J65" t="str">
        <f>getSensorCompatibility('RawData (GH)'!H65)</f>
        <v>APS-C</v>
      </c>
      <c r="K65" s="45">
        <f>getWeightAsDouble('RawData (GH)'!I65)</f>
        <v>130</v>
      </c>
      <c r="L65" s="34">
        <f>getSizeDiameter('RawData (GH)'!J65)</f>
        <v>60.9</v>
      </c>
      <c r="M65" s="34">
        <f>getSizeLength('RawData (GH)'!J65)</f>
        <v>44.5</v>
      </c>
    </row>
    <row r="66" spans="1:13" x14ac:dyDescent="0.25">
      <c r="A66" t="str">
        <f>'RawData (GH)'!A66</f>
        <v>Canon EF-M 15-45mm 3.5-6.3 IS STM silber</v>
      </c>
      <c r="B66" s="5">
        <f>getFocalLengthStart('RawData (GH)'!B66)</f>
        <v>15</v>
      </c>
      <c r="C66" s="5">
        <f>getFocalLengthEnd('RawData (GH)'!B66)</f>
        <v>45</v>
      </c>
      <c r="D66" s="9">
        <f>getApertureStart('RawData (GH)'!C66)</f>
        <v>3.5</v>
      </c>
      <c r="E66" s="9">
        <f>getApertureEnd('RawData (GH)'!C66)</f>
        <v>6.3</v>
      </c>
      <c r="F66" s="2">
        <f>getFiltersizeAsDouble('RawData (GH)'!D66)</f>
        <v>49</v>
      </c>
      <c r="G66" s="35">
        <f>getMagnification('RawData (GH)'!E66)</f>
        <v>4</v>
      </c>
      <c r="H66" s="62">
        <f>getMinimalFocus('RawData (GH)'!F66)</f>
        <v>0</v>
      </c>
      <c r="I66" t="str">
        <f>getMount('RawData (GH)'!G66)</f>
        <v>Canon EF-M</v>
      </c>
      <c r="J66" t="str">
        <f>getSensorCompatibility('RawData (GH)'!H66)</f>
        <v>APS-C</v>
      </c>
      <c r="K66" s="45">
        <f>getWeightAsDouble('RawData (GH)'!I66)</f>
        <v>130</v>
      </c>
      <c r="L66" s="34">
        <f>getSizeDiameter('RawData (GH)'!J66)</f>
        <v>60.9</v>
      </c>
      <c r="M66" s="34">
        <f>getSizeLength('RawData (GH)'!J66)</f>
        <v>44.5</v>
      </c>
    </row>
    <row r="67" spans="1:13" x14ac:dyDescent="0.25">
      <c r="A67" t="str">
        <f>'RawData (GH)'!A67</f>
        <v>Canon EF-M 18-150mm 3.5-6.3 IS STM schwarz</v>
      </c>
      <c r="B67" s="5">
        <f>getFocalLengthStart('RawData (GH)'!B67)</f>
        <v>18</v>
      </c>
      <c r="C67" s="5">
        <f>getFocalLengthEnd('RawData (GH)'!B67)</f>
        <v>150</v>
      </c>
      <c r="D67" s="9">
        <f>getApertureStart('RawData (GH)'!C67)</f>
        <v>3.5</v>
      </c>
      <c r="E67" s="9">
        <f>getApertureEnd('RawData (GH)'!C67)</f>
        <v>6.3</v>
      </c>
      <c r="F67" s="2">
        <f>getFiltersizeAsDouble('RawData (GH)'!D67)</f>
        <v>55</v>
      </c>
      <c r="G67" s="35">
        <f>getMagnification('RawData (GH)'!E67)</f>
        <v>4.76</v>
      </c>
      <c r="H67" s="62">
        <f>getMinimalFocus('RawData (GH)'!F67)</f>
        <v>0</v>
      </c>
      <c r="I67" t="str">
        <f>getMount('RawData (GH)'!G67)</f>
        <v>Canon EF-M</v>
      </c>
      <c r="J67" t="str">
        <f>getSensorCompatibility('RawData (GH)'!H67)</f>
        <v>APS-C</v>
      </c>
      <c r="K67" s="45">
        <f>getWeightAsDouble('RawData (GH)'!I67)</f>
        <v>300</v>
      </c>
      <c r="L67" s="34">
        <f>getSizeDiameter('RawData (GH)'!J67)</f>
        <v>60.9</v>
      </c>
      <c r="M67" s="34">
        <f>getSizeLength('RawData (GH)'!J67)</f>
        <v>86.5</v>
      </c>
    </row>
    <row r="68" spans="1:13" x14ac:dyDescent="0.25">
      <c r="A68" t="str">
        <f>'RawData (GH)'!A68</f>
        <v>Canon EF-M 18-150mm 3.5-6.3 IS STM silber</v>
      </c>
      <c r="B68" s="5">
        <f>getFocalLengthStart('RawData (GH)'!B68)</f>
        <v>18</v>
      </c>
      <c r="C68" s="5">
        <f>getFocalLengthEnd('RawData (GH)'!B68)</f>
        <v>150</v>
      </c>
      <c r="D68" s="9">
        <f>getApertureStart('RawData (GH)'!C68)</f>
        <v>3.5</v>
      </c>
      <c r="E68" s="9">
        <f>getApertureEnd('RawData (GH)'!C68)</f>
        <v>6.3</v>
      </c>
      <c r="F68" s="2">
        <f>getFiltersizeAsDouble('RawData (GH)'!D68)</f>
        <v>55</v>
      </c>
      <c r="G68" s="35">
        <f>getMagnification('RawData (GH)'!E68)</f>
        <v>4.76</v>
      </c>
      <c r="H68" s="62">
        <f>getMinimalFocus('RawData (GH)'!F68)</f>
        <v>0</v>
      </c>
      <c r="I68" t="str">
        <f>getMount('RawData (GH)'!G68)</f>
        <v>Canon EF-M</v>
      </c>
      <c r="J68" t="str">
        <f>getSensorCompatibility('RawData (GH)'!H68)</f>
        <v>APS-C</v>
      </c>
      <c r="K68" s="45">
        <f>getWeightAsDouble('RawData (GH)'!I68)</f>
        <v>300</v>
      </c>
      <c r="L68" s="34">
        <f>getSizeDiameter('RawData (GH)'!J68)</f>
        <v>60.9</v>
      </c>
      <c r="M68" s="34">
        <f>getSizeLength('RawData (GH)'!J68)</f>
        <v>86.5</v>
      </c>
    </row>
    <row r="69" spans="1:13" x14ac:dyDescent="0.25">
      <c r="A69" t="str">
        <f>'RawData (GH)'!A69</f>
        <v>Canon EF-M 18-55mm 3.5-5.6 IS STM schwarz</v>
      </c>
      <c r="B69" s="5">
        <f>getFocalLengthStart('RawData (GH)'!B69)</f>
        <v>18</v>
      </c>
      <c r="C69" s="5">
        <f>getFocalLengthEnd('RawData (GH)'!B69)</f>
        <v>55</v>
      </c>
      <c r="D69" s="9">
        <f>getApertureStart('RawData (GH)'!C69)</f>
        <v>3.5</v>
      </c>
      <c r="E69" s="9">
        <f>getApertureEnd('RawData (GH)'!C69)</f>
        <v>5.6</v>
      </c>
      <c r="F69" s="2">
        <f>getFiltersizeAsDouble('RawData (GH)'!D69)</f>
        <v>52</v>
      </c>
      <c r="G69" s="35">
        <f>getMagnification('RawData (GH)'!E69)</f>
        <v>4</v>
      </c>
      <c r="H69" s="62">
        <f>getMinimalFocus('RawData (GH)'!F69)</f>
        <v>0</v>
      </c>
      <c r="I69" t="str">
        <f>getMount('RawData (GH)'!G69)</f>
        <v>Canon EF-M</v>
      </c>
      <c r="J69" t="str">
        <f>getSensorCompatibility('RawData (GH)'!H69)</f>
        <v>APS-C</v>
      </c>
      <c r="K69" s="45">
        <f>getWeightAsDouble('RawData (GH)'!I69)</f>
        <v>210</v>
      </c>
      <c r="L69" s="34">
        <f>getSizeDiameter('RawData (GH)'!J69)</f>
        <v>60.9</v>
      </c>
      <c r="M69" s="34">
        <f>getSizeLength('RawData (GH)'!J69)</f>
        <v>61</v>
      </c>
    </row>
    <row r="70" spans="1:13" x14ac:dyDescent="0.25">
      <c r="A70" t="str">
        <f>'RawData (GH)'!A70</f>
        <v>Canon EF-M 22mm 2.0 STM schwarz</v>
      </c>
      <c r="B70" s="5">
        <f>getFocalLengthStart('RawData (GH)'!B70)</f>
        <v>22</v>
      </c>
      <c r="C70" s="5">
        <f>getFocalLengthEnd('RawData (GH)'!B70)</f>
        <v>22</v>
      </c>
      <c r="D70" s="9">
        <f>getApertureStart('RawData (GH)'!C70)</f>
        <v>2</v>
      </c>
      <c r="E70" s="9">
        <f>getApertureEnd('RawData (GH)'!C70)</f>
        <v>2</v>
      </c>
      <c r="F70" s="2">
        <f>getFiltersizeAsDouble('RawData (GH)'!D70)</f>
        <v>43</v>
      </c>
      <c r="G70" s="35">
        <f>getMagnification('RawData (GH)'!E70)</f>
        <v>4.76</v>
      </c>
      <c r="H70" s="62">
        <f>getMinimalFocus('RawData (GH)'!F70)</f>
        <v>0</v>
      </c>
      <c r="I70" t="str">
        <f>getMount('RawData (GH)'!G70)</f>
        <v>Canon EF-M</v>
      </c>
      <c r="J70" t="str">
        <f>getSensorCompatibility('RawData (GH)'!H70)</f>
        <v>APS-C</v>
      </c>
      <c r="K70" s="45">
        <f>getWeightAsDouble('RawData (GH)'!I70)</f>
        <v>105</v>
      </c>
      <c r="L70" s="34">
        <f>getSizeDiameter('RawData (GH)'!J70)</f>
        <v>60.9</v>
      </c>
      <c r="M70" s="34">
        <f>getSizeLength('RawData (GH)'!J70)</f>
        <v>23.7</v>
      </c>
    </row>
    <row r="71" spans="1:13" x14ac:dyDescent="0.25">
      <c r="A71" t="str">
        <f>'RawData (GH)'!A71</f>
        <v>Canon EF-M 28mm 3.5 Macro IS STM schwarz</v>
      </c>
      <c r="B71" s="5">
        <f>getFocalLengthStart('RawData (GH)'!B71)</f>
        <v>28</v>
      </c>
      <c r="C71" s="5">
        <f>getFocalLengthEnd('RawData (GH)'!B71)</f>
        <v>28</v>
      </c>
      <c r="D71" s="9">
        <f>getApertureStart('RawData (GH)'!C71)</f>
        <v>3.5</v>
      </c>
      <c r="E71" s="9">
        <f>getApertureEnd('RawData (GH)'!C71)</f>
        <v>3.5</v>
      </c>
      <c r="F71" s="2">
        <f>getFiltersizeAsDouble('RawData (GH)'!D71)</f>
        <v>43</v>
      </c>
      <c r="G71" s="35">
        <f>getMagnification('RawData (GH)'!E71)</f>
        <v>0.83</v>
      </c>
      <c r="H71" s="62">
        <f>getMinimalFocus('RawData (GH)'!F71)</f>
        <v>0</v>
      </c>
      <c r="I71" t="str">
        <f>getMount('RawData (GH)'!G71)</f>
        <v>Canon EF-M</v>
      </c>
      <c r="J71" t="str">
        <f>getSensorCompatibility('RawData (GH)'!H71)</f>
        <v>APS-C</v>
      </c>
      <c r="K71" s="45">
        <f>getWeightAsDouble('RawData (GH)'!I71)</f>
        <v>130</v>
      </c>
      <c r="L71" s="34">
        <f>getSizeDiameter('RawData (GH)'!J71)</f>
        <v>60.9</v>
      </c>
      <c r="M71" s="34">
        <f>getSizeLength('RawData (GH)'!J71)</f>
        <v>45.5</v>
      </c>
    </row>
    <row r="72" spans="1:13" x14ac:dyDescent="0.25">
      <c r="A72" t="str">
        <f>'RawData (GH)'!A72</f>
        <v>Canon EF-M 55-200mm 4.5-6.3 IS STM schwarz</v>
      </c>
      <c r="B72" s="5">
        <f>getFocalLengthStart('RawData (GH)'!B72)</f>
        <v>55</v>
      </c>
      <c r="C72" s="5">
        <f>getFocalLengthEnd('RawData (GH)'!B72)</f>
        <v>200</v>
      </c>
      <c r="D72" s="9">
        <f>getApertureStart('RawData (GH)'!C72)</f>
        <v>4.5</v>
      </c>
      <c r="E72" s="9">
        <f>getApertureEnd('RawData (GH)'!C72)</f>
        <v>6.3</v>
      </c>
      <c r="F72" s="2">
        <f>getFiltersizeAsDouble('RawData (GH)'!D72)</f>
        <v>52</v>
      </c>
      <c r="G72" s="35">
        <f>getMagnification('RawData (GH)'!E72)</f>
        <v>4.76</v>
      </c>
      <c r="H72" s="62">
        <f>getMinimalFocus('RawData (GH)'!F72)</f>
        <v>0</v>
      </c>
      <c r="I72" t="str">
        <f>getMount('RawData (GH)'!G72)</f>
        <v>Canon EF-M</v>
      </c>
      <c r="J72" t="str">
        <f>getSensorCompatibility('RawData (GH)'!H72)</f>
        <v>APS-C</v>
      </c>
      <c r="K72" s="45">
        <f>getWeightAsDouble('RawData (GH)'!I72)</f>
        <v>260</v>
      </c>
      <c r="L72" s="34">
        <f>getSizeDiameter('RawData (GH)'!J72)</f>
        <v>60.9</v>
      </c>
      <c r="M72" s="34">
        <f>getSizeLength('RawData (GH)'!J72)</f>
        <v>86.5</v>
      </c>
    </row>
    <row r="73" spans="1:13" x14ac:dyDescent="0.25">
      <c r="A73" t="str">
        <f>'RawData (GH)'!A73</f>
        <v>Canon EF-M 55-200mm 4.5-6.3 IS STM silber</v>
      </c>
      <c r="B73" s="5">
        <f>getFocalLengthStart('RawData (GH)'!B73)</f>
        <v>55</v>
      </c>
      <c r="C73" s="5">
        <f>getFocalLengthEnd('RawData (GH)'!B73)</f>
        <v>200</v>
      </c>
      <c r="D73" s="9">
        <f>getApertureStart('RawData (GH)'!C73)</f>
        <v>4.5</v>
      </c>
      <c r="E73" s="9">
        <f>getApertureEnd('RawData (GH)'!C73)</f>
        <v>6.3</v>
      </c>
      <c r="F73" s="2">
        <f>getFiltersizeAsDouble('RawData (GH)'!D73)</f>
        <v>52</v>
      </c>
      <c r="G73" s="35">
        <f>getMagnification('RawData (GH)'!E73)</f>
        <v>4.76</v>
      </c>
      <c r="H73" s="62">
        <f>getMinimalFocus('RawData (GH)'!F73)</f>
        <v>0</v>
      </c>
      <c r="I73" t="str">
        <f>getMount('RawData (GH)'!G73)</f>
        <v>Canon EF-M</v>
      </c>
      <c r="J73" t="str">
        <f>getSensorCompatibility('RawData (GH)'!H73)</f>
        <v>APS-C</v>
      </c>
      <c r="K73" s="45">
        <f>getWeightAsDouble('RawData (GH)'!I73)</f>
        <v>260</v>
      </c>
      <c r="L73" s="34">
        <f>getSizeDiameter('RawData (GH)'!J73)</f>
        <v>60.9</v>
      </c>
      <c r="M73" s="34">
        <f>getSizeLength('RawData (GH)'!J73)</f>
        <v>86.5</v>
      </c>
    </row>
    <row r="74" spans="1:13" x14ac:dyDescent="0.25">
      <c r="A74" t="str">
        <f>'RawData (GH)'!A74</f>
        <v>Canon EF-S 10-18mm 4.5-5.6 IS STM mit EW-73C und LC-Kit schwarz</v>
      </c>
      <c r="B74" s="5">
        <f>getFocalLengthStart('RawData (GH)'!B74)</f>
        <v>10</v>
      </c>
      <c r="C74" s="5">
        <f>getFocalLengthEnd('RawData (GH)'!B74)</f>
        <v>18</v>
      </c>
      <c r="D74" s="9">
        <f>getApertureStart('RawData (GH)'!C74)</f>
        <v>4.5</v>
      </c>
      <c r="E74" s="9">
        <f>getApertureEnd('RawData (GH)'!C74)</f>
        <v>5.6</v>
      </c>
      <c r="F74" s="2">
        <f>getFiltersizeAsDouble('RawData (GH)'!D74)</f>
        <v>67</v>
      </c>
      <c r="G74" s="35">
        <f>getMagnification('RawData (GH)'!E74)</f>
        <v>6.67</v>
      </c>
      <c r="H74" s="62">
        <f>getMinimalFocus('RawData (GH)'!F74)</f>
        <v>0</v>
      </c>
      <c r="I74" t="str">
        <f>getMount('RawData (GH)'!G74)</f>
        <v>Canon EF-S</v>
      </c>
      <c r="J74" t="str">
        <f>getSensorCompatibility('RawData (GH)'!H74)</f>
        <v>APS-C</v>
      </c>
      <c r="K74" s="45">
        <f>getWeightAsDouble('RawData (GH)'!I74)</f>
        <v>240</v>
      </c>
      <c r="L74" s="34">
        <f>getSizeDiameter('RawData (GH)'!J74)</f>
        <v>74.599999999999994</v>
      </c>
      <c r="M74" s="34">
        <f>getSizeLength('RawData (GH)'!J74)</f>
        <v>72</v>
      </c>
    </row>
    <row r="75" spans="1:13" x14ac:dyDescent="0.25">
      <c r="A75" t="str">
        <f>'RawData (GH)'!A75</f>
        <v>Canon EF-S 10-18mm 4.5-5.6 IS STM schwarz</v>
      </c>
      <c r="B75" s="5">
        <f>getFocalLengthStart('RawData (GH)'!B75)</f>
        <v>10</v>
      </c>
      <c r="C75" s="5">
        <f>getFocalLengthEnd('RawData (GH)'!B75)</f>
        <v>18</v>
      </c>
      <c r="D75" s="9">
        <f>getApertureStart('RawData (GH)'!C75)</f>
        <v>4.5</v>
      </c>
      <c r="E75" s="9">
        <f>getApertureEnd('RawData (GH)'!C75)</f>
        <v>5.6</v>
      </c>
      <c r="F75" s="2">
        <f>getFiltersizeAsDouble('RawData (GH)'!D75)</f>
        <v>67</v>
      </c>
      <c r="G75" s="35">
        <f>getMagnification('RawData (GH)'!E75)</f>
        <v>6.67</v>
      </c>
      <c r="H75" s="62">
        <f>getMinimalFocus('RawData (GH)'!F75)</f>
        <v>0</v>
      </c>
      <c r="I75" t="str">
        <f>getMount('RawData (GH)'!G75)</f>
        <v>Canon EF-S</v>
      </c>
      <c r="J75" t="str">
        <f>getSensorCompatibility('RawData (GH)'!H75)</f>
        <v>APS-C</v>
      </c>
      <c r="K75" s="45">
        <f>getWeightAsDouble('RawData (GH)'!I75)</f>
        <v>240</v>
      </c>
      <c r="L75" s="34">
        <f>getSizeDiameter('RawData (GH)'!J75)</f>
        <v>74.599999999999994</v>
      </c>
      <c r="M75" s="34">
        <f>getSizeLength('RawData (GH)'!J75)</f>
        <v>72</v>
      </c>
    </row>
    <row r="76" spans="1:13" x14ac:dyDescent="0.25">
      <c r="A76" t="str">
        <f>'RawData (GH)'!A76</f>
        <v>Canon EF-S 10-22mm 3.5-4.5 USM schwarz</v>
      </c>
      <c r="B76" s="5">
        <f>getFocalLengthStart('RawData (GH)'!B76)</f>
        <v>10</v>
      </c>
      <c r="C76" s="5">
        <f>getFocalLengthEnd('RawData (GH)'!B76)</f>
        <v>22</v>
      </c>
      <c r="D76" s="9">
        <f>getApertureStart('RawData (GH)'!C76)</f>
        <v>3.5</v>
      </c>
      <c r="E76" s="9">
        <f>getApertureEnd('RawData (GH)'!C76)</f>
        <v>4.5</v>
      </c>
      <c r="F76" s="2">
        <f>getFiltersizeAsDouble('RawData (GH)'!D76)</f>
        <v>77</v>
      </c>
      <c r="G76" s="35">
        <f>getMagnification('RawData (GH)'!E76)</f>
        <v>5.88</v>
      </c>
      <c r="H76" s="62">
        <f>getMinimalFocus('RawData (GH)'!F76)</f>
        <v>0</v>
      </c>
      <c r="I76" t="str">
        <f>getMount('RawData (GH)'!G76)</f>
        <v>Canon EF-S</v>
      </c>
      <c r="J76" t="str">
        <f>getSensorCompatibility('RawData (GH)'!H76)</f>
        <v>APS-C</v>
      </c>
      <c r="K76" s="45">
        <f>getWeightAsDouble('RawData (GH)'!I76)</f>
        <v>385</v>
      </c>
      <c r="L76" s="34">
        <f>getSizeDiameter('RawData (GH)'!J76)</f>
        <v>83.5</v>
      </c>
      <c r="M76" s="34">
        <f>getSizeLength('RawData (GH)'!J76)</f>
        <v>89.8</v>
      </c>
    </row>
    <row r="77" spans="1:13" x14ac:dyDescent="0.25">
      <c r="A77" t="str">
        <f>'RawData (GH)'!A77</f>
        <v>Canon EF-S 15-85mm 3.5-5.6 IS USM schwarz</v>
      </c>
      <c r="B77" s="5">
        <f>getFocalLengthStart('RawData (GH)'!B77)</f>
        <v>15</v>
      </c>
      <c r="C77" s="5">
        <f>getFocalLengthEnd('RawData (GH)'!B77)</f>
        <v>85</v>
      </c>
      <c r="D77" s="9">
        <f>getApertureStart('RawData (GH)'!C77)</f>
        <v>3.5</v>
      </c>
      <c r="E77" s="9">
        <f>getApertureEnd('RawData (GH)'!C77)</f>
        <v>5.6</v>
      </c>
      <c r="F77" s="2">
        <f>getFiltersizeAsDouble('RawData (GH)'!D77)</f>
        <v>72</v>
      </c>
      <c r="G77" s="35">
        <f>getMagnification('RawData (GH)'!E77)</f>
        <v>4.76</v>
      </c>
      <c r="H77" s="62">
        <f>getMinimalFocus('RawData (GH)'!F77)</f>
        <v>0</v>
      </c>
      <c r="I77" t="str">
        <f>getMount('RawData (GH)'!G77)</f>
        <v>Canon EF-S</v>
      </c>
      <c r="J77" t="str">
        <f>getSensorCompatibility('RawData (GH)'!H77)</f>
        <v>APS-C</v>
      </c>
      <c r="K77" s="45">
        <f>getWeightAsDouble('RawData (GH)'!I77)</f>
        <v>575</v>
      </c>
      <c r="L77" s="34">
        <f>getSizeDiameter('RawData (GH)'!J77)</f>
        <v>81.599999999999994</v>
      </c>
      <c r="M77" s="34">
        <f>getSizeLength('RawData (GH)'!J77)</f>
        <v>87.5</v>
      </c>
    </row>
    <row r="78" spans="1:13" x14ac:dyDescent="0.25">
      <c r="A78" t="str">
        <f>'RawData (GH)'!A78</f>
        <v>Canon EF-S 17-55mm 2.8 IS USM schwarz</v>
      </c>
      <c r="B78" s="5">
        <f>getFocalLengthStart('RawData (GH)'!B78)</f>
        <v>17</v>
      </c>
      <c r="C78" s="5">
        <f>getFocalLengthEnd('RawData (GH)'!B78)</f>
        <v>55</v>
      </c>
      <c r="D78" s="9">
        <f>getApertureStart('RawData (GH)'!C78)</f>
        <v>2.8</v>
      </c>
      <c r="E78" s="9">
        <f>getApertureEnd('RawData (GH)'!C78)</f>
        <v>2.8</v>
      </c>
      <c r="F78" s="2">
        <f>getFiltersizeAsDouble('RawData (GH)'!D78)</f>
        <v>77</v>
      </c>
      <c r="G78" s="35">
        <f>getMagnification('RawData (GH)'!E78)</f>
        <v>5.88</v>
      </c>
      <c r="H78" s="62">
        <f>getMinimalFocus('RawData (GH)'!F78)</f>
        <v>0</v>
      </c>
      <c r="I78" t="str">
        <f>getMount('RawData (GH)'!G78)</f>
        <v>Canon EF-S</v>
      </c>
      <c r="J78" t="str">
        <f>getSensorCompatibility('RawData (GH)'!H78)</f>
        <v>APS-C</v>
      </c>
      <c r="K78" s="45">
        <f>getWeightAsDouble('RawData (GH)'!I78)</f>
        <v>645</v>
      </c>
      <c r="L78" s="34">
        <f>getSizeDiameter('RawData (GH)'!J78)</f>
        <v>83.5</v>
      </c>
      <c r="M78" s="34">
        <f>getSizeLength('RawData (GH)'!J78)</f>
        <v>110.6</v>
      </c>
    </row>
    <row r="79" spans="1:13" x14ac:dyDescent="0.25">
      <c r="A79" t="str">
        <f>'RawData (GH)'!A79</f>
        <v>Canon EF-S 17-85mm 4.0-5.6 IS USM schwarz</v>
      </c>
      <c r="B79" s="5">
        <f>getFocalLengthStart('RawData (GH)'!B79)</f>
        <v>17</v>
      </c>
      <c r="C79" s="5">
        <f>getFocalLengthEnd('RawData (GH)'!B79)</f>
        <v>85</v>
      </c>
      <c r="D79" s="9">
        <f>getApertureStart('RawData (GH)'!C79)</f>
        <v>4</v>
      </c>
      <c r="E79" s="9">
        <f>getApertureEnd('RawData (GH)'!C79)</f>
        <v>5.6</v>
      </c>
      <c r="F79" s="2">
        <f>getFiltersizeAsDouble('RawData (GH)'!D79)</f>
        <v>67</v>
      </c>
      <c r="G79" s="35">
        <f>getMagnification('RawData (GH)'!E79)</f>
        <v>5</v>
      </c>
      <c r="H79" s="62">
        <f>getMinimalFocus('RawData (GH)'!F79)</f>
        <v>0</v>
      </c>
      <c r="I79" t="str">
        <f>getMount('RawData (GH)'!G79)</f>
        <v>Canon EF-S</v>
      </c>
      <c r="J79" t="str">
        <f>getSensorCompatibility('RawData (GH)'!H79)</f>
        <v>APS-C</v>
      </c>
      <c r="K79" s="45">
        <f>getWeightAsDouble('RawData (GH)'!I79)</f>
        <v>475</v>
      </c>
      <c r="L79" s="34">
        <f>getSizeDiameter('RawData (GH)'!J79)</f>
        <v>78.5</v>
      </c>
      <c r="M79" s="34">
        <f>getSizeLength('RawData (GH)'!J79)</f>
        <v>92</v>
      </c>
    </row>
    <row r="80" spans="1:13" x14ac:dyDescent="0.25">
      <c r="A80" t="str">
        <f>'RawData (GH)'!A80</f>
        <v>Canon EF-S 18-135mm 3.5-5.6 IS schwarz</v>
      </c>
      <c r="B80" s="5">
        <f>getFocalLengthStart('RawData (GH)'!B80)</f>
        <v>18</v>
      </c>
      <c r="C80" s="5">
        <f>getFocalLengthEnd('RawData (GH)'!B80)</f>
        <v>135</v>
      </c>
      <c r="D80" s="9">
        <f>getApertureStart('RawData (GH)'!C80)</f>
        <v>3.5</v>
      </c>
      <c r="E80" s="9">
        <f>getApertureEnd('RawData (GH)'!C80)</f>
        <v>5.6</v>
      </c>
      <c r="F80" s="2">
        <f>getFiltersizeAsDouble('RawData (GH)'!D80)</f>
        <v>67</v>
      </c>
      <c r="G80" s="35">
        <f>getMagnification('RawData (GH)'!E80)</f>
        <v>4.76</v>
      </c>
      <c r="H80" s="62">
        <f>getMinimalFocus('RawData (GH)'!F80)</f>
        <v>0</v>
      </c>
      <c r="I80" t="str">
        <f>getMount('RawData (GH)'!G80)</f>
        <v>Canon EF-S</v>
      </c>
      <c r="J80" t="str">
        <f>getSensorCompatibility('RawData (GH)'!H80)</f>
        <v>APS-C</v>
      </c>
      <c r="K80" s="45">
        <f>getWeightAsDouble('RawData (GH)'!I80)</f>
        <v>455</v>
      </c>
      <c r="L80" s="34">
        <f>getSizeDiameter('RawData (GH)'!J80)</f>
        <v>75.400000000000006</v>
      </c>
      <c r="M80" s="34">
        <f>getSizeLength('RawData (GH)'!J80)</f>
        <v>101</v>
      </c>
    </row>
    <row r="81" spans="1:13" x14ac:dyDescent="0.25">
      <c r="A81" t="str">
        <f>'RawData (GH)'!A81</f>
        <v>Canon EF-S 18-135mm 3.5-5.6 IS STM mit EW-73B und LC-Kit schwarz</v>
      </c>
      <c r="B81" s="5">
        <f>getFocalLengthStart('RawData (GH)'!B81)</f>
        <v>18</v>
      </c>
      <c r="C81" s="5">
        <f>getFocalLengthEnd('RawData (GH)'!B81)</f>
        <v>135</v>
      </c>
      <c r="D81" s="9">
        <f>getApertureStart('RawData (GH)'!C81)</f>
        <v>3.5</v>
      </c>
      <c r="E81" s="9">
        <f>getApertureEnd('RawData (GH)'!C81)</f>
        <v>5.6</v>
      </c>
      <c r="F81" s="2">
        <f>getFiltersizeAsDouble('RawData (GH)'!D81)</f>
        <v>67</v>
      </c>
      <c r="G81" s="35">
        <f>getMagnification('RawData (GH)'!E81)</f>
        <v>3.57</v>
      </c>
      <c r="H81" s="62">
        <f>getMinimalFocus('RawData (GH)'!F81)</f>
        <v>0</v>
      </c>
      <c r="I81" t="str">
        <f>getMount('RawData (GH)'!G81)</f>
        <v>Canon EF-S</v>
      </c>
      <c r="J81" t="str">
        <f>getSensorCompatibility('RawData (GH)'!H81)</f>
        <v>APS-C</v>
      </c>
      <c r="K81" s="45">
        <f>getWeightAsDouble('RawData (GH)'!I81)</f>
        <v>480</v>
      </c>
      <c r="L81" s="34">
        <f>getSizeDiameter('RawData (GH)'!J81)</f>
        <v>76.599999999999994</v>
      </c>
      <c r="M81" s="34">
        <f>getSizeLength('RawData (GH)'!J81)</f>
        <v>96</v>
      </c>
    </row>
    <row r="82" spans="1:13" x14ac:dyDescent="0.25">
      <c r="A82" t="str">
        <f>'RawData (GH)'!A82</f>
        <v>Canon EF-S 18-135mm 3.5-5.6 IS STM schwarz</v>
      </c>
      <c r="B82" s="5">
        <f>getFocalLengthStart('RawData (GH)'!B82)</f>
        <v>18</v>
      </c>
      <c r="C82" s="5">
        <f>getFocalLengthEnd('RawData (GH)'!B82)</f>
        <v>135</v>
      </c>
      <c r="D82" s="9">
        <f>getApertureStart('RawData (GH)'!C82)</f>
        <v>3.5</v>
      </c>
      <c r="E82" s="9">
        <f>getApertureEnd('RawData (GH)'!C82)</f>
        <v>5.6</v>
      </c>
      <c r="F82" s="2">
        <f>getFiltersizeAsDouble('RawData (GH)'!D82)</f>
        <v>67</v>
      </c>
      <c r="G82" s="35">
        <f>getMagnification('RawData (GH)'!E82)</f>
        <v>3.57</v>
      </c>
      <c r="H82" s="62">
        <f>getMinimalFocus('RawData (GH)'!F82)</f>
        <v>0</v>
      </c>
      <c r="I82" t="str">
        <f>getMount('RawData (GH)'!G82)</f>
        <v>Canon EF-S</v>
      </c>
      <c r="J82" t="str">
        <f>getSensorCompatibility('RawData (GH)'!H82)</f>
        <v>APS-C</v>
      </c>
      <c r="K82" s="45">
        <f>getWeightAsDouble('RawData (GH)'!I82)</f>
        <v>480</v>
      </c>
      <c r="L82" s="34">
        <f>getSizeDiameter('RawData (GH)'!J82)</f>
        <v>76.599999999999994</v>
      </c>
      <c r="M82" s="34">
        <f>getSizeLength('RawData (GH)'!J82)</f>
        <v>96</v>
      </c>
    </row>
    <row r="83" spans="1:13" x14ac:dyDescent="0.25">
      <c r="A83" t="str">
        <f>'RawData (GH)'!A83</f>
        <v>Canon EF-S 18-135mm 3.5-5.6 IS USM schwarz</v>
      </c>
      <c r="B83" s="5">
        <f>getFocalLengthStart('RawData (GH)'!B83)</f>
        <v>18</v>
      </c>
      <c r="C83" s="5">
        <f>getFocalLengthEnd('RawData (GH)'!B83)</f>
        <v>135</v>
      </c>
      <c r="D83" s="9">
        <f>getApertureStart('RawData (GH)'!C83)</f>
        <v>3.5</v>
      </c>
      <c r="E83" s="9">
        <f>getApertureEnd('RawData (GH)'!C83)</f>
        <v>5.6</v>
      </c>
      <c r="F83" s="2">
        <f>getFiltersizeAsDouble('RawData (GH)'!D83)</f>
        <v>67</v>
      </c>
      <c r="G83" s="35">
        <f>getMagnification('RawData (GH)'!E83)</f>
        <v>3.57</v>
      </c>
      <c r="H83" s="62">
        <f>getMinimalFocus('RawData (GH)'!F83)</f>
        <v>0</v>
      </c>
      <c r="I83" t="str">
        <f>getMount('RawData (GH)'!G83)</f>
        <v>Canon EF-S</v>
      </c>
      <c r="J83" t="str">
        <f>getSensorCompatibility('RawData (GH)'!H83)</f>
        <v>APS-C</v>
      </c>
      <c r="K83" s="45">
        <f>getWeightAsDouble('RawData (GH)'!I83)</f>
        <v>515</v>
      </c>
      <c r="L83" s="34">
        <f>getSizeDiameter('RawData (GH)'!J83)</f>
        <v>77.400000000000006</v>
      </c>
      <c r="M83" s="34">
        <f>getSizeLength('RawData (GH)'!J83)</f>
        <v>96</v>
      </c>
    </row>
    <row r="84" spans="1:13" x14ac:dyDescent="0.25">
      <c r="A84" t="str">
        <f>'RawData (GH)'!A84</f>
        <v>Canon EF-S 18-200mm 3.5-5.6 IS schwarz</v>
      </c>
      <c r="B84" s="5">
        <f>getFocalLengthStart('RawData (GH)'!B84)</f>
        <v>18</v>
      </c>
      <c r="C84" s="5">
        <f>getFocalLengthEnd('RawData (GH)'!B84)</f>
        <v>200</v>
      </c>
      <c r="D84" s="9">
        <f>getApertureStart('RawData (GH)'!C84)</f>
        <v>3.5</v>
      </c>
      <c r="E84" s="9">
        <f>getApertureEnd('RawData (GH)'!C84)</f>
        <v>5.6</v>
      </c>
      <c r="F84" s="2">
        <f>getFiltersizeAsDouble('RawData (GH)'!D84)</f>
        <v>72</v>
      </c>
      <c r="G84" s="35">
        <f>getMagnification('RawData (GH)'!E84)</f>
        <v>4.17</v>
      </c>
      <c r="H84" s="62">
        <f>getMinimalFocus('RawData (GH)'!F84)</f>
        <v>0</v>
      </c>
      <c r="I84" t="str">
        <f>getMount('RawData (GH)'!G84)</f>
        <v>Canon EF-S</v>
      </c>
      <c r="J84" t="str">
        <f>getSensorCompatibility('RawData (GH)'!H84)</f>
        <v>APS-C</v>
      </c>
      <c r="K84" s="45">
        <f>getWeightAsDouble('RawData (GH)'!I84)</f>
        <v>600</v>
      </c>
      <c r="L84" s="34">
        <f>getSizeDiameter('RawData (GH)'!J84)</f>
        <v>79</v>
      </c>
      <c r="M84" s="34">
        <f>getSizeLength('RawData (GH)'!J84)</f>
        <v>102</v>
      </c>
    </row>
    <row r="85" spans="1:13" x14ac:dyDescent="0.25">
      <c r="A85" t="str">
        <f>'RawData (GH)'!A85</f>
        <v>Canon EF-S 18-55mm 3.5-5.6 IS II schwarz</v>
      </c>
      <c r="B85" s="5">
        <f>getFocalLengthStart('RawData (GH)'!B85)</f>
        <v>18</v>
      </c>
      <c r="C85" s="5">
        <f>getFocalLengthEnd('RawData (GH)'!B85)</f>
        <v>55</v>
      </c>
      <c r="D85" s="9">
        <f>getApertureStart('RawData (GH)'!C85)</f>
        <v>3.5</v>
      </c>
      <c r="E85" s="9">
        <f>getApertureEnd('RawData (GH)'!C85)</f>
        <v>5.6</v>
      </c>
      <c r="F85" s="2">
        <f>getFiltersizeAsDouble('RawData (GH)'!D85)</f>
        <v>58</v>
      </c>
      <c r="G85" s="35">
        <f>getMagnification('RawData (GH)'!E85)</f>
        <v>2.94</v>
      </c>
      <c r="H85" s="62">
        <f>getMinimalFocus('RawData (GH)'!F85)</f>
        <v>0</v>
      </c>
      <c r="I85" t="str">
        <f>getMount('RawData (GH)'!G85)</f>
        <v>Canon EF-S</v>
      </c>
      <c r="J85" t="str">
        <f>getSensorCompatibility('RawData (GH)'!H85)</f>
        <v>APS-C</v>
      </c>
      <c r="K85" s="45">
        <f>getWeightAsDouble('RawData (GH)'!I85)</f>
        <v>200</v>
      </c>
      <c r="L85" s="34">
        <f>getSizeDiameter('RawData (GH)'!J85)</f>
        <v>68.5</v>
      </c>
      <c r="M85" s="34">
        <f>getSizeLength('RawData (GH)'!J85)</f>
        <v>70</v>
      </c>
    </row>
    <row r="86" spans="1:13" x14ac:dyDescent="0.25">
      <c r="A86" t="str">
        <f>'RawData (GH)'!A86</f>
        <v>Canon EF-S 18-55mm 3.5-5.6 IS schwarz</v>
      </c>
      <c r="B86" s="5">
        <f>getFocalLengthStart('RawData (GH)'!B86)</f>
        <v>18</v>
      </c>
      <c r="C86" s="5">
        <f>getFocalLengthEnd('RawData (GH)'!B86)</f>
        <v>55</v>
      </c>
      <c r="D86" s="9">
        <f>getApertureStart('RawData (GH)'!C86)</f>
        <v>3.5</v>
      </c>
      <c r="E86" s="9">
        <f>getApertureEnd('RawData (GH)'!C86)</f>
        <v>5.6</v>
      </c>
      <c r="F86" s="2">
        <f>getFiltersizeAsDouble('RawData (GH)'!D86)</f>
        <v>58</v>
      </c>
      <c r="G86" s="35">
        <f>getMagnification('RawData (GH)'!E86)</f>
        <v>2.94</v>
      </c>
      <c r="H86" s="62">
        <f>getMinimalFocus('RawData (GH)'!F86)</f>
        <v>0</v>
      </c>
      <c r="I86" t="str">
        <f>getMount('RawData (GH)'!G86)</f>
        <v>Canon EF-S</v>
      </c>
      <c r="J86" t="str">
        <f>getSensorCompatibility('RawData (GH)'!H86)</f>
        <v>APS-C</v>
      </c>
      <c r="K86" s="45">
        <f>getWeightAsDouble('RawData (GH)'!I86)</f>
        <v>200</v>
      </c>
      <c r="L86" s="34">
        <f>getSizeDiameter('RawData (GH)'!J86)</f>
        <v>68.5</v>
      </c>
      <c r="M86" s="34">
        <f>getSizeLength('RawData (GH)'!J86)</f>
        <v>70</v>
      </c>
    </row>
    <row r="87" spans="1:13" x14ac:dyDescent="0.25">
      <c r="A87" t="str">
        <f>'RawData (GH)'!A87</f>
        <v>Canon EF-S 18-55mm 3.5-5.6 IS STM schwarz</v>
      </c>
      <c r="B87" s="5">
        <f>getFocalLengthStart('RawData (GH)'!B87)</f>
        <v>18</v>
      </c>
      <c r="C87" s="5">
        <f>getFocalLengthEnd('RawData (GH)'!B87)</f>
        <v>55</v>
      </c>
      <c r="D87" s="9">
        <f>getApertureStart('RawData (GH)'!C87)</f>
        <v>3.5</v>
      </c>
      <c r="E87" s="9">
        <f>getApertureEnd('RawData (GH)'!C87)</f>
        <v>5.6</v>
      </c>
      <c r="F87" s="2">
        <f>getFiltersizeAsDouble('RawData (GH)'!D87)</f>
        <v>58</v>
      </c>
      <c r="G87" s="35">
        <f>getMagnification('RawData (GH)'!E87)</f>
        <v>2.78</v>
      </c>
      <c r="H87" s="62">
        <f>getMinimalFocus('RawData (GH)'!F87)</f>
        <v>0</v>
      </c>
      <c r="I87" t="str">
        <f>getMount('RawData (GH)'!G87)</f>
        <v>Canon EF-S</v>
      </c>
      <c r="J87" t="str">
        <f>getSensorCompatibility('RawData (GH)'!H87)</f>
        <v>APS-C</v>
      </c>
      <c r="K87" s="45">
        <f>getWeightAsDouble('RawData (GH)'!I87)</f>
        <v>205</v>
      </c>
      <c r="L87" s="34">
        <f>getSizeDiameter('RawData (GH)'!J87)</f>
        <v>69</v>
      </c>
      <c r="M87" s="34">
        <f>getSizeLength('RawData (GH)'!J87)</f>
        <v>75.2</v>
      </c>
    </row>
    <row r="88" spans="1:13" x14ac:dyDescent="0.25">
      <c r="A88" t="str">
        <f>'RawData (GH)'!A88</f>
        <v>Canon EF-S 18-55mm 3.5-5.6 schwarz</v>
      </c>
      <c r="B88" s="5">
        <f>getFocalLengthStart('RawData (GH)'!B88)</f>
        <v>18</v>
      </c>
      <c r="C88" s="5">
        <f>getFocalLengthEnd('RawData (GH)'!B88)</f>
        <v>55</v>
      </c>
      <c r="D88" s="9">
        <f>getApertureStart('RawData (GH)'!C88)</f>
        <v>3.5</v>
      </c>
      <c r="E88" s="9">
        <f>getApertureEnd('RawData (GH)'!C88)</f>
        <v>5.6</v>
      </c>
      <c r="F88" s="2">
        <f>getFiltersizeAsDouble('RawData (GH)'!D88)</f>
        <v>58</v>
      </c>
      <c r="G88" s="35">
        <f>getMagnification('RawData (GH)'!E88)</f>
        <v>4.76</v>
      </c>
      <c r="H88" s="62">
        <f>getMinimalFocus('RawData (GH)'!F88)</f>
        <v>0</v>
      </c>
      <c r="I88" t="str">
        <f>getMount('RawData (GH)'!G88)</f>
        <v>Canon EF-S</v>
      </c>
      <c r="J88" t="str">
        <f>getSensorCompatibility('RawData (GH)'!H88)</f>
        <v>APS-C</v>
      </c>
      <c r="K88" s="45">
        <f>getWeightAsDouble('RawData (GH)'!I88)</f>
        <v>190</v>
      </c>
      <c r="L88" s="34">
        <f>getSizeDiameter('RawData (GH)'!J88)</f>
        <v>68.5</v>
      </c>
      <c r="M88" s="34">
        <f>getSizeLength('RawData (GH)'!J88)</f>
        <v>79.900000000000006</v>
      </c>
    </row>
    <row r="89" spans="1:13" x14ac:dyDescent="0.25">
      <c r="A89" t="str">
        <f>'RawData (GH)'!A89</f>
        <v>Canon EF-S 18-55mm 4.0-5.6 IS STM schwarz</v>
      </c>
      <c r="B89" s="5">
        <f>getFocalLengthStart('RawData (GH)'!B89)</f>
        <v>18</v>
      </c>
      <c r="C89" s="5">
        <f>getFocalLengthEnd('RawData (GH)'!B89)</f>
        <v>55</v>
      </c>
      <c r="D89" s="9">
        <f>getApertureStart('RawData (GH)'!C89)</f>
        <v>4</v>
      </c>
      <c r="E89" s="9">
        <f>getApertureEnd('RawData (GH)'!C89)</f>
        <v>5.6</v>
      </c>
      <c r="F89" s="2">
        <f>getFiltersizeAsDouble('RawData (GH)'!D89)</f>
        <v>58</v>
      </c>
      <c r="G89" s="35">
        <f>getMagnification('RawData (GH)'!E89)</f>
        <v>4</v>
      </c>
      <c r="H89" s="62">
        <f>getMinimalFocus('RawData (GH)'!F89)</f>
        <v>0</v>
      </c>
      <c r="I89" t="str">
        <f>getMount('RawData (GH)'!G89)</f>
        <v>Canon EF-S</v>
      </c>
      <c r="J89" t="str">
        <f>getSensorCompatibility('RawData (GH)'!H89)</f>
        <v>APS-C</v>
      </c>
      <c r="K89" s="45">
        <f>getWeightAsDouble('RawData (GH)'!I89)</f>
        <v>215</v>
      </c>
      <c r="L89" s="34">
        <f>getSizeDiameter('RawData (GH)'!J89)</f>
        <v>66.5</v>
      </c>
      <c r="M89" s="34">
        <f>getSizeLength('RawData (GH)'!J89)</f>
        <v>61.8</v>
      </c>
    </row>
    <row r="90" spans="1:13" x14ac:dyDescent="0.25">
      <c r="A90" t="str">
        <f>'RawData (GH)'!A90</f>
        <v>Canon EF-S 24mm 2.8 STM schwarz</v>
      </c>
      <c r="B90" s="5">
        <f>getFocalLengthStart('RawData (GH)'!B90)</f>
        <v>24</v>
      </c>
      <c r="C90" s="5">
        <f>getFocalLengthEnd('RawData (GH)'!B90)</f>
        <v>24</v>
      </c>
      <c r="D90" s="9">
        <f>getApertureStart('RawData (GH)'!C90)</f>
        <v>2.8</v>
      </c>
      <c r="E90" s="9">
        <f>getApertureEnd('RawData (GH)'!C90)</f>
        <v>2.8</v>
      </c>
      <c r="F90" s="2">
        <f>getFiltersizeAsDouble('RawData (GH)'!D90)</f>
        <v>52</v>
      </c>
      <c r="G90" s="35">
        <f>getMagnification('RawData (GH)'!E90)</f>
        <v>0</v>
      </c>
      <c r="H90" s="62">
        <f>getMinimalFocus('RawData (GH)'!F90)</f>
        <v>0</v>
      </c>
      <c r="I90" t="str">
        <f>getMount('RawData (GH)'!G90)</f>
        <v>Canon EF-S</v>
      </c>
      <c r="J90" t="str">
        <f>getSensorCompatibility('RawData (GH)'!H90)</f>
        <v>APS-C</v>
      </c>
      <c r="K90" s="45">
        <f>getWeightAsDouble('RawData (GH)'!I90)</f>
        <v>125</v>
      </c>
      <c r="L90" s="34">
        <f>getSizeDiameter('RawData (GH)'!J90)</f>
        <v>68.2</v>
      </c>
      <c r="M90" s="34">
        <f>getSizeLength('RawData (GH)'!J90)</f>
        <v>22.8</v>
      </c>
    </row>
    <row r="91" spans="1:13" x14ac:dyDescent="0.25">
      <c r="A91" t="str">
        <f>'RawData (GH)'!A91</f>
        <v>Canon EF-S 35mm 2.8 Macro IS STM schwarz</v>
      </c>
      <c r="B91" s="5">
        <f>getFocalLengthStart('RawData (GH)'!B91)</f>
        <v>35</v>
      </c>
      <c r="C91" s="5">
        <f>getFocalLengthEnd('RawData (GH)'!B91)</f>
        <v>35</v>
      </c>
      <c r="D91" s="9">
        <f>getApertureStart('RawData (GH)'!C91)</f>
        <v>2.8</v>
      </c>
      <c r="E91" s="9">
        <f>getApertureEnd('RawData (GH)'!C91)</f>
        <v>2.8</v>
      </c>
      <c r="F91" s="2">
        <f>getFiltersizeAsDouble('RawData (GH)'!D91)</f>
        <v>49</v>
      </c>
      <c r="G91" s="35">
        <f>getMagnification('RawData (GH)'!E91)</f>
        <v>1</v>
      </c>
      <c r="H91" s="62">
        <f>getMinimalFocus('RawData (GH)'!F91)</f>
        <v>0</v>
      </c>
      <c r="I91" t="str">
        <f>getMount('RawData (GH)'!G91)</f>
        <v>Canon EF-S</v>
      </c>
      <c r="J91" t="str">
        <f>getSensorCompatibility('RawData (GH)'!H91)</f>
        <v>APS-C</v>
      </c>
      <c r="K91" s="45">
        <f>getWeightAsDouble('RawData (GH)'!I91)</f>
        <v>190</v>
      </c>
      <c r="L91" s="34">
        <f>getSizeDiameter('RawData (GH)'!J91)</f>
        <v>69.2</v>
      </c>
      <c r="M91" s="34">
        <f>getSizeLength('RawData (GH)'!J91)</f>
        <v>55.8</v>
      </c>
    </row>
    <row r="92" spans="1:13" x14ac:dyDescent="0.25">
      <c r="A92" t="str">
        <f>'RawData (GH)'!A92</f>
        <v>Canon EF-S 55-250mm 4.0-5.6 IS II schwarz</v>
      </c>
      <c r="B92" s="5">
        <f>getFocalLengthStart('RawData (GH)'!B92)</f>
        <v>55</v>
      </c>
      <c r="C92" s="5">
        <f>getFocalLengthEnd('RawData (GH)'!B92)</f>
        <v>250</v>
      </c>
      <c r="D92" s="9">
        <f>getApertureStart('RawData (GH)'!C92)</f>
        <v>4</v>
      </c>
      <c r="E92" s="9">
        <f>getApertureEnd('RawData (GH)'!C92)</f>
        <v>5.6</v>
      </c>
      <c r="F92" s="2">
        <f>getFiltersizeAsDouble('RawData (GH)'!D92)</f>
        <v>58</v>
      </c>
      <c r="G92" s="35">
        <f>getMagnification('RawData (GH)'!E92)</f>
        <v>3.23</v>
      </c>
      <c r="H92" s="62">
        <f>getMinimalFocus('RawData (GH)'!F92)</f>
        <v>0</v>
      </c>
      <c r="I92" t="str">
        <f>getMount('RawData (GH)'!G92)</f>
        <v>Canon EF-S</v>
      </c>
      <c r="J92" t="str">
        <f>getSensorCompatibility('RawData (GH)'!H92)</f>
        <v>APS-C</v>
      </c>
      <c r="K92" s="45">
        <f>getWeightAsDouble('RawData (GH)'!I92)</f>
        <v>390</v>
      </c>
      <c r="L92" s="34">
        <f>getSizeDiameter('RawData (GH)'!J92)</f>
        <v>70</v>
      </c>
      <c r="M92" s="34">
        <f>getSizeLength('RawData (GH)'!J92)</f>
        <v>108</v>
      </c>
    </row>
    <row r="93" spans="1:13" x14ac:dyDescent="0.25">
      <c r="A93" t="str">
        <f>'RawData (GH)'!A93</f>
        <v>Canon EF-S 55-250mm 4.0-5.6 IS schwarz</v>
      </c>
      <c r="B93" s="5">
        <f>getFocalLengthStart('RawData (GH)'!B93)</f>
        <v>55</v>
      </c>
      <c r="C93" s="5">
        <f>getFocalLengthEnd('RawData (GH)'!B93)</f>
        <v>250</v>
      </c>
      <c r="D93" s="9">
        <f>getApertureStart('RawData (GH)'!C93)</f>
        <v>4</v>
      </c>
      <c r="E93" s="9">
        <f>getApertureEnd('RawData (GH)'!C93)</f>
        <v>5.6</v>
      </c>
      <c r="F93" s="2">
        <f>getFiltersizeAsDouble('RawData (GH)'!D93)</f>
        <v>58</v>
      </c>
      <c r="G93" s="35">
        <f>getMagnification('RawData (GH)'!E93)</f>
        <v>3.23</v>
      </c>
      <c r="H93" s="62">
        <f>getMinimalFocus('RawData (GH)'!F93)</f>
        <v>0</v>
      </c>
      <c r="I93" t="str">
        <f>getMount('RawData (GH)'!G93)</f>
        <v>Canon EF-S</v>
      </c>
      <c r="J93" t="str">
        <f>getSensorCompatibility('RawData (GH)'!H93)</f>
        <v>APS-C</v>
      </c>
      <c r="K93" s="45">
        <f>getWeightAsDouble('RawData (GH)'!I93)</f>
        <v>390</v>
      </c>
      <c r="L93" s="34">
        <f>getSizeDiameter('RawData (GH)'!J93)</f>
        <v>70</v>
      </c>
      <c r="M93" s="34">
        <f>getSizeLength('RawData (GH)'!J93)</f>
        <v>108</v>
      </c>
    </row>
    <row r="94" spans="1:13" x14ac:dyDescent="0.25">
      <c r="A94" t="str">
        <f>'RawData (GH)'!A94</f>
        <v>Canon EF-S 55-250mm 4.0-5.6 IS STM mit ET-63 und LC-Kit schwarz</v>
      </c>
      <c r="B94" s="5">
        <f>getFocalLengthStart('RawData (GH)'!B94)</f>
        <v>55</v>
      </c>
      <c r="C94" s="5">
        <f>getFocalLengthEnd('RawData (GH)'!B94)</f>
        <v>250</v>
      </c>
      <c r="D94" s="9">
        <f>getApertureStart('RawData (GH)'!C94)</f>
        <v>4</v>
      </c>
      <c r="E94" s="9">
        <f>getApertureEnd('RawData (GH)'!C94)</f>
        <v>5.6</v>
      </c>
      <c r="F94" s="2">
        <f>getFiltersizeAsDouble('RawData (GH)'!D94)</f>
        <v>58</v>
      </c>
      <c r="G94" s="35">
        <f>getMagnification('RawData (GH)'!E94)</f>
        <v>3.45</v>
      </c>
      <c r="H94" s="62">
        <f>getMinimalFocus('RawData (GH)'!F94)</f>
        <v>0</v>
      </c>
      <c r="I94" t="str">
        <f>getMount('RawData (GH)'!G94)</f>
        <v>Canon EF-S</v>
      </c>
      <c r="J94" t="str">
        <f>getSensorCompatibility('RawData (GH)'!H94)</f>
        <v>APS-C</v>
      </c>
      <c r="K94" s="45">
        <f>getWeightAsDouble('RawData (GH)'!I94)</f>
        <v>375</v>
      </c>
      <c r="L94" s="34">
        <f>getSizeDiameter('RawData (GH)'!J94)</f>
        <v>70</v>
      </c>
      <c r="M94" s="34">
        <f>getSizeLength('RawData (GH)'!J94)</f>
        <v>111</v>
      </c>
    </row>
    <row r="95" spans="1:13" x14ac:dyDescent="0.25">
      <c r="A95" t="str">
        <f>'RawData (GH)'!A95</f>
        <v>Canon EF-S 55-250mm 4.0-5.6 IS STM schwarz</v>
      </c>
      <c r="B95" s="5">
        <f>getFocalLengthStart('RawData (GH)'!B95)</f>
        <v>55</v>
      </c>
      <c r="C95" s="5">
        <f>getFocalLengthEnd('RawData (GH)'!B95)</f>
        <v>250</v>
      </c>
      <c r="D95" s="9">
        <f>getApertureStart('RawData (GH)'!C95)</f>
        <v>4</v>
      </c>
      <c r="E95" s="9">
        <f>getApertureEnd('RawData (GH)'!C95)</f>
        <v>5.6</v>
      </c>
      <c r="F95" s="2">
        <f>getFiltersizeAsDouble('RawData (GH)'!D95)</f>
        <v>58</v>
      </c>
      <c r="G95" s="35">
        <f>getMagnification('RawData (GH)'!E95)</f>
        <v>3.45</v>
      </c>
      <c r="H95" s="62">
        <f>getMinimalFocus('RawData (GH)'!F95)</f>
        <v>0</v>
      </c>
      <c r="I95" t="str">
        <f>getMount('RawData (GH)'!G95)</f>
        <v>Canon EF-S</v>
      </c>
      <c r="J95" t="str">
        <f>getSensorCompatibility('RawData (GH)'!H95)</f>
        <v>APS-C</v>
      </c>
      <c r="K95" s="45">
        <f>getWeightAsDouble('RawData (GH)'!I95)</f>
        <v>375</v>
      </c>
      <c r="L95" s="34">
        <f>getSizeDiameter('RawData (GH)'!J95)</f>
        <v>70</v>
      </c>
      <c r="M95" s="34">
        <f>getSizeLength('RawData (GH)'!J95)</f>
        <v>111</v>
      </c>
    </row>
    <row r="96" spans="1:13" x14ac:dyDescent="0.25">
      <c r="A96" t="str">
        <f>'RawData (GH)'!A96</f>
        <v>Canon EF-S 60mm 2.8 Makro USM schwarz</v>
      </c>
      <c r="B96" s="5">
        <f>getFocalLengthStart('RawData (GH)'!B96)</f>
        <v>60</v>
      </c>
      <c r="C96" s="5">
        <f>getFocalLengthEnd('RawData (GH)'!B96)</f>
        <v>60</v>
      </c>
      <c r="D96" s="9">
        <f>getApertureStart('RawData (GH)'!C96)</f>
        <v>2.8</v>
      </c>
      <c r="E96" s="9">
        <f>getApertureEnd('RawData (GH)'!C96)</f>
        <v>2.8</v>
      </c>
      <c r="F96" s="2">
        <f>getFiltersizeAsDouble('RawData (GH)'!D96)</f>
        <v>52</v>
      </c>
      <c r="G96" s="35">
        <f>getMagnification('RawData (GH)'!E96)</f>
        <v>1</v>
      </c>
      <c r="H96" s="62">
        <f>getMinimalFocus('RawData (GH)'!F96)</f>
        <v>0</v>
      </c>
      <c r="I96" t="str">
        <f>getMount('RawData (GH)'!G96)</f>
        <v>Canon EF-S</v>
      </c>
      <c r="J96" t="str">
        <f>getSensorCompatibility('RawData (GH)'!H96)</f>
        <v>APS-C</v>
      </c>
      <c r="K96" s="45">
        <f>getWeightAsDouble('RawData (GH)'!I96)</f>
        <v>335</v>
      </c>
      <c r="L96" s="34">
        <f>getSizeDiameter('RawData (GH)'!J96)</f>
        <v>73</v>
      </c>
      <c r="M96" s="34">
        <f>getSizeLength('RawData (GH)'!J96)</f>
        <v>69.8</v>
      </c>
    </row>
    <row r="97" spans="1:13" x14ac:dyDescent="0.25">
      <c r="A97" t="str">
        <f>'RawData (GH)'!A97</f>
        <v>Canon MP-E 65mm 2.8 1-5x Makro schwarz</v>
      </c>
      <c r="B97" s="5">
        <f>getFocalLengthStart('RawData (GH)'!B97)</f>
        <v>65</v>
      </c>
      <c r="C97" s="5">
        <f>getFocalLengthEnd('RawData (GH)'!B97)</f>
        <v>65</v>
      </c>
      <c r="D97" s="9">
        <f>getApertureStart('RawData (GH)'!C97)</f>
        <v>2.8</v>
      </c>
      <c r="E97" s="9">
        <f>getApertureEnd('RawData (GH)'!C97)</f>
        <v>2.8</v>
      </c>
      <c r="F97" s="2">
        <f>getFiltersizeAsDouble('RawData (GH)'!D97)</f>
        <v>58</v>
      </c>
      <c r="G97" s="35">
        <f>getMagnification('RawData (GH)'!E97)</f>
        <v>0.2</v>
      </c>
      <c r="H97" s="62">
        <f>getMinimalFocus('RawData (GH)'!F97)</f>
        <v>0</v>
      </c>
      <c r="I97" t="str">
        <f>getMount('RawData (GH)'!G97)</f>
        <v>Canon EF</v>
      </c>
      <c r="J97" t="str">
        <f>getSensorCompatibility('RawData (GH)'!H97)</f>
        <v>APS-C/ Kleinbild</v>
      </c>
      <c r="K97" s="45">
        <f>getWeightAsDouble('RawData (GH)'!I97)</f>
        <v>730</v>
      </c>
      <c r="L97" s="34">
        <f>getSizeDiameter('RawData (GH)'!J97)</f>
        <v>81</v>
      </c>
      <c r="M97" s="34">
        <f>getSizeLength('RawData (GH)'!J97)</f>
        <v>98</v>
      </c>
    </row>
    <row r="98" spans="1:13" x14ac:dyDescent="0.25">
      <c r="A98" t="str">
        <f>'RawData (GH)'!A98</f>
        <v>Canon Objektiv CN-E 135mm T2.2 L F schwarz</v>
      </c>
      <c r="B98" s="5">
        <f>getFocalLengthStart('RawData (GH)'!B98)</f>
        <v>135</v>
      </c>
      <c r="C98" s="5">
        <f>getFocalLengthEnd('RawData (GH)'!B98)</f>
        <v>135</v>
      </c>
      <c r="D98" s="9">
        <f>getApertureStart('RawData (GH)'!C98)</f>
        <v>2.2000000000000002</v>
      </c>
      <c r="E98" s="9">
        <f>getApertureEnd('RawData (GH)'!C98)</f>
        <v>2.2000000000000002</v>
      </c>
      <c r="F98" s="2">
        <f>getFiltersizeAsDouble('RawData (GH)'!D98)</f>
        <v>0</v>
      </c>
      <c r="G98" s="35">
        <f>getMagnification('RawData (GH)'!E98)</f>
        <v>0</v>
      </c>
      <c r="H98" s="62">
        <f>getMinimalFocus('RawData (GH)'!F98)</f>
        <v>0</v>
      </c>
      <c r="I98" t="str">
        <f>getMount('RawData (GH)'!G98)</f>
        <v>Canon EF</v>
      </c>
      <c r="J98" t="str">
        <f>getSensorCompatibility('RawData (GH)'!H98)</f>
        <v>APS-C/ Kleinbild</v>
      </c>
      <c r="K98" s="45">
        <f>getWeightAsDouble('RawData (GH)'!I98)</f>
        <v>0</v>
      </c>
      <c r="L98" s="34">
        <f>getSizeDiameter('RawData (GH)'!J98)</f>
        <v>0</v>
      </c>
      <c r="M98" s="34">
        <f>getSizeLength('RawData (GH)'!J98)</f>
        <v>0</v>
      </c>
    </row>
    <row r="99" spans="1:13" x14ac:dyDescent="0.25">
      <c r="A99" t="str">
        <f>'RawData (GH)'!A99</f>
        <v>Canon Objektiv CN-E 14mm T3.1 L F schwarz</v>
      </c>
      <c r="B99" s="5">
        <f>getFocalLengthStart('RawData (GH)'!B99)</f>
        <v>14</v>
      </c>
      <c r="C99" s="5">
        <f>getFocalLengthEnd('RawData (GH)'!B99)</f>
        <v>14</v>
      </c>
      <c r="D99" s="9">
        <f>getApertureStart('RawData (GH)'!C99)</f>
        <v>3.1</v>
      </c>
      <c r="E99" s="9">
        <f>getApertureEnd('RawData (GH)'!C99)</f>
        <v>3.1</v>
      </c>
      <c r="F99" s="2">
        <f>getFiltersizeAsDouble('RawData (GH)'!D99)</f>
        <v>0</v>
      </c>
      <c r="G99" s="35">
        <f>getMagnification('RawData (GH)'!E99)</f>
        <v>0</v>
      </c>
      <c r="H99" s="62">
        <f>getMinimalFocus('RawData (GH)'!F99)</f>
        <v>0</v>
      </c>
      <c r="I99" t="str">
        <f>getMount('RawData (GH)'!G99)</f>
        <v>Canon EF</v>
      </c>
      <c r="J99" t="str">
        <f>getSensorCompatibility('RawData (GH)'!H99)</f>
        <v>APS-C/ Kleinbild</v>
      </c>
      <c r="K99" s="45">
        <f>getWeightAsDouble('RawData (GH)'!I99)</f>
        <v>0</v>
      </c>
      <c r="L99" s="34">
        <f>getSizeDiameter('RawData (GH)'!J99)</f>
        <v>0</v>
      </c>
      <c r="M99" s="34">
        <f>getSizeLength('RawData (GH)'!J99)</f>
        <v>0</v>
      </c>
    </row>
    <row r="100" spans="1:13" x14ac:dyDescent="0.25">
      <c r="A100" t="str">
        <f>'RawData (GH)'!A100</f>
        <v>Canon Objektiv CN-E 18-80mm T4.4 L IS KAS S schwarz</v>
      </c>
      <c r="B100" s="5">
        <f>getFocalLengthStart('RawData (GH)'!B100)</f>
        <v>18</v>
      </c>
      <c r="C100" s="5">
        <f>getFocalLengthEnd('RawData (GH)'!B100)</f>
        <v>80</v>
      </c>
      <c r="D100" s="9">
        <f>getApertureStart('RawData (GH)'!C100)</f>
        <v>4.4000000000000004</v>
      </c>
      <c r="E100" s="9">
        <f>getApertureEnd('RawData (GH)'!C100)</f>
        <v>4.4000000000000004</v>
      </c>
      <c r="F100" s="2">
        <f>getFiltersizeAsDouble('RawData (GH)'!D100)</f>
        <v>0</v>
      </c>
      <c r="G100" s="35">
        <f>getMagnification('RawData (GH)'!E100)</f>
        <v>0</v>
      </c>
      <c r="H100" s="62">
        <f>getMinimalFocus('RawData (GH)'!F100)</f>
        <v>0</v>
      </c>
      <c r="I100" t="str">
        <f>getMount('RawData (GH)'!G100)</f>
        <v>Canon EF</v>
      </c>
      <c r="J100" t="str">
        <f>getSensorCompatibility('RawData (GH)'!H100)</f>
        <v>APS-C/ Kleinbild</v>
      </c>
      <c r="K100" s="45">
        <f>getWeightAsDouble('RawData (GH)'!I100)</f>
        <v>1200</v>
      </c>
      <c r="L100" s="34">
        <f>getSizeDiameter('RawData (GH)'!J100)</f>
        <v>107.2</v>
      </c>
      <c r="M100" s="34">
        <f>getSizeLength('RawData (GH)'!J100)</f>
        <v>182.3</v>
      </c>
    </row>
    <row r="101" spans="1:13" x14ac:dyDescent="0.25">
      <c r="A101" t="str">
        <f>'RawData (GH)'!A101</f>
        <v>Canon Objektiv CN-E 24mm T1.5 L F schwarz</v>
      </c>
      <c r="B101" s="5">
        <f>getFocalLengthStart('RawData (GH)'!B101)</f>
        <v>24</v>
      </c>
      <c r="C101" s="5">
        <f>getFocalLengthEnd('RawData (GH)'!B101)</f>
        <v>24</v>
      </c>
      <c r="D101" s="9">
        <f>getApertureStart('RawData (GH)'!C101)</f>
        <v>1.5</v>
      </c>
      <c r="E101" s="9">
        <f>getApertureEnd('RawData (GH)'!C101)</f>
        <v>1.5</v>
      </c>
      <c r="F101" s="2">
        <f>getFiltersizeAsDouble('RawData (GH)'!D101)</f>
        <v>0</v>
      </c>
      <c r="G101" s="35">
        <f>getMagnification('RawData (GH)'!E101)</f>
        <v>0</v>
      </c>
      <c r="H101" s="62">
        <f>getMinimalFocus('RawData (GH)'!F101)</f>
        <v>0</v>
      </c>
      <c r="I101" t="str">
        <f>getMount('RawData (GH)'!G101)</f>
        <v>Canon EF</v>
      </c>
      <c r="J101" t="str">
        <f>getSensorCompatibility('RawData (GH)'!H101)</f>
        <v>APS-C/ Kleinbild</v>
      </c>
      <c r="K101" s="45">
        <f>getWeightAsDouble('RawData (GH)'!I101)</f>
        <v>1200</v>
      </c>
      <c r="L101" s="34">
        <f>getSizeDiameter('RawData (GH)'!J101)</f>
        <v>118</v>
      </c>
      <c r="M101" s="34">
        <f>getSizeLength('RawData (GH)'!J101)</f>
        <v>102</v>
      </c>
    </row>
    <row r="102" spans="1:13" x14ac:dyDescent="0.25">
      <c r="A102" t="str">
        <f>'RawData (GH)'!A102</f>
        <v>Canon Objektiv CN-E 35mm T1.5 L F schwarz</v>
      </c>
      <c r="B102" s="5">
        <f>getFocalLengthStart('RawData (GH)'!B102)</f>
        <v>35</v>
      </c>
      <c r="C102" s="5">
        <f>getFocalLengthEnd('RawData (GH)'!B102)</f>
        <v>35</v>
      </c>
      <c r="D102" s="9">
        <f>getApertureStart('RawData (GH)'!C102)</f>
        <v>1.5</v>
      </c>
      <c r="E102" s="9">
        <f>getApertureEnd('RawData (GH)'!C102)</f>
        <v>1.5</v>
      </c>
      <c r="F102" s="2">
        <f>getFiltersizeAsDouble('RawData (GH)'!D102)</f>
        <v>0</v>
      </c>
      <c r="G102" s="35">
        <f>getMagnification('RawData (GH)'!E102)</f>
        <v>0</v>
      </c>
      <c r="H102" s="62">
        <f>getMinimalFocus('RawData (GH)'!F102)</f>
        <v>0</v>
      </c>
      <c r="I102" t="str">
        <f>getMount('RawData (GH)'!G102)</f>
        <v>Canon EF</v>
      </c>
      <c r="J102" t="str">
        <f>getSensorCompatibility('RawData (GH)'!H102)</f>
        <v>APS-C/ Kleinbild</v>
      </c>
      <c r="K102" s="45">
        <f>getWeightAsDouble('RawData (GH)'!I102)</f>
        <v>0</v>
      </c>
      <c r="L102" s="34">
        <f>getSizeDiameter('RawData (GH)'!J102)</f>
        <v>0</v>
      </c>
      <c r="M102" s="34">
        <f>getSizeLength('RawData (GH)'!J102)</f>
        <v>0</v>
      </c>
    </row>
    <row r="103" spans="1:13" x14ac:dyDescent="0.25">
      <c r="A103" t="str">
        <f>'RawData (GH)'!A103</f>
        <v>Canon Objektiv CN-E 50mm T1.3 L F schwarz</v>
      </c>
      <c r="B103" s="5">
        <f>getFocalLengthStart('RawData (GH)'!B103)</f>
        <v>50</v>
      </c>
      <c r="C103" s="5">
        <f>getFocalLengthEnd('RawData (GH)'!B103)</f>
        <v>50</v>
      </c>
      <c r="D103" s="9">
        <f>getApertureStart('RawData (GH)'!C103)</f>
        <v>1.3</v>
      </c>
      <c r="E103" s="9">
        <f>getApertureEnd('RawData (GH)'!C103)</f>
        <v>1.3</v>
      </c>
      <c r="F103" s="2">
        <f>getFiltersizeAsDouble('RawData (GH)'!D103)</f>
        <v>0</v>
      </c>
      <c r="G103" s="35">
        <f>getMagnification('RawData (GH)'!E103)</f>
        <v>0</v>
      </c>
      <c r="H103" s="62">
        <f>getMinimalFocus('RawData (GH)'!F103)</f>
        <v>0</v>
      </c>
      <c r="I103" t="str">
        <f>getMount('RawData (GH)'!G103)</f>
        <v>Canon EF</v>
      </c>
      <c r="J103" t="str">
        <f>getSensorCompatibility('RawData (GH)'!H103)</f>
        <v>APS-C/ Kleinbild</v>
      </c>
      <c r="K103" s="45">
        <f>getWeightAsDouble('RawData (GH)'!I103)</f>
        <v>1100</v>
      </c>
      <c r="L103" s="34">
        <f>getSizeDiameter('RawData (GH)'!J103)</f>
        <v>118</v>
      </c>
      <c r="M103" s="34">
        <f>getSizeLength('RawData (GH)'!J103)</f>
        <v>102</v>
      </c>
    </row>
    <row r="104" spans="1:13" x14ac:dyDescent="0.25">
      <c r="A104" t="str">
        <f>'RawData (GH)'!A104</f>
        <v>Canon Objektiv CN-E 85mm T1.3 L F schwarz</v>
      </c>
      <c r="B104" s="5">
        <f>getFocalLengthStart('RawData (GH)'!B104)</f>
        <v>85</v>
      </c>
      <c r="C104" s="5">
        <f>getFocalLengthEnd('RawData (GH)'!B104)</f>
        <v>85</v>
      </c>
      <c r="D104" s="9">
        <f>getApertureStart('RawData (GH)'!C104)</f>
        <v>1.3</v>
      </c>
      <c r="E104" s="9">
        <f>getApertureEnd('RawData (GH)'!C104)</f>
        <v>1.3</v>
      </c>
      <c r="F104" s="2">
        <f>getFiltersizeAsDouble('RawData (GH)'!D104)</f>
        <v>0</v>
      </c>
      <c r="G104" s="35">
        <f>getMagnification('RawData (GH)'!E104)</f>
        <v>0</v>
      </c>
      <c r="H104" s="62">
        <f>getMinimalFocus('RawData (GH)'!F104)</f>
        <v>0</v>
      </c>
      <c r="I104" t="str">
        <f>getMount('RawData (GH)'!G104)</f>
        <v>Canon EF</v>
      </c>
      <c r="J104" t="str">
        <f>getSensorCompatibility('RawData (GH)'!H104)</f>
        <v>APS-C/ Kleinbild</v>
      </c>
      <c r="K104" s="45">
        <f>getWeightAsDouble('RawData (GH)'!I104)</f>
        <v>1300</v>
      </c>
      <c r="L104" s="34">
        <f>getSizeDiameter('RawData (GH)'!J104)</f>
        <v>118</v>
      </c>
      <c r="M104" s="34">
        <f>getSizeLength('RawData (GH)'!J104)</f>
        <v>102</v>
      </c>
    </row>
    <row r="105" spans="1:13" x14ac:dyDescent="0.25">
      <c r="A105" t="str">
        <f>'RawData (GH)'!A105</f>
        <v>Canon TS-E 135mm 4.0 L Makro schwarz</v>
      </c>
      <c r="B105" s="5">
        <f>getFocalLengthStart('RawData (GH)'!B105)</f>
        <v>135</v>
      </c>
      <c r="C105" s="5">
        <f>getFocalLengthEnd('RawData (GH)'!B105)</f>
        <v>135</v>
      </c>
      <c r="D105" s="9">
        <f>getApertureStart('RawData (GH)'!C105)</f>
        <v>4</v>
      </c>
      <c r="E105" s="9">
        <f>getApertureEnd('RawData (GH)'!C105)</f>
        <v>4</v>
      </c>
      <c r="F105" s="2">
        <f>getFiltersizeAsDouble('RawData (GH)'!D105)</f>
        <v>82</v>
      </c>
      <c r="G105" s="35">
        <f>getMagnification('RawData (GH)'!E105)</f>
        <v>2</v>
      </c>
      <c r="H105" s="62">
        <f>getMinimalFocus('RawData (GH)'!F105)</f>
        <v>0</v>
      </c>
      <c r="I105" t="str">
        <f>getMount('RawData (GH)'!G105)</f>
        <v>Canon EF</v>
      </c>
      <c r="J105" t="str">
        <f>getSensorCompatibility('RawData (GH)'!H105)</f>
        <v>APS-C/ Kleinbild</v>
      </c>
      <c r="K105" s="45">
        <f>getWeightAsDouble('RawData (GH)'!I105)</f>
        <v>1100</v>
      </c>
      <c r="L105" s="34">
        <f>getSizeDiameter('RawData (GH)'!J105)</f>
        <v>88.5</v>
      </c>
      <c r="M105" s="34">
        <f>getSizeLength('RawData (GH)'!J105)</f>
        <v>139.1</v>
      </c>
    </row>
    <row r="106" spans="1:13" x14ac:dyDescent="0.25">
      <c r="A106" t="str">
        <f>'RawData (GH)'!A106</f>
        <v>Canon TS-E 17mm 4.0 L Tilt/Shift schwarz</v>
      </c>
      <c r="B106" s="5">
        <f>getFocalLengthStart('RawData (GH)'!B106)</f>
        <v>17</v>
      </c>
      <c r="C106" s="5">
        <f>getFocalLengthEnd('RawData (GH)'!B106)</f>
        <v>17</v>
      </c>
      <c r="D106" s="9">
        <f>getApertureStart('RawData (GH)'!C106)</f>
        <v>4</v>
      </c>
      <c r="E106" s="9">
        <f>getApertureEnd('RawData (GH)'!C106)</f>
        <v>4</v>
      </c>
      <c r="F106" s="2">
        <f>getFiltersizeAsDouble('RawData (GH)'!D106)</f>
        <v>0</v>
      </c>
      <c r="G106" s="35">
        <f>getMagnification('RawData (GH)'!E106)</f>
        <v>7.14</v>
      </c>
      <c r="H106" s="62">
        <f>getMinimalFocus('RawData (GH)'!F106)</f>
        <v>0</v>
      </c>
      <c r="I106" t="str">
        <f>getMount('RawData (GH)'!G106)</f>
        <v>Canon EF</v>
      </c>
      <c r="J106" t="str">
        <f>getSensorCompatibility('RawData (GH)'!H106)</f>
        <v>APS-C/ Kleinbild</v>
      </c>
      <c r="K106" s="45">
        <f>getWeightAsDouble('RawData (GH)'!I106)</f>
        <v>820</v>
      </c>
      <c r="L106" s="34">
        <f>getSizeDiameter('RawData (GH)'!J106)</f>
        <v>88.9</v>
      </c>
      <c r="M106" s="34">
        <f>getSizeLength('RawData (GH)'!J106)</f>
        <v>106.7</v>
      </c>
    </row>
    <row r="107" spans="1:13" x14ac:dyDescent="0.25">
      <c r="A107" t="str">
        <f>'RawData (GH)'!A107</f>
        <v>Canon TS-E 24mm 3.5 L II Tilt/Shift schwarz</v>
      </c>
      <c r="B107" s="5">
        <f>getFocalLengthStart('RawData (GH)'!B107)</f>
        <v>24</v>
      </c>
      <c r="C107" s="5">
        <f>getFocalLengthEnd('RawData (GH)'!B107)</f>
        <v>24</v>
      </c>
      <c r="D107" s="9">
        <f>getApertureStart('RawData (GH)'!C107)</f>
        <v>3.5</v>
      </c>
      <c r="E107" s="9">
        <f>getApertureEnd('RawData (GH)'!C107)</f>
        <v>3.5</v>
      </c>
      <c r="F107" s="2">
        <f>getFiltersizeAsDouble('RawData (GH)'!D107)</f>
        <v>82</v>
      </c>
      <c r="G107" s="35">
        <f>getMagnification('RawData (GH)'!E107)</f>
        <v>2.94</v>
      </c>
      <c r="H107" s="62">
        <f>getMinimalFocus('RawData (GH)'!F107)</f>
        <v>0</v>
      </c>
      <c r="I107" t="str">
        <f>getMount('RawData (GH)'!G107)</f>
        <v>Canon EF</v>
      </c>
      <c r="J107" t="str">
        <f>getSensorCompatibility('RawData (GH)'!H107)</f>
        <v>APS-C/ Kleinbild</v>
      </c>
      <c r="K107" s="45">
        <f>getWeightAsDouble('RawData (GH)'!I107)</f>
        <v>780</v>
      </c>
      <c r="L107" s="34">
        <f>getSizeDiameter('RawData (GH)'!J107)</f>
        <v>88.5</v>
      </c>
      <c r="M107" s="34">
        <f>getSizeLength('RawData (GH)'!J107)</f>
        <v>106.9</v>
      </c>
    </row>
    <row r="108" spans="1:13" x14ac:dyDescent="0.25">
      <c r="A108" t="str">
        <f>'RawData (GH)'!A108</f>
        <v>Canon TS-E 45mm 2.8 Tilt/Shift schwarz</v>
      </c>
      <c r="B108" s="5">
        <f>getFocalLengthStart('RawData (GH)'!B108)</f>
        <v>45</v>
      </c>
      <c r="C108" s="5">
        <f>getFocalLengthEnd('RawData (GH)'!B108)</f>
        <v>45</v>
      </c>
      <c r="D108" s="9">
        <f>getApertureStart('RawData (GH)'!C108)</f>
        <v>2.8</v>
      </c>
      <c r="E108" s="9">
        <f>getApertureEnd('RawData (GH)'!C108)</f>
        <v>2.8</v>
      </c>
      <c r="F108" s="2">
        <f>getFiltersizeAsDouble('RawData (GH)'!D108)</f>
        <v>72</v>
      </c>
      <c r="G108" s="35">
        <f>getMagnification('RawData (GH)'!E108)</f>
        <v>6.25</v>
      </c>
      <c r="H108" s="62">
        <f>getMinimalFocus('RawData (GH)'!F108)</f>
        <v>0</v>
      </c>
      <c r="I108" t="str">
        <f>getMount('RawData (GH)'!G108)</f>
        <v>Canon EF</v>
      </c>
      <c r="J108" t="str">
        <f>getSensorCompatibility('RawData (GH)'!H108)</f>
        <v>APS-C/ Kleinbild</v>
      </c>
      <c r="K108" s="45">
        <f>getWeightAsDouble('RawData (GH)'!I108)</f>
        <v>645</v>
      </c>
      <c r="L108" s="34">
        <f>getSizeDiameter('RawData (GH)'!J108)</f>
        <v>81</v>
      </c>
      <c r="M108" s="34">
        <f>getSizeLength('RawData (GH)'!J108)</f>
        <v>90.1</v>
      </c>
    </row>
    <row r="109" spans="1:13" x14ac:dyDescent="0.25">
      <c r="A109" t="str">
        <f>'RawData (GH)'!A109</f>
        <v>Canon TS-E 50mm 2.8 L Makro schwarz</v>
      </c>
      <c r="B109" s="5">
        <f>getFocalLengthStart('RawData (GH)'!B109)</f>
        <v>50</v>
      </c>
      <c r="C109" s="5">
        <f>getFocalLengthEnd('RawData (GH)'!B109)</f>
        <v>50</v>
      </c>
      <c r="D109" s="9">
        <f>getApertureStart('RawData (GH)'!C109)</f>
        <v>2.8</v>
      </c>
      <c r="E109" s="9">
        <f>getApertureEnd('RawData (GH)'!C109)</f>
        <v>2.8</v>
      </c>
      <c r="F109" s="2">
        <f>getFiltersizeAsDouble('RawData (GH)'!D109)</f>
        <v>77</v>
      </c>
      <c r="G109" s="35">
        <f>getMagnification('RawData (GH)'!E109)</f>
        <v>2</v>
      </c>
      <c r="H109" s="62">
        <f>getMinimalFocus('RawData (GH)'!F109)</f>
        <v>0</v>
      </c>
      <c r="I109" t="str">
        <f>getMount('RawData (GH)'!G109)</f>
        <v>Canon EF</v>
      </c>
      <c r="J109" t="str">
        <f>getSensorCompatibility('RawData (GH)'!H109)</f>
        <v>APS-C/ Kleinbild</v>
      </c>
      <c r="K109" s="45">
        <f>getWeightAsDouble('RawData (GH)'!I109)</f>
        <v>945</v>
      </c>
      <c r="L109" s="34">
        <f>getSizeDiameter('RawData (GH)'!J109)</f>
        <v>86.9</v>
      </c>
      <c r="M109" s="34">
        <f>getSizeLength('RawData (GH)'!J109)</f>
        <v>114.9</v>
      </c>
    </row>
    <row r="110" spans="1:13" x14ac:dyDescent="0.25">
      <c r="A110" t="str">
        <f>'RawData (GH)'!A110</f>
        <v>Canon TS-E 90mm 2.8 L Makro schwarz</v>
      </c>
      <c r="B110" s="5">
        <f>getFocalLengthStart('RawData (GH)'!B110)</f>
        <v>90</v>
      </c>
      <c r="C110" s="5">
        <f>getFocalLengthEnd('RawData (GH)'!B110)</f>
        <v>90</v>
      </c>
      <c r="D110" s="9">
        <f>getApertureStart('RawData (GH)'!C110)</f>
        <v>2.8</v>
      </c>
      <c r="E110" s="9">
        <f>getApertureEnd('RawData (GH)'!C110)</f>
        <v>2.8</v>
      </c>
      <c r="F110" s="2">
        <f>getFiltersizeAsDouble('RawData (GH)'!D110)</f>
        <v>77</v>
      </c>
      <c r="G110" s="35">
        <f>getMagnification('RawData (GH)'!E110)</f>
        <v>2</v>
      </c>
      <c r="H110" s="62">
        <f>getMinimalFocus('RawData (GH)'!F110)</f>
        <v>0</v>
      </c>
      <c r="I110" t="str">
        <f>getMount('RawData (GH)'!G110)</f>
        <v>Canon EF</v>
      </c>
      <c r="J110" t="str">
        <f>getSensorCompatibility('RawData (GH)'!H110)</f>
        <v>APS-C/ Kleinbild</v>
      </c>
      <c r="K110" s="45">
        <f>getWeightAsDouble('RawData (GH)'!I110)</f>
        <v>915</v>
      </c>
      <c r="L110" s="34">
        <f>getSizeDiameter('RawData (GH)'!J110)</f>
        <v>86.9</v>
      </c>
      <c r="M110" s="34">
        <f>getSizeLength('RawData (GH)'!J110)</f>
        <v>116.5</v>
      </c>
    </row>
    <row r="111" spans="1:13" x14ac:dyDescent="0.25">
      <c r="A111" t="str">
        <f>'RawData (GH)'!A111</f>
        <v>Canon TS-E 90mm 2.8 Tilt/Shift schwarz</v>
      </c>
      <c r="B111" s="5">
        <f>getFocalLengthStart('RawData (GH)'!B111)</f>
        <v>90</v>
      </c>
      <c r="C111" s="5">
        <f>getFocalLengthEnd('RawData (GH)'!B111)</f>
        <v>90</v>
      </c>
      <c r="D111" s="9">
        <f>getApertureStart('RawData (GH)'!C111)</f>
        <v>2.8</v>
      </c>
      <c r="E111" s="9">
        <f>getApertureEnd('RawData (GH)'!C111)</f>
        <v>2.8</v>
      </c>
      <c r="F111" s="2">
        <f>getFiltersizeAsDouble('RawData (GH)'!D111)</f>
        <v>58</v>
      </c>
      <c r="G111" s="35">
        <f>getMagnification('RawData (GH)'!E111)</f>
        <v>6.25</v>
      </c>
      <c r="H111" s="62">
        <f>getMinimalFocus('RawData (GH)'!F111)</f>
        <v>0</v>
      </c>
      <c r="I111" t="str">
        <f>getMount('RawData (GH)'!G111)</f>
        <v>Canon EF</v>
      </c>
      <c r="J111" t="str">
        <f>getSensorCompatibility('RawData (GH)'!H111)</f>
        <v>APS-C/ Kleinbild</v>
      </c>
      <c r="K111" s="45">
        <f>getWeightAsDouble('RawData (GH)'!I111)</f>
        <v>565</v>
      </c>
      <c r="L111" s="34">
        <f>getSizeDiameter('RawData (GH)'!J111)</f>
        <v>73.599999999999994</v>
      </c>
      <c r="M111" s="34">
        <f>getSizeLength('RawData (GH)'!J111)</f>
        <v>88</v>
      </c>
    </row>
    <row r="112" spans="1:13" x14ac:dyDescent="0.25">
      <c r="A112" t="str">
        <f>'RawData (GH)'!A112</f>
        <v>Dörr 12mm 7.4 Fisheye für Sony E schwarz</v>
      </c>
      <c r="B112" s="5">
        <f>getFocalLengthStart('RawData (GH)'!B112)</f>
        <v>12</v>
      </c>
      <c r="C112" s="5">
        <f>getFocalLengthEnd('RawData (GH)'!B112)</f>
        <v>12</v>
      </c>
      <c r="D112" s="9">
        <f>getApertureStart('RawData (GH)'!C112)</f>
        <v>7.4</v>
      </c>
      <c r="E112" s="9">
        <f>getApertureEnd('RawData (GH)'!C112)</f>
        <v>7.4</v>
      </c>
      <c r="F112" s="2">
        <f>getFiltersizeAsDouble('RawData (GH)'!D112)</f>
        <v>0</v>
      </c>
      <c r="G112" s="35">
        <f>getMagnification('RawData (GH)'!E112)</f>
        <v>0</v>
      </c>
      <c r="H112" s="62">
        <f>getMinimalFocus('RawData (GH)'!F112)</f>
        <v>0</v>
      </c>
      <c r="I112" t="str">
        <f>getMount('RawData (GH)'!G112)</f>
        <v>Sony E</v>
      </c>
      <c r="J112" t="str">
        <f>getSensorCompatibility('RawData (GH)'!H112)</f>
        <v>APS-C</v>
      </c>
      <c r="K112" s="45">
        <f>getWeightAsDouble('RawData (GH)'!I112)</f>
        <v>220</v>
      </c>
      <c r="L112" s="34">
        <f>getSizeDiameter('RawData (GH)'!J112)</f>
        <v>65</v>
      </c>
      <c r="M112" s="34">
        <f>getSizeLength('RawData (GH)'!J112)</f>
        <v>59</v>
      </c>
    </row>
    <row r="113" spans="1:13" x14ac:dyDescent="0.25">
      <c r="A113" t="str">
        <f>'RawData (GH)'!A113</f>
        <v>Dörr 420-800mm 8.3 T2 schwarz</v>
      </c>
      <c r="B113" s="5">
        <f>getFocalLengthStart('RawData (GH)'!B113)</f>
        <v>420</v>
      </c>
      <c r="C113" s="5">
        <f>getFocalLengthEnd('RawData (GH)'!B113)</f>
        <v>800</v>
      </c>
      <c r="D113" s="9">
        <f>getApertureStart('RawData (GH)'!C113)</f>
        <v>8.3000000000000007</v>
      </c>
      <c r="E113" s="9">
        <f>getApertureEnd('RawData (GH)'!C113)</f>
        <v>8.3000000000000007</v>
      </c>
      <c r="F113" s="2">
        <f>getFiltersizeAsDouble('RawData (GH)'!D113)</f>
        <v>67</v>
      </c>
      <c r="G113" s="35">
        <f>getMagnification('RawData (GH)'!E113)</f>
        <v>0</v>
      </c>
      <c r="H113" s="62">
        <f>getMinimalFocus('RawData (GH)'!F113)</f>
        <v>0</v>
      </c>
      <c r="I113" t="str">
        <f>getMount('RawData (GH)'!G113)</f>
        <v>T2</v>
      </c>
      <c r="J113" t="str">
        <f>getSensorCompatibility('RawData (GH)'!H113)</f>
        <v>Unknown</v>
      </c>
      <c r="K113" s="45">
        <f>getWeightAsDouble('RawData (GH)'!I113)</f>
        <v>680</v>
      </c>
      <c r="L113" s="34">
        <f>getSizeDiameter('RawData (GH)'!J113)</f>
        <v>70</v>
      </c>
      <c r="M113" s="34">
        <f>getSizeLength('RawData (GH)'!J113)</f>
        <v>320</v>
      </c>
    </row>
    <row r="114" spans="1:13" x14ac:dyDescent="0.25">
      <c r="A114" t="str">
        <f>'RawData (GH)'!A114</f>
        <v>Dörr 7.5mm 8.0 Fisheye für Nikon 1 schwarz</v>
      </c>
      <c r="B114" s="5">
        <f>getFocalLengthStart('RawData (GH)'!B114)</f>
        <v>7.5</v>
      </c>
      <c r="C114" s="5">
        <f>getFocalLengthEnd('RawData (GH)'!B114)</f>
        <v>7.5</v>
      </c>
      <c r="D114" s="9">
        <f>getApertureStart('RawData (GH)'!C114)</f>
        <v>8</v>
      </c>
      <c r="E114" s="9">
        <f>getApertureEnd('RawData (GH)'!C114)</f>
        <v>8</v>
      </c>
      <c r="F114" s="2">
        <f>getFiltersizeAsDouble('RawData (GH)'!D114)</f>
        <v>0</v>
      </c>
      <c r="G114" s="35">
        <f>getMagnification('RawData (GH)'!E114)</f>
        <v>0</v>
      </c>
      <c r="H114" s="62">
        <f>getMinimalFocus('RawData (GH)'!F114)</f>
        <v>0</v>
      </c>
      <c r="I114" t="str">
        <f>getMount('RawData (GH)'!G114)</f>
        <v>Nikon 1</v>
      </c>
      <c r="J114" t="str">
        <f>getSensorCompatibility('RawData (GH)'!H114)</f>
        <v>APS-C</v>
      </c>
      <c r="K114" s="45">
        <f>getWeightAsDouble('RawData (GH)'!I114)</f>
        <v>220</v>
      </c>
      <c r="L114" s="34">
        <f>getSizeDiameter('RawData (GH)'!J114)</f>
        <v>65</v>
      </c>
      <c r="M114" s="34">
        <f>getSizeLength('RawData (GH)'!J114)</f>
        <v>57</v>
      </c>
    </row>
    <row r="115" spans="1:13" x14ac:dyDescent="0.25">
      <c r="A115" t="str">
        <f>'RawData (GH)'!A115</f>
        <v>Dörr 8mm 3.5 Fisheye für Canon EF schwarz</v>
      </c>
      <c r="B115" s="5">
        <f>getFocalLengthStart('RawData (GH)'!B115)</f>
        <v>8</v>
      </c>
      <c r="C115" s="5">
        <f>getFocalLengthEnd('RawData (GH)'!B115)</f>
        <v>8</v>
      </c>
      <c r="D115" s="9">
        <f>getApertureStart('RawData (GH)'!C115)</f>
        <v>3.5</v>
      </c>
      <c r="E115" s="9">
        <f>getApertureEnd('RawData (GH)'!C115)</f>
        <v>3.5</v>
      </c>
      <c r="F115" s="2">
        <f>getFiltersizeAsDouble('RawData (GH)'!D115)</f>
        <v>0</v>
      </c>
      <c r="G115" s="35">
        <f>getMagnification('RawData (GH)'!E115)</f>
        <v>0</v>
      </c>
      <c r="H115" s="62">
        <f>getMinimalFocus('RawData (GH)'!F115)</f>
        <v>0</v>
      </c>
      <c r="I115" t="str">
        <f>getMount('RawData (GH)'!G115)</f>
        <v>Canon EF</v>
      </c>
      <c r="J115" t="str">
        <f>getSensorCompatibility('RawData (GH)'!H115)</f>
        <v>APS-C</v>
      </c>
      <c r="K115" s="45">
        <f>getWeightAsDouble('RawData (GH)'!I115)</f>
        <v>430</v>
      </c>
      <c r="L115" s="34">
        <f>getSizeDiameter('RawData (GH)'!J115)</f>
        <v>0</v>
      </c>
      <c r="M115" s="34">
        <f>getSizeLength('RawData (GH)'!J115)</f>
        <v>0</v>
      </c>
    </row>
    <row r="116" spans="1:13" x14ac:dyDescent="0.25">
      <c r="A116" t="str">
        <f>'RawData (GH)'!A116</f>
        <v>Dörr 8mm 3.5 Fisheye für Nikon F schwarz</v>
      </c>
      <c r="B116" s="5">
        <f>getFocalLengthStart('RawData (GH)'!B116)</f>
        <v>8</v>
      </c>
      <c r="C116" s="5">
        <f>getFocalLengthEnd('RawData (GH)'!B116)</f>
        <v>8</v>
      </c>
      <c r="D116" s="9">
        <f>getApertureStart('RawData (GH)'!C116)</f>
        <v>3.5</v>
      </c>
      <c r="E116" s="9">
        <f>getApertureEnd('RawData (GH)'!C116)</f>
        <v>3.5</v>
      </c>
      <c r="F116" s="2">
        <f>getFiltersizeAsDouble('RawData (GH)'!D116)</f>
        <v>0</v>
      </c>
      <c r="G116" s="35">
        <f>getMagnification('RawData (GH)'!E116)</f>
        <v>0</v>
      </c>
      <c r="H116" s="62">
        <f>getMinimalFocus('RawData (GH)'!F116)</f>
        <v>0</v>
      </c>
      <c r="I116" t="str">
        <f>getMount('RawData (GH)'!G116)</f>
        <v>Nikon F</v>
      </c>
      <c r="J116" t="str">
        <f>getSensorCompatibility('RawData (GH)'!H116)</f>
        <v>APS-C</v>
      </c>
      <c r="K116" s="45">
        <f>getWeightAsDouble('RawData (GH)'!I116)</f>
        <v>430</v>
      </c>
      <c r="L116" s="34">
        <f>getSizeDiameter('RawData (GH)'!J116)</f>
        <v>0</v>
      </c>
      <c r="M116" s="34">
        <f>getSizeLength('RawData (GH)'!J116)</f>
        <v>0</v>
      </c>
    </row>
    <row r="117" spans="1:13" x14ac:dyDescent="0.25">
      <c r="A117" t="str">
        <f>'RawData (GH)'!A117</f>
        <v>Dörr 8mm 3.5 Fisheye für Sony A schwarz</v>
      </c>
      <c r="B117" s="5">
        <f>getFocalLengthStart('RawData (GH)'!B117)</f>
        <v>8</v>
      </c>
      <c r="C117" s="5">
        <f>getFocalLengthEnd('RawData (GH)'!B117)</f>
        <v>8</v>
      </c>
      <c r="D117" s="9">
        <f>getApertureStart('RawData (GH)'!C117)</f>
        <v>3.5</v>
      </c>
      <c r="E117" s="9">
        <f>getApertureEnd('RawData (GH)'!C117)</f>
        <v>3.5</v>
      </c>
      <c r="F117" s="2">
        <f>getFiltersizeAsDouble('RawData (GH)'!D117)</f>
        <v>0</v>
      </c>
      <c r="G117" s="35">
        <f>getMagnification('RawData (GH)'!E117)</f>
        <v>0</v>
      </c>
      <c r="H117" s="62">
        <f>getMinimalFocus('RawData (GH)'!F117)</f>
        <v>0</v>
      </c>
      <c r="I117" t="str">
        <f>getMount('RawData (GH)'!G117)</f>
        <v>Sony A</v>
      </c>
      <c r="J117" t="str">
        <f>getSensorCompatibility('RawData (GH)'!H117)</f>
        <v>APS-C</v>
      </c>
      <c r="K117" s="45">
        <f>getWeightAsDouble('RawData (GH)'!I117)</f>
        <v>430</v>
      </c>
      <c r="L117" s="34">
        <f>getSizeDiameter('RawData (GH)'!J117)</f>
        <v>0</v>
      </c>
      <c r="M117" s="34">
        <f>getSizeLength('RawData (GH)'!J117)</f>
        <v>0</v>
      </c>
    </row>
    <row r="118" spans="1:13" x14ac:dyDescent="0.25">
      <c r="A118" t="str">
        <f>'RawData (GH)'!A118</f>
        <v>Dörr 9.3mm 8.0 Fisheye für Micro-Four-Thirds schwarz</v>
      </c>
      <c r="B118" s="5">
        <f>getFocalLengthStart('RawData (GH)'!B118)</f>
        <v>9.3000000000000007</v>
      </c>
      <c r="C118" s="5">
        <f>getFocalLengthEnd('RawData (GH)'!B118)</f>
        <v>9.3000000000000007</v>
      </c>
      <c r="D118" s="9">
        <f>getApertureStart('RawData (GH)'!C118)</f>
        <v>8</v>
      </c>
      <c r="E118" s="9">
        <f>getApertureEnd('RawData (GH)'!C118)</f>
        <v>8</v>
      </c>
      <c r="F118" s="2">
        <f>getFiltersizeAsDouble('RawData (GH)'!D118)</f>
        <v>0</v>
      </c>
      <c r="G118" s="35">
        <f>getMagnification('RawData (GH)'!E118)</f>
        <v>0</v>
      </c>
      <c r="H118" s="62">
        <f>getMinimalFocus('RawData (GH)'!F118)</f>
        <v>0</v>
      </c>
      <c r="I118" t="str">
        <f>getMount('RawData (GH)'!G118)</f>
        <v>Micro-Four-Thirds</v>
      </c>
      <c r="J118" t="str">
        <f>getSensorCompatibility('RawData (GH)'!H118)</f>
        <v>APS-C</v>
      </c>
      <c r="K118" s="45">
        <f>getWeightAsDouble('RawData (GH)'!I118)</f>
        <v>220</v>
      </c>
      <c r="L118" s="34">
        <f>getSizeDiameter('RawData (GH)'!J118)</f>
        <v>65</v>
      </c>
      <c r="M118" s="34">
        <f>getSizeLength('RawData (GH)'!J118)</f>
        <v>57</v>
      </c>
    </row>
    <row r="119" spans="1:13" x14ac:dyDescent="0.25">
      <c r="A119" t="str">
        <f>'RawData (GH)'!A119</f>
        <v>Dörr Danubia 500mm 6.3 T2 schwarz</v>
      </c>
      <c r="B119" s="5">
        <f>getFocalLengthStart('RawData (GH)'!B119)</f>
        <v>500</v>
      </c>
      <c r="C119" s="5">
        <f>getFocalLengthEnd('RawData (GH)'!B119)</f>
        <v>500</v>
      </c>
      <c r="D119" s="9">
        <f>getApertureStart('RawData (GH)'!C119)</f>
        <v>6.3</v>
      </c>
      <c r="E119" s="9">
        <f>getApertureEnd('RawData (GH)'!C119)</f>
        <v>6.3</v>
      </c>
      <c r="F119" s="2">
        <f>getFiltersizeAsDouble('RawData (GH)'!D119)</f>
        <v>95</v>
      </c>
      <c r="G119" s="35">
        <f>getMagnification('RawData (GH)'!E119)</f>
        <v>0</v>
      </c>
      <c r="H119" s="62">
        <f>getMinimalFocus('RawData (GH)'!F119)</f>
        <v>0</v>
      </c>
      <c r="I119" t="str">
        <f>getMount('RawData (GH)'!G119)</f>
        <v>T2</v>
      </c>
      <c r="J119" t="str">
        <f>getSensorCompatibility('RawData (GH)'!H119)</f>
        <v>Unknown</v>
      </c>
      <c r="K119" s="45">
        <f>getWeightAsDouble('RawData (GH)'!I119)</f>
        <v>596</v>
      </c>
      <c r="L119" s="34">
        <f>getSizeDiameter('RawData (GH)'!J119)</f>
        <v>97</v>
      </c>
      <c r="M119" s="34">
        <f>getSizeLength('RawData (GH)'!J119)</f>
        <v>115</v>
      </c>
    </row>
    <row r="120" spans="1:13" x14ac:dyDescent="0.25">
      <c r="A120" t="str">
        <f>'RawData (GH)'!A120</f>
        <v>Dörr Danubia 500mm 8.0 T2 schwarz (222501)</v>
      </c>
      <c r="B120" s="5">
        <f>getFocalLengthStart('RawData (GH)'!B120)</f>
        <v>500</v>
      </c>
      <c r="C120" s="5">
        <f>getFocalLengthEnd('RawData (GH)'!B120)</f>
        <v>500</v>
      </c>
      <c r="D120" s="9">
        <f>getApertureStart('RawData (GH)'!C120)</f>
        <v>8</v>
      </c>
      <c r="E120" s="9">
        <f>getApertureEnd('RawData (GH)'!C120)</f>
        <v>8</v>
      </c>
      <c r="F120" s="2">
        <f>getFiltersizeAsDouble('RawData (GH)'!D120)</f>
        <v>67</v>
      </c>
      <c r="G120" s="35">
        <f>getMagnification('RawData (GH)'!E120)</f>
        <v>0</v>
      </c>
      <c r="H120" s="62">
        <f>getMinimalFocus('RawData (GH)'!F120)</f>
        <v>0</v>
      </c>
      <c r="I120" t="str">
        <f>getMount('RawData (GH)'!G120)</f>
        <v>T2</v>
      </c>
      <c r="J120" t="str">
        <f>getSensorCompatibility('RawData (GH)'!H120)</f>
        <v>Unknown</v>
      </c>
      <c r="K120" s="45">
        <f>getWeightAsDouble('RawData (GH)'!I120)</f>
        <v>710</v>
      </c>
      <c r="L120" s="34">
        <f>getSizeDiameter('RawData (GH)'!J120)</f>
        <v>70</v>
      </c>
      <c r="M120" s="34">
        <f>getSizeLength('RawData (GH)'!J120)</f>
        <v>315</v>
      </c>
    </row>
    <row r="121" spans="1:13" x14ac:dyDescent="0.25">
      <c r="A121" t="str">
        <f>'RawData (GH)'!A121</f>
        <v>Dörr Danubia 500mm 8.0 T2 schwarz (254002)</v>
      </c>
      <c r="B121" s="5">
        <f>getFocalLengthStart('RawData (GH)'!B121)</f>
        <v>500</v>
      </c>
      <c r="C121" s="5">
        <f>getFocalLengthEnd('RawData (GH)'!B121)</f>
        <v>500</v>
      </c>
      <c r="D121" s="9">
        <f>getApertureStart('RawData (GH)'!C121)</f>
        <v>8</v>
      </c>
      <c r="E121" s="9">
        <f>getApertureEnd('RawData (GH)'!C121)</f>
        <v>8</v>
      </c>
      <c r="F121" s="2">
        <f>getFiltersizeAsDouble('RawData (GH)'!D121)</f>
        <v>74</v>
      </c>
      <c r="G121" s="35">
        <f>getMagnification('RawData (GH)'!E121)</f>
        <v>0</v>
      </c>
      <c r="H121" s="62">
        <f>getMinimalFocus('RawData (GH)'!F121)</f>
        <v>0</v>
      </c>
      <c r="I121" t="str">
        <f>getMount('RawData (GH)'!G121)</f>
        <v>T2</v>
      </c>
      <c r="J121" t="str">
        <f>getSensorCompatibility('RawData (GH)'!H121)</f>
        <v>Unknown</v>
      </c>
      <c r="K121" s="45">
        <f>getWeightAsDouble('RawData (GH)'!I121)</f>
        <v>350</v>
      </c>
      <c r="L121" s="34">
        <f>getSizeDiameter('RawData (GH)'!J121)</f>
        <v>74</v>
      </c>
      <c r="M121" s="34">
        <f>getSizeLength('RawData (GH)'!J121)</f>
        <v>105</v>
      </c>
    </row>
    <row r="122" spans="1:13" x14ac:dyDescent="0.25">
      <c r="A122" t="str">
        <f>'RawData (GH)'!A122</f>
        <v>Dörr Danubia 650-1300mm 8.0 T2 schwarz</v>
      </c>
      <c r="B122" s="5">
        <f>getFocalLengthStart('RawData (GH)'!B122)</f>
        <v>650</v>
      </c>
      <c r="C122" s="5">
        <f>getFocalLengthEnd('RawData (GH)'!B122)</f>
        <v>1300</v>
      </c>
      <c r="D122" s="9">
        <f>getApertureStart('RawData (GH)'!C122)</f>
        <v>8</v>
      </c>
      <c r="E122" s="9">
        <f>getApertureEnd('RawData (GH)'!C122)</f>
        <v>8</v>
      </c>
      <c r="F122" s="2">
        <f>getFiltersizeAsDouble('RawData (GH)'!D122)</f>
        <v>95</v>
      </c>
      <c r="G122" s="35">
        <f>getMagnification('RawData (GH)'!E122)</f>
        <v>0</v>
      </c>
      <c r="H122" s="62">
        <f>getMinimalFocus('RawData (GH)'!F122)</f>
        <v>0</v>
      </c>
      <c r="I122" t="str">
        <f>getMount('RawData (GH)'!G122)</f>
        <v>T2</v>
      </c>
      <c r="J122" t="str">
        <f>getSensorCompatibility('RawData (GH)'!H122)</f>
        <v>Unknown</v>
      </c>
      <c r="K122" s="45">
        <f>getWeightAsDouble('RawData (GH)'!I122)</f>
        <v>1850</v>
      </c>
      <c r="L122" s="34">
        <f>getSizeDiameter('RawData (GH)'!J122)</f>
        <v>103</v>
      </c>
      <c r="M122" s="34">
        <f>getSizeLength('RawData (GH)'!J122)</f>
        <v>453</v>
      </c>
    </row>
    <row r="123" spans="1:13" x14ac:dyDescent="0.25">
      <c r="A123" t="str">
        <f>'RawData (GH)'!A123</f>
        <v>Dörr Danubia 900mm 8.0 T2 schwarz</v>
      </c>
      <c r="B123" s="5">
        <f>getFocalLengthStart('RawData (GH)'!B123)</f>
        <v>900</v>
      </c>
      <c r="C123" s="5">
        <f>getFocalLengthEnd('RawData (GH)'!B123)</f>
        <v>900</v>
      </c>
      <c r="D123" s="9">
        <f>getApertureStart('RawData (GH)'!C123)</f>
        <v>8</v>
      </c>
      <c r="E123" s="9">
        <f>getApertureEnd('RawData (GH)'!C123)</f>
        <v>8</v>
      </c>
      <c r="F123" s="2">
        <f>getFiltersizeAsDouble('RawData (GH)'!D123)</f>
        <v>105</v>
      </c>
      <c r="G123" s="35">
        <f>getMagnification('RawData (GH)'!E123)</f>
        <v>0</v>
      </c>
      <c r="H123" s="62">
        <f>getMinimalFocus('RawData (GH)'!F123)</f>
        <v>0</v>
      </c>
      <c r="I123" t="str">
        <f>getMount('RawData (GH)'!G123)</f>
        <v>T2</v>
      </c>
      <c r="J123" t="str">
        <f>getSensorCompatibility('RawData (GH)'!H123)</f>
        <v>Unknown</v>
      </c>
      <c r="K123" s="45">
        <f>getWeightAsDouble('RawData (GH)'!I123)</f>
        <v>795</v>
      </c>
      <c r="L123" s="34">
        <f>getSizeDiameter('RawData (GH)'!J123)</f>
        <v>110</v>
      </c>
      <c r="M123" s="34">
        <f>getSizeLength('RawData (GH)'!J123)</f>
        <v>135</v>
      </c>
    </row>
    <row r="124" spans="1:13" x14ac:dyDescent="0.25">
      <c r="A124" t="str">
        <f>'RawData (GH)'!A124</f>
        <v>Fujifilm MK 50-135mm T2.9 schwarz</v>
      </c>
      <c r="B124" s="5">
        <f>getFocalLengthStart('RawData (GH)'!B124)</f>
        <v>50</v>
      </c>
      <c r="C124" s="5">
        <f>getFocalLengthEnd('RawData (GH)'!B124)</f>
        <v>135</v>
      </c>
      <c r="D124" s="9">
        <f>getApertureStart('RawData (GH)'!C124)</f>
        <v>2.9</v>
      </c>
      <c r="E124" s="9">
        <f>getApertureEnd('RawData (GH)'!C124)</f>
        <v>2.9</v>
      </c>
      <c r="F124" s="2">
        <f>getFiltersizeAsDouble('RawData (GH)'!D124)</f>
        <v>82</v>
      </c>
      <c r="G124" s="35">
        <f>getMagnification('RawData (GH)'!E124)</f>
        <v>0</v>
      </c>
      <c r="H124" s="62">
        <f>getMinimalFocus('RawData (GH)'!F124)</f>
        <v>0</v>
      </c>
      <c r="I124" t="str">
        <f>getMount('RawData (GH)'!G124)</f>
        <v>Sony E</v>
      </c>
      <c r="J124" t="str">
        <f>getSensorCompatibility('RawData (GH)'!H124)</f>
        <v>APS-C/ Kleinbild</v>
      </c>
      <c r="K124" s="45">
        <f>getWeightAsDouble('RawData (GH)'!I124)</f>
        <v>980</v>
      </c>
      <c r="L124" s="34">
        <f>getSizeDiameter('RawData (GH)'!J124)</f>
        <v>85</v>
      </c>
      <c r="M124" s="34">
        <f>getSizeLength('RawData (GH)'!J124)</f>
        <v>206.3</v>
      </c>
    </row>
    <row r="125" spans="1:13" x14ac:dyDescent="0.25">
      <c r="A125" t="str">
        <f>'RawData (GH)'!A125</f>
        <v>Fujifilm XC 16-50mm 3.5-5.6 OIS II schwarz</v>
      </c>
      <c r="B125" s="5">
        <f>getFocalLengthStart('RawData (GH)'!B125)</f>
        <v>16</v>
      </c>
      <c r="C125" s="5">
        <f>getFocalLengthEnd('RawData (GH)'!B125)</f>
        <v>50</v>
      </c>
      <c r="D125" s="9">
        <f>getApertureStart('RawData (GH)'!C125)</f>
        <v>3.5</v>
      </c>
      <c r="E125" s="9">
        <f>getApertureEnd('RawData (GH)'!C125)</f>
        <v>5.6</v>
      </c>
      <c r="F125" s="2">
        <f>getFiltersizeAsDouble('RawData (GH)'!D125)</f>
        <v>58</v>
      </c>
      <c r="G125" s="35">
        <f>getMagnification('RawData (GH)'!E125)</f>
        <v>6.67</v>
      </c>
      <c r="H125" s="62">
        <f>getMinimalFocus('RawData (GH)'!F125)</f>
        <v>0</v>
      </c>
      <c r="I125" t="str">
        <f>getMount('RawData (GH)'!G125)</f>
        <v>Fujifilm X</v>
      </c>
      <c r="J125" t="str">
        <f>getSensorCompatibility('RawData (GH)'!H125)</f>
        <v>APS-C</v>
      </c>
      <c r="K125" s="45">
        <f>getWeightAsDouble('RawData (GH)'!I125)</f>
        <v>195</v>
      </c>
      <c r="L125" s="34">
        <f>getSizeDiameter('RawData (GH)'!J125)</f>
        <v>62.6</v>
      </c>
      <c r="M125" s="34">
        <f>getSizeLength('RawData (GH)'!J125)</f>
        <v>65.2</v>
      </c>
    </row>
    <row r="126" spans="1:13" x14ac:dyDescent="0.25">
      <c r="A126" t="str">
        <f>'RawData (GH)'!A126</f>
        <v>Fujifilm XC 16-50mm 3.5-5.6 OIS II silber</v>
      </c>
      <c r="B126" s="5">
        <f>getFocalLengthStart('RawData (GH)'!B126)</f>
        <v>16</v>
      </c>
      <c r="C126" s="5">
        <f>getFocalLengthEnd('RawData (GH)'!B126)</f>
        <v>50</v>
      </c>
      <c r="D126" s="9">
        <f>getApertureStart('RawData (GH)'!C126)</f>
        <v>3.5</v>
      </c>
      <c r="E126" s="9">
        <f>getApertureEnd('RawData (GH)'!C126)</f>
        <v>5.6</v>
      </c>
      <c r="F126" s="2">
        <f>getFiltersizeAsDouble('RawData (GH)'!D126)</f>
        <v>58</v>
      </c>
      <c r="G126" s="35">
        <f>getMagnification('RawData (GH)'!E126)</f>
        <v>6.67</v>
      </c>
      <c r="H126" s="62">
        <f>getMinimalFocus('RawData (GH)'!F126)</f>
        <v>0</v>
      </c>
      <c r="I126" t="str">
        <f>getMount('RawData (GH)'!G126)</f>
        <v>Fujifilm X</v>
      </c>
      <c r="J126" t="str">
        <f>getSensorCompatibility('RawData (GH)'!H126)</f>
        <v>APS-C</v>
      </c>
      <c r="K126" s="45">
        <f>getWeightAsDouble('RawData (GH)'!I126)</f>
        <v>195</v>
      </c>
      <c r="L126" s="34">
        <f>getSizeDiameter('RawData (GH)'!J126)</f>
        <v>62.6</v>
      </c>
      <c r="M126" s="34">
        <f>getSizeLength('RawData (GH)'!J126)</f>
        <v>65.2</v>
      </c>
    </row>
    <row r="127" spans="1:13" x14ac:dyDescent="0.25">
      <c r="A127" t="str">
        <f>'RawData (GH)'!A127</f>
        <v>Fujifilm XC 16-50mm 3.5-5.6 OIS schwarz</v>
      </c>
      <c r="B127" s="5">
        <f>getFocalLengthStart('RawData (GH)'!B127)</f>
        <v>16</v>
      </c>
      <c r="C127" s="5">
        <f>getFocalLengthEnd('RawData (GH)'!B127)</f>
        <v>50</v>
      </c>
      <c r="D127" s="9">
        <f>getApertureStart('RawData (GH)'!C127)</f>
        <v>3.5</v>
      </c>
      <c r="E127" s="9">
        <f>getApertureEnd('RawData (GH)'!C127)</f>
        <v>5.6</v>
      </c>
      <c r="F127" s="2">
        <f>getFiltersizeAsDouble('RawData (GH)'!D127)</f>
        <v>58</v>
      </c>
      <c r="G127" s="35">
        <f>getMagnification('RawData (GH)'!E127)</f>
        <v>6.67</v>
      </c>
      <c r="H127" s="62">
        <f>getMinimalFocus('RawData (GH)'!F127)</f>
        <v>0</v>
      </c>
      <c r="I127" t="str">
        <f>getMount('RawData (GH)'!G127)</f>
        <v>Fujifilm X</v>
      </c>
      <c r="J127" t="str">
        <f>getSensorCompatibility('RawData (GH)'!H127)</f>
        <v>APS-C</v>
      </c>
      <c r="K127" s="45">
        <f>getWeightAsDouble('RawData (GH)'!I127)</f>
        <v>195</v>
      </c>
      <c r="L127" s="34">
        <f>getSizeDiameter('RawData (GH)'!J127)</f>
        <v>62.6</v>
      </c>
      <c r="M127" s="34">
        <f>getSizeLength('RawData (GH)'!J127)</f>
        <v>65.2</v>
      </c>
    </row>
    <row r="128" spans="1:13" x14ac:dyDescent="0.25">
      <c r="A128" t="str">
        <f>'RawData (GH)'!A128</f>
        <v>Fujifilm XC 16-50mm 3.5-5.6 OIS silber</v>
      </c>
      <c r="B128" s="5">
        <f>getFocalLengthStart('RawData (GH)'!B128)</f>
        <v>16</v>
      </c>
      <c r="C128" s="5">
        <f>getFocalLengthEnd('RawData (GH)'!B128)</f>
        <v>50</v>
      </c>
      <c r="D128" s="9">
        <f>getApertureStart('RawData (GH)'!C128)</f>
        <v>3.5</v>
      </c>
      <c r="E128" s="9">
        <f>getApertureEnd('RawData (GH)'!C128)</f>
        <v>5.6</v>
      </c>
      <c r="F128" s="2">
        <f>getFiltersizeAsDouble('RawData (GH)'!D128)</f>
        <v>58</v>
      </c>
      <c r="G128" s="35">
        <f>getMagnification('RawData (GH)'!E128)</f>
        <v>6.67</v>
      </c>
      <c r="H128" s="62">
        <f>getMinimalFocus('RawData (GH)'!F128)</f>
        <v>0</v>
      </c>
      <c r="I128" t="str">
        <f>getMount('RawData (GH)'!G128)</f>
        <v>Fujifilm X</v>
      </c>
      <c r="J128" t="str">
        <f>getSensorCompatibility('RawData (GH)'!H128)</f>
        <v>APS-C</v>
      </c>
      <c r="K128" s="45">
        <f>getWeightAsDouble('RawData (GH)'!I128)</f>
        <v>195</v>
      </c>
      <c r="L128" s="34">
        <f>getSizeDiameter('RawData (GH)'!J128)</f>
        <v>62.6</v>
      </c>
      <c r="M128" s="34">
        <f>getSizeLength('RawData (GH)'!J128)</f>
        <v>65.2</v>
      </c>
    </row>
    <row r="129" spans="1:13" x14ac:dyDescent="0.25">
      <c r="A129" t="str">
        <f>'RawData (GH)'!A129</f>
        <v>Fujifilm XC 50-230mm 4.5-6.7 OIS II silber</v>
      </c>
      <c r="B129" s="5">
        <f>getFocalLengthStart('RawData (GH)'!B129)</f>
        <v>50</v>
      </c>
      <c r="C129" s="5">
        <f>getFocalLengthEnd('RawData (GH)'!B129)</f>
        <v>230</v>
      </c>
      <c r="D129" s="9">
        <f>getApertureStart('RawData (GH)'!C129)</f>
        <v>4.5</v>
      </c>
      <c r="E129" s="9">
        <f>getApertureEnd('RawData (GH)'!C129)</f>
        <v>6.7</v>
      </c>
      <c r="F129" s="2">
        <f>getFiltersizeAsDouble('RawData (GH)'!D129)</f>
        <v>58</v>
      </c>
      <c r="G129" s="35">
        <f>getMagnification('RawData (GH)'!E129)</f>
        <v>5</v>
      </c>
      <c r="H129" s="62">
        <f>getMinimalFocus('RawData (GH)'!F129)</f>
        <v>0</v>
      </c>
      <c r="I129" t="str">
        <f>getMount('RawData (GH)'!G129)</f>
        <v>Fujifilm X</v>
      </c>
      <c r="J129" t="str">
        <f>getSensorCompatibility('RawData (GH)'!H129)</f>
        <v>APS-C</v>
      </c>
      <c r="K129" s="45">
        <f>getWeightAsDouble('RawData (GH)'!I129)</f>
        <v>375</v>
      </c>
      <c r="L129" s="34">
        <f>getSizeDiameter('RawData (GH)'!J129)</f>
        <v>70</v>
      </c>
      <c r="M129" s="34">
        <f>getSizeLength('RawData (GH)'!J129)</f>
        <v>111</v>
      </c>
    </row>
    <row r="130" spans="1:13" x14ac:dyDescent="0.25">
      <c r="A130" t="str">
        <f>'RawData (GH)'!A130</f>
        <v>Fujifilm XC 50-230mm 4.5-6.7 OIS schwarz</v>
      </c>
      <c r="B130" s="5">
        <f>getFocalLengthStart('RawData (GH)'!B130)</f>
        <v>50</v>
      </c>
      <c r="C130" s="5">
        <f>getFocalLengthEnd('RawData (GH)'!B130)</f>
        <v>230</v>
      </c>
      <c r="D130" s="9">
        <f>getApertureStart('RawData (GH)'!C130)</f>
        <v>4.5</v>
      </c>
      <c r="E130" s="9">
        <f>getApertureEnd('RawData (GH)'!C130)</f>
        <v>6.7</v>
      </c>
      <c r="F130" s="2">
        <f>getFiltersizeAsDouble('RawData (GH)'!D130)</f>
        <v>58</v>
      </c>
      <c r="G130" s="35">
        <f>getMagnification('RawData (GH)'!E130)</f>
        <v>5</v>
      </c>
      <c r="H130" s="62">
        <f>getMinimalFocus('RawData (GH)'!F130)</f>
        <v>0</v>
      </c>
      <c r="I130" t="str">
        <f>getMount('RawData (GH)'!G130)</f>
        <v>Fujifilm X</v>
      </c>
      <c r="J130" t="str">
        <f>getSensorCompatibility('RawData (GH)'!H130)</f>
        <v>APS-C</v>
      </c>
      <c r="K130" s="45">
        <f>getWeightAsDouble('RawData (GH)'!I130)</f>
        <v>375</v>
      </c>
      <c r="L130" s="34">
        <f>getSizeDiameter('RawData (GH)'!J130)</f>
        <v>70</v>
      </c>
      <c r="M130" s="34">
        <f>getSizeLength('RawData (GH)'!J130)</f>
        <v>111</v>
      </c>
    </row>
    <row r="131" spans="1:13" x14ac:dyDescent="0.25">
      <c r="A131" t="str">
        <f>'RawData (GH)'!A131</f>
        <v>Fujifilm XC 50-230mm 4.5-6.7 OIS silber</v>
      </c>
      <c r="B131" s="5">
        <f>getFocalLengthStart('RawData (GH)'!B131)</f>
        <v>50</v>
      </c>
      <c r="C131" s="5">
        <f>getFocalLengthEnd('RawData (GH)'!B131)</f>
        <v>230</v>
      </c>
      <c r="D131" s="9">
        <f>getApertureStart('RawData (GH)'!C131)</f>
        <v>4.5</v>
      </c>
      <c r="E131" s="9">
        <f>getApertureEnd('RawData (GH)'!C131)</f>
        <v>6.7</v>
      </c>
      <c r="F131" s="2">
        <f>getFiltersizeAsDouble('RawData (GH)'!D131)</f>
        <v>58</v>
      </c>
      <c r="G131" s="35">
        <f>getMagnification('RawData (GH)'!E131)</f>
        <v>5</v>
      </c>
      <c r="H131" s="62">
        <f>getMinimalFocus('RawData (GH)'!F131)</f>
        <v>0</v>
      </c>
      <c r="I131" t="str">
        <f>getMount('RawData (GH)'!G131)</f>
        <v>Fujifilm X</v>
      </c>
      <c r="J131" t="str">
        <f>getSensorCompatibility('RawData (GH)'!H131)</f>
        <v>APS-C</v>
      </c>
      <c r="K131" s="45">
        <f>getWeightAsDouble('RawData (GH)'!I131)</f>
        <v>375</v>
      </c>
      <c r="L131" s="34">
        <f>getSizeDiameter('RawData (GH)'!J131)</f>
        <v>70</v>
      </c>
      <c r="M131" s="34">
        <f>getSizeLength('RawData (GH)'!J131)</f>
        <v>111</v>
      </c>
    </row>
    <row r="132" spans="1:13" x14ac:dyDescent="0.25">
      <c r="A132" t="str">
        <f>'RawData (GH)'!A132</f>
        <v>Fujifilm XF 100-400mm F4.5-5.6 R LM OIS WR inkl. 1.4x Telekonverter schwarz</v>
      </c>
      <c r="B132" s="5">
        <f>getFocalLengthStart('RawData (GH)'!B132)</f>
        <v>100</v>
      </c>
      <c r="C132" s="5">
        <f>getFocalLengthEnd('RawData (GH)'!B132)</f>
        <v>400</v>
      </c>
      <c r="D132" s="9">
        <f>getApertureStart('RawData (GH)'!C132)</f>
        <v>4.5</v>
      </c>
      <c r="E132" s="9">
        <f>getApertureEnd('RawData (GH)'!C132)</f>
        <v>5.6</v>
      </c>
      <c r="F132" s="2">
        <f>getFiltersizeAsDouble('RawData (GH)'!D132)</f>
        <v>77</v>
      </c>
      <c r="G132" s="35">
        <f>getMagnification('RawData (GH)'!E132)</f>
        <v>5.26</v>
      </c>
      <c r="H132" s="62">
        <f>getMinimalFocus('RawData (GH)'!F132)</f>
        <v>0</v>
      </c>
      <c r="I132" t="str">
        <f>getMount('RawData (GH)'!G132)</f>
        <v>Fujifilm X</v>
      </c>
      <c r="J132" t="str">
        <f>getSensorCompatibility('RawData (GH)'!H132)</f>
        <v>APS-C</v>
      </c>
      <c r="K132" s="45">
        <f>getWeightAsDouble('RawData (GH)'!I132)</f>
        <v>1380</v>
      </c>
      <c r="L132" s="34">
        <f>getSizeDiameter('RawData (GH)'!J132)</f>
        <v>94.8</v>
      </c>
      <c r="M132" s="34">
        <f>getSizeLength('RawData (GH)'!J132)</f>
        <v>210.5</v>
      </c>
    </row>
    <row r="133" spans="1:13" x14ac:dyDescent="0.25">
      <c r="A133" t="str">
        <f>'RawData (GH)'!A133</f>
        <v>Fujifilm XF 100-400mm F4.5-5.6 R LM OIS WR schwarz</v>
      </c>
      <c r="B133" s="5">
        <f>getFocalLengthStart('RawData (GH)'!B133)</f>
        <v>100</v>
      </c>
      <c r="C133" s="5">
        <f>getFocalLengthEnd('RawData (GH)'!B133)</f>
        <v>400</v>
      </c>
      <c r="D133" s="9">
        <f>getApertureStart('RawData (GH)'!C133)</f>
        <v>4.5</v>
      </c>
      <c r="E133" s="9">
        <f>getApertureEnd('RawData (GH)'!C133)</f>
        <v>5.6</v>
      </c>
      <c r="F133" s="2">
        <f>getFiltersizeAsDouble('RawData (GH)'!D133)</f>
        <v>77</v>
      </c>
      <c r="G133" s="35">
        <f>getMagnification('RawData (GH)'!E133)</f>
        <v>5.26</v>
      </c>
      <c r="H133" s="62">
        <f>getMinimalFocus('RawData (GH)'!F133)</f>
        <v>0</v>
      </c>
      <c r="I133" t="str">
        <f>getMount('RawData (GH)'!G133)</f>
        <v>Fujifilm X</v>
      </c>
      <c r="J133" t="str">
        <f>getSensorCompatibility('RawData (GH)'!H133)</f>
        <v>APS-C</v>
      </c>
      <c r="K133" s="45">
        <f>getWeightAsDouble('RawData (GH)'!I133)</f>
        <v>1380</v>
      </c>
      <c r="L133" s="34">
        <f>getSizeDiameter('RawData (GH)'!J133)</f>
        <v>94.8</v>
      </c>
      <c r="M133" s="34">
        <f>getSizeLength('RawData (GH)'!J133)</f>
        <v>210.5</v>
      </c>
    </row>
    <row r="134" spans="1:13" x14ac:dyDescent="0.25">
      <c r="A134" t="str">
        <f>'RawData (GH)'!A134</f>
        <v>Fujifilm XF 10-24mm 4.0 R OIS schwarz</v>
      </c>
      <c r="B134" s="5">
        <f>getFocalLengthStart('RawData (GH)'!B134)</f>
        <v>10</v>
      </c>
      <c r="C134" s="5">
        <f>getFocalLengthEnd('RawData (GH)'!B134)</f>
        <v>24</v>
      </c>
      <c r="D134" s="9">
        <f>getApertureStart('RawData (GH)'!C134)</f>
        <v>4</v>
      </c>
      <c r="E134" s="9">
        <f>getApertureEnd('RawData (GH)'!C134)</f>
        <v>4</v>
      </c>
      <c r="F134" s="2">
        <f>getFiltersizeAsDouble('RawData (GH)'!D134)</f>
        <v>72</v>
      </c>
      <c r="G134" s="35">
        <f>getMagnification('RawData (GH)'!E134)</f>
        <v>6.25</v>
      </c>
      <c r="H134" s="62">
        <f>getMinimalFocus('RawData (GH)'!F134)</f>
        <v>0</v>
      </c>
      <c r="I134" t="str">
        <f>getMount('RawData (GH)'!G134)</f>
        <v>Fujifilm X</v>
      </c>
      <c r="J134" t="str">
        <f>getSensorCompatibility('RawData (GH)'!H134)</f>
        <v>APS-C</v>
      </c>
      <c r="K134" s="45">
        <f>getWeightAsDouble('RawData (GH)'!I134)</f>
        <v>410</v>
      </c>
      <c r="L134" s="34">
        <f>getSizeDiameter('RawData (GH)'!J134)</f>
        <v>78</v>
      </c>
      <c r="M134" s="34">
        <f>getSizeLength('RawData (GH)'!J134)</f>
        <v>87</v>
      </c>
    </row>
    <row r="135" spans="1:13" x14ac:dyDescent="0.25">
      <c r="A135" t="str">
        <f>'RawData (GH)'!A135</f>
        <v>Fujifilm XF 14mm 2.8 R schwarz</v>
      </c>
      <c r="B135" s="5">
        <f>getFocalLengthStart('RawData (GH)'!B135)</f>
        <v>14</v>
      </c>
      <c r="C135" s="5">
        <f>getFocalLengthEnd('RawData (GH)'!B135)</f>
        <v>14</v>
      </c>
      <c r="D135" s="9">
        <f>getApertureStart('RawData (GH)'!C135)</f>
        <v>2.8</v>
      </c>
      <c r="E135" s="9">
        <f>getApertureEnd('RawData (GH)'!C135)</f>
        <v>2.8</v>
      </c>
      <c r="F135" s="2">
        <f>getFiltersizeAsDouble('RawData (GH)'!D135)</f>
        <v>58</v>
      </c>
      <c r="G135" s="35">
        <f>getMagnification('RawData (GH)'!E135)</f>
        <v>8.33</v>
      </c>
      <c r="H135" s="62">
        <f>getMinimalFocus('RawData (GH)'!F135)</f>
        <v>0</v>
      </c>
      <c r="I135" t="str">
        <f>getMount('RawData (GH)'!G135)</f>
        <v>Fujifilm X</v>
      </c>
      <c r="J135" t="str">
        <f>getSensorCompatibility('RawData (GH)'!H135)</f>
        <v>APS-C</v>
      </c>
      <c r="K135" s="45">
        <f>getWeightAsDouble('RawData (GH)'!I135)</f>
        <v>0</v>
      </c>
      <c r="L135" s="34">
        <f>getSizeDiameter('RawData (GH)'!J135)</f>
        <v>65</v>
      </c>
      <c r="M135" s="34">
        <f>getSizeLength('RawData (GH)'!J135)</f>
        <v>58.4</v>
      </c>
    </row>
    <row r="136" spans="1:13" x14ac:dyDescent="0.25">
      <c r="A136" t="str">
        <f>'RawData (GH)'!A136</f>
        <v>Fujifilm XF 16-55mm 2.8 R LM WR schwarz</v>
      </c>
      <c r="B136" s="5">
        <f>getFocalLengthStart('RawData (GH)'!B136)</f>
        <v>16</v>
      </c>
      <c r="C136" s="5">
        <f>getFocalLengthEnd('RawData (GH)'!B136)</f>
        <v>55</v>
      </c>
      <c r="D136" s="9">
        <f>getApertureStart('RawData (GH)'!C136)</f>
        <v>2.8</v>
      </c>
      <c r="E136" s="9">
        <f>getApertureEnd('RawData (GH)'!C136)</f>
        <v>2.8</v>
      </c>
      <c r="F136" s="2">
        <f>getFiltersizeAsDouble('RawData (GH)'!D136)</f>
        <v>77</v>
      </c>
      <c r="G136" s="35">
        <f>getMagnification('RawData (GH)'!E136)</f>
        <v>6.25</v>
      </c>
      <c r="H136" s="62">
        <f>getMinimalFocus('RawData (GH)'!F136)</f>
        <v>0</v>
      </c>
      <c r="I136" t="str">
        <f>getMount('RawData (GH)'!G136)</f>
        <v>Fujifilm X</v>
      </c>
      <c r="J136" t="str">
        <f>getSensorCompatibility('RawData (GH)'!H136)</f>
        <v>APS-C</v>
      </c>
      <c r="K136" s="45">
        <f>getWeightAsDouble('RawData (GH)'!I136)</f>
        <v>655</v>
      </c>
      <c r="L136" s="34">
        <f>getSizeDiameter('RawData (GH)'!J136)</f>
        <v>83.3</v>
      </c>
      <c r="M136" s="34">
        <f>getSizeLength('RawData (GH)'!J136)</f>
        <v>106</v>
      </c>
    </row>
    <row r="137" spans="1:13" x14ac:dyDescent="0.25">
      <c r="A137" t="str">
        <f>'RawData (GH)'!A137</f>
        <v>Fujifilm XF 16mm 1.4 R WR schwarz</v>
      </c>
      <c r="B137" s="5">
        <f>getFocalLengthStart('RawData (GH)'!B137)</f>
        <v>16</v>
      </c>
      <c r="C137" s="5">
        <f>getFocalLengthEnd('RawData (GH)'!B137)</f>
        <v>16</v>
      </c>
      <c r="D137" s="9">
        <f>getApertureStart('RawData (GH)'!C137)</f>
        <v>1.4</v>
      </c>
      <c r="E137" s="9">
        <f>getApertureEnd('RawData (GH)'!C137)</f>
        <v>1.4</v>
      </c>
      <c r="F137" s="2">
        <f>getFiltersizeAsDouble('RawData (GH)'!D137)</f>
        <v>67</v>
      </c>
      <c r="G137" s="35">
        <f>getMagnification('RawData (GH)'!E137)</f>
        <v>4.76</v>
      </c>
      <c r="H137" s="62">
        <f>getMinimalFocus('RawData (GH)'!F137)</f>
        <v>0</v>
      </c>
      <c r="I137" t="str">
        <f>getMount('RawData (GH)'!G137)</f>
        <v>Fujifilm X</v>
      </c>
      <c r="J137" t="str">
        <f>getSensorCompatibility('RawData (GH)'!H137)</f>
        <v>APS-C</v>
      </c>
      <c r="K137" s="45">
        <f>getWeightAsDouble('RawData (GH)'!I137)</f>
        <v>375</v>
      </c>
      <c r="L137" s="34">
        <f>getSizeDiameter('RawData (GH)'!J137)</f>
        <v>73.400000000000006</v>
      </c>
      <c r="M137" s="34">
        <f>getSizeLength('RawData (GH)'!J137)</f>
        <v>73</v>
      </c>
    </row>
    <row r="138" spans="1:13" x14ac:dyDescent="0.25">
      <c r="A138" t="str">
        <f>'RawData (GH)'!A138</f>
        <v>Fujifilm XF 18-135mm 3.5-5.6 R LM OIS WR schwarz</v>
      </c>
      <c r="B138" s="5">
        <f>getFocalLengthStart('RawData (GH)'!B138)</f>
        <v>18</v>
      </c>
      <c r="C138" s="5">
        <f>getFocalLengthEnd('RawData (GH)'!B138)</f>
        <v>135</v>
      </c>
      <c r="D138" s="9">
        <f>getApertureStart('RawData (GH)'!C138)</f>
        <v>3.5</v>
      </c>
      <c r="E138" s="9">
        <f>getApertureEnd('RawData (GH)'!C138)</f>
        <v>5.6</v>
      </c>
      <c r="F138" s="2">
        <f>getFiltersizeAsDouble('RawData (GH)'!D138)</f>
        <v>67</v>
      </c>
      <c r="G138" s="35">
        <f>getMagnification('RawData (GH)'!E138)</f>
        <v>3.7</v>
      </c>
      <c r="H138" s="62">
        <f>getMinimalFocus('RawData (GH)'!F138)</f>
        <v>0</v>
      </c>
      <c r="I138" t="str">
        <f>getMount('RawData (GH)'!G138)</f>
        <v>Fujifilm X</v>
      </c>
      <c r="J138" t="str">
        <f>getSensorCompatibility('RawData (GH)'!H138)</f>
        <v>APS-C</v>
      </c>
      <c r="K138" s="45">
        <f>getWeightAsDouble('RawData (GH)'!I138)</f>
        <v>490</v>
      </c>
      <c r="L138" s="34">
        <f>getSizeDiameter('RawData (GH)'!J138)</f>
        <v>75.7</v>
      </c>
      <c r="M138" s="34">
        <f>getSizeLength('RawData (GH)'!J138)</f>
        <v>97.8</v>
      </c>
    </row>
    <row r="139" spans="1:13" x14ac:dyDescent="0.25">
      <c r="A139" t="str">
        <f>'RawData (GH)'!A139</f>
        <v>Fujifilm XF 18-55mm 2.8-4.0 R LM OIS schwarz</v>
      </c>
      <c r="B139" s="5">
        <f>getFocalLengthStart('RawData (GH)'!B139)</f>
        <v>18</v>
      </c>
      <c r="C139" s="5">
        <f>getFocalLengthEnd('RawData (GH)'!B139)</f>
        <v>55</v>
      </c>
      <c r="D139" s="9">
        <f>getApertureStart('RawData (GH)'!C139)</f>
        <v>2.8</v>
      </c>
      <c r="E139" s="9">
        <f>getApertureEnd('RawData (GH)'!C139)</f>
        <v>4</v>
      </c>
      <c r="F139" s="2">
        <f>getFiltersizeAsDouble('RawData (GH)'!D139)</f>
        <v>58</v>
      </c>
      <c r="G139" s="35">
        <f>getMagnification('RawData (GH)'!E139)</f>
        <v>6.67</v>
      </c>
      <c r="H139" s="62">
        <f>getMinimalFocus('RawData (GH)'!F139)</f>
        <v>0</v>
      </c>
      <c r="I139" t="str">
        <f>getMount('RawData (GH)'!G139)</f>
        <v>Fujifilm X</v>
      </c>
      <c r="J139" t="str">
        <f>getSensorCompatibility('RawData (GH)'!H139)</f>
        <v>APS-C</v>
      </c>
      <c r="K139" s="45">
        <f>getWeightAsDouble('RawData (GH)'!I139)</f>
        <v>310</v>
      </c>
      <c r="L139" s="34">
        <f>getSizeDiameter('RawData (GH)'!J139)</f>
        <v>65</v>
      </c>
      <c r="M139" s="34">
        <f>getSizeLength('RawData (GH)'!J139)</f>
        <v>70.400000000000006</v>
      </c>
    </row>
    <row r="140" spans="1:13" x14ac:dyDescent="0.25">
      <c r="A140" t="str">
        <f>'RawData (GH)'!A140</f>
        <v>Fujifilm XF 18mm 2.0 R schwarz</v>
      </c>
      <c r="B140" s="5">
        <f>getFocalLengthStart('RawData (GH)'!B140)</f>
        <v>18</v>
      </c>
      <c r="C140" s="5">
        <f>getFocalLengthEnd('RawData (GH)'!B140)</f>
        <v>18</v>
      </c>
      <c r="D140" s="9">
        <f>getApertureStart('RawData (GH)'!C140)</f>
        <v>2</v>
      </c>
      <c r="E140" s="9">
        <f>getApertureEnd('RawData (GH)'!C140)</f>
        <v>2</v>
      </c>
      <c r="F140" s="2">
        <f>getFiltersizeAsDouble('RawData (GH)'!D140)</f>
        <v>52</v>
      </c>
      <c r="G140" s="35">
        <f>getMagnification('RawData (GH)'!E140)</f>
        <v>7.14</v>
      </c>
      <c r="H140" s="62">
        <f>getMinimalFocus('RawData (GH)'!F140)</f>
        <v>0</v>
      </c>
      <c r="I140" t="str">
        <f>getMount('RawData (GH)'!G140)</f>
        <v>Fujifilm X</v>
      </c>
      <c r="J140" t="str">
        <f>getSensorCompatibility('RawData (GH)'!H140)</f>
        <v>APS-C</v>
      </c>
      <c r="K140" s="45">
        <f>getWeightAsDouble('RawData (GH)'!I140)</f>
        <v>116</v>
      </c>
      <c r="L140" s="34">
        <f>getSizeDiameter('RawData (GH)'!J140)</f>
        <v>64.5</v>
      </c>
      <c r="M140" s="34">
        <f>getSizeLength('RawData (GH)'!J140)</f>
        <v>40.6</v>
      </c>
    </row>
    <row r="141" spans="1:13" x14ac:dyDescent="0.25">
      <c r="A141" t="str">
        <f>'RawData (GH)'!A141</f>
        <v>Fujifilm XF 23mm 1.4 R schwarz</v>
      </c>
      <c r="B141" s="5">
        <f>getFocalLengthStart('RawData (GH)'!B141)</f>
        <v>23</v>
      </c>
      <c r="C141" s="5">
        <f>getFocalLengthEnd('RawData (GH)'!B141)</f>
        <v>23</v>
      </c>
      <c r="D141" s="9">
        <f>getApertureStart('RawData (GH)'!C141)</f>
        <v>1.4</v>
      </c>
      <c r="E141" s="9">
        <f>getApertureEnd('RawData (GH)'!C141)</f>
        <v>1.4</v>
      </c>
      <c r="F141" s="2">
        <f>getFiltersizeAsDouble('RawData (GH)'!D141)</f>
        <v>62</v>
      </c>
      <c r="G141" s="35">
        <f>getMagnification('RawData (GH)'!E141)</f>
        <v>10</v>
      </c>
      <c r="H141" s="62">
        <f>getMinimalFocus('RawData (GH)'!F141)</f>
        <v>0</v>
      </c>
      <c r="I141" t="str">
        <f>getMount('RawData (GH)'!G141)</f>
        <v>Fujifilm X</v>
      </c>
      <c r="J141" t="str">
        <f>getSensorCompatibility('RawData (GH)'!H141)</f>
        <v>APS-C</v>
      </c>
      <c r="K141" s="45">
        <f>getWeightAsDouble('RawData (GH)'!I141)</f>
        <v>300</v>
      </c>
      <c r="L141" s="34">
        <f>getSizeDiameter('RawData (GH)'!J141)</f>
        <v>72</v>
      </c>
      <c r="M141" s="34">
        <f>getSizeLength('RawData (GH)'!J141)</f>
        <v>63</v>
      </c>
    </row>
    <row r="142" spans="1:13" x14ac:dyDescent="0.25">
      <c r="A142" t="str">
        <f>'RawData (GH)'!A142</f>
        <v>Fujifilm XF 23mm 2.0 R WR schwarz</v>
      </c>
      <c r="B142" s="5">
        <f>getFocalLengthStart('RawData (GH)'!B142)</f>
        <v>23</v>
      </c>
      <c r="C142" s="5">
        <f>getFocalLengthEnd('RawData (GH)'!B142)</f>
        <v>23</v>
      </c>
      <c r="D142" s="9">
        <f>getApertureStart('RawData (GH)'!C142)</f>
        <v>2</v>
      </c>
      <c r="E142" s="9">
        <f>getApertureEnd('RawData (GH)'!C142)</f>
        <v>2</v>
      </c>
      <c r="F142" s="2">
        <f>getFiltersizeAsDouble('RawData (GH)'!D142)</f>
        <v>43</v>
      </c>
      <c r="G142" s="35">
        <f>getMagnification('RawData (GH)'!E142)</f>
        <v>7.69</v>
      </c>
      <c r="H142" s="62">
        <f>getMinimalFocus('RawData (GH)'!F142)</f>
        <v>0</v>
      </c>
      <c r="I142" t="str">
        <f>getMount('RawData (GH)'!G142)</f>
        <v>Fujifilm X</v>
      </c>
      <c r="J142" t="str">
        <f>getSensorCompatibility('RawData (GH)'!H142)</f>
        <v>APS-C</v>
      </c>
      <c r="K142" s="45">
        <f>getWeightAsDouble('RawData (GH)'!I142)</f>
        <v>180</v>
      </c>
      <c r="L142" s="34">
        <f>getSizeDiameter('RawData (GH)'!J142)</f>
        <v>60</v>
      </c>
      <c r="M142" s="34">
        <f>getSizeLength('RawData (GH)'!J142)</f>
        <v>51.9</v>
      </c>
    </row>
    <row r="143" spans="1:13" x14ac:dyDescent="0.25">
      <c r="A143" t="str">
        <f>'RawData (GH)'!A143</f>
        <v>Fujifilm XF 23mm 2.0 R WR silber</v>
      </c>
      <c r="B143" s="5">
        <f>getFocalLengthStart('RawData (GH)'!B143)</f>
        <v>23</v>
      </c>
      <c r="C143" s="5">
        <f>getFocalLengthEnd('RawData (GH)'!B143)</f>
        <v>23</v>
      </c>
      <c r="D143" s="9">
        <f>getApertureStart('RawData (GH)'!C143)</f>
        <v>2</v>
      </c>
      <c r="E143" s="9">
        <f>getApertureEnd('RawData (GH)'!C143)</f>
        <v>2</v>
      </c>
      <c r="F143" s="2">
        <f>getFiltersizeAsDouble('RawData (GH)'!D143)</f>
        <v>43</v>
      </c>
      <c r="G143" s="35">
        <f>getMagnification('RawData (GH)'!E143)</f>
        <v>7.69</v>
      </c>
      <c r="H143" s="62">
        <f>getMinimalFocus('RawData (GH)'!F143)</f>
        <v>0</v>
      </c>
      <c r="I143" t="str">
        <f>getMount('RawData (GH)'!G143)</f>
        <v>Fujifilm X</v>
      </c>
      <c r="J143" t="str">
        <f>getSensorCompatibility('RawData (GH)'!H143)</f>
        <v>APS-C</v>
      </c>
      <c r="K143" s="45">
        <f>getWeightAsDouble('RawData (GH)'!I143)</f>
        <v>180</v>
      </c>
      <c r="L143" s="34">
        <f>getSizeDiameter('RawData (GH)'!J143)</f>
        <v>60</v>
      </c>
      <c r="M143" s="34">
        <f>getSizeLength('RawData (GH)'!J143)</f>
        <v>51.9</v>
      </c>
    </row>
    <row r="144" spans="1:13" x14ac:dyDescent="0.25">
      <c r="A144" t="str">
        <f>'RawData (GH)'!A144</f>
        <v>Fujifilm XF 27mm 2.8 schwarz</v>
      </c>
      <c r="B144" s="5">
        <f>getFocalLengthStart('RawData (GH)'!B144)</f>
        <v>27</v>
      </c>
      <c r="C144" s="5">
        <f>getFocalLengthEnd('RawData (GH)'!B144)</f>
        <v>27</v>
      </c>
      <c r="D144" s="9">
        <f>getApertureStart('RawData (GH)'!C144)</f>
        <v>2.8</v>
      </c>
      <c r="E144" s="9">
        <f>getApertureEnd('RawData (GH)'!C144)</f>
        <v>2.8</v>
      </c>
      <c r="F144" s="2">
        <f>getFiltersizeAsDouble('RawData (GH)'!D144)</f>
        <v>39</v>
      </c>
      <c r="G144" s="35">
        <f>getMagnification('RawData (GH)'!E144)</f>
        <v>10</v>
      </c>
      <c r="H144" s="62">
        <f>getMinimalFocus('RawData (GH)'!F144)</f>
        <v>0</v>
      </c>
      <c r="I144" t="str">
        <f>getMount('RawData (GH)'!G144)</f>
        <v>Fujifilm X</v>
      </c>
      <c r="J144" t="str">
        <f>getSensorCompatibility('RawData (GH)'!H144)</f>
        <v>APS-C</v>
      </c>
      <c r="K144" s="45">
        <f>getWeightAsDouble('RawData (GH)'!I144)</f>
        <v>78</v>
      </c>
      <c r="L144" s="34">
        <f>getSizeDiameter('RawData (GH)'!J144)</f>
        <v>61.2</v>
      </c>
      <c r="M144" s="34">
        <f>getSizeLength('RawData (GH)'!J144)</f>
        <v>23</v>
      </c>
    </row>
    <row r="145" spans="1:13" x14ac:dyDescent="0.25">
      <c r="A145" t="str">
        <f>'RawData (GH)'!A145</f>
        <v>Fujifilm XF 27mm 2.8 silber</v>
      </c>
      <c r="B145" s="5">
        <f>getFocalLengthStart('RawData (GH)'!B145)</f>
        <v>27</v>
      </c>
      <c r="C145" s="5">
        <f>getFocalLengthEnd('RawData (GH)'!B145)</f>
        <v>27</v>
      </c>
      <c r="D145" s="9">
        <f>getApertureStart('RawData (GH)'!C145)</f>
        <v>2.8</v>
      </c>
      <c r="E145" s="9">
        <f>getApertureEnd('RawData (GH)'!C145)</f>
        <v>2.8</v>
      </c>
      <c r="F145" s="2">
        <f>getFiltersizeAsDouble('RawData (GH)'!D145)</f>
        <v>39</v>
      </c>
      <c r="G145" s="35">
        <f>getMagnification('RawData (GH)'!E145)</f>
        <v>10</v>
      </c>
      <c r="H145" s="62">
        <f>getMinimalFocus('RawData (GH)'!F145)</f>
        <v>0</v>
      </c>
      <c r="I145" t="str">
        <f>getMount('RawData (GH)'!G145)</f>
        <v>Fujifilm X</v>
      </c>
      <c r="J145" t="str">
        <f>getSensorCompatibility('RawData (GH)'!H145)</f>
        <v>APS-C</v>
      </c>
      <c r="K145" s="45">
        <f>getWeightAsDouble('RawData (GH)'!I145)</f>
        <v>78</v>
      </c>
      <c r="L145" s="34">
        <f>getSizeDiameter('RawData (GH)'!J145)</f>
        <v>61.2</v>
      </c>
      <c r="M145" s="34">
        <f>getSizeLength('RawData (GH)'!J145)</f>
        <v>23</v>
      </c>
    </row>
    <row r="146" spans="1:13" x14ac:dyDescent="0.25">
      <c r="A146" t="str">
        <f>'RawData (GH)'!A146</f>
        <v>Fujifilm XF 35mm 1.4 R schwarz</v>
      </c>
      <c r="B146" s="5">
        <f>getFocalLengthStart('RawData (GH)'!B146)</f>
        <v>35</v>
      </c>
      <c r="C146" s="5">
        <f>getFocalLengthEnd('RawData (GH)'!B146)</f>
        <v>35</v>
      </c>
      <c r="D146" s="9">
        <f>getApertureStart('RawData (GH)'!C146)</f>
        <v>1.4</v>
      </c>
      <c r="E146" s="9">
        <f>getApertureEnd('RawData (GH)'!C146)</f>
        <v>1.4</v>
      </c>
      <c r="F146" s="2">
        <f>getFiltersizeAsDouble('RawData (GH)'!D146)</f>
        <v>52</v>
      </c>
      <c r="G146" s="35">
        <f>getMagnification('RawData (GH)'!E146)</f>
        <v>5.88</v>
      </c>
      <c r="H146" s="62">
        <f>getMinimalFocus('RawData (GH)'!F146)</f>
        <v>0</v>
      </c>
      <c r="I146" t="str">
        <f>getMount('RawData (GH)'!G146)</f>
        <v>Fujifilm X</v>
      </c>
      <c r="J146" t="str">
        <f>getSensorCompatibility('RawData (GH)'!H146)</f>
        <v>APS-C</v>
      </c>
      <c r="K146" s="45">
        <f>getWeightAsDouble('RawData (GH)'!I146)</f>
        <v>187</v>
      </c>
      <c r="L146" s="34">
        <f>getSizeDiameter('RawData (GH)'!J146)</f>
        <v>65</v>
      </c>
      <c r="M146" s="34">
        <f>getSizeLength('RawData (GH)'!J146)</f>
        <v>54.9</v>
      </c>
    </row>
    <row r="147" spans="1:13" x14ac:dyDescent="0.25">
      <c r="A147" t="str">
        <f>'RawData (GH)'!A147</f>
        <v>Fujifilm XF 35mm 2.0 R WR schwarz</v>
      </c>
      <c r="B147" s="5">
        <f>getFocalLengthStart('RawData (GH)'!B147)</f>
        <v>35</v>
      </c>
      <c r="C147" s="5">
        <f>getFocalLengthEnd('RawData (GH)'!B147)</f>
        <v>35</v>
      </c>
      <c r="D147" s="9">
        <f>getApertureStart('RawData (GH)'!C147)</f>
        <v>2</v>
      </c>
      <c r="E147" s="9">
        <f>getApertureEnd('RawData (GH)'!C147)</f>
        <v>2</v>
      </c>
      <c r="F147" s="2">
        <f>getFiltersizeAsDouble('RawData (GH)'!D147)</f>
        <v>43</v>
      </c>
      <c r="G147" s="35">
        <f>getMagnification('RawData (GH)'!E147)</f>
        <v>7.41</v>
      </c>
      <c r="H147" s="62">
        <f>getMinimalFocus('RawData (GH)'!F147)</f>
        <v>0</v>
      </c>
      <c r="I147" t="str">
        <f>getMount('RawData (GH)'!G147)</f>
        <v>Fujifilm X</v>
      </c>
      <c r="J147" t="str">
        <f>getSensorCompatibility('RawData (GH)'!H147)</f>
        <v>APS-C</v>
      </c>
      <c r="K147" s="45">
        <f>getWeightAsDouble('RawData (GH)'!I147)</f>
        <v>170</v>
      </c>
      <c r="L147" s="34">
        <f>getSizeDiameter('RawData (GH)'!J147)</f>
        <v>60</v>
      </c>
      <c r="M147" s="34">
        <f>getSizeLength('RawData (GH)'!J147)</f>
        <v>45.9</v>
      </c>
    </row>
    <row r="148" spans="1:13" x14ac:dyDescent="0.25">
      <c r="A148" t="str">
        <f>'RawData (GH)'!A148</f>
        <v>Fujifilm XF 35mm 2.0 R WR silber</v>
      </c>
      <c r="B148" s="5">
        <f>getFocalLengthStart('RawData (GH)'!B148)</f>
        <v>35</v>
      </c>
      <c r="C148" s="5">
        <f>getFocalLengthEnd('RawData (GH)'!B148)</f>
        <v>35</v>
      </c>
      <c r="D148" s="9">
        <f>getApertureStart('RawData (GH)'!C148)</f>
        <v>2</v>
      </c>
      <c r="E148" s="9">
        <f>getApertureEnd('RawData (GH)'!C148)</f>
        <v>2</v>
      </c>
      <c r="F148" s="2">
        <f>getFiltersizeAsDouble('RawData (GH)'!D148)</f>
        <v>43</v>
      </c>
      <c r="G148" s="35">
        <f>getMagnification('RawData (GH)'!E148)</f>
        <v>7.41</v>
      </c>
      <c r="H148" s="62">
        <f>getMinimalFocus('RawData (GH)'!F148)</f>
        <v>0</v>
      </c>
      <c r="I148" t="str">
        <f>getMount('RawData (GH)'!G148)</f>
        <v>Fujifilm X</v>
      </c>
      <c r="J148" t="str">
        <f>getSensorCompatibility('RawData (GH)'!H148)</f>
        <v>APS-C</v>
      </c>
      <c r="K148" s="45">
        <f>getWeightAsDouble('RawData (GH)'!I148)</f>
        <v>170</v>
      </c>
      <c r="L148" s="34">
        <f>getSizeDiameter('RawData (GH)'!J148)</f>
        <v>60</v>
      </c>
      <c r="M148" s="34">
        <f>getSizeLength('RawData (GH)'!J148)</f>
        <v>45.9</v>
      </c>
    </row>
    <row r="149" spans="1:13" x14ac:dyDescent="0.25">
      <c r="A149" t="str">
        <f>'RawData (GH)'!A149</f>
        <v>Fujifilm XF 50-140mm 2.8 R LM OIS WR inkl. 1.4x Telekonverter schwarz</v>
      </c>
      <c r="B149" s="5">
        <f>getFocalLengthStart('RawData (GH)'!B149)</f>
        <v>50</v>
      </c>
      <c r="C149" s="5">
        <f>getFocalLengthEnd('RawData (GH)'!B149)</f>
        <v>140</v>
      </c>
      <c r="D149" s="9">
        <f>getApertureStart('RawData (GH)'!C149)</f>
        <v>2.8</v>
      </c>
      <c r="E149" s="9">
        <f>getApertureEnd('RawData (GH)'!C149)</f>
        <v>2.8</v>
      </c>
      <c r="F149" s="2">
        <f>getFiltersizeAsDouble('RawData (GH)'!D149)</f>
        <v>72</v>
      </c>
      <c r="G149" s="35">
        <f>getMagnification('RawData (GH)'!E149)</f>
        <v>8.33</v>
      </c>
      <c r="H149" s="62">
        <f>getMinimalFocus('RawData (GH)'!F149)</f>
        <v>0</v>
      </c>
      <c r="I149" t="str">
        <f>getMount('RawData (GH)'!G149)</f>
        <v>Fujifilm X</v>
      </c>
      <c r="J149" t="str">
        <f>getSensorCompatibility('RawData (GH)'!H149)</f>
        <v>APS-C</v>
      </c>
      <c r="K149" s="45">
        <f>getWeightAsDouble('RawData (GH)'!I149)</f>
        <v>995</v>
      </c>
      <c r="L149" s="34">
        <f>getSizeDiameter('RawData (GH)'!J149)</f>
        <v>82.9</v>
      </c>
      <c r="M149" s="34">
        <f>getSizeLength('RawData (GH)'!J149)</f>
        <v>175.9</v>
      </c>
    </row>
    <row r="150" spans="1:13" x14ac:dyDescent="0.25">
      <c r="A150" t="str">
        <f>'RawData (GH)'!A150</f>
        <v>Fujifilm XF 50-140mm 2.8 R LM OIS WR schwarz</v>
      </c>
      <c r="B150" s="5">
        <f>getFocalLengthStart('RawData (GH)'!B150)</f>
        <v>50</v>
      </c>
      <c r="C150" s="5">
        <f>getFocalLengthEnd('RawData (GH)'!B150)</f>
        <v>140</v>
      </c>
      <c r="D150" s="9">
        <f>getApertureStart('RawData (GH)'!C150)</f>
        <v>2.8</v>
      </c>
      <c r="E150" s="9">
        <f>getApertureEnd('RawData (GH)'!C150)</f>
        <v>2.8</v>
      </c>
      <c r="F150" s="2">
        <f>getFiltersizeAsDouble('RawData (GH)'!D150)</f>
        <v>72</v>
      </c>
      <c r="G150" s="35">
        <f>getMagnification('RawData (GH)'!E150)</f>
        <v>8.33</v>
      </c>
      <c r="H150" s="62">
        <f>getMinimalFocus('RawData (GH)'!F150)</f>
        <v>0</v>
      </c>
      <c r="I150" t="str">
        <f>getMount('RawData (GH)'!G150)</f>
        <v>Fujifilm X</v>
      </c>
      <c r="J150" t="str">
        <f>getSensorCompatibility('RawData (GH)'!H150)</f>
        <v>APS-C</v>
      </c>
      <c r="K150" s="45">
        <f>getWeightAsDouble('RawData (GH)'!I150)</f>
        <v>995</v>
      </c>
      <c r="L150" s="34">
        <f>getSizeDiameter('RawData (GH)'!J150)</f>
        <v>82.9</v>
      </c>
      <c r="M150" s="34">
        <f>getSizeLength('RawData (GH)'!J150)</f>
        <v>175.9</v>
      </c>
    </row>
    <row r="151" spans="1:13" x14ac:dyDescent="0.25">
      <c r="A151" t="str">
        <f>'RawData (GH)'!A151</f>
        <v>Fujifilm XF 50mm 2.0 R WR schwarz</v>
      </c>
      <c r="B151" s="5">
        <f>getFocalLengthStart('RawData (GH)'!B151)</f>
        <v>50</v>
      </c>
      <c r="C151" s="5">
        <f>getFocalLengthEnd('RawData (GH)'!B151)</f>
        <v>50</v>
      </c>
      <c r="D151" s="9">
        <f>getApertureStart('RawData (GH)'!C151)</f>
        <v>0</v>
      </c>
      <c r="E151" s="9">
        <f>getApertureEnd('RawData (GH)'!C151)</f>
        <v>0</v>
      </c>
      <c r="F151" s="2">
        <f>getFiltersizeAsDouble('RawData (GH)'!D151)</f>
        <v>46</v>
      </c>
      <c r="G151" s="35">
        <f>getMagnification('RawData (GH)'!E151)</f>
        <v>6.67</v>
      </c>
      <c r="H151" s="62">
        <f>getMinimalFocus('RawData (GH)'!F151)</f>
        <v>0</v>
      </c>
      <c r="I151" t="str">
        <f>getMount('RawData (GH)'!G151)</f>
        <v>Fujifilm X</v>
      </c>
      <c r="J151" t="str">
        <f>getSensorCompatibility('RawData (GH)'!H151)</f>
        <v>APS-C</v>
      </c>
      <c r="K151" s="45">
        <f>getWeightAsDouble('RawData (GH)'!I151)</f>
        <v>200</v>
      </c>
      <c r="L151" s="34">
        <f>getSizeDiameter('RawData (GH)'!J151)</f>
        <v>60</v>
      </c>
      <c r="M151" s="34">
        <f>getSizeLength('RawData (GH)'!J151)</f>
        <v>59.4</v>
      </c>
    </row>
    <row r="152" spans="1:13" x14ac:dyDescent="0.25">
      <c r="A152" t="str">
        <f>'RawData (GH)'!A152</f>
        <v>Fujifilm XF 50mm 2.0 R WR silber</v>
      </c>
      <c r="B152" s="5">
        <f>getFocalLengthStart('RawData (GH)'!B152)</f>
        <v>50</v>
      </c>
      <c r="C152" s="5">
        <f>getFocalLengthEnd('RawData (GH)'!B152)</f>
        <v>50</v>
      </c>
      <c r="D152" s="9">
        <f>getApertureStart('RawData (GH)'!C152)</f>
        <v>0</v>
      </c>
      <c r="E152" s="9">
        <f>getApertureEnd('RawData (GH)'!C152)</f>
        <v>0</v>
      </c>
      <c r="F152" s="2">
        <f>getFiltersizeAsDouble('RawData (GH)'!D152)</f>
        <v>46</v>
      </c>
      <c r="G152" s="35">
        <f>getMagnification('RawData (GH)'!E152)</f>
        <v>6.67</v>
      </c>
      <c r="H152" s="62">
        <f>getMinimalFocus('RawData (GH)'!F152)</f>
        <v>0</v>
      </c>
      <c r="I152" t="str">
        <f>getMount('RawData (GH)'!G152)</f>
        <v>Fujifilm X</v>
      </c>
      <c r="J152" t="str">
        <f>getSensorCompatibility('RawData (GH)'!H152)</f>
        <v>APS-C</v>
      </c>
      <c r="K152" s="45">
        <f>getWeightAsDouble('RawData (GH)'!I152)</f>
        <v>200</v>
      </c>
      <c r="L152" s="34">
        <f>getSizeDiameter('RawData (GH)'!J152)</f>
        <v>60</v>
      </c>
      <c r="M152" s="34">
        <f>getSizeLength('RawData (GH)'!J152)</f>
        <v>59.4</v>
      </c>
    </row>
    <row r="153" spans="1:13" x14ac:dyDescent="0.25">
      <c r="A153" t="str">
        <f>'RawData (GH)'!A153</f>
        <v>Fujifilm XF 55-200mm 3.5-4.8 R LM OIS schwarz</v>
      </c>
      <c r="B153" s="5">
        <f>getFocalLengthStart('RawData (GH)'!B153)</f>
        <v>55</v>
      </c>
      <c r="C153" s="5">
        <f>getFocalLengthEnd('RawData (GH)'!B153)</f>
        <v>200</v>
      </c>
      <c r="D153" s="9">
        <f>getApertureStart('RawData (GH)'!C153)</f>
        <v>3.5</v>
      </c>
      <c r="E153" s="9">
        <f>getApertureEnd('RawData (GH)'!C153)</f>
        <v>4.8</v>
      </c>
      <c r="F153" s="2">
        <f>getFiltersizeAsDouble('RawData (GH)'!D153)</f>
        <v>62</v>
      </c>
      <c r="G153" s="35">
        <f>getMagnification('RawData (GH)'!E153)</f>
        <v>5.56</v>
      </c>
      <c r="H153" s="62">
        <f>getMinimalFocus('RawData (GH)'!F153)</f>
        <v>0</v>
      </c>
      <c r="I153" t="str">
        <f>getMount('RawData (GH)'!G153)</f>
        <v>Fujifilm X</v>
      </c>
      <c r="J153" t="str">
        <f>getSensorCompatibility('RawData (GH)'!H153)</f>
        <v>APS-C</v>
      </c>
      <c r="K153" s="45">
        <f>getWeightAsDouble('RawData (GH)'!I153)</f>
        <v>580</v>
      </c>
      <c r="L153" s="34">
        <f>getSizeDiameter('RawData (GH)'!J153)</f>
        <v>75</v>
      </c>
      <c r="M153" s="34">
        <f>getSizeLength('RawData (GH)'!J153)</f>
        <v>118</v>
      </c>
    </row>
    <row r="154" spans="1:13" x14ac:dyDescent="0.25">
      <c r="A154" t="str">
        <f>'RawData (GH)'!A154</f>
        <v>Fujifilm XF 56mm 1.2 R APD schwarz</v>
      </c>
      <c r="B154" s="5">
        <f>getFocalLengthStart('RawData (GH)'!B154)</f>
        <v>56</v>
      </c>
      <c r="C154" s="5">
        <f>getFocalLengthEnd('RawData (GH)'!B154)</f>
        <v>56</v>
      </c>
      <c r="D154" s="9">
        <f>getApertureStart('RawData (GH)'!C154)</f>
        <v>1.2</v>
      </c>
      <c r="E154" s="9">
        <f>getApertureEnd('RawData (GH)'!C154)</f>
        <v>1.2</v>
      </c>
      <c r="F154" s="2">
        <f>getFiltersizeAsDouble('RawData (GH)'!D154)</f>
        <v>62</v>
      </c>
      <c r="G154" s="35">
        <f>getMagnification('RawData (GH)'!E154)</f>
        <v>11.11</v>
      </c>
      <c r="H154" s="62">
        <f>getMinimalFocus('RawData (GH)'!F154)</f>
        <v>0</v>
      </c>
      <c r="I154" t="str">
        <f>getMount('RawData (GH)'!G154)</f>
        <v>Fujifilm X</v>
      </c>
      <c r="J154" t="str">
        <f>getSensorCompatibility('RawData (GH)'!H154)</f>
        <v>APS-C</v>
      </c>
      <c r="K154" s="45">
        <f>getWeightAsDouble('RawData (GH)'!I154)</f>
        <v>405</v>
      </c>
      <c r="L154" s="34">
        <f>getSizeDiameter('RawData (GH)'!J154)</f>
        <v>73</v>
      </c>
      <c r="M154" s="34">
        <f>getSizeLength('RawData (GH)'!J154)</f>
        <v>70</v>
      </c>
    </row>
    <row r="155" spans="1:13" x14ac:dyDescent="0.25">
      <c r="A155" t="str">
        <f>'RawData (GH)'!A155</f>
        <v>Fujifilm XF 56mm 1.2 R schwarz</v>
      </c>
      <c r="B155" s="5">
        <f>getFocalLengthStart('RawData (GH)'!B155)</f>
        <v>56</v>
      </c>
      <c r="C155" s="5">
        <f>getFocalLengthEnd('RawData (GH)'!B155)</f>
        <v>56</v>
      </c>
      <c r="D155" s="9">
        <f>getApertureStart('RawData (GH)'!C155)</f>
        <v>1.2</v>
      </c>
      <c r="E155" s="9">
        <f>getApertureEnd('RawData (GH)'!C155)</f>
        <v>1.2</v>
      </c>
      <c r="F155" s="2">
        <f>getFiltersizeAsDouble('RawData (GH)'!D155)</f>
        <v>62</v>
      </c>
      <c r="G155" s="35">
        <f>getMagnification('RawData (GH)'!E155)</f>
        <v>11.11</v>
      </c>
      <c r="H155" s="62">
        <f>getMinimalFocus('RawData (GH)'!F155)</f>
        <v>0</v>
      </c>
      <c r="I155" t="str">
        <f>getMount('RawData (GH)'!G155)</f>
        <v>Fujifilm X</v>
      </c>
      <c r="J155" t="str">
        <f>getSensorCompatibility('RawData (GH)'!H155)</f>
        <v>APS-C</v>
      </c>
      <c r="K155" s="45">
        <f>getWeightAsDouble('RawData (GH)'!I155)</f>
        <v>405</v>
      </c>
      <c r="L155" s="34">
        <f>getSizeDiameter('RawData (GH)'!J155)</f>
        <v>73</v>
      </c>
      <c r="M155" s="34">
        <f>getSizeLength('RawData (GH)'!J155)</f>
        <v>70</v>
      </c>
    </row>
    <row r="156" spans="1:13" x14ac:dyDescent="0.25">
      <c r="A156" t="str">
        <f>'RawData (GH)'!A156</f>
        <v>Fujifilm XF 60mm 2.4 R Makro schwarz</v>
      </c>
      <c r="B156" s="5">
        <f>getFocalLengthStart('RawData (GH)'!B156)</f>
        <v>60</v>
      </c>
      <c r="C156" s="5">
        <f>getFocalLengthEnd('RawData (GH)'!B156)</f>
        <v>60</v>
      </c>
      <c r="D156" s="9">
        <f>getApertureStart('RawData (GH)'!C156)</f>
        <v>2.4</v>
      </c>
      <c r="E156" s="9">
        <f>getApertureEnd('RawData (GH)'!C156)</f>
        <v>2.4</v>
      </c>
      <c r="F156" s="2">
        <f>getFiltersizeAsDouble('RawData (GH)'!D156)</f>
        <v>39</v>
      </c>
      <c r="G156" s="35">
        <f>getMagnification('RawData (GH)'!E156)</f>
        <v>2</v>
      </c>
      <c r="H156" s="62">
        <f>getMinimalFocus('RawData (GH)'!F156)</f>
        <v>0</v>
      </c>
      <c r="I156" t="str">
        <f>getMount('RawData (GH)'!G156)</f>
        <v>Fujifilm X</v>
      </c>
      <c r="J156" t="str">
        <f>getSensorCompatibility('RawData (GH)'!H156)</f>
        <v>APS-C</v>
      </c>
      <c r="K156" s="45">
        <f>getWeightAsDouble('RawData (GH)'!I156)</f>
        <v>215</v>
      </c>
      <c r="L156" s="34">
        <f>getSizeDiameter('RawData (GH)'!J156)</f>
        <v>64.099999999999994</v>
      </c>
      <c r="M156" s="34">
        <f>getSizeLength('RawData (GH)'!J156)</f>
        <v>70.900000000000006</v>
      </c>
    </row>
    <row r="157" spans="1:13" x14ac:dyDescent="0.25">
      <c r="A157" t="str">
        <f>'RawData (GH)'!A157</f>
        <v>Fujifilm XF 80mm 2.8 R LM OIS WR Makro schwarz</v>
      </c>
      <c r="B157" s="5">
        <f>getFocalLengthStart('RawData (GH)'!B157)</f>
        <v>80</v>
      </c>
      <c r="C157" s="5">
        <f>getFocalLengthEnd('RawData (GH)'!B157)</f>
        <v>80</v>
      </c>
      <c r="D157" s="9">
        <f>getApertureStart('RawData (GH)'!C157)</f>
        <v>2.8</v>
      </c>
      <c r="E157" s="9">
        <f>getApertureEnd('RawData (GH)'!C157)</f>
        <v>2.8</v>
      </c>
      <c r="F157" s="2">
        <f>getFiltersizeAsDouble('RawData (GH)'!D157)</f>
        <v>62</v>
      </c>
      <c r="G157" s="35">
        <f>getMagnification('RawData (GH)'!E157)</f>
        <v>1</v>
      </c>
      <c r="H157" s="62">
        <f>getMinimalFocus('RawData (GH)'!F157)</f>
        <v>0</v>
      </c>
      <c r="I157" t="str">
        <f>getMount('RawData (GH)'!G157)</f>
        <v>Fujifilm X</v>
      </c>
      <c r="J157" t="str">
        <f>getSensorCompatibility('RawData (GH)'!H157)</f>
        <v>APS-C</v>
      </c>
      <c r="K157" s="45">
        <f>getWeightAsDouble('RawData (GH)'!I157)</f>
        <v>750</v>
      </c>
      <c r="L157" s="34">
        <f>getSizeDiameter('RawData (GH)'!J157)</f>
        <v>80</v>
      </c>
      <c r="M157" s="34">
        <f>getSizeLength('RawData (GH)'!J157)</f>
        <v>130</v>
      </c>
    </row>
    <row r="158" spans="1:13" x14ac:dyDescent="0.25">
      <c r="A158" t="str">
        <f>'RawData (GH)'!A158</f>
        <v>Fujifilm XF 90mm 2.0 R LM WR schwarz</v>
      </c>
      <c r="B158" s="5">
        <f>getFocalLengthStart('RawData (GH)'!B158)</f>
        <v>90</v>
      </c>
      <c r="C158" s="5">
        <f>getFocalLengthEnd('RawData (GH)'!B158)</f>
        <v>90</v>
      </c>
      <c r="D158" s="9">
        <f>getApertureStart('RawData (GH)'!C158)</f>
        <v>2</v>
      </c>
      <c r="E158" s="9">
        <f>getApertureEnd('RawData (GH)'!C158)</f>
        <v>2</v>
      </c>
      <c r="F158" s="2">
        <f>getFiltersizeAsDouble('RawData (GH)'!D158)</f>
        <v>62</v>
      </c>
      <c r="G158" s="35">
        <f>getMagnification('RawData (GH)'!E158)</f>
        <v>5</v>
      </c>
      <c r="H158" s="62">
        <f>getMinimalFocus('RawData (GH)'!F158)</f>
        <v>0</v>
      </c>
      <c r="I158" t="str">
        <f>getMount('RawData (GH)'!G158)</f>
        <v>Fujifilm X</v>
      </c>
      <c r="J158" t="str">
        <f>getSensorCompatibility('RawData (GH)'!H158)</f>
        <v>APS-C</v>
      </c>
      <c r="K158" s="45">
        <f>getWeightAsDouble('RawData (GH)'!I158)</f>
        <v>540</v>
      </c>
      <c r="L158" s="34">
        <f>getSizeDiameter('RawData (GH)'!J158)</f>
        <v>75</v>
      </c>
      <c r="M158" s="34">
        <f>getSizeLength('RawData (GH)'!J158)</f>
        <v>105</v>
      </c>
    </row>
    <row r="159" spans="1:13" x14ac:dyDescent="0.25">
      <c r="A159" t="str">
        <f>'RawData (GH)'!A159</f>
        <v>HandeVision Ibelux 40mm 0.85 für Canon EF-M schwarz</v>
      </c>
      <c r="B159" s="5">
        <f>getFocalLengthStart('RawData (GH)'!B159)</f>
        <v>40</v>
      </c>
      <c r="C159" s="5">
        <f>getFocalLengthEnd('RawData (GH)'!B159)</f>
        <v>40</v>
      </c>
      <c r="D159" s="9">
        <f>getApertureStart('RawData (GH)'!C159)</f>
        <v>0.85</v>
      </c>
      <c r="E159" s="9">
        <f>getApertureEnd('RawData (GH)'!C159)</f>
        <v>0.85</v>
      </c>
      <c r="F159" s="2">
        <f>getFiltersizeAsDouble('RawData (GH)'!D159)</f>
        <v>67</v>
      </c>
      <c r="G159" s="35">
        <f>getMagnification('RawData (GH)'!E159)</f>
        <v>20</v>
      </c>
      <c r="H159" s="62">
        <f>getMinimalFocus('RawData (GH)'!F159)</f>
        <v>0</v>
      </c>
      <c r="I159" t="str">
        <f>getMount('RawData (GH)'!G159)</f>
        <v>Canon EF-M</v>
      </c>
      <c r="J159" t="str">
        <f>getSensorCompatibility('RawData (GH)'!H159)</f>
        <v>APS-C</v>
      </c>
      <c r="K159" s="45">
        <f>getWeightAsDouble('RawData (GH)'!I159)</f>
        <v>1150</v>
      </c>
      <c r="L159" s="34">
        <f>getSizeDiameter('RawData (GH)'!J159)</f>
        <v>74</v>
      </c>
      <c r="M159" s="34">
        <f>getSizeLength('RawData (GH)'!J159)</f>
        <v>128</v>
      </c>
    </row>
    <row r="160" spans="1:13" x14ac:dyDescent="0.25">
      <c r="A160" t="str">
        <f>'RawData (GH)'!A160</f>
        <v>HandeVision Ibelux 40mm 0.85 für Fujifilm X schwarz</v>
      </c>
      <c r="B160" s="5">
        <f>getFocalLengthStart('RawData (GH)'!B160)</f>
        <v>40</v>
      </c>
      <c r="C160" s="5">
        <f>getFocalLengthEnd('RawData (GH)'!B160)</f>
        <v>40</v>
      </c>
      <c r="D160" s="9">
        <f>getApertureStart('RawData (GH)'!C160)</f>
        <v>0.85</v>
      </c>
      <c r="E160" s="9">
        <f>getApertureEnd('RawData (GH)'!C160)</f>
        <v>0.85</v>
      </c>
      <c r="F160" s="2">
        <f>getFiltersizeAsDouble('RawData (GH)'!D160)</f>
        <v>67</v>
      </c>
      <c r="G160" s="35">
        <f>getMagnification('RawData (GH)'!E160)</f>
        <v>20</v>
      </c>
      <c r="H160" s="62">
        <f>getMinimalFocus('RawData (GH)'!F160)</f>
        <v>0</v>
      </c>
      <c r="I160" t="str">
        <f>getMount('RawData (GH)'!G160)</f>
        <v>Fujifilm X</v>
      </c>
      <c r="J160" t="str">
        <f>getSensorCompatibility('RawData (GH)'!H160)</f>
        <v>APS-C</v>
      </c>
      <c r="K160" s="45">
        <f>getWeightAsDouble('RawData (GH)'!I160)</f>
        <v>1150</v>
      </c>
      <c r="L160" s="34">
        <f>getSizeDiameter('RawData (GH)'!J160)</f>
        <v>74</v>
      </c>
      <c r="M160" s="34">
        <f>getSizeLength('RawData (GH)'!J160)</f>
        <v>128</v>
      </c>
    </row>
    <row r="161" spans="1:13" x14ac:dyDescent="0.25">
      <c r="A161" t="str">
        <f>'RawData (GH)'!A161</f>
        <v>HandeVision Ibelux 40mm 0.85 für Micro-Four-Thirds schwarz</v>
      </c>
      <c r="B161" s="5">
        <f>getFocalLengthStart('RawData (GH)'!B161)</f>
        <v>40</v>
      </c>
      <c r="C161" s="5">
        <f>getFocalLengthEnd('RawData (GH)'!B161)</f>
        <v>40</v>
      </c>
      <c r="D161" s="9">
        <f>getApertureStart('RawData (GH)'!C161)</f>
        <v>0.85</v>
      </c>
      <c r="E161" s="9">
        <f>getApertureEnd('RawData (GH)'!C161)</f>
        <v>0.85</v>
      </c>
      <c r="F161" s="2">
        <f>getFiltersizeAsDouble('RawData (GH)'!D161)</f>
        <v>67</v>
      </c>
      <c r="G161" s="35">
        <f>getMagnification('RawData (GH)'!E161)</f>
        <v>20</v>
      </c>
      <c r="H161" s="62">
        <f>getMinimalFocus('RawData (GH)'!F161)</f>
        <v>0</v>
      </c>
      <c r="I161" t="str">
        <f>getMount('RawData (GH)'!G161)</f>
        <v>Micro-Four-Thirds</v>
      </c>
      <c r="J161" t="str">
        <f>getSensorCompatibility('RawData (GH)'!H161)</f>
        <v>Four-Thirds</v>
      </c>
      <c r="K161" s="45">
        <f>getWeightAsDouble('RawData (GH)'!I161)</f>
        <v>1150</v>
      </c>
      <c r="L161" s="34">
        <f>getSizeDiameter('RawData (GH)'!J161)</f>
        <v>74</v>
      </c>
      <c r="M161" s="34">
        <f>getSizeLength('RawData (GH)'!J161)</f>
        <v>128</v>
      </c>
    </row>
    <row r="162" spans="1:13" x14ac:dyDescent="0.25">
      <c r="A162" t="str">
        <f>'RawData (GH)'!A162</f>
        <v>HandeVision Ibelux 40mm 0.85 für Sony E schwarz</v>
      </c>
      <c r="B162" s="5">
        <f>getFocalLengthStart('RawData (GH)'!B162)</f>
        <v>40</v>
      </c>
      <c r="C162" s="5">
        <f>getFocalLengthEnd('RawData (GH)'!B162)</f>
        <v>40</v>
      </c>
      <c r="D162" s="9">
        <f>getApertureStart('RawData (GH)'!C162)</f>
        <v>0.85</v>
      </c>
      <c r="E162" s="9">
        <f>getApertureEnd('RawData (GH)'!C162)</f>
        <v>0.85</v>
      </c>
      <c r="F162" s="2">
        <f>getFiltersizeAsDouble('RawData (GH)'!D162)</f>
        <v>67</v>
      </c>
      <c r="G162" s="35">
        <f>getMagnification('RawData (GH)'!E162)</f>
        <v>20</v>
      </c>
      <c r="H162" s="62">
        <f>getMinimalFocus('RawData (GH)'!F162)</f>
        <v>0</v>
      </c>
      <c r="I162" t="str">
        <f>getMount('RawData (GH)'!G162)</f>
        <v>Sony E</v>
      </c>
      <c r="J162" t="str">
        <f>getSensorCompatibility('RawData (GH)'!H162)</f>
        <v>APS-C</v>
      </c>
      <c r="K162" s="45">
        <f>getWeightAsDouble('RawData (GH)'!I162)</f>
        <v>1150</v>
      </c>
      <c r="L162" s="34">
        <f>getSizeDiameter('RawData (GH)'!J162)</f>
        <v>74</v>
      </c>
      <c r="M162" s="34">
        <f>getSizeLength('RawData (GH)'!J162)</f>
        <v>128</v>
      </c>
    </row>
    <row r="163" spans="1:13" x14ac:dyDescent="0.25">
      <c r="A163" t="str">
        <f>'RawData (GH)'!A163</f>
        <v>HandeVision Iberit 24mm 2.4 für Sony E schwarz</v>
      </c>
      <c r="B163" s="5">
        <f>getFocalLengthStart('RawData (GH)'!B163)</f>
        <v>24</v>
      </c>
      <c r="C163" s="5">
        <f>getFocalLengthEnd('RawData (GH)'!B163)</f>
        <v>24</v>
      </c>
      <c r="D163" s="9">
        <f>getApertureStart('RawData (GH)'!C163)</f>
        <v>2.4</v>
      </c>
      <c r="E163" s="9">
        <f>getApertureEnd('RawData (GH)'!C163)</f>
        <v>2.4</v>
      </c>
      <c r="F163" s="2">
        <f>getFiltersizeAsDouble('RawData (GH)'!D163)</f>
        <v>49</v>
      </c>
      <c r="G163" s="35">
        <f>getMagnification('RawData (GH)'!E163)</f>
        <v>0</v>
      </c>
      <c r="H163" s="62">
        <f>getMinimalFocus('RawData (GH)'!F163)</f>
        <v>0</v>
      </c>
      <c r="I163" t="str">
        <f>getMount('RawData (GH)'!G163)</f>
        <v>Sony E</v>
      </c>
      <c r="J163" t="str">
        <f>getSensorCompatibility('RawData (GH)'!H163)</f>
        <v>APS-C/ Kleinbild</v>
      </c>
      <c r="K163" s="45">
        <f>getWeightAsDouble('RawData (GH)'!I163)</f>
        <v>320</v>
      </c>
      <c r="L163" s="34">
        <f>getSizeDiameter('RawData (GH)'!J163)</f>
        <v>58</v>
      </c>
      <c r="M163" s="34">
        <f>getSizeLength('RawData (GH)'!J163)</f>
        <v>68</v>
      </c>
    </row>
    <row r="164" spans="1:13" x14ac:dyDescent="0.25">
      <c r="A164" t="str">
        <f>'RawData (GH)'!A164</f>
        <v>HandeVision Iberit 35mm 2.4 für Fujifilm X schwarz</v>
      </c>
      <c r="B164" s="5">
        <f>getFocalLengthStart('RawData (GH)'!B164)</f>
        <v>35</v>
      </c>
      <c r="C164" s="5">
        <f>getFocalLengthEnd('RawData (GH)'!B164)</f>
        <v>35</v>
      </c>
      <c r="D164" s="9">
        <f>getApertureStart('RawData (GH)'!C164)</f>
        <v>2.4</v>
      </c>
      <c r="E164" s="9">
        <f>getApertureEnd('RawData (GH)'!C164)</f>
        <v>2.4</v>
      </c>
      <c r="F164" s="2">
        <f>getFiltersizeAsDouble('RawData (GH)'!D164)</f>
        <v>49</v>
      </c>
      <c r="G164" s="35">
        <f>getMagnification('RawData (GH)'!E164)</f>
        <v>0</v>
      </c>
      <c r="H164" s="62">
        <f>getMinimalFocus('RawData (GH)'!F164)</f>
        <v>0</v>
      </c>
      <c r="I164" t="str">
        <f>getMount('RawData (GH)'!G164)</f>
        <v>Fujifilm X</v>
      </c>
      <c r="J164" t="str">
        <f>getSensorCompatibility('RawData (GH)'!H164)</f>
        <v>APS-C/ Kleinbild</v>
      </c>
      <c r="K164" s="45">
        <f>getWeightAsDouble('RawData (GH)'!I164)</f>
        <v>280</v>
      </c>
      <c r="L164" s="34">
        <f>getSizeDiameter('RawData (GH)'!J164)</f>
        <v>58</v>
      </c>
      <c r="M164" s="34">
        <f>getSizeLength('RawData (GH)'!J164)</f>
        <v>45</v>
      </c>
    </row>
    <row r="165" spans="1:13" x14ac:dyDescent="0.25">
      <c r="A165" t="str">
        <f>'RawData (GH)'!A165</f>
        <v>HandeVision Iberit 35mm 2.4 für Sony E schwarz</v>
      </c>
      <c r="B165" s="5">
        <f>getFocalLengthStart('RawData (GH)'!B165)</f>
        <v>35</v>
      </c>
      <c r="C165" s="5">
        <f>getFocalLengthEnd('RawData (GH)'!B165)</f>
        <v>35</v>
      </c>
      <c r="D165" s="9">
        <f>getApertureStart('RawData (GH)'!C165)</f>
        <v>2.4</v>
      </c>
      <c r="E165" s="9">
        <f>getApertureEnd('RawData (GH)'!C165)</f>
        <v>2.4</v>
      </c>
      <c r="F165" s="2">
        <f>getFiltersizeAsDouble('RawData (GH)'!D165)</f>
        <v>49</v>
      </c>
      <c r="G165" s="35">
        <f>getMagnification('RawData (GH)'!E165)</f>
        <v>0</v>
      </c>
      <c r="H165" s="62">
        <f>getMinimalFocus('RawData (GH)'!F165)</f>
        <v>0</v>
      </c>
      <c r="I165" t="str">
        <f>getMount('RawData (GH)'!G165)</f>
        <v>Sony E</v>
      </c>
      <c r="J165" t="str">
        <f>getSensorCompatibility('RawData (GH)'!H165)</f>
        <v>APS-C/ Kleinbild</v>
      </c>
      <c r="K165" s="45">
        <f>getWeightAsDouble('RawData (GH)'!I165)</f>
        <v>280</v>
      </c>
      <c r="L165" s="34">
        <f>getSizeDiameter('RawData (GH)'!J165)</f>
        <v>58</v>
      </c>
      <c r="M165" s="34">
        <f>getSizeLength('RawData (GH)'!J165)</f>
        <v>45</v>
      </c>
    </row>
    <row r="166" spans="1:13" x14ac:dyDescent="0.25">
      <c r="A166" t="str">
        <f>'RawData (GH)'!A166</f>
        <v>HandeVision Iberit 50mm 2.4 für Fujifilm X schwarz</v>
      </c>
      <c r="B166" s="5">
        <f>getFocalLengthStart('RawData (GH)'!B166)</f>
        <v>50</v>
      </c>
      <c r="C166" s="5">
        <f>getFocalLengthEnd('RawData (GH)'!B166)</f>
        <v>50</v>
      </c>
      <c r="D166" s="9">
        <f>getApertureStart('RawData (GH)'!C166)</f>
        <v>2.4</v>
      </c>
      <c r="E166" s="9">
        <f>getApertureEnd('RawData (GH)'!C166)</f>
        <v>2.4</v>
      </c>
      <c r="F166" s="2">
        <f>getFiltersizeAsDouble('RawData (GH)'!D166)</f>
        <v>49</v>
      </c>
      <c r="G166" s="35">
        <f>getMagnification('RawData (GH)'!E166)</f>
        <v>0</v>
      </c>
      <c r="H166" s="62">
        <f>getMinimalFocus('RawData (GH)'!F166)</f>
        <v>0</v>
      </c>
      <c r="I166" t="str">
        <f>getMount('RawData (GH)'!G166)</f>
        <v>Fujifilm X</v>
      </c>
      <c r="J166" t="str">
        <f>getSensorCompatibility('RawData (GH)'!H166)</f>
        <v>APS-C/ Kleinbild</v>
      </c>
      <c r="K166" s="45">
        <f>getWeightAsDouble('RawData (GH)'!I166)</f>
        <v>310</v>
      </c>
      <c r="L166" s="34">
        <f>getSizeDiameter('RawData (GH)'!J166)</f>
        <v>58</v>
      </c>
      <c r="M166" s="34">
        <f>getSizeLength('RawData (GH)'!J166)</f>
        <v>65</v>
      </c>
    </row>
    <row r="167" spans="1:13" x14ac:dyDescent="0.25">
      <c r="A167" t="str">
        <f>'RawData (GH)'!A167</f>
        <v>HandeVision Iberit 50mm 2.4 für Sony E schwarz</v>
      </c>
      <c r="B167" s="5">
        <f>getFocalLengthStart('RawData (GH)'!B167)</f>
        <v>50</v>
      </c>
      <c r="C167" s="5">
        <f>getFocalLengthEnd('RawData (GH)'!B167)</f>
        <v>50</v>
      </c>
      <c r="D167" s="9">
        <f>getApertureStart('RawData (GH)'!C167)</f>
        <v>2.4</v>
      </c>
      <c r="E167" s="9">
        <f>getApertureEnd('RawData (GH)'!C167)</f>
        <v>2.4</v>
      </c>
      <c r="F167" s="2">
        <f>getFiltersizeAsDouble('RawData (GH)'!D167)</f>
        <v>49</v>
      </c>
      <c r="G167" s="35">
        <f>getMagnification('RawData (GH)'!E167)</f>
        <v>0</v>
      </c>
      <c r="H167" s="62">
        <f>getMinimalFocus('RawData (GH)'!F167)</f>
        <v>0</v>
      </c>
      <c r="I167" t="str">
        <f>getMount('RawData (GH)'!G167)</f>
        <v>Sony E</v>
      </c>
      <c r="J167" t="str">
        <f>getSensorCompatibility('RawData (GH)'!H167)</f>
        <v>APS-C/ Kleinbild</v>
      </c>
      <c r="K167" s="45">
        <f>getWeightAsDouble('RawData (GH)'!I167)</f>
        <v>310</v>
      </c>
      <c r="L167" s="34">
        <f>getSizeDiameter('RawData (GH)'!J167)</f>
        <v>58</v>
      </c>
      <c r="M167" s="34">
        <f>getSizeLength('RawData (GH)'!J167)</f>
        <v>65</v>
      </c>
    </row>
    <row r="168" spans="1:13" x14ac:dyDescent="0.25">
      <c r="A168" t="str">
        <f>'RawData (GH)'!A168</f>
        <v>Hasselblad HC 100mm 2.2 schwarz</v>
      </c>
      <c r="B168" s="5">
        <f>getFocalLengthStart('RawData (GH)'!B168)</f>
        <v>100</v>
      </c>
      <c r="C168" s="5">
        <f>getFocalLengthEnd('RawData (GH)'!B168)</f>
        <v>100</v>
      </c>
      <c r="D168" s="9">
        <f>getApertureStart('RawData (GH)'!C168)</f>
        <v>2.2000000000000002</v>
      </c>
      <c r="E168" s="9">
        <f>getApertureEnd('RawData (GH)'!C168)</f>
        <v>2.2000000000000002</v>
      </c>
      <c r="F168" s="2">
        <f>getFiltersizeAsDouble('RawData (GH)'!D168)</f>
        <v>77</v>
      </c>
      <c r="G168" s="35">
        <f>getMagnification('RawData (GH)'!E168)</f>
        <v>7.2</v>
      </c>
      <c r="H168" s="62">
        <f>getMinimalFocus('RawData (GH)'!F168)</f>
        <v>0</v>
      </c>
      <c r="I168" t="str">
        <f>getMount('RawData (GH)'!G168)</f>
        <v>Hasselblad H</v>
      </c>
      <c r="J168" t="str">
        <f>getSensorCompatibility('RawData (GH)'!H168)</f>
        <v>Mittelformat</v>
      </c>
      <c r="K168" s="45">
        <f>getWeightAsDouble('RawData (GH)'!I168)</f>
        <v>780</v>
      </c>
      <c r="L168" s="34">
        <f>getSizeDiameter('RawData (GH)'!J168)</f>
        <v>87.5</v>
      </c>
      <c r="M168" s="34">
        <f>getSizeLength('RawData (GH)'!J168)</f>
        <v>80.5</v>
      </c>
    </row>
    <row r="169" spans="1:13" x14ac:dyDescent="0.25">
      <c r="A169" t="str">
        <f>'RawData (GH)'!A169</f>
        <v>Hasselblad HC 50-110mm 3.5-4.5 schwarz</v>
      </c>
      <c r="B169" s="5">
        <f>getFocalLengthStart('RawData (GH)'!B169)</f>
        <v>51.6</v>
      </c>
      <c r="C169" s="5">
        <f>getFocalLengthEnd('RawData (GH)'!B169)</f>
        <v>108.3</v>
      </c>
      <c r="D169" s="9">
        <f>getApertureStart('RawData (GH)'!C169)</f>
        <v>3.5</v>
      </c>
      <c r="E169" s="9">
        <f>getApertureEnd('RawData (GH)'!C169)</f>
        <v>4.5</v>
      </c>
      <c r="F169" s="2">
        <f>getFiltersizeAsDouble('RawData (GH)'!D169)</f>
        <v>95</v>
      </c>
      <c r="G169" s="35">
        <f>getMagnification('RawData (GH)'!E169)</f>
        <v>10.8</v>
      </c>
      <c r="H169" s="62">
        <f>getMinimalFocus('RawData (GH)'!F169)</f>
        <v>0</v>
      </c>
      <c r="I169" t="str">
        <f>getMount('RawData (GH)'!G169)</f>
        <v>Hasselblad H</v>
      </c>
      <c r="J169" t="str">
        <f>getSensorCompatibility('RawData (GH)'!H169)</f>
        <v>Mittelformat</v>
      </c>
      <c r="K169" s="45">
        <f>getWeightAsDouble('RawData (GH)'!I169)</f>
        <v>1650</v>
      </c>
      <c r="L169" s="34">
        <f>getSizeDiameter('RawData (GH)'!J169)</f>
        <v>103</v>
      </c>
      <c r="M169" s="34">
        <f>getSizeLength('RawData (GH)'!J169)</f>
        <v>152</v>
      </c>
    </row>
    <row r="170" spans="1:13" x14ac:dyDescent="0.25">
      <c r="A170" t="str">
        <f>'RawData (GH)'!A170</f>
        <v>Hasselblad HC 80mm 2.8 schwarz</v>
      </c>
      <c r="B170" s="5">
        <f>getFocalLengthStart('RawData (GH)'!B170)</f>
        <v>82.3</v>
      </c>
      <c r="C170" s="5">
        <f>getFocalLengthEnd('RawData (GH)'!B170)</f>
        <v>82.3</v>
      </c>
      <c r="D170" s="9">
        <f>getApertureStart('RawData (GH)'!C170)</f>
        <v>2.8</v>
      </c>
      <c r="E170" s="9">
        <f>getApertureEnd('RawData (GH)'!C170)</f>
        <v>2.8</v>
      </c>
      <c r="F170" s="2">
        <f>getFiltersizeAsDouble('RawData (GH)'!D170)</f>
        <v>67</v>
      </c>
      <c r="G170" s="35">
        <f>getMagnification('RawData (GH)'!E170)</f>
        <v>6.5</v>
      </c>
      <c r="H170" s="62">
        <f>getMinimalFocus('RawData (GH)'!F170)</f>
        <v>0</v>
      </c>
      <c r="I170" t="str">
        <f>getMount('RawData (GH)'!G170)</f>
        <v>Hasselblad H</v>
      </c>
      <c r="J170" t="str">
        <f>getSensorCompatibility('RawData (GH)'!H170)</f>
        <v>Mittelformat</v>
      </c>
      <c r="K170" s="45">
        <f>getWeightAsDouble('RawData (GH)'!I170)</f>
        <v>475</v>
      </c>
      <c r="L170" s="34">
        <f>getSizeDiameter('RawData (GH)'!J170)</f>
        <v>84</v>
      </c>
      <c r="M170" s="34">
        <f>getSizeLength('RawData (GH)'!J170)</f>
        <v>70</v>
      </c>
    </row>
    <row r="171" spans="1:13" x14ac:dyDescent="0.25">
      <c r="A171" t="str">
        <f>'RawData (GH)'!A171</f>
        <v>Hasselblad XCD 120mm 3.5 Macro schwarz</v>
      </c>
      <c r="B171" s="5">
        <f>getFocalLengthStart('RawData (GH)'!B171)</f>
        <v>120</v>
      </c>
      <c r="C171" s="5">
        <f>getFocalLengthEnd('RawData (GH)'!B171)</f>
        <v>120</v>
      </c>
      <c r="D171" s="9">
        <f>getApertureStart('RawData (GH)'!C171)</f>
        <v>3.5</v>
      </c>
      <c r="E171" s="9">
        <f>getApertureEnd('RawData (GH)'!C171)</f>
        <v>3.5</v>
      </c>
      <c r="F171" s="2">
        <f>getFiltersizeAsDouble('RawData (GH)'!D171)</f>
        <v>77</v>
      </c>
      <c r="G171" s="35">
        <f>getMagnification('RawData (GH)'!E171)</f>
        <v>2</v>
      </c>
      <c r="H171" s="62">
        <f>getMinimalFocus('RawData (GH)'!F171)</f>
        <v>0</v>
      </c>
      <c r="I171" t="str">
        <f>getMount('RawData (GH)'!G171)</f>
        <v>Hasselblad X</v>
      </c>
      <c r="J171" t="str">
        <f>getSensorCompatibility('RawData (GH)'!H171)</f>
        <v>Mittelformat</v>
      </c>
      <c r="K171" s="45">
        <f>getWeightAsDouble('RawData (GH)'!I171)</f>
        <v>970</v>
      </c>
      <c r="L171" s="34">
        <f>getSizeDiameter('RawData (GH)'!J171)</f>
        <v>81</v>
      </c>
      <c r="M171" s="34">
        <f>getSizeLength('RawData (GH)'!J171)</f>
        <v>150</v>
      </c>
    </row>
    <row r="172" spans="1:13" x14ac:dyDescent="0.25">
      <c r="A172" t="str">
        <f>'RawData (GH)'!A172</f>
        <v>Hasselblad XCD 30mm 3.5 schwarz</v>
      </c>
      <c r="B172" s="5">
        <f>getFocalLengthStart('RawData (GH)'!B172)</f>
        <v>30</v>
      </c>
      <c r="C172" s="5">
        <f>getFocalLengthEnd('RawData (GH)'!B172)</f>
        <v>30</v>
      </c>
      <c r="D172" s="9">
        <f>getApertureStart('RawData (GH)'!C172)</f>
        <v>3.5</v>
      </c>
      <c r="E172" s="9">
        <f>getApertureEnd('RawData (GH)'!C172)</f>
        <v>3.5</v>
      </c>
      <c r="F172" s="2">
        <f>getFiltersizeAsDouble('RawData (GH)'!D172)</f>
        <v>77</v>
      </c>
      <c r="G172" s="35">
        <f>getMagnification('RawData (GH)'!E172)</f>
        <v>9.6</v>
      </c>
      <c r="H172" s="62">
        <f>getMinimalFocus('RawData (GH)'!F172)</f>
        <v>0</v>
      </c>
      <c r="I172" t="str">
        <f>getMount('RawData (GH)'!G172)</f>
        <v>Hasselblad X</v>
      </c>
      <c r="J172" t="str">
        <f>getSensorCompatibility('RawData (GH)'!H172)</f>
        <v>Mittelformat</v>
      </c>
      <c r="K172" s="45">
        <f>getWeightAsDouble('RawData (GH)'!I172)</f>
        <v>550</v>
      </c>
      <c r="L172" s="34">
        <f>getSizeDiameter('RawData (GH)'!J172)</f>
        <v>83</v>
      </c>
      <c r="M172" s="34">
        <f>getSizeLength('RawData (GH)'!J172)</f>
        <v>88</v>
      </c>
    </row>
    <row r="173" spans="1:13" x14ac:dyDescent="0.25">
      <c r="A173" t="str">
        <f>'RawData (GH)'!A173</f>
        <v>Hasselblad XCD 45mm 3.5 schwarz</v>
      </c>
      <c r="B173" s="5">
        <f>getFocalLengthStart('RawData (GH)'!B173)</f>
        <v>45</v>
      </c>
      <c r="C173" s="5">
        <f>getFocalLengthEnd('RawData (GH)'!B173)</f>
        <v>45</v>
      </c>
      <c r="D173" s="9">
        <f>getApertureStart('RawData (GH)'!C173)</f>
        <v>3.5</v>
      </c>
      <c r="E173" s="9">
        <f>getApertureEnd('RawData (GH)'!C173)</f>
        <v>3.5</v>
      </c>
      <c r="F173" s="2">
        <f>getFiltersizeAsDouble('RawData (GH)'!D173)</f>
        <v>67</v>
      </c>
      <c r="G173" s="35">
        <f>getMagnification('RawData (GH)'!E173)</f>
        <v>6.4</v>
      </c>
      <c r="H173" s="62">
        <f>getMinimalFocus('RawData (GH)'!F173)</f>
        <v>0</v>
      </c>
      <c r="I173" t="str">
        <f>getMount('RawData (GH)'!G173)</f>
        <v>Hasselblad X</v>
      </c>
      <c r="J173" t="str">
        <f>getSensorCompatibility('RawData (GH)'!H173)</f>
        <v>Mittelformat</v>
      </c>
      <c r="K173" s="45">
        <f>getWeightAsDouble('RawData (GH)'!I173)</f>
        <v>417</v>
      </c>
      <c r="L173" s="34">
        <f>getSizeDiameter('RawData (GH)'!J173)</f>
        <v>77</v>
      </c>
      <c r="M173" s="34">
        <f>getSizeLength('RawData (GH)'!J173)</f>
        <v>75</v>
      </c>
    </row>
    <row r="174" spans="1:13" x14ac:dyDescent="0.25">
      <c r="A174" t="str">
        <f>'RawData (GH)'!A174</f>
        <v>Hasselblad XCD 90mm 3.2 schwarz</v>
      </c>
      <c r="B174" s="5">
        <f>getFocalLengthStart('RawData (GH)'!B174)</f>
        <v>90</v>
      </c>
      <c r="C174" s="5">
        <f>getFocalLengthEnd('RawData (GH)'!B174)</f>
        <v>90</v>
      </c>
      <c r="D174" s="9">
        <f>getApertureStart('RawData (GH)'!C174)</f>
        <v>3.2</v>
      </c>
      <c r="E174" s="9">
        <f>getApertureEnd('RawData (GH)'!C174)</f>
        <v>3.2</v>
      </c>
      <c r="F174" s="2">
        <f>getFiltersizeAsDouble('RawData (GH)'!D174)</f>
        <v>67</v>
      </c>
      <c r="G174" s="35">
        <f>getMagnification('RawData (GH)'!E174)</f>
        <v>6</v>
      </c>
      <c r="H174" s="62">
        <f>getMinimalFocus('RawData (GH)'!F174)</f>
        <v>0</v>
      </c>
      <c r="I174" t="str">
        <f>getMount('RawData (GH)'!G174)</f>
        <v>Hasselblad X</v>
      </c>
      <c r="J174" t="str">
        <f>getSensorCompatibility('RawData (GH)'!H174)</f>
        <v>Mittelformat</v>
      </c>
      <c r="K174" s="45">
        <f>getWeightAsDouble('RawData (GH)'!I174)</f>
        <v>619</v>
      </c>
      <c r="L174" s="34">
        <f>getSizeDiameter('RawData (GH)'!J174)</f>
        <v>77</v>
      </c>
      <c r="M174" s="34">
        <f>getSizeLength('RawData (GH)'!J174)</f>
        <v>100</v>
      </c>
    </row>
    <row r="175" spans="1:13" x14ac:dyDescent="0.25">
      <c r="A175" t="str">
        <f>'RawData (GH)'!A175</f>
        <v>Irix 11mm 4.0 Blackstone für Canon EF schwarz</v>
      </c>
      <c r="B175" s="5">
        <f>getFocalLengthStart('RawData (GH)'!B175)</f>
        <v>11</v>
      </c>
      <c r="C175" s="5">
        <f>getFocalLengthEnd('RawData (GH)'!B175)</f>
        <v>11</v>
      </c>
      <c r="D175" s="9">
        <f>getApertureStart('RawData (GH)'!C175)</f>
        <v>4</v>
      </c>
      <c r="E175" s="9">
        <f>getApertureEnd('RawData (GH)'!C175)</f>
        <v>4</v>
      </c>
      <c r="F175" s="2">
        <f>getFiltersizeAsDouble('RawData (GH)'!D175)</f>
        <v>0</v>
      </c>
      <c r="G175" s="35">
        <f>getMagnification('RawData (GH)'!E175)</f>
        <v>0</v>
      </c>
      <c r="H175" s="62">
        <f>getMinimalFocus('RawData (GH)'!F175)</f>
        <v>0</v>
      </c>
      <c r="I175" t="str">
        <f>getMount('RawData (GH)'!G175)</f>
        <v>Canon EF</v>
      </c>
      <c r="J175" t="str">
        <f>getSensorCompatibility('RawData (GH)'!H175)</f>
        <v>APS-C/ Kleinbild</v>
      </c>
      <c r="K175" s="45">
        <f>getWeightAsDouble('RawData (GH)'!I175)</f>
        <v>790</v>
      </c>
      <c r="L175" s="34">
        <f>getSizeDiameter('RawData (GH)'!J175)</f>
        <v>118</v>
      </c>
      <c r="M175" s="34">
        <f>getSizeLength('RawData (GH)'!J175)</f>
        <v>103</v>
      </c>
    </row>
    <row r="176" spans="1:13" x14ac:dyDescent="0.25">
      <c r="A176" t="str">
        <f>'RawData (GH)'!A176</f>
        <v>Irix 11mm 4.0 Blackstone für Nikon F schwarz</v>
      </c>
      <c r="B176" s="5">
        <f>getFocalLengthStart('RawData (GH)'!B176)</f>
        <v>11</v>
      </c>
      <c r="C176" s="5">
        <f>getFocalLengthEnd('RawData (GH)'!B176)</f>
        <v>11</v>
      </c>
      <c r="D176" s="9">
        <f>getApertureStart('RawData (GH)'!C176)</f>
        <v>4</v>
      </c>
      <c r="E176" s="9">
        <f>getApertureEnd('RawData (GH)'!C176)</f>
        <v>4</v>
      </c>
      <c r="F176" s="2">
        <f>getFiltersizeAsDouble('RawData (GH)'!D176)</f>
        <v>0</v>
      </c>
      <c r="G176" s="35">
        <f>getMagnification('RawData (GH)'!E176)</f>
        <v>0</v>
      </c>
      <c r="H176" s="62">
        <f>getMinimalFocus('RawData (GH)'!F176)</f>
        <v>0</v>
      </c>
      <c r="I176" t="str">
        <f>getMount('RawData (GH)'!G176)</f>
        <v>Nikon F</v>
      </c>
      <c r="J176" t="str">
        <f>getSensorCompatibility('RawData (GH)'!H176)</f>
        <v>APS-C/ Kleinbild</v>
      </c>
      <c r="K176" s="45">
        <f>getWeightAsDouble('RawData (GH)'!I176)</f>
        <v>790</v>
      </c>
      <c r="L176" s="34">
        <f>getSizeDiameter('RawData (GH)'!J176)</f>
        <v>118</v>
      </c>
      <c r="M176" s="34">
        <f>getSizeLength('RawData (GH)'!J176)</f>
        <v>103</v>
      </c>
    </row>
    <row r="177" spans="1:13" x14ac:dyDescent="0.25">
      <c r="A177" t="str">
        <f>'RawData (GH)'!A177</f>
        <v>Irix 11mm 4.0 Blackstone für Pentax K schwarz</v>
      </c>
      <c r="B177" s="5">
        <f>getFocalLengthStart('RawData (GH)'!B177)</f>
        <v>11</v>
      </c>
      <c r="C177" s="5">
        <f>getFocalLengthEnd('RawData (GH)'!B177)</f>
        <v>11</v>
      </c>
      <c r="D177" s="9">
        <f>getApertureStart('RawData (GH)'!C177)</f>
        <v>4</v>
      </c>
      <c r="E177" s="9">
        <f>getApertureEnd('RawData (GH)'!C177)</f>
        <v>4</v>
      </c>
      <c r="F177" s="2">
        <f>getFiltersizeAsDouble('RawData (GH)'!D177)</f>
        <v>0</v>
      </c>
      <c r="G177" s="35">
        <f>getMagnification('RawData (GH)'!E177)</f>
        <v>0</v>
      </c>
      <c r="H177" s="62">
        <f>getMinimalFocus('RawData (GH)'!F177)</f>
        <v>0</v>
      </c>
      <c r="I177" t="str">
        <f>getMount('RawData (GH)'!G177)</f>
        <v>Pentax K</v>
      </c>
      <c r="J177" t="str">
        <f>getSensorCompatibility('RawData (GH)'!H177)</f>
        <v>APS-C/ Kleinbild</v>
      </c>
      <c r="K177" s="45">
        <f>getWeightAsDouble('RawData (GH)'!I177)</f>
        <v>790</v>
      </c>
      <c r="L177" s="34">
        <f>getSizeDiameter('RawData (GH)'!J177)</f>
        <v>118</v>
      </c>
      <c r="M177" s="34">
        <f>getSizeLength('RawData (GH)'!J177)</f>
        <v>103</v>
      </c>
    </row>
    <row r="178" spans="1:13" x14ac:dyDescent="0.25">
      <c r="A178" t="str">
        <f>'RawData (GH)'!A178</f>
        <v>Irix 11mm 4.0 Firefly für Canon EF schwarz</v>
      </c>
      <c r="B178" s="5">
        <f>getFocalLengthStart('RawData (GH)'!B178)</f>
        <v>11</v>
      </c>
      <c r="C178" s="5">
        <f>getFocalLengthEnd('RawData (GH)'!B178)</f>
        <v>11</v>
      </c>
      <c r="D178" s="9">
        <f>getApertureStart('RawData (GH)'!C178)</f>
        <v>4</v>
      </c>
      <c r="E178" s="9">
        <f>getApertureEnd('RawData (GH)'!C178)</f>
        <v>4</v>
      </c>
      <c r="F178" s="2">
        <f>getFiltersizeAsDouble('RawData (GH)'!D178)</f>
        <v>0</v>
      </c>
      <c r="G178" s="35">
        <f>getMagnification('RawData (GH)'!E178)</f>
        <v>0</v>
      </c>
      <c r="H178" s="62">
        <f>getMinimalFocus('RawData (GH)'!F178)</f>
        <v>0</v>
      </c>
      <c r="I178" t="str">
        <f>getMount('RawData (GH)'!G178)</f>
        <v>Canon EF</v>
      </c>
      <c r="J178" t="str">
        <f>getSensorCompatibility('RawData (GH)'!H178)</f>
        <v>APS-C/ Kleinbild</v>
      </c>
      <c r="K178" s="45">
        <f>getWeightAsDouble('RawData (GH)'!I178)</f>
        <v>790</v>
      </c>
      <c r="L178" s="34">
        <f>getSizeDiameter('RawData (GH)'!J178)</f>
        <v>118</v>
      </c>
      <c r="M178" s="34">
        <f>getSizeLength('RawData (GH)'!J178)</f>
        <v>103</v>
      </c>
    </row>
    <row r="179" spans="1:13" x14ac:dyDescent="0.25">
      <c r="A179" t="str">
        <f>'RawData (GH)'!A179</f>
        <v>Irix 11mm 4.0 Firefly für Nikon F schwarz</v>
      </c>
      <c r="B179" s="5">
        <f>getFocalLengthStart('RawData (GH)'!B179)</f>
        <v>11</v>
      </c>
      <c r="C179" s="5">
        <f>getFocalLengthEnd('RawData (GH)'!B179)</f>
        <v>11</v>
      </c>
      <c r="D179" s="9">
        <f>getApertureStart('RawData (GH)'!C179)</f>
        <v>4</v>
      </c>
      <c r="E179" s="9">
        <f>getApertureEnd('RawData (GH)'!C179)</f>
        <v>4</v>
      </c>
      <c r="F179" s="2">
        <f>getFiltersizeAsDouble('RawData (GH)'!D179)</f>
        <v>0</v>
      </c>
      <c r="G179" s="35">
        <f>getMagnification('RawData (GH)'!E179)</f>
        <v>0</v>
      </c>
      <c r="H179" s="62">
        <f>getMinimalFocus('RawData (GH)'!F179)</f>
        <v>0</v>
      </c>
      <c r="I179" t="str">
        <f>getMount('RawData (GH)'!G179)</f>
        <v>Nikon F</v>
      </c>
      <c r="J179" t="str">
        <f>getSensorCompatibility('RawData (GH)'!H179)</f>
        <v>APS-C/ Kleinbild</v>
      </c>
      <c r="K179" s="45">
        <f>getWeightAsDouble('RawData (GH)'!I179)</f>
        <v>790</v>
      </c>
      <c r="L179" s="34">
        <f>getSizeDiameter('RawData (GH)'!J179)</f>
        <v>118</v>
      </c>
      <c r="M179" s="34">
        <f>getSizeLength('RawData (GH)'!J179)</f>
        <v>103</v>
      </c>
    </row>
    <row r="180" spans="1:13" x14ac:dyDescent="0.25">
      <c r="A180" t="str">
        <f>'RawData (GH)'!A180</f>
        <v>Irix 11mm 4.0 Firefly für Pentax K schwarz</v>
      </c>
      <c r="B180" s="5">
        <f>getFocalLengthStart('RawData (GH)'!B180)</f>
        <v>11</v>
      </c>
      <c r="C180" s="5">
        <f>getFocalLengthEnd('RawData (GH)'!B180)</f>
        <v>11</v>
      </c>
      <c r="D180" s="9">
        <f>getApertureStart('RawData (GH)'!C180)</f>
        <v>4</v>
      </c>
      <c r="E180" s="9">
        <f>getApertureEnd('RawData (GH)'!C180)</f>
        <v>4</v>
      </c>
      <c r="F180" s="2">
        <f>getFiltersizeAsDouble('RawData (GH)'!D180)</f>
        <v>0</v>
      </c>
      <c r="G180" s="35">
        <f>getMagnification('RawData (GH)'!E180)</f>
        <v>0</v>
      </c>
      <c r="H180" s="62">
        <f>getMinimalFocus('RawData (GH)'!F180)</f>
        <v>0</v>
      </c>
      <c r="I180" t="str">
        <f>getMount('RawData (GH)'!G180)</f>
        <v>Pentax K</v>
      </c>
      <c r="J180" t="str">
        <f>getSensorCompatibility('RawData (GH)'!H180)</f>
        <v>APS-C/ Kleinbild</v>
      </c>
      <c r="K180" s="45">
        <f>getWeightAsDouble('RawData (GH)'!I180)</f>
        <v>790</v>
      </c>
      <c r="L180" s="34">
        <f>getSizeDiameter('RawData (GH)'!J180)</f>
        <v>118</v>
      </c>
      <c r="M180" s="34">
        <f>getSizeLength('RawData (GH)'!J180)</f>
        <v>103</v>
      </c>
    </row>
    <row r="181" spans="1:13" x14ac:dyDescent="0.25">
      <c r="A181" t="str">
        <f>'RawData (GH)'!A181</f>
        <v>Irix 15mm 2.4 Blackstone für Canon EF schwarz</v>
      </c>
      <c r="B181" s="5">
        <f>getFocalLengthStart('RawData (GH)'!B181)</f>
        <v>15</v>
      </c>
      <c r="C181" s="5">
        <f>getFocalLengthEnd('RawData (GH)'!B181)</f>
        <v>15</v>
      </c>
      <c r="D181" s="9">
        <f>getApertureStart('RawData (GH)'!C181)</f>
        <v>2.4</v>
      </c>
      <c r="E181" s="9">
        <f>getApertureEnd('RawData (GH)'!C181)</f>
        <v>2.4</v>
      </c>
      <c r="F181" s="2">
        <f>getFiltersizeAsDouble('RawData (GH)'!D181)</f>
        <v>95</v>
      </c>
      <c r="G181" s="35">
        <f>getMagnification('RawData (GH)'!E181)</f>
        <v>0</v>
      </c>
      <c r="H181" s="62">
        <f>getMinimalFocus('RawData (GH)'!F181)</f>
        <v>0</v>
      </c>
      <c r="I181" t="str">
        <f>getMount('RawData (GH)'!G181)</f>
        <v>Canon EF</v>
      </c>
      <c r="J181" t="str">
        <f>getSensorCompatibility('RawData (GH)'!H181)</f>
        <v>APS-C/ Kleinbild</v>
      </c>
      <c r="K181" s="45">
        <f>getWeightAsDouble('RawData (GH)'!I181)</f>
        <v>685</v>
      </c>
      <c r="L181" s="34">
        <f>getSizeDiameter('RawData (GH)'!J181)</f>
        <v>114</v>
      </c>
      <c r="M181" s="34">
        <f>getSizeLength('RawData (GH)'!J181)</f>
        <v>100</v>
      </c>
    </row>
    <row r="182" spans="1:13" x14ac:dyDescent="0.25">
      <c r="A182" t="str">
        <f>'RawData (GH)'!A182</f>
        <v>Irix 15mm 2.4 Blackstone für Nikon F schwarz</v>
      </c>
      <c r="B182" s="5">
        <f>getFocalLengthStart('RawData (GH)'!B182)</f>
        <v>15</v>
      </c>
      <c r="C182" s="5">
        <f>getFocalLengthEnd('RawData (GH)'!B182)</f>
        <v>15</v>
      </c>
      <c r="D182" s="9">
        <f>getApertureStart('RawData (GH)'!C182)</f>
        <v>2.4</v>
      </c>
      <c r="E182" s="9">
        <f>getApertureEnd('RawData (GH)'!C182)</f>
        <v>2.4</v>
      </c>
      <c r="F182" s="2">
        <f>getFiltersizeAsDouble('RawData (GH)'!D182)</f>
        <v>95</v>
      </c>
      <c r="G182" s="35">
        <f>getMagnification('RawData (GH)'!E182)</f>
        <v>0</v>
      </c>
      <c r="H182" s="62">
        <f>getMinimalFocus('RawData (GH)'!F182)</f>
        <v>0</v>
      </c>
      <c r="I182" t="str">
        <f>getMount('RawData (GH)'!G182)</f>
        <v>Nikon F</v>
      </c>
      <c r="J182" t="str">
        <f>getSensorCompatibility('RawData (GH)'!H182)</f>
        <v>APS-C/ Kleinbild</v>
      </c>
      <c r="K182" s="45">
        <f>getWeightAsDouble('RawData (GH)'!I182)</f>
        <v>653</v>
      </c>
      <c r="L182" s="34">
        <f>getSizeDiameter('RawData (GH)'!J182)</f>
        <v>114</v>
      </c>
      <c r="M182" s="34">
        <f>getSizeLength('RawData (GH)'!J182)</f>
        <v>100</v>
      </c>
    </row>
    <row r="183" spans="1:13" x14ac:dyDescent="0.25">
      <c r="A183" t="str">
        <f>'RawData (GH)'!A183</f>
        <v>Irix 15mm 2.4 Blackstone für Pentax K schwarz</v>
      </c>
      <c r="B183" s="5">
        <f>getFocalLengthStart('RawData (GH)'!B183)</f>
        <v>15</v>
      </c>
      <c r="C183" s="5">
        <f>getFocalLengthEnd('RawData (GH)'!B183)</f>
        <v>15</v>
      </c>
      <c r="D183" s="9">
        <f>getApertureStart('RawData (GH)'!C183)</f>
        <v>2.4</v>
      </c>
      <c r="E183" s="9">
        <f>getApertureEnd('RawData (GH)'!C183)</f>
        <v>2.4</v>
      </c>
      <c r="F183" s="2">
        <f>getFiltersizeAsDouble('RawData (GH)'!D183)</f>
        <v>95</v>
      </c>
      <c r="G183" s="35">
        <f>getMagnification('RawData (GH)'!E183)</f>
        <v>0</v>
      </c>
      <c r="H183" s="62">
        <f>getMinimalFocus('RawData (GH)'!F183)</f>
        <v>0</v>
      </c>
      <c r="I183" t="str">
        <f>getMount('RawData (GH)'!G183)</f>
        <v>Pentax K</v>
      </c>
      <c r="J183" t="str">
        <f>getSensorCompatibility('RawData (GH)'!H183)</f>
        <v>APS-C/ Kleinbild</v>
      </c>
      <c r="K183" s="45">
        <f>getWeightAsDouble('RawData (GH)'!I183)</f>
        <v>0</v>
      </c>
      <c r="L183" s="34">
        <f>getSizeDiameter('RawData (GH)'!J183)</f>
        <v>114</v>
      </c>
      <c r="M183" s="34">
        <f>getSizeLength('RawData (GH)'!J183)</f>
        <v>100</v>
      </c>
    </row>
    <row r="184" spans="1:13" x14ac:dyDescent="0.25">
      <c r="A184" t="str">
        <f>'RawData (GH)'!A184</f>
        <v>Irix 15mm 2.4 Firefly für Canon EF schwarz</v>
      </c>
      <c r="B184" s="5">
        <f>getFocalLengthStart('RawData (GH)'!B184)</f>
        <v>15</v>
      </c>
      <c r="C184" s="5">
        <f>getFocalLengthEnd('RawData (GH)'!B184)</f>
        <v>15</v>
      </c>
      <c r="D184" s="9">
        <f>getApertureStart('RawData (GH)'!C184)</f>
        <v>2.4</v>
      </c>
      <c r="E184" s="9">
        <f>getApertureEnd('RawData (GH)'!C184)</f>
        <v>2.4</v>
      </c>
      <c r="F184" s="2">
        <f>getFiltersizeAsDouble('RawData (GH)'!D184)</f>
        <v>95</v>
      </c>
      <c r="G184" s="35">
        <f>getMagnification('RawData (GH)'!E184)</f>
        <v>0</v>
      </c>
      <c r="H184" s="62">
        <f>getMinimalFocus('RawData (GH)'!F184)</f>
        <v>0</v>
      </c>
      <c r="I184" t="str">
        <f>getMount('RawData (GH)'!G184)</f>
        <v>Canon EF</v>
      </c>
      <c r="J184" t="str">
        <f>getSensorCompatibility('RawData (GH)'!H184)</f>
        <v>APS-C/ Kleinbild</v>
      </c>
      <c r="K184" s="45">
        <f>getWeightAsDouble('RawData (GH)'!I184)</f>
        <v>608</v>
      </c>
      <c r="L184" s="34">
        <f>getSizeDiameter('RawData (GH)'!J184)</f>
        <v>114</v>
      </c>
      <c r="M184" s="34">
        <f>getSizeLength('RawData (GH)'!J184)</f>
        <v>100</v>
      </c>
    </row>
    <row r="185" spans="1:13" x14ac:dyDescent="0.25">
      <c r="A185" t="str">
        <f>'RawData (GH)'!A185</f>
        <v>Irix 15mm 2.4 Firefly für Nikon F schwarz</v>
      </c>
      <c r="B185" s="5">
        <f>getFocalLengthStart('RawData (GH)'!B185)</f>
        <v>15</v>
      </c>
      <c r="C185" s="5">
        <f>getFocalLengthEnd('RawData (GH)'!B185)</f>
        <v>15</v>
      </c>
      <c r="D185" s="9">
        <f>getApertureStart('RawData (GH)'!C185)</f>
        <v>2.4</v>
      </c>
      <c r="E185" s="9">
        <f>getApertureEnd('RawData (GH)'!C185)</f>
        <v>2.4</v>
      </c>
      <c r="F185" s="2">
        <f>getFiltersizeAsDouble('RawData (GH)'!D185)</f>
        <v>95</v>
      </c>
      <c r="G185" s="35">
        <f>getMagnification('RawData (GH)'!E185)</f>
        <v>0</v>
      </c>
      <c r="H185" s="62">
        <f>getMinimalFocus('RawData (GH)'!F185)</f>
        <v>0</v>
      </c>
      <c r="I185" t="str">
        <f>getMount('RawData (GH)'!G185)</f>
        <v>Nikon F</v>
      </c>
      <c r="J185" t="str">
        <f>getSensorCompatibility('RawData (GH)'!H185)</f>
        <v>APS-C/ Kleinbild</v>
      </c>
      <c r="K185" s="45">
        <f>getWeightAsDouble('RawData (GH)'!I185)</f>
        <v>581</v>
      </c>
      <c r="L185" s="34">
        <f>getSizeDiameter('RawData (GH)'!J185)</f>
        <v>114</v>
      </c>
      <c r="M185" s="34">
        <f>getSizeLength('RawData (GH)'!J185)</f>
        <v>100</v>
      </c>
    </row>
    <row r="186" spans="1:13" x14ac:dyDescent="0.25">
      <c r="A186" t="str">
        <f>'RawData (GH)'!A186</f>
        <v>Irix 15mm 2.4 Firefly für Pentax K schwarz</v>
      </c>
      <c r="B186" s="5">
        <f>getFocalLengthStart('RawData (GH)'!B186)</f>
        <v>15</v>
      </c>
      <c r="C186" s="5">
        <f>getFocalLengthEnd('RawData (GH)'!B186)</f>
        <v>15</v>
      </c>
      <c r="D186" s="9">
        <f>getApertureStart('RawData (GH)'!C186)</f>
        <v>2.4</v>
      </c>
      <c r="E186" s="9">
        <f>getApertureEnd('RawData (GH)'!C186)</f>
        <v>2.4</v>
      </c>
      <c r="F186" s="2">
        <f>getFiltersizeAsDouble('RawData (GH)'!D186)</f>
        <v>95</v>
      </c>
      <c r="G186" s="35">
        <f>getMagnification('RawData (GH)'!E186)</f>
        <v>0</v>
      </c>
      <c r="H186" s="62">
        <f>getMinimalFocus('RawData (GH)'!F186)</f>
        <v>0</v>
      </c>
      <c r="I186" t="str">
        <f>getMount('RawData (GH)'!G186)</f>
        <v>Pentax K</v>
      </c>
      <c r="J186" t="str">
        <f>getSensorCompatibility('RawData (GH)'!H186)</f>
        <v>APS-C/ Kleinbild</v>
      </c>
      <c r="K186" s="45">
        <f>getWeightAsDouble('RawData (GH)'!I186)</f>
        <v>0</v>
      </c>
      <c r="L186" s="34">
        <f>getSizeDiameter('RawData (GH)'!J186)</f>
        <v>114</v>
      </c>
      <c r="M186" s="34">
        <f>getSizeLength('RawData (GH)'!J186)</f>
        <v>100</v>
      </c>
    </row>
    <row r="187" spans="1:13" x14ac:dyDescent="0.25">
      <c r="A187" t="str">
        <f>'RawData (GH)'!A187</f>
        <v>Kowa Prominar 12mm 1.8 für Micro-Four-Thirds</v>
      </c>
      <c r="B187" s="5">
        <f>getFocalLengthStart('RawData (GH)'!B187)</f>
        <v>12</v>
      </c>
      <c r="C187" s="5">
        <f>getFocalLengthEnd('RawData (GH)'!B187)</f>
        <v>12</v>
      </c>
      <c r="D187" s="9">
        <f>getApertureStart('RawData (GH)'!C187)</f>
        <v>1.8</v>
      </c>
      <c r="E187" s="9">
        <f>getApertureEnd('RawData (GH)'!C187)</f>
        <v>1.8</v>
      </c>
      <c r="F187" s="2">
        <f>getFiltersizeAsDouble('RawData (GH)'!D187)</f>
        <v>72</v>
      </c>
      <c r="G187" s="35">
        <f>getMagnification('RawData (GH)'!E187)</f>
        <v>10</v>
      </c>
      <c r="H187" s="62">
        <f>getMinimalFocus('RawData (GH)'!F187)</f>
        <v>0</v>
      </c>
      <c r="I187" t="str">
        <f>getMount('RawData (GH)'!G187)</f>
        <v>Micro-Four-Thirds</v>
      </c>
      <c r="J187" t="str">
        <f>getSensorCompatibility('RawData (GH)'!H187)</f>
        <v>Four-Thirds</v>
      </c>
      <c r="K187" s="45">
        <f>getWeightAsDouble('RawData (GH)'!I187)</f>
        <v>475</v>
      </c>
      <c r="L187" s="34">
        <f>getSizeDiameter('RawData (GH)'!J187)</f>
        <v>76.5</v>
      </c>
      <c r="M187" s="34">
        <f>getSizeLength('RawData (GH)'!J187)</f>
        <v>90.5</v>
      </c>
    </row>
    <row r="188" spans="1:13" x14ac:dyDescent="0.25">
      <c r="A188" t="str">
        <f>'RawData (GH)'!A188</f>
        <v>Kowa Prominar 25mm 1.8 für Micro-Four-Thirds</v>
      </c>
      <c r="B188" s="5">
        <f>getFocalLengthStart('RawData (GH)'!B188)</f>
        <v>25</v>
      </c>
      <c r="C188" s="5">
        <f>getFocalLengthEnd('RawData (GH)'!B188)</f>
        <v>25</v>
      </c>
      <c r="D188" s="9">
        <f>getApertureStart('RawData (GH)'!C188)</f>
        <v>1.8</v>
      </c>
      <c r="E188" s="9">
        <f>getApertureEnd('RawData (GH)'!C188)</f>
        <v>1.8</v>
      </c>
      <c r="F188" s="2">
        <f>getFiltersizeAsDouble('RawData (GH)'!D188)</f>
        <v>55</v>
      </c>
      <c r="G188" s="35">
        <f>getMagnification('RawData (GH)'!E188)</f>
        <v>6.5</v>
      </c>
      <c r="H188" s="62">
        <f>getMinimalFocus('RawData (GH)'!F188)</f>
        <v>0</v>
      </c>
      <c r="I188" t="str">
        <f>getMount('RawData (GH)'!G188)</f>
        <v>Micro-Four-Thirds</v>
      </c>
      <c r="J188" t="str">
        <f>getSensorCompatibility('RawData (GH)'!H188)</f>
        <v>Four-Thirds</v>
      </c>
      <c r="K188" s="45">
        <f>getWeightAsDouble('RawData (GH)'!I188)</f>
        <v>400</v>
      </c>
      <c r="L188" s="34">
        <f>getSizeDiameter('RawData (GH)'!J188)</f>
        <v>60</v>
      </c>
      <c r="M188" s="34">
        <f>getSizeLength('RawData (GH)'!J188)</f>
        <v>94</v>
      </c>
    </row>
    <row r="189" spans="1:13" x14ac:dyDescent="0.25">
      <c r="A189" t="str">
        <f>'RawData (GH)'!A189</f>
        <v>Kowa Prominar 8.5mm 2.8 für Micro-Four-Thirds</v>
      </c>
      <c r="B189" s="5">
        <f>getFocalLengthStart('RawData (GH)'!B189)</f>
        <v>8.5</v>
      </c>
      <c r="C189" s="5">
        <f>getFocalLengthEnd('RawData (GH)'!B189)</f>
        <v>8.5</v>
      </c>
      <c r="D189" s="9">
        <f>getApertureStart('RawData (GH)'!C189)</f>
        <v>2.8</v>
      </c>
      <c r="E189" s="9">
        <f>getApertureEnd('RawData (GH)'!C189)</f>
        <v>2.8</v>
      </c>
      <c r="F189" s="2">
        <f>getFiltersizeAsDouble('RawData (GH)'!D189)</f>
        <v>86</v>
      </c>
      <c r="G189" s="35">
        <f>getMagnification('RawData (GH)'!E189)</f>
        <v>12.5</v>
      </c>
      <c r="H189" s="62">
        <f>getMinimalFocus('RawData (GH)'!F189)</f>
        <v>0</v>
      </c>
      <c r="I189" t="str">
        <f>getMount('RawData (GH)'!G189)</f>
        <v>Micro-Four-Thirds</v>
      </c>
      <c r="J189" t="str">
        <f>getSensorCompatibility('RawData (GH)'!H189)</f>
        <v>Four-Thirds</v>
      </c>
      <c r="K189" s="45">
        <f>getWeightAsDouble('RawData (GH)'!I189)</f>
        <v>440</v>
      </c>
      <c r="L189" s="34">
        <f>getSizeDiameter('RawData (GH)'!J189)</f>
        <v>71.5</v>
      </c>
      <c r="M189" s="34">
        <f>getSizeLength('RawData (GH)'!J189)</f>
        <v>86.8</v>
      </c>
    </row>
    <row r="190" spans="1:13" x14ac:dyDescent="0.25">
      <c r="A190" t="str">
        <f>'RawData (GH)'!A190</f>
        <v>Laowa 105mm 2.0 (T3.2) STF für Canon EF schwarz</v>
      </c>
      <c r="B190" s="5">
        <f>getFocalLengthStart('RawData (GH)'!B190)</f>
        <v>105</v>
      </c>
      <c r="C190" s="5">
        <f>getFocalLengthEnd('RawData (GH)'!B190)</f>
        <v>105</v>
      </c>
      <c r="D190" s="9">
        <f>getApertureStart('RawData (GH)'!C190)</f>
        <v>2</v>
      </c>
      <c r="E190" s="9">
        <f>getApertureEnd('RawData (GH)'!C190)</f>
        <v>2</v>
      </c>
      <c r="F190" s="2">
        <f>getFiltersizeAsDouble('RawData (GH)'!D190)</f>
        <v>67</v>
      </c>
      <c r="G190" s="35">
        <f>getMagnification('RawData (GH)'!E190)</f>
        <v>6.15</v>
      </c>
      <c r="H190" s="62">
        <f>getMinimalFocus('RawData (GH)'!F190)</f>
        <v>0</v>
      </c>
      <c r="I190" t="str">
        <f>getMount('RawData (GH)'!G190)</f>
        <v>Canon EF</v>
      </c>
      <c r="J190" t="str">
        <f>getSensorCompatibility('RawData (GH)'!H190)</f>
        <v>APS-C/ Kleinbild</v>
      </c>
      <c r="K190" s="45">
        <f>getWeightAsDouble('RawData (GH)'!I190)</f>
        <v>745</v>
      </c>
      <c r="L190" s="34">
        <f>getSizeDiameter('RawData (GH)'!J190)</f>
        <v>76</v>
      </c>
      <c r="M190" s="34">
        <f>getSizeLength('RawData (GH)'!J190)</f>
        <v>98.9</v>
      </c>
    </row>
    <row r="191" spans="1:13" x14ac:dyDescent="0.25">
      <c r="A191" t="str">
        <f>'RawData (GH)'!A191</f>
        <v>Laowa 105mm 2.0 (T3.2) STF für Nikon F schwarz</v>
      </c>
      <c r="B191" s="5">
        <f>getFocalLengthStart('RawData (GH)'!B191)</f>
        <v>105</v>
      </c>
      <c r="C191" s="5">
        <f>getFocalLengthEnd('RawData (GH)'!B191)</f>
        <v>105</v>
      </c>
      <c r="D191" s="9">
        <f>getApertureStart('RawData (GH)'!C191)</f>
        <v>2</v>
      </c>
      <c r="E191" s="9">
        <f>getApertureEnd('RawData (GH)'!C191)</f>
        <v>2</v>
      </c>
      <c r="F191" s="2">
        <f>getFiltersizeAsDouble('RawData (GH)'!D191)</f>
        <v>67</v>
      </c>
      <c r="G191" s="35">
        <f>getMagnification('RawData (GH)'!E191)</f>
        <v>6.15</v>
      </c>
      <c r="H191" s="62">
        <f>getMinimalFocus('RawData (GH)'!F191)</f>
        <v>0</v>
      </c>
      <c r="I191" t="str">
        <f>getMount('RawData (GH)'!G191)</f>
        <v>Nikon F</v>
      </c>
      <c r="J191" t="str">
        <f>getSensorCompatibility('RawData (GH)'!H191)</f>
        <v>APS-C/ Kleinbild</v>
      </c>
      <c r="K191" s="45">
        <f>getWeightAsDouble('RawData (GH)'!I191)</f>
        <v>745</v>
      </c>
      <c r="L191" s="34">
        <f>getSizeDiameter('RawData (GH)'!J191)</f>
        <v>76</v>
      </c>
      <c r="M191" s="34">
        <f>getSizeLength('RawData (GH)'!J191)</f>
        <v>98.9</v>
      </c>
    </row>
    <row r="192" spans="1:13" x14ac:dyDescent="0.25">
      <c r="A192" t="str">
        <f>'RawData (GH)'!A192</f>
        <v>Laowa 105mm 2.0 (T3.2) STF für Pentax K schwarz</v>
      </c>
      <c r="B192" s="5">
        <f>getFocalLengthStart('RawData (GH)'!B192)</f>
        <v>105</v>
      </c>
      <c r="C192" s="5">
        <f>getFocalLengthEnd('RawData (GH)'!B192)</f>
        <v>105</v>
      </c>
      <c r="D192" s="9">
        <f>getApertureStart('RawData (GH)'!C192)</f>
        <v>2</v>
      </c>
      <c r="E192" s="9">
        <f>getApertureEnd('RawData (GH)'!C192)</f>
        <v>2</v>
      </c>
      <c r="F192" s="2">
        <f>getFiltersizeAsDouble('RawData (GH)'!D192)</f>
        <v>67</v>
      </c>
      <c r="G192" s="35">
        <f>getMagnification('RawData (GH)'!E192)</f>
        <v>6.15</v>
      </c>
      <c r="H192" s="62">
        <f>getMinimalFocus('RawData (GH)'!F192)</f>
        <v>0</v>
      </c>
      <c r="I192" t="str">
        <f>getMount('RawData (GH)'!G192)</f>
        <v>Pentax K</v>
      </c>
      <c r="J192" t="str">
        <f>getSensorCompatibility('RawData (GH)'!H192)</f>
        <v>APS-C/ Kleinbild</v>
      </c>
      <c r="K192" s="45">
        <f>getWeightAsDouble('RawData (GH)'!I192)</f>
        <v>745</v>
      </c>
      <c r="L192" s="34">
        <f>getSizeDiameter('RawData (GH)'!J192)</f>
        <v>76</v>
      </c>
      <c r="M192" s="34">
        <f>getSizeLength('RawData (GH)'!J192)</f>
        <v>98.9</v>
      </c>
    </row>
    <row r="193" spans="1:13" x14ac:dyDescent="0.25">
      <c r="A193" t="str">
        <f>'RawData (GH)'!A193</f>
        <v>Laowa 105mm 2.0 (T3.2) STF für Sony A schwarz</v>
      </c>
      <c r="B193" s="5">
        <f>getFocalLengthStart('RawData (GH)'!B193)</f>
        <v>105</v>
      </c>
      <c r="C193" s="5">
        <f>getFocalLengthEnd('RawData (GH)'!B193)</f>
        <v>105</v>
      </c>
      <c r="D193" s="9">
        <f>getApertureStart('RawData (GH)'!C193)</f>
        <v>2</v>
      </c>
      <c r="E193" s="9">
        <f>getApertureEnd('RawData (GH)'!C193)</f>
        <v>2</v>
      </c>
      <c r="F193" s="2">
        <f>getFiltersizeAsDouble('RawData (GH)'!D193)</f>
        <v>67</v>
      </c>
      <c r="G193" s="35">
        <f>getMagnification('RawData (GH)'!E193)</f>
        <v>6.15</v>
      </c>
      <c r="H193" s="62">
        <f>getMinimalFocus('RawData (GH)'!F193)</f>
        <v>0</v>
      </c>
      <c r="I193" t="str">
        <f>getMount('RawData (GH)'!G193)</f>
        <v>Sony A</v>
      </c>
      <c r="J193" t="str">
        <f>getSensorCompatibility('RawData (GH)'!H193)</f>
        <v>APS-C/ Kleinbild</v>
      </c>
      <c r="K193" s="45">
        <f>getWeightAsDouble('RawData (GH)'!I193)</f>
        <v>745</v>
      </c>
      <c r="L193" s="34">
        <f>getSizeDiameter('RawData (GH)'!J193)</f>
        <v>76</v>
      </c>
      <c r="M193" s="34">
        <f>getSizeLength('RawData (GH)'!J193)</f>
        <v>98.9</v>
      </c>
    </row>
    <row r="194" spans="1:13" x14ac:dyDescent="0.25">
      <c r="A194" t="str">
        <f>'RawData (GH)'!A194</f>
        <v>Laowa 105mm 2.0 (T3.2) STF für Sony E schwarz</v>
      </c>
      <c r="B194" s="5">
        <f>getFocalLengthStart('RawData (GH)'!B194)</f>
        <v>105</v>
      </c>
      <c r="C194" s="5">
        <f>getFocalLengthEnd('RawData (GH)'!B194)</f>
        <v>105</v>
      </c>
      <c r="D194" s="9">
        <f>getApertureStart('RawData (GH)'!C194)</f>
        <v>2</v>
      </c>
      <c r="E194" s="9">
        <f>getApertureEnd('RawData (GH)'!C194)</f>
        <v>2</v>
      </c>
      <c r="F194" s="2">
        <f>getFiltersizeAsDouble('RawData (GH)'!D194)</f>
        <v>67</v>
      </c>
      <c r="G194" s="35">
        <f>getMagnification('RawData (GH)'!E194)</f>
        <v>6.15</v>
      </c>
      <c r="H194" s="62">
        <f>getMinimalFocus('RawData (GH)'!F194)</f>
        <v>0</v>
      </c>
      <c r="I194" t="str">
        <f>getMount('RawData (GH)'!G194)</f>
        <v>Sony E</v>
      </c>
      <c r="J194" t="str">
        <f>getSensorCompatibility('RawData (GH)'!H194)</f>
        <v>APS-C/ Kleinbild</v>
      </c>
      <c r="K194" s="45">
        <f>getWeightAsDouble('RawData (GH)'!I194)</f>
        <v>745</v>
      </c>
      <c r="L194" s="34">
        <f>getSizeDiameter('RawData (GH)'!J194)</f>
        <v>76</v>
      </c>
      <c r="M194" s="34">
        <f>getSizeLength('RawData (GH)'!J194)</f>
        <v>98.9</v>
      </c>
    </row>
    <row r="195" spans="1:13" x14ac:dyDescent="0.25">
      <c r="A195" t="str">
        <f>'RawData (GH)'!A195</f>
        <v>Laowa 12mm 2.8 Zero-D für Canon EF schwarz</v>
      </c>
      <c r="B195" s="5">
        <f>getFocalLengthStart('RawData (GH)'!B195)</f>
        <v>12</v>
      </c>
      <c r="C195" s="5">
        <f>getFocalLengthEnd('RawData (GH)'!B195)</f>
        <v>12</v>
      </c>
      <c r="D195" s="9">
        <f>getApertureStart('RawData (GH)'!C195)</f>
        <v>2.8</v>
      </c>
      <c r="E195" s="9">
        <f>getApertureEnd('RawData (GH)'!C195)</f>
        <v>2.8</v>
      </c>
      <c r="F195" s="2">
        <f>getFiltersizeAsDouble('RawData (GH)'!D195)</f>
        <v>0</v>
      </c>
      <c r="G195" s="35">
        <f>getMagnification('RawData (GH)'!E195)</f>
        <v>5</v>
      </c>
      <c r="H195" s="62">
        <f>getMinimalFocus('RawData (GH)'!F195)</f>
        <v>0</v>
      </c>
      <c r="I195" t="str">
        <f>getMount('RawData (GH)'!G195)</f>
        <v>Canon EF</v>
      </c>
      <c r="J195" t="str">
        <f>getSensorCompatibility('RawData (GH)'!H195)</f>
        <v>APS-C/ Kleinbild</v>
      </c>
      <c r="K195" s="45">
        <f>getWeightAsDouble('RawData (GH)'!I195)</f>
        <v>609</v>
      </c>
      <c r="L195" s="34">
        <f>getSizeDiameter('RawData (GH)'!J195)</f>
        <v>78.8</v>
      </c>
      <c r="M195" s="34">
        <f>getSizeLength('RawData (GH)'!J195)</f>
        <v>82.8</v>
      </c>
    </row>
    <row r="196" spans="1:13" x14ac:dyDescent="0.25">
      <c r="A196" t="str">
        <f>'RawData (GH)'!A196</f>
        <v>Laowa 12mm 2.8 Zero-D für Nikon F schwarz</v>
      </c>
      <c r="B196" s="5">
        <f>getFocalLengthStart('RawData (GH)'!B196)</f>
        <v>12</v>
      </c>
      <c r="C196" s="5">
        <f>getFocalLengthEnd('RawData (GH)'!B196)</f>
        <v>12</v>
      </c>
      <c r="D196" s="9">
        <f>getApertureStart('RawData (GH)'!C196)</f>
        <v>2.8</v>
      </c>
      <c r="E196" s="9">
        <f>getApertureEnd('RawData (GH)'!C196)</f>
        <v>2.8</v>
      </c>
      <c r="F196" s="2">
        <f>getFiltersizeAsDouble('RawData (GH)'!D196)</f>
        <v>0</v>
      </c>
      <c r="G196" s="35">
        <f>getMagnification('RawData (GH)'!E196)</f>
        <v>5</v>
      </c>
      <c r="H196" s="62">
        <f>getMinimalFocus('RawData (GH)'!F196)</f>
        <v>0</v>
      </c>
      <c r="I196" t="str">
        <f>getMount('RawData (GH)'!G196)</f>
        <v>Nikon F</v>
      </c>
      <c r="J196" t="str">
        <f>getSensorCompatibility('RawData (GH)'!H196)</f>
        <v>APS-C/ Kleinbild</v>
      </c>
      <c r="K196" s="45">
        <f>getWeightAsDouble('RawData (GH)'!I196)</f>
        <v>609</v>
      </c>
      <c r="L196" s="34">
        <f>getSizeDiameter('RawData (GH)'!J196)</f>
        <v>78.8</v>
      </c>
      <c r="M196" s="34">
        <f>getSizeLength('RawData (GH)'!J196)</f>
        <v>82.8</v>
      </c>
    </row>
    <row r="197" spans="1:13" x14ac:dyDescent="0.25">
      <c r="A197" t="str">
        <f>'RawData (GH)'!A197</f>
        <v>Laowa 12mm 2.8 Zero-D für Pentax K schwarz</v>
      </c>
      <c r="B197" s="5">
        <f>getFocalLengthStart('RawData (GH)'!B197)</f>
        <v>12</v>
      </c>
      <c r="C197" s="5">
        <f>getFocalLengthEnd('RawData (GH)'!B197)</f>
        <v>12</v>
      </c>
      <c r="D197" s="9">
        <f>getApertureStart('RawData (GH)'!C197)</f>
        <v>2.8</v>
      </c>
      <c r="E197" s="9">
        <f>getApertureEnd('RawData (GH)'!C197)</f>
        <v>2.8</v>
      </c>
      <c r="F197" s="2">
        <f>getFiltersizeAsDouble('RawData (GH)'!D197)</f>
        <v>0</v>
      </c>
      <c r="G197" s="35">
        <f>getMagnification('RawData (GH)'!E197)</f>
        <v>5</v>
      </c>
      <c r="H197" s="62">
        <f>getMinimalFocus('RawData (GH)'!F197)</f>
        <v>0</v>
      </c>
      <c r="I197" t="str">
        <f>getMount('RawData (GH)'!G197)</f>
        <v>Pentax K</v>
      </c>
      <c r="J197" t="str">
        <f>getSensorCompatibility('RawData (GH)'!H197)</f>
        <v>APS-C/ Kleinbild</v>
      </c>
      <c r="K197" s="45">
        <f>getWeightAsDouble('RawData (GH)'!I197)</f>
        <v>609</v>
      </c>
      <c r="L197" s="34">
        <f>getSizeDiameter('RawData (GH)'!J197)</f>
        <v>78.8</v>
      </c>
      <c r="M197" s="34">
        <f>getSizeLength('RawData (GH)'!J197)</f>
        <v>82.8</v>
      </c>
    </row>
    <row r="198" spans="1:13" x14ac:dyDescent="0.25">
      <c r="A198" t="str">
        <f>'RawData (GH)'!A198</f>
        <v>Laowa 12mm 2.8 Zero-D für Sony A schwarz</v>
      </c>
      <c r="B198" s="5">
        <f>getFocalLengthStart('RawData (GH)'!B198)</f>
        <v>12</v>
      </c>
      <c r="C198" s="5">
        <f>getFocalLengthEnd('RawData (GH)'!B198)</f>
        <v>12</v>
      </c>
      <c r="D198" s="9">
        <f>getApertureStart('RawData (GH)'!C198)</f>
        <v>2.8</v>
      </c>
      <c r="E198" s="9">
        <f>getApertureEnd('RawData (GH)'!C198)</f>
        <v>2.8</v>
      </c>
      <c r="F198" s="2">
        <f>getFiltersizeAsDouble('RawData (GH)'!D198)</f>
        <v>0</v>
      </c>
      <c r="G198" s="35">
        <f>getMagnification('RawData (GH)'!E198)</f>
        <v>5</v>
      </c>
      <c r="H198" s="62">
        <f>getMinimalFocus('RawData (GH)'!F198)</f>
        <v>0</v>
      </c>
      <c r="I198" t="str">
        <f>getMount('RawData (GH)'!G198)</f>
        <v>Sony A</v>
      </c>
      <c r="J198" t="str">
        <f>getSensorCompatibility('RawData (GH)'!H198)</f>
        <v>APS-C/ Kleinbild</v>
      </c>
      <c r="K198" s="45">
        <f>getWeightAsDouble('RawData (GH)'!I198)</f>
        <v>609</v>
      </c>
      <c r="L198" s="34">
        <f>getSizeDiameter('RawData (GH)'!J198)</f>
        <v>78.8</v>
      </c>
      <c r="M198" s="34">
        <f>getSizeLength('RawData (GH)'!J198)</f>
        <v>82.8</v>
      </c>
    </row>
    <row r="199" spans="1:13" x14ac:dyDescent="0.25">
      <c r="A199" t="str">
        <f>'RawData (GH)'!A199</f>
        <v>Laowa 12mm 2.8 Zero-D für Sony E schwarz</v>
      </c>
      <c r="B199" s="5">
        <f>getFocalLengthStart('RawData (GH)'!B199)</f>
        <v>12</v>
      </c>
      <c r="C199" s="5">
        <f>getFocalLengthEnd('RawData (GH)'!B199)</f>
        <v>12</v>
      </c>
      <c r="D199" s="9">
        <f>getApertureStart('RawData (GH)'!C199)</f>
        <v>2.8</v>
      </c>
      <c r="E199" s="9">
        <f>getApertureEnd('RawData (GH)'!C199)</f>
        <v>2.8</v>
      </c>
      <c r="F199" s="2">
        <f>getFiltersizeAsDouble('RawData (GH)'!D199)</f>
        <v>0</v>
      </c>
      <c r="G199" s="35">
        <f>getMagnification('RawData (GH)'!E199)</f>
        <v>5</v>
      </c>
      <c r="H199" s="62">
        <f>getMinimalFocus('RawData (GH)'!F199)</f>
        <v>0</v>
      </c>
      <c r="I199" t="str">
        <f>getMount('RawData (GH)'!G199)</f>
        <v>Sony E</v>
      </c>
      <c r="J199" t="str">
        <f>getSensorCompatibility('RawData (GH)'!H199)</f>
        <v>APS-C/ Kleinbild</v>
      </c>
      <c r="K199" s="45">
        <f>getWeightAsDouble('RawData (GH)'!I199)</f>
        <v>609</v>
      </c>
      <c r="L199" s="34">
        <f>getSizeDiameter('RawData (GH)'!J199)</f>
        <v>78.8</v>
      </c>
      <c r="M199" s="34">
        <f>getSizeLength('RawData (GH)'!J199)</f>
        <v>82.8</v>
      </c>
    </row>
    <row r="200" spans="1:13" x14ac:dyDescent="0.25">
      <c r="A200" t="str">
        <f>'RawData (GH)'!A200</f>
        <v>Laowa 15mm 2.0 Zero-D FE für Sony E schwarz</v>
      </c>
      <c r="B200" s="5">
        <f>getFocalLengthStart('RawData (GH)'!B200)</f>
        <v>15</v>
      </c>
      <c r="C200" s="5">
        <f>getFocalLengthEnd('RawData (GH)'!B200)</f>
        <v>15</v>
      </c>
      <c r="D200" s="9">
        <f>getApertureStart('RawData (GH)'!C200)</f>
        <v>2</v>
      </c>
      <c r="E200" s="9">
        <f>getApertureEnd('RawData (GH)'!C200)</f>
        <v>2</v>
      </c>
      <c r="F200" s="2">
        <f>getFiltersizeAsDouble('RawData (GH)'!D200)</f>
        <v>72</v>
      </c>
      <c r="G200" s="35">
        <f>getMagnification('RawData (GH)'!E200)</f>
        <v>4</v>
      </c>
      <c r="H200" s="62">
        <f>getMinimalFocus('RawData (GH)'!F200)</f>
        <v>0</v>
      </c>
      <c r="I200" t="str">
        <f>getMount('RawData (GH)'!G200)</f>
        <v>Sony E</v>
      </c>
      <c r="J200" t="str">
        <f>getSensorCompatibility('RawData (GH)'!H200)</f>
        <v>APS-C/ Kleinbild</v>
      </c>
      <c r="K200" s="45">
        <f>getWeightAsDouble('RawData (GH)'!I200)</f>
        <v>500</v>
      </c>
      <c r="L200" s="34">
        <f>getSizeDiameter('RawData (GH)'!J200)</f>
        <v>82</v>
      </c>
      <c r="M200" s="34">
        <f>getSizeLength('RawData (GH)'!J200)</f>
        <v>66</v>
      </c>
    </row>
    <row r="201" spans="1:13" x14ac:dyDescent="0.25">
      <c r="A201" t="str">
        <f>'RawData (GH)'!A201</f>
        <v>Laowa 15mm 4.0 1:1 Macro für Canon EF schwarz</v>
      </c>
      <c r="B201" s="5">
        <f>getFocalLengthStart('RawData (GH)'!B201)</f>
        <v>15</v>
      </c>
      <c r="C201" s="5">
        <f>getFocalLengthEnd('RawData (GH)'!B201)</f>
        <v>15</v>
      </c>
      <c r="D201" s="9">
        <f>getApertureStart('RawData (GH)'!C201)</f>
        <v>4</v>
      </c>
      <c r="E201" s="9">
        <f>getApertureEnd('RawData (GH)'!C201)</f>
        <v>4</v>
      </c>
      <c r="F201" s="2">
        <f>getFiltersizeAsDouble('RawData (GH)'!D201)</f>
        <v>77</v>
      </c>
      <c r="G201" s="35">
        <f>getMagnification('RawData (GH)'!E201)</f>
        <v>1</v>
      </c>
      <c r="H201" s="62">
        <f>getMinimalFocus('RawData (GH)'!F201)</f>
        <v>0</v>
      </c>
      <c r="I201" t="str">
        <f>getMount('RawData (GH)'!G201)</f>
        <v>Canon EF</v>
      </c>
      <c r="J201" t="str">
        <f>getSensorCompatibility('RawData (GH)'!H201)</f>
        <v>APS-C/ Kleinbild</v>
      </c>
      <c r="K201" s="45">
        <f>getWeightAsDouble('RawData (GH)'!I201)</f>
        <v>410</v>
      </c>
      <c r="L201" s="34">
        <f>getSizeDiameter('RawData (GH)'!J201)</f>
        <v>83.8</v>
      </c>
      <c r="M201" s="34">
        <f>getSizeLength('RawData (GH)'!J201)</f>
        <v>64.7</v>
      </c>
    </row>
    <row r="202" spans="1:13" x14ac:dyDescent="0.25">
      <c r="A202" t="str">
        <f>'RawData (GH)'!A202</f>
        <v>Laowa 15mm 4.0 1:1 Macro für Nikon F schwarz</v>
      </c>
      <c r="B202" s="5">
        <f>getFocalLengthStart('RawData (GH)'!B202)</f>
        <v>15</v>
      </c>
      <c r="C202" s="5">
        <f>getFocalLengthEnd('RawData (GH)'!B202)</f>
        <v>15</v>
      </c>
      <c r="D202" s="9">
        <f>getApertureStart('RawData (GH)'!C202)</f>
        <v>4</v>
      </c>
      <c r="E202" s="9">
        <f>getApertureEnd('RawData (GH)'!C202)</f>
        <v>4</v>
      </c>
      <c r="F202" s="2">
        <f>getFiltersizeAsDouble('RawData (GH)'!D202)</f>
        <v>77</v>
      </c>
      <c r="G202" s="35">
        <f>getMagnification('RawData (GH)'!E202)</f>
        <v>1</v>
      </c>
      <c r="H202" s="62">
        <f>getMinimalFocus('RawData (GH)'!F202)</f>
        <v>0</v>
      </c>
      <c r="I202" t="str">
        <f>getMount('RawData (GH)'!G202)</f>
        <v>Nikon F</v>
      </c>
      <c r="J202" t="str">
        <f>getSensorCompatibility('RawData (GH)'!H202)</f>
        <v>APS-C/ Kleinbild</v>
      </c>
      <c r="K202" s="45">
        <f>getWeightAsDouble('RawData (GH)'!I202)</f>
        <v>410</v>
      </c>
      <c r="L202" s="34">
        <f>getSizeDiameter('RawData (GH)'!J202)</f>
        <v>83.8</v>
      </c>
      <c r="M202" s="34">
        <f>getSizeLength('RawData (GH)'!J202)</f>
        <v>64.7</v>
      </c>
    </row>
    <row r="203" spans="1:13" x14ac:dyDescent="0.25">
      <c r="A203" t="str">
        <f>'RawData (GH)'!A203</f>
        <v>Laowa 15mm 4.0 1:1 Macro für Pentax K schwarz</v>
      </c>
      <c r="B203" s="5">
        <f>getFocalLengthStart('RawData (GH)'!B203)</f>
        <v>15</v>
      </c>
      <c r="C203" s="5">
        <f>getFocalLengthEnd('RawData (GH)'!B203)</f>
        <v>15</v>
      </c>
      <c r="D203" s="9">
        <f>getApertureStart('RawData (GH)'!C203)</f>
        <v>4</v>
      </c>
      <c r="E203" s="9">
        <f>getApertureEnd('RawData (GH)'!C203)</f>
        <v>4</v>
      </c>
      <c r="F203" s="2">
        <f>getFiltersizeAsDouble('RawData (GH)'!D203)</f>
        <v>77</v>
      </c>
      <c r="G203" s="35">
        <f>getMagnification('RawData (GH)'!E203)</f>
        <v>1</v>
      </c>
      <c r="H203" s="62">
        <f>getMinimalFocus('RawData (GH)'!F203)</f>
        <v>0</v>
      </c>
      <c r="I203" t="str">
        <f>getMount('RawData (GH)'!G203)</f>
        <v>Pentax K</v>
      </c>
      <c r="J203" t="str">
        <f>getSensorCompatibility('RawData (GH)'!H203)</f>
        <v>APS-C/ Kleinbild</v>
      </c>
      <c r="K203" s="45">
        <f>getWeightAsDouble('RawData (GH)'!I203)</f>
        <v>410</v>
      </c>
      <c r="L203" s="34">
        <f>getSizeDiameter('RawData (GH)'!J203)</f>
        <v>83.8</v>
      </c>
      <c r="M203" s="34">
        <f>getSizeLength('RawData (GH)'!J203)</f>
        <v>64.7</v>
      </c>
    </row>
    <row r="204" spans="1:13" x14ac:dyDescent="0.25">
      <c r="A204" t="str">
        <f>'RawData (GH)'!A204</f>
        <v>Laowa 15mm 4.0 1:1 Macro für Sony A schwarz</v>
      </c>
      <c r="B204" s="5">
        <f>getFocalLengthStart('RawData (GH)'!B204)</f>
        <v>15</v>
      </c>
      <c r="C204" s="5">
        <f>getFocalLengthEnd('RawData (GH)'!B204)</f>
        <v>15</v>
      </c>
      <c r="D204" s="9">
        <f>getApertureStart('RawData (GH)'!C204)</f>
        <v>4</v>
      </c>
      <c r="E204" s="9">
        <f>getApertureEnd('RawData (GH)'!C204)</f>
        <v>4</v>
      </c>
      <c r="F204" s="2">
        <f>getFiltersizeAsDouble('RawData (GH)'!D204)</f>
        <v>77</v>
      </c>
      <c r="G204" s="35">
        <f>getMagnification('RawData (GH)'!E204)</f>
        <v>1</v>
      </c>
      <c r="H204" s="62">
        <f>getMinimalFocus('RawData (GH)'!F204)</f>
        <v>0</v>
      </c>
      <c r="I204" t="str">
        <f>getMount('RawData (GH)'!G204)</f>
        <v>Sony A</v>
      </c>
      <c r="J204" t="str">
        <f>getSensorCompatibility('RawData (GH)'!H204)</f>
        <v>APS-C/ Kleinbild</v>
      </c>
      <c r="K204" s="45">
        <f>getWeightAsDouble('RawData (GH)'!I204)</f>
        <v>410</v>
      </c>
      <c r="L204" s="34">
        <f>getSizeDiameter('RawData (GH)'!J204)</f>
        <v>83.8</v>
      </c>
      <c r="M204" s="34">
        <f>getSizeLength('RawData (GH)'!J204)</f>
        <v>64.7</v>
      </c>
    </row>
    <row r="205" spans="1:13" x14ac:dyDescent="0.25">
      <c r="A205" t="str">
        <f>'RawData (GH)'!A205</f>
        <v>Laowa 15mm 4.0 1:1 Macro für Sony E schwarz</v>
      </c>
      <c r="B205" s="5">
        <f>getFocalLengthStart('RawData (GH)'!B205)</f>
        <v>15</v>
      </c>
      <c r="C205" s="5">
        <f>getFocalLengthEnd('RawData (GH)'!B205)</f>
        <v>15</v>
      </c>
      <c r="D205" s="9">
        <f>getApertureStart('RawData (GH)'!C205)</f>
        <v>4</v>
      </c>
      <c r="E205" s="9">
        <f>getApertureEnd('RawData (GH)'!C205)</f>
        <v>4</v>
      </c>
      <c r="F205" s="2">
        <f>getFiltersizeAsDouble('RawData (GH)'!D205)</f>
        <v>77</v>
      </c>
      <c r="G205" s="35">
        <f>getMagnification('RawData (GH)'!E205)</f>
        <v>1</v>
      </c>
      <c r="H205" s="62">
        <f>getMinimalFocus('RawData (GH)'!F205)</f>
        <v>0</v>
      </c>
      <c r="I205" t="str">
        <f>getMount('RawData (GH)'!G205)</f>
        <v>Sony E</v>
      </c>
      <c r="J205" t="str">
        <f>getSensorCompatibility('RawData (GH)'!H205)</f>
        <v>APS-C/ Kleinbild</v>
      </c>
      <c r="K205" s="45">
        <f>getWeightAsDouble('RawData (GH)'!I205)</f>
        <v>410</v>
      </c>
      <c r="L205" s="34">
        <f>getSizeDiameter('RawData (GH)'!J205)</f>
        <v>83.8</v>
      </c>
      <c r="M205" s="34">
        <f>getSizeLength('RawData (GH)'!J205)</f>
        <v>64.7</v>
      </c>
    </row>
    <row r="206" spans="1:13" x14ac:dyDescent="0.25">
      <c r="A206" t="str">
        <f>'RawData (GH)'!A206</f>
        <v>Laowa 60mm 2.8 2:1 Ultra-Macro für Canon EF schwarz</v>
      </c>
      <c r="B206" s="5">
        <f>getFocalLengthStart('RawData (GH)'!B206)</f>
        <v>60</v>
      </c>
      <c r="C206" s="5">
        <f>getFocalLengthEnd('RawData (GH)'!B206)</f>
        <v>60</v>
      </c>
      <c r="D206" s="9">
        <f>getApertureStart('RawData (GH)'!C206)</f>
        <v>2.8</v>
      </c>
      <c r="E206" s="9">
        <f>getApertureEnd('RawData (GH)'!C206)</f>
        <v>2.8</v>
      </c>
      <c r="F206" s="2">
        <f>getFiltersizeAsDouble('RawData (GH)'!D206)</f>
        <v>62</v>
      </c>
      <c r="G206" s="35">
        <f>getMagnification('RawData (GH)'!E206)</f>
        <v>0.5</v>
      </c>
      <c r="H206" s="62">
        <f>getMinimalFocus('RawData (GH)'!F206)</f>
        <v>0</v>
      </c>
      <c r="I206" t="str">
        <f>getMount('RawData (GH)'!G206)</f>
        <v>Canon EF</v>
      </c>
      <c r="J206" t="str">
        <f>getSensorCompatibility('RawData (GH)'!H206)</f>
        <v>APS-C/ Kleinbild</v>
      </c>
      <c r="K206" s="45">
        <f>getWeightAsDouble('RawData (GH)'!I206)</f>
        <v>503</v>
      </c>
      <c r="L206" s="34">
        <f>getSizeDiameter('RawData (GH)'!J206)</f>
        <v>70</v>
      </c>
      <c r="M206" s="34">
        <f>getSizeLength('RawData (GH)'!J206)</f>
        <v>95</v>
      </c>
    </row>
    <row r="207" spans="1:13" x14ac:dyDescent="0.25">
      <c r="A207" t="str">
        <f>'RawData (GH)'!A207</f>
        <v>Laowa 60mm 2.8 2:1 Ultra-Macro für Nikon F schwarz</v>
      </c>
      <c r="B207" s="5">
        <f>getFocalLengthStart('RawData (GH)'!B207)</f>
        <v>60</v>
      </c>
      <c r="C207" s="5">
        <f>getFocalLengthEnd('RawData (GH)'!B207)</f>
        <v>60</v>
      </c>
      <c r="D207" s="9">
        <f>getApertureStart('RawData (GH)'!C207)</f>
        <v>2.8</v>
      </c>
      <c r="E207" s="9">
        <f>getApertureEnd('RawData (GH)'!C207)</f>
        <v>2.8</v>
      </c>
      <c r="F207" s="2">
        <f>getFiltersizeAsDouble('RawData (GH)'!D207)</f>
        <v>62</v>
      </c>
      <c r="G207" s="35">
        <f>getMagnification('RawData (GH)'!E207)</f>
        <v>0.5</v>
      </c>
      <c r="H207" s="62">
        <f>getMinimalFocus('RawData (GH)'!F207)</f>
        <v>0</v>
      </c>
      <c r="I207" t="str">
        <f>getMount('RawData (GH)'!G207)</f>
        <v>Nikon F</v>
      </c>
      <c r="J207" t="str">
        <f>getSensorCompatibility('RawData (GH)'!H207)</f>
        <v>APS-C/ Kleinbild</v>
      </c>
      <c r="K207" s="45">
        <f>getWeightAsDouble('RawData (GH)'!I207)</f>
        <v>503</v>
      </c>
      <c r="L207" s="34">
        <f>getSizeDiameter('RawData (GH)'!J207)</f>
        <v>70</v>
      </c>
      <c r="M207" s="34">
        <f>getSizeLength('RawData (GH)'!J207)</f>
        <v>95</v>
      </c>
    </row>
    <row r="208" spans="1:13" x14ac:dyDescent="0.25">
      <c r="A208" t="str">
        <f>'RawData (GH)'!A208</f>
        <v>Laowa 60mm 2.8 2:1 Ultra-Macro für Pentax K schwarz</v>
      </c>
      <c r="B208" s="5">
        <f>getFocalLengthStart('RawData (GH)'!B208)</f>
        <v>60</v>
      </c>
      <c r="C208" s="5">
        <f>getFocalLengthEnd('RawData (GH)'!B208)</f>
        <v>60</v>
      </c>
      <c r="D208" s="9">
        <f>getApertureStart('RawData (GH)'!C208)</f>
        <v>2.8</v>
      </c>
      <c r="E208" s="9">
        <f>getApertureEnd('RawData (GH)'!C208)</f>
        <v>2.8</v>
      </c>
      <c r="F208" s="2">
        <f>getFiltersizeAsDouble('RawData (GH)'!D208)</f>
        <v>62</v>
      </c>
      <c r="G208" s="35">
        <f>getMagnification('RawData (GH)'!E208)</f>
        <v>0.5</v>
      </c>
      <c r="H208" s="62">
        <f>getMinimalFocus('RawData (GH)'!F208)</f>
        <v>0</v>
      </c>
      <c r="I208" t="str">
        <f>getMount('RawData (GH)'!G208)</f>
        <v>Pentax K</v>
      </c>
      <c r="J208" t="str">
        <f>getSensorCompatibility('RawData (GH)'!H208)</f>
        <v>APS-C/ Kleinbild</v>
      </c>
      <c r="K208" s="45">
        <f>getWeightAsDouble('RawData (GH)'!I208)</f>
        <v>503</v>
      </c>
      <c r="L208" s="34">
        <f>getSizeDiameter('RawData (GH)'!J208)</f>
        <v>70</v>
      </c>
      <c r="M208" s="34">
        <f>getSizeLength('RawData (GH)'!J208)</f>
        <v>95</v>
      </c>
    </row>
    <row r="209" spans="1:13" x14ac:dyDescent="0.25">
      <c r="A209" t="str">
        <f>'RawData (GH)'!A209</f>
        <v>Laowa 60mm 2.8 2:1 Ultra-Macro für Sony A schwarz</v>
      </c>
      <c r="B209" s="5">
        <f>getFocalLengthStart('RawData (GH)'!B209)</f>
        <v>60</v>
      </c>
      <c r="C209" s="5">
        <f>getFocalLengthEnd('RawData (GH)'!B209)</f>
        <v>60</v>
      </c>
      <c r="D209" s="9">
        <f>getApertureStart('RawData (GH)'!C209)</f>
        <v>2.8</v>
      </c>
      <c r="E209" s="9">
        <f>getApertureEnd('RawData (GH)'!C209)</f>
        <v>2.8</v>
      </c>
      <c r="F209" s="2">
        <f>getFiltersizeAsDouble('RawData (GH)'!D209)</f>
        <v>62</v>
      </c>
      <c r="G209" s="35">
        <f>getMagnification('RawData (GH)'!E209)</f>
        <v>0.5</v>
      </c>
      <c r="H209" s="62">
        <f>getMinimalFocus('RawData (GH)'!F209)</f>
        <v>0</v>
      </c>
      <c r="I209" t="str">
        <f>getMount('RawData (GH)'!G209)</f>
        <v>Sony A</v>
      </c>
      <c r="J209" t="str">
        <f>getSensorCompatibility('RawData (GH)'!H209)</f>
        <v>APS-C/ Kleinbild</v>
      </c>
      <c r="K209" s="45">
        <f>getWeightAsDouble('RawData (GH)'!I209)</f>
        <v>503</v>
      </c>
      <c r="L209" s="34">
        <f>getSizeDiameter('RawData (GH)'!J209)</f>
        <v>70</v>
      </c>
      <c r="M209" s="34">
        <f>getSizeLength('RawData (GH)'!J209)</f>
        <v>95</v>
      </c>
    </row>
    <row r="210" spans="1:13" x14ac:dyDescent="0.25">
      <c r="A210" t="str">
        <f>'RawData (GH)'!A210</f>
        <v>Laowa 60mm 2.8 2:1 Ultra-Macro für Sony E schwarz</v>
      </c>
      <c r="B210" s="5">
        <f>getFocalLengthStart('RawData (GH)'!B210)</f>
        <v>60</v>
      </c>
      <c r="C210" s="5">
        <f>getFocalLengthEnd('RawData (GH)'!B210)</f>
        <v>60</v>
      </c>
      <c r="D210" s="9">
        <f>getApertureStart('RawData (GH)'!C210)</f>
        <v>2.8</v>
      </c>
      <c r="E210" s="9">
        <f>getApertureEnd('RawData (GH)'!C210)</f>
        <v>2.8</v>
      </c>
      <c r="F210" s="2">
        <f>getFiltersizeAsDouble('RawData (GH)'!D210)</f>
        <v>62</v>
      </c>
      <c r="G210" s="35">
        <f>getMagnification('RawData (GH)'!E210)</f>
        <v>0.5</v>
      </c>
      <c r="H210" s="62">
        <f>getMinimalFocus('RawData (GH)'!F210)</f>
        <v>0</v>
      </c>
      <c r="I210" t="str">
        <f>getMount('RawData (GH)'!G210)</f>
        <v>Sony E</v>
      </c>
      <c r="J210" t="str">
        <f>getSensorCompatibility('RawData (GH)'!H210)</f>
        <v>APS-C/ Kleinbild</v>
      </c>
      <c r="K210" s="45">
        <f>getWeightAsDouble('RawData (GH)'!I210)</f>
        <v>503</v>
      </c>
      <c r="L210" s="34">
        <f>getSizeDiameter('RawData (GH)'!J210)</f>
        <v>70</v>
      </c>
      <c r="M210" s="34">
        <f>getSizeLength('RawData (GH)'!J210)</f>
        <v>95</v>
      </c>
    </row>
    <row r="211" spans="1:13" x14ac:dyDescent="0.25">
      <c r="A211" t="str">
        <f>'RawData (GH)'!A211</f>
        <v>Laowa 7.5mm 2.0 für Micro-Four-Thirds schwarz</v>
      </c>
      <c r="B211" s="5">
        <f>getFocalLengthStart('RawData (GH)'!B211)</f>
        <v>7.5</v>
      </c>
      <c r="C211" s="5">
        <f>getFocalLengthEnd('RawData (GH)'!B211)</f>
        <v>7.5</v>
      </c>
      <c r="D211" s="9">
        <f>getApertureStart('RawData (GH)'!C211)</f>
        <v>2</v>
      </c>
      <c r="E211" s="9">
        <f>getApertureEnd('RawData (GH)'!C211)</f>
        <v>2</v>
      </c>
      <c r="F211" s="2">
        <f>getFiltersizeAsDouble('RawData (GH)'!D211)</f>
        <v>46</v>
      </c>
      <c r="G211" s="35">
        <f>getMagnification('RawData (GH)'!E211)</f>
        <v>9.09</v>
      </c>
      <c r="H211" s="62">
        <f>getMinimalFocus('RawData (GH)'!F211)</f>
        <v>0</v>
      </c>
      <c r="I211" t="str">
        <f>getMount('RawData (GH)'!G211)</f>
        <v>Micro-Four-Thirds</v>
      </c>
      <c r="J211" t="str">
        <f>getSensorCompatibility('RawData (GH)'!H211)</f>
        <v>Micro-Four-Thirds</v>
      </c>
      <c r="K211" s="45">
        <f>getWeightAsDouble('RawData (GH)'!I211)</f>
        <v>170</v>
      </c>
      <c r="L211" s="34">
        <f>getSizeDiameter('RawData (GH)'!J211)</f>
        <v>55</v>
      </c>
      <c r="M211" s="34">
        <f>getSizeLength('RawData (GH)'!J211)</f>
        <v>50</v>
      </c>
    </row>
    <row r="212" spans="1:13" x14ac:dyDescent="0.25">
      <c r="A212" t="str">
        <f>'RawData (GH)'!A212</f>
        <v>Laowa 7.5mm 2.0 für Micro-Four-Thirds silber</v>
      </c>
      <c r="B212" s="5">
        <f>getFocalLengthStart('RawData (GH)'!B212)</f>
        <v>7.5</v>
      </c>
      <c r="C212" s="5">
        <f>getFocalLengthEnd('RawData (GH)'!B212)</f>
        <v>7.5</v>
      </c>
      <c r="D212" s="9">
        <f>getApertureStart('RawData (GH)'!C212)</f>
        <v>2</v>
      </c>
      <c r="E212" s="9">
        <f>getApertureEnd('RawData (GH)'!C212)</f>
        <v>2</v>
      </c>
      <c r="F212" s="2">
        <f>getFiltersizeAsDouble('RawData (GH)'!D212)</f>
        <v>46</v>
      </c>
      <c r="G212" s="35">
        <f>getMagnification('RawData (GH)'!E212)</f>
        <v>9.09</v>
      </c>
      <c r="H212" s="62">
        <f>getMinimalFocus('RawData (GH)'!F212)</f>
        <v>0</v>
      </c>
      <c r="I212" t="str">
        <f>getMount('RawData (GH)'!G212)</f>
        <v>Micro-Four-Thirds</v>
      </c>
      <c r="J212" t="str">
        <f>getSensorCompatibility('RawData (GH)'!H212)</f>
        <v>Micro-Four-Thirds</v>
      </c>
      <c r="K212" s="45">
        <f>getWeightAsDouble('RawData (GH)'!I212)</f>
        <v>170</v>
      </c>
      <c r="L212" s="34">
        <f>getSizeDiameter('RawData (GH)'!J212)</f>
        <v>55</v>
      </c>
      <c r="M212" s="34">
        <f>getSizeLength('RawData (GH)'!J212)</f>
        <v>50</v>
      </c>
    </row>
    <row r="213" spans="1:13" x14ac:dyDescent="0.25">
      <c r="A213" t="str">
        <f>'RawData (GH)'!A213</f>
        <v>Laowa 7.5mm 2.0 Lightweight für Micro-Four-Thirds schwarz</v>
      </c>
      <c r="B213" s="5">
        <f>getFocalLengthStart('RawData (GH)'!B213)</f>
        <v>7.5</v>
      </c>
      <c r="C213" s="5">
        <f>getFocalLengthEnd('RawData (GH)'!B213)</f>
        <v>7.5</v>
      </c>
      <c r="D213" s="9">
        <f>getApertureStart('RawData (GH)'!C213)</f>
        <v>2</v>
      </c>
      <c r="E213" s="9">
        <f>getApertureEnd('RawData (GH)'!C213)</f>
        <v>2</v>
      </c>
      <c r="F213" s="2">
        <f>getFiltersizeAsDouble('RawData (GH)'!D213)</f>
        <v>46</v>
      </c>
      <c r="G213" s="35">
        <f>getMagnification('RawData (GH)'!E213)</f>
        <v>9.09</v>
      </c>
      <c r="H213" s="62">
        <f>getMinimalFocus('RawData (GH)'!F213)</f>
        <v>0</v>
      </c>
      <c r="I213" t="str">
        <f>getMount('RawData (GH)'!G213)</f>
        <v>Micro-Four-Thirds</v>
      </c>
      <c r="J213" t="str">
        <f>getSensorCompatibility('RawData (GH)'!H213)</f>
        <v>Micro-Four-Thirds</v>
      </c>
      <c r="K213" s="45">
        <f>getWeightAsDouble('RawData (GH)'!I213)</f>
        <v>150</v>
      </c>
      <c r="L213" s="34">
        <f>getSizeDiameter('RawData (GH)'!J213)</f>
        <v>55</v>
      </c>
      <c r="M213" s="34">
        <f>getSizeLength('RawData (GH)'!J213)</f>
        <v>50</v>
      </c>
    </row>
    <row r="214" spans="1:13" x14ac:dyDescent="0.25">
      <c r="A214" t="str">
        <f>'RawData (GH)'!A214</f>
        <v>Laowa 7.5mm 2.0 Lightweight für Micro-Four-Thirds silber</v>
      </c>
      <c r="B214" s="5">
        <f>getFocalLengthStart('RawData (GH)'!B214)</f>
        <v>7.5</v>
      </c>
      <c r="C214" s="5">
        <f>getFocalLengthEnd('RawData (GH)'!B214)</f>
        <v>7.5</v>
      </c>
      <c r="D214" s="9">
        <f>getApertureStart('RawData (GH)'!C214)</f>
        <v>2</v>
      </c>
      <c r="E214" s="9">
        <f>getApertureEnd('RawData (GH)'!C214)</f>
        <v>2</v>
      </c>
      <c r="F214" s="2">
        <f>getFiltersizeAsDouble('RawData (GH)'!D214)</f>
        <v>46</v>
      </c>
      <c r="G214" s="35">
        <f>getMagnification('RawData (GH)'!E214)</f>
        <v>9.09</v>
      </c>
      <c r="H214" s="62">
        <f>getMinimalFocus('RawData (GH)'!F214)</f>
        <v>0</v>
      </c>
      <c r="I214" t="str">
        <f>getMount('RawData (GH)'!G214)</f>
        <v>Micro-Four-Thirds</v>
      </c>
      <c r="J214" t="str">
        <f>getSensorCompatibility('RawData (GH)'!H214)</f>
        <v>Micro-Four-Thirds</v>
      </c>
      <c r="K214" s="45">
        <f>getWeightAsDouble('RawData (GH)'!I214)</f>
        <v>150</v>
      </c>
      <c r="L214" s="34">
        <f>getSizeDiameter('RawData (GH)'!J214)</f>
        <v>55</v>
      </c>
      <c r="M214" s="34">
        <f>getSizeLength('RawData (GH)'!J214)</f>
        <v>50</v>
      </c>
    </row>
    <row r="215" spans="1:13" x14ac:dyDescent="0.25">
      <c r="A215" t="str">
        <f>'RawData (GH)'!A215</f>
        <v>Leica APO-Elmarit-SL 90-280mm 2.8-4.0 ASPH schwarz</v>
      </c>
      <c r="B215" s="5">
        <f>getFocalLengthStart('RawData (GH)'!B215)</f>
        <v>90</v>
      </c>
      <c r="C215" s="5">
        <f>getFocalLengthEnd('RawData (GH)'!B215)</f>
        <v>280</v>
      </c>
      <c r="D215" s="9">
        <f>getApertureStart('RawData (GH)'!C215)</f>
        <v>2.8</v>
      </c>
      <c r="E215" s="9">
        <f>getApertureEnd('RawData (GH)'!C215)</f>
        <v>4</v>
      </c>
      <c r="F215" s="2">
        <f>getFiltersizeAsDouble('RawData (GH)'!D215)</f>
        <v>82</v>
      </c>
      <c r="G215" s="35">
        <f>getMagnification('RawData (GH)'!E215)</f>
        <v>4.8</v>
      </c>
      <c r="H215" s="62">
        <f>getMinimalFocus('RawData (GH)'!F215)</f>
        <v>0</v>
      </c>
      <c r="I215" t="str">
        <f>getMount('RawData (GH)'!G215)</f>
        <v>Leica L</v>
      </c>
      <c r="J215" t="str">
        <f>getSensorCompatibility('RawData (GH)'!H215)</f>
        <v>APS-C/ Kleinbild</v>
      </c>
      <c r="K215" s="45">
        <f>getWeightAsDouble('RawData (GH)'!I215)</f>
        <v>1710</v>
      </c>
      <c r="L215" s="34">
        <f>getSizeDiameter('RawData (GH)'!J215)</f>
        <v>88</v>
      </c>
      <c r="M215" s="34">
        <f>getSizeLength('RawData (GH)'!J215)</f>
        <v>238</v>
      </c>
    </row>
    <row r="216" spans="1:13" x14ac:dyDescent="0.25">
      <c r="A216" t="str">
        <f>'RawData (GH)'!A216</f>
        <v>Leica APO-Elmar-S 180mm 3.5 ASPH CS schwarz</v>
      </c>
      <c r="B216" s="5">
        <f>getFocalLengthStart('RawData (GH)'!B216)</f>
        <v>180</v>
      </c>
      <c r="C216" s="5">
        <f>getFocalLengthEnd('RawData (GH)'!B216)</f>
        <v>180</v>
      </c>
      <c r="D216" s="9">
        <f>getApertureStart('RawData (GH)'!C216)</f>
        <v>3.5</v>
      </c>
      <c r="E216" s="9">
        <f>getApertureEnd('RawData (GH)'!C216)</f>
        <v>3.5</v>
      </c>
      <c r="F216" s="2">
        <f>getFiltersizeAsDouble('RawData (GH)'!D216)</f>
        <v>72</v>
      </c>
      <c r="G216" s="35">
        <f>getMagnification('RawData (GH)'!E216)</f>
        <v>6.8</v>
      </c>
      <c r="H216" s="62">
        <f>getMinimalFocus('RawData (GH)'!F216)</f>
        <v>0</v>
      </c>
      <c r="I216" t="str">
        <f>getMount('RawData (GH)'!G216)</f>
        <v>Leica S</v>
      </c>
      <c r="J216" t="str">
        <f>getSensorCompatibility('RawData (GH)'!H216)</f>
        <v>APS-C/ Kleinbild</v>
      </c>
      <c r="K216" s="45">
        <f>getWeightAsDouble('RawData (GH)'!I216)</f>
        <v>1150</v>
      </c>
      <c r="L216" s="34">
        <f>getSizeDiameter('RawData (GH)'!J216)</f>
        <v>88</v>
      </c>
      <c r="M216" s="34">
        <f>getSizeLength('RawData (GH)'!J216)</f>
        <v>151</v>
      </c>
    </row>
    <row r="217" spans="1:13" x14ac:dyDescent="0.25">
      <c r="A217" t="str">
        <f>'RawData (GH)'!A217</f>
        <v>Leica APO-Elmar-S 180mm 3.5 ASPH schwarz</v>
      </c>
      <c r="B217" s="5">
        <f>getFocalLengthStart('RawData (GH)'!B217)</f>
        <v>180</v>
      </c>
      <c r="C217" s="5">
        <f>getFocalLengthEnd('RawData (GH)'!B217)</f>
        <v>180</v>
      </c>
      <c r="D217" s="9">
        <f>getApertureStart('RawData (GH)'!C217)</f>
        <v>3.5</v>
      </c>
      <c r="E217" s="9">
        <f>getApertureEnd('RawData (GH)'!C217)</f>
        <v>3.5</v>
      </c>
      <c r="F217" s="2">
        <f>getFiltersizeAsDouble('RawData (GH)'!D217)</f>
        <v>72</v>
      </c>
      <c r="G217" s="35">
        <f>getMagnification('RawData (GH)'!E217)</f>
        <v>6.8</v>
      </c>
      <c r="H217" s="62">
        <f>getMinimalFocus('RawData (GH)'!F217)</f>
        <v>0</v>
      </c>
      <c r="I217" t="str">
        <f>getMount('RawData (GH)'!G217)</f>
        <v>Leica S</v>
      </c>
      <c r="J217" t="str">
        <f>getSensorCompatibility('RawData (GH)'!H217)</f>
        <v>APS-C/ Kleinbild</v>
      </c>
      <c r="K217" s="45">
        <f>getWeightAsDouble('RawData (GH)'!I217)</f>
        <v>1150</v>
      </c>
      <c r="L217" s="34">
        <f>getSizeDiameter('RawData (GH)'!J217)</f>
        <v>88</v>
      </c>
      <c r="M217" s="34">
        <f>getSizeLength('RawData (GH)'!J217)</f>
        <v>151</v>
      </c>
    </row>
    <row r="218" spans="1:13" x14ac:dyDescent="0.25">
      <c r="A218" t="str">
        <f>'RawData (GH)'!A218</f>
        <v>Leica APO-Macro-Elmarit-TL 60mm 2.8 ASPH schwarz</v>
      </c>
      <c r="B218" s="5">
        <f>getFocalLengthStart('RawData (GH)'!B218)</f>
        <v>60</v>
      </c>
      <c r="C218" s="5">
        <f>getFocalLengthEnd('RawData (GH)'!B218)</f>
        <v>60</v>
      </c>
      <c r="D218" s="9">
        <f>getApertureStart('RawData (GH)'!C218)</f>
        <v>2.8</v>
      </c>
      <c r="E218" s="9">
        <f>getApertureEnd('RawData (GH)'!C218)</f>
        <v>2.8</v>
      </c>
      <c r="F218" s="2">
        <f>getFiltersizeAsDouble('RawData (GH)'!D218)</f>
        <v>60</v>
      </c>
      <c r="G218" s="35">
        <f>getMagnification('RawData (GH)'!E218)</f>
        <v>1</v>
      </c>
      <c r="H218" s="62">
        <f>getMinimalFocus('RawData (GH)'!F218)</f>
        <v>0</v>
      </c>
      <c r="I218" t="str">
        <f>getMount('RawData (GH)'!G218)</f>
        <v>Leica L</v>
      </c>
      <c r="J218" t="str">
        <f>getSensorCompatibility('RawData (GH)'!H218)</f>
        <v>APS-C/ Kleinbild</v>
      </c>
      <c r="K218" s="45">
        <f>getWeightAsDouble('RawData (GH)'!I218)</f>
        <v>320</v>
      </c>
      <c r="L218" s="34">
        <f>getSizeDiameter('RawData (GH)'!J218)</f>
        <v>68</v>
      </c>
      <c r="M218" s="34">
        <f>getSizeLength('RawData (GH)'!J218)</f>
        <v>89</v>
      </c>
    </row>
    <row r="219" spans="1:13" x14ac:dyDescent="0.25">
      <c r="A219" t="str">
        <f>'RawData (GH)'!A219</f>
        <v>Leica APO-Macro-Elmarit-TL 60mm 2.8 ASPH silber</v>
      </c>
      <c r="B219" s="5">
        <f>getFocalLengthStart('RawData (GH)'!B219)</f>
        <v>60</v>
      </c>
      <c r="C219" s="5">
        <f>getFocalLengthEnd('RawData (GH)'!B219)</f>
        <v>60</v>
      </c>
      <c r="D219" s="9">
        <f>getApertureStart('RawData (GH)'!C219)</f>
        <v>2.8</v>
      </c>
      <c r="E219" s="9">
        <f>getApertureEnd('RawData (GH)'!C219)</f>
        <v>2.8</v>
      </c>
      <c r="F219" s="2">
        <f>getFiltersizeAsDouble('RawData (GH)'!D219)</f>
        <v>60</v>
      </c>
      <c r="G219" s="35">
        <f>getMagnification('RawData (GH)'!E219)</f>
        <v>1</v>
      </c>
      <c r="H219" s="62">
        <f>getMinimalFocus('RawData (GH)'!F219)</f>
        <v>0</v>
      </c>
      <c r="I219" t="str">
        <f>getMount('RawData (GH)'!G219)</f>
        <v>Leica L</v>
      </c>
      <c r="J219" t="str">
        <f>getSensorCompatibility('RawData (GH)'!H219)</f>
        <v>APS-C/ Kleinbild</v>
      </c>
      <c r="K219" s="45">
        <f>getWeightAsDouble('RawData (GH)'!I219)</f>
        <v>320</v>
      </c>
      <c r="L219" s="34">
        <f>getSizeDiameter('RawData (GH)'!J219)</f>
        <v>68</v>
      </c>
      <c r="M219" s="34">
        <f>getSizeLength('RawData (GH)'!J219)</f>
        <v>89</v>
      </c>
    </row>
    <row r="220" spans="1:13" x14ac:dyDescent="0.25">
      <c r="A220" t="str">
        <f>'RawData (GH)'!A220</f>
        <v>Leica APO-Macro-Summarit-S 120mm 2.5 ASPH CS schwarz</v>
      </c>
      <c r="B220" s="5">
        <f>getFocalLengthStart('RawData (GH)'!B220)</f>
        <v>120</v>
      </c>
      <c r="C220" s="5">
        <f>getFocalLengthEnd('RawData (GH)'!B220)</f>
        <v>120</v>
      </c>
      <c r="D220" s="9">
        <f>getApertureStart('RawData (GH)'!C220)</f>
        <v>2.5</v>
      </c>
      <c r="E220" s="9">
        <f>getApertureEnd('RawData (GH)'!C220)</f>
        <v>2.5</v>
      </c>
      <c r="F220" s="2">
        <f>getFiltersizeAsDouble('RawData (GH)'!D220)</f>
        <v>72</v>
      </c>
      <c r="G220" s="35">
        <f>getMagnification('RawData (GH)'!E220)</f>
        <v>2.1</v>
      </c>
      <c r="H220" s="62">
        <f>getMinimalFocus('RawData (GH)'!F220)</f>
        <v>0</v>
      </c>
      <c r="I220" t="str">
        <f>getMount('RawData (GH)'!G220)</f>
        <v>Leica S</v>
      </c>
      <c r="J220" t="str">
        <f>getSensorCompatibility('RawData (GH)'!H220)</f>
        <v>APS-C/ Kleinbild</v>
      </c>
      <c r="K220" s="45">
        <f>getWeightAsDouble('RawData (GH)'!I220)</f>
        <v>1135</v>
      </c>
      <c r="L220" s="34">
        <f>getSizeDiameter('RawData (GH)'!J220)</f>
        <v>91</v>
      </c>
      <c r="M220" s="34">
        <f>getSizeLength('RawData (GH)'!J220)</f>
        <v>128</v>
      </c>
    </row>
    <row r="221" spans="1:13" x14ac:dyDescent="0.25">
      <c r="A221" t="str">
        <f>'RawData (GH)'!A221</f>
        <v>Leica APO-Macro-Summarit-S 120mm 2.5 ASPH schwarz</v>
      </c>
      <c r="B221" s="5">
        <f>getFocalLengthStart('RawData (GH)'!B221)</f>
        <v>120</v>
      </c>
      <c r="C221" s="5">
        <f>getFocalLengthEnd('RawData (GH)'!B221)</f>
        <v>120</v>
      </c>
      <c r="D221" s="9">
        <f>getApertureStart('RawData (GH)'!C221)</f>
        <v>2.5</v>
      </c>
      <c r="E221" s="9">
        <f>getApertureEnd('RawData (GH)'!C221)</f>
        <v>2.5</v>
      </c>
      <c r="F221" s="2">
        <f>getFiltersizeAsDouble('RawData (GH)'!D221)</f>
        <v>72</v>
      </c>
      <c r="G221" s="35">
        <f>getMagnification('RawData (GH)'!E221)</f>
        <v>2.1</v>
      </c>
      <c r="H221" s="62">
        <f>getMinimalFocus('RawData (GH)'!F221)</f>
        <v>0</v>
      </c>
      <c r="I221" t="str">
        <f>getMount('RawData (GH)'!G221)</f>
        <v>Leica S</v>
      </c>
      <c r="J221" t="str">
        <f>getSensorCompatibility('RawData (GH)'!H221)</f>
        <v>APS-C/ Kleinbild</v>
      </c>
      <c r="K221" s="45">
        <f>getWeightAsDouble('RawData (GH)'!I221)</f>
        <v>1135</v>
      </c>
      <c r="L221" s="34">
        <f>getSizeDiameter('RawData (GH)'!J221)</f>
        <v>91</v>
      </c>
      <c r="M221" s="34">
        <f>getSizeLength('RawData (GH)'!J221)</f>
        <v>128</v>
      </c>
    </row>
    <row r="222" spans="1:13" x14ac:dyDescent="0.25">
      <c r="A222" t="str">
        <f>'RawData (GH)'!A222</f>
        <v>Leica APO-Summicron-M 50mm 2.0 ASPH schwarz</v>
      </c>
      <c r="B222" s="5">
        <f>getFocalLengthStart('RawData (GH)'!B222)</f>
        <v>50</v>
      </c>
      <c r="C222" s="5">
        <f>getFocalLengthEnd('RawData (GH)'!B222)</f>
        <v>50</v>
      </c>
      <c r="D222" s="9">
        <f>getApertureStart('RawData (GH)'!C222)</f>
        <v>2</v>
      </c>
      <c r="E222" s="9">
        <f>getApertureEnd('RawData (GH)'!C222)</f>
        <v>2</v>
      </c>
      <c r="F222" s="2">
        <f>getFiltersizeAsDouble('RawData (GH)'!D222)</f>
        <v>39</v>
      </c>
      <c r="G222" s="35">
        <f>getMagnification('RawData (GH)'!E222)</f>
        <v>11.5</v>
      </c>
      <c r="H222" s="62">
        <f>getMinimalFocus('RawData (GH)'!F222)</f>
        <v>0</v>
      </c>
      <c r="I222" t="str">
        <f>getMount('RawData (GH)'!G222)</f>
        <v>Leica M</v>
      </c>
      <c r="J222" t="str">
        <f>getSensorCompatibility('RawData (GH)'!H222)</f>
        <v>APS-C/ Kleinbild</v>
      </c>
      <c r="K222" s="45">
        <f>getWeightAsDouble('RawData (GH)'!I222)</f>
        <v>300</v>
      </c>
      <c r="L222" s="34">
        <f>getSizeDiameter('RawData (GH)'!J222)</f>
        <v>53</v>
      </c>
      <c r="M222" s="34">
        <f>getSizeLength('RawData (GH)'!J222)</f>
        <v>47</v>
      </c>
    </row>
    <row r="223" spans="1:13" x14ac:dyDescent="0.25">
      <c r="A223" t="str">
        <f>'RawData (GH)'!A223</f>
        <v>Leica APO-Summicron-M 50mm 2.0 ASPH silber</v>
      </c>
      <c r="B223" s="5">
        <f>getFocalLengthStart('RawData (GH)'!B223)</f>
        <v>50</v>
      </c>
      <c r="C223" s="5">
        <f>getFocalLengthEnd('RawData (GH)'!B223)</f>
        <v>50</v>
      </c>
      <c r="D223" s="9">
        <f>getApertureStart('RawData (GH)'!C223)</f>
        <v>2</v>
      </c>
      <c r="E223" s="9">
        <f>getApertureEnd('RawData (GH)'!C223)</f>
        <v>2</v>
      </c>
      <c r="F223" s="2">
        <f>getFiltersizeAsDouble('RawData (GH)'!D223)</f>
        <v>39</v>
      </c>
      <c r="G223" s="35">
        <f>getMagnification('RawData (GH)'!E223)</f>
        <v>11.5</v>
      </c>
      <c r="H223" s="62">
        <f>getMinimalFocus('RawData (GH)'!F223)</f>
        <v>0</v>
      </c>
      <c r="I223" t="str">
        <f>getMount('RawData (GH)'!G223)</f>
        <v>Leica M</v>
      </c>
      <c r="J223" t="str">
        <f>getSensorCompatibility('RawData (GH)'!H223)</f>
        <v>APS-C/ Kleinbild</v>
      </c>
      <c r="K223" s="45">
        <f>getWeightAsDouble('RawData (GH)'!I223)</f>
        <v>300</v>
      </c>
      <c r="L223" s="34">
        <f>getSizeDiameter('RawData (GH)'!J223)</f>
        <v>53</v>
      </c>
      <c r="M223" s="34">
        <f>getSizeLength('RawData (GH)'!J223)</f>
        <v>47</v>
      </c>
    </row>
    <row r="224" spans="1:13" x14ac:dyDescent="0.25">
      <c r="A224" t="str">
        <f>'RawData (GH)'!A224</f>
        <v>Leica APO-Summicron-M 75mm 2.0 ASPH schwarz</v>
      </c>
      <c r="B224" s="5">
        <f>getFocalLengthStart('RawData (GH)'!B224)</f>
        <v>75</v>
      </c>
      <c r="C224" s="5">
        <f>getFocalLengthEnd('RawData (GH)'!B224)</f>
        <v>75</v>
      </c>
      <c r="D224" s="9">
        <f>getApertureStart('RawData (GH)'!C224)</f>
        <v>2</v>
      </c>
      <c r="E224" s="9">
        <f>getApertureEnd('RawData (GH)'!C224)</f>
        <v>2</v>
      </c>
      <c r="F224" s="2">
        <f>getFiltersizeAsDouble('RawData (GH)'!D224)</f>
        <v>49</v>
      </c>
      <c r="G224" s="35">
        <f>getMagnification('RawData (GH)'!E224)</f>
        <v>7</v>
      </c>
      <c r="H224" s="62">
        <f>getMinimalFocus('RawData (GH)'!F224)</f>
        <v>0</v>
      </c>
      <c r="I224" t="str">
        <f>getMount('RawData (GH)'!G224)</f>
        <v>Leica M</v>
      </c>
      <c r="J224" t="str">
        <f>getSensorCompatibility('RawData (GH)'!H224)</f>
        <v>APS-C/ Kleinbild</v>
      </c>
      <c r="K224" s="45">
        <f>getWeightAsDouble('RawData (GH)'!I224)</f>
        <v>430</v>
      </c>
      <c r="L224" s="34">
        <f>getSizeDiameter('RawData (GH)'!J224)</f>
        <v>58</v>
      </c>
      <c r="M224" s="34">
        <f>getSizeLength('RawData (GH)'!J224)</f>
        <v>66.8</v>
      </c>
    </row>
    <row r="225" spans="1:13" x14ac:dyDescent="0.25">
      <c r="A225" t="str">
        <f>'RawData (GH)'!A225</f>
        <v>Leica APO-Summicron-M 90mm 2.0 ASPH schwarz</v>
      </c>
      <c r="B225" s="5">
        <f>getFocalLengthStart('RawData (GH)'!B225)</f>
        <v>90</v>
      </c>
      <c r="C225" s="5">
        <f>getFocalLengthEnd('RawData (GH)'!B225)</f>
        <v>90</v>
      </c>
      <c r="D225" s="9">
        <f>getApertureStart('RawData (GH)'!C225)</f>
        <v>2</v>
      </c>
      <c r="E225" s="9">
        <f>getApertureEnd('RawData (GH)'!C225)</f>
        <v>2</v>
      </c>
      <c r="F225" s="2">
        <f>getFiltersizeAsDouble('RawData (GH)'!D225)</f>
        <v>55</v>
      </c>
      <c r="G225" s="35">
        <f>getMagnification('RawData (GH)'!E225)</f>
        <v>9</v>
      </c>
      <c r="H225" s="62">
        <f>getMinimalFocus('RawData (GH)'!F225)</f>
        <v>0</v>
      </c>
      <c r="I225" t="str">
        <f>getMount('RawData (GH)'!G225)</f>
        <v>Leica M</v>
      </c>
      <c r="J225" t="str">
        <f>getSensorCompatibility('RawData (GH)'!H225)</f>
        <v>APS-C/ Kleinbild</v>
      </c>
      <c r="K225" s="45">
        <f>getWeightAsDouble('RawData (GH)'!I225)</f>
        <v>500</v>
      </c>
      <c r="L225" s="34">
        <f>getSizeDiameter('RawData (GH)'!J225)</f>
        <v>64</v>
      </c>
      <c r="M225" s="34">
        <f>getSizeLength('RawData (GH)'!J225)</f>
        <v>78</v>
      </c>
    </row>
    <row r="226" spans="1:13" x14ac:dyDescent="0.25">
      <c r="A226" t="str">
        <f>'RawData (GH)'!A226</f>
        <v>Leica APO-Telyt-M 135mm 3.4 schwarz</v>
      </c>
      <c r="B226" s="5">
        <f>getFocalLengthStart('RawData (GH)'!B226)</f>
        <v>135</v>
      </c>
      <c r="C226" s="5">
        <f>getFocalLengthEnd('RawData (GH)'!B226)</f>
        <v>135</v>
      </c>
      <c r="D226" s="9">
        <f>getApertureStart('RawData (GH)'!C226)</f>
        <v>3.4</v>
      </c>
      <c r="E226" s="9">
        <f>getApertureEnd('RawData (GH)'!C226)</f>
        <v>3.4</v>
      </c>
      <c r="F226" s="2">
        <f>getFiltersizeAsDouble('RawData (GH)'!D226)</f>
        <v>49</v>
      </c>
      <c r="G226" s="35">
        <f>getMagnification('RawData (GH)'!E226)</f>
        <v>9</v>
      </c>
      <c r="H226" s="62">
        <f>getMinimalFocus('RawData (GH)'!F226)</f>
        <v>0</v>
      </c>
      <c r="I226" t="str">
        <f>getMount('RawData (GH)'!G226)</f>
        <v>Leica M</v>
      </c>
      <c r="J226" t="str">
        <f>getSensorCompatibility('RawData (GH)'!H226)</f>
        <v>APS-C/ Kleinbild</v>
      </c>
      <c r="K226" s="45">
        <f>getWeightAsDouble('RawData (GH)'!I226)</f>
        <v>450</v>
      </c>
      <c r="L226" s="34">
        <f>getSizeDiameter('RawData (GH)'!J226)</f>
        <v>58.5</v>
      </c>
      <c r="M226" s="34">
        <f>getSizeLength('RawData (GH)'!J226)</f>
        <v>104.7</v>
      </c>
    </row>
    <row r="227" spans="1:13" x14ac:dyDescent="0.25">
      <c r="A227" t="str">
        <f>'RawData (GH)'!A227</f>
        <v>Leica Apo-Vario-Elmar-T 55-135mm 3.5-4.5 ASPH schwarz</v>
      </c>
      <c r="B227" s="5">
        <f>getFocalLengthStart('RawData (GH)'!B227)</f>
        <v>55</v>
      </c>
      <c r="C227" s="5">
        <f>getFocalLengthEnd('RawData (GH)'!B227)</f>
        <v>135</v>
      </c>
      <c r="D227" s="9">
        <f>getApertureStart('RawData (GH)'!C227)</f>
        <v>3.5</v>
      </c>
      <c r="E227" s="9">
        <f>getApertureEnd('RawData (GH)'!C227)</f>
        <v>4.5</v>
      </c>
      <c r="F227" s="2">
        <f>getFiltersizeAsDouble('RawData (GH)'!D227)</f>
        <v>60</v>
      </c>
      <c r="G227" s="35">
        <f>getMagnification('RawData (GH)'!E227)</f>
        <v>17.100000000000001</v>
      </c>
      <c r="H227" s="62">
        <f>getMinimalFocus('RawData (GH)'!F227)</f>
        <v>0</v>
      </c>
      <c r="I227" t="str">
        <f>getMount('RawData (GH)'!G227)</f>
        <v>Leica T</v>
      </c>
      <c r="J227" t="str">
        <f>getSensorCompatibility('RawData (GH)'!H227)</f>
        <v>APS-C</v>
      </c>
      <c r="K227" s="45">
        <f>getWeightAsDouble('RawData (GH)'!I227)</f>
        <v>500</v>
      </c>
      <c r="L227" s="34">
        <f>getSizeDiameter('RawData (GH)'!J227)</f>
        <v>68</v>
      </c>
      <c r="M227" s="34">
        <f>getSizeLength('RawData (GH)'!J227)</f>
        <v>110</v>
      </c>
    </row>
    <row r="228" spans="1:13" x14ac:dyDescent="0.25">
      <c r="A228" t="str">
        <f>'RawData (GH)'!A228</f>
        <v>Leica Elmarit-M 28mm 2.8 ASPH schwarz (11606)</v>
      </c>
      <c r="B228" s="5">
        <f>getFocalLengthStart('RawData (GH)'!B228)</f>
        <v>28</v>
      </c>
      <c r="C228" s="5">
        <f>getFocalLengthEnd('RawData (GH)'!B228)</f>
        <v>28</v>
      </c>
      <c r="D228" s="9">
        <f>getApertureStart('RawData (GH)'!C228)</f>
        <v>2.8</v>
      </c>
      <c r="E228" s="9">
        <f>getApertureEnd('RawData (GH)'!C228)</f>
        <v>2.8</v>
      </c>
      <c r="F228" s="2">
        <f>getFiltersizeAsDouble('RawData (GH)'!D228)</f>
        <v>39</v>
      </c>
      <c r="G228" s="35">
        <f>getMagnification('RawData (GH)'!E228)</f>
        <v>22</v>
      </c>
      <c r="H228" s="62">
        <f>getMinimalFocus('RawData (GH)'!F228)</f>
        <v>0</v>
      </c>
      <c r="I228" t="str">
        <f>getMount('RawData (GH)'!G228)</f>
        <v>Leica M</v>
      </c>
      <c r="J228" t="str">
        <f>getSensorCompatibility('RawData (GH)'!H228)</f>
        <v>APS-C/ Kleinbild</v>
      </c>
      <c r="K228" s="45">
        <f>getWeightAsDouble('RawData (GH)'!I228)</f>
        <v>180</v>
      </c>
      <c r="L228" s="34">
        <f>getSizeDiameter('RawData (GH)'!J228)</f>
        <v>52</v>
      </c>
      <c r="M228" s="34">
        <f>getSizeLength('RawData (GH)'!J228)</f>
        <v>46</v>
      </c>
    </row>
    <row r="229" spans="1:13" x14ac:dyDescent="0.25">
      <c r="A229" t="str">
        <f>'RawData (GH)'!A229</f>
        <v>Leica Elmarit-M 28mm 2.8 ASPH schwarz (11677)</v>
      </c>
      <c r="B229" s="5">
        <f>getFocalLengthStart('RawData (GH)'!B229)</f>
        <v>28</v>
      </c>
      <c r="C229" s="5">
        <f>getFocalLengthEnd('RawData (GH)'!B229)</f>
        <v>28</v>
      </c>
      <c r="D229" s="9">
        <f>getApertureStart('RawData (GH)'!C229)</f>
        <v>2.8</v>
      </c>
      <c r="E229" s="9">
        <f>getApertureEnd('RawData (GH)'!C229)</f>
        <v>2.8</v>
      </c>
      <c r="F229" s="2">
        <f>getFiltersizeAsDouble('RawData (GH)'!D229)</f>
        <v>39</v>
      </c>
      <c r="G229" s="35">
        <f>getMagnification('RawData (GH)'!E229)</f>
        <v>22.2</v>
      </c>
      <c r="H229" s="62">
        <f>getMinimalFocus('RawData (GH)'!F229)</f>
        <v>0</v>
      </c>
      <c r="I229" t="str">
        <f>getMount('RawData (GH)'!G229)</f>
        <v>Leica M</v>
      </c>
      <c r="J229" t="str">
        <f>getSensorCompatibility('RawData (GH)'!H229)</f>
        <v>APS-C/ Kleinbild</v>
      </c>
      <c r="K229" s="45">
        <f>getWeightAsDouble('RawData (GH)'!I229)</f>
        <v>175</v>
      </c>
      <c r="L229" s="34">
        <f>getSizeDiameter('RawData (GH)'!J229)</f>
        <v>52</v>
      </c>
      <c r="M229" s="34">
        <f>getSizeLength('RawData (GH)'!J229)</f>
        <v>30.7</v>
      </c>
    </row>
    <row r="230" spans="1:13" x14ac:dyDescent="0.25">
      <c r="A230" t="str">
        <f>'RawData (GH)'!A230</f>
        <v>Leica Elmarit-S 30mm 2.8 ASPH CS schwarz</v>
      </c>
      <c r="B230" s="5">
        <f>getFocalLengthStart('RawData (GH)'!B230)</f>
        <v>30</v>
      </c>
      <c r="C230" s="5">
        <f>getFocalLengthEnd('RawData (GH)'!B230)</f>
        <v>30</v>
      </c>
      <c r="D230" s="9">
        <f>getApertureStart('RawData (GH)'!C230)</f>
        <v>2.8</v>
      </c>
      <c r="E230" s="9">
        <f>getApertureEnd('RawData (GH)'!C230)</f>
        <v>2.8</v>
      </c>
      <c r="F230" s="2">
        <f>getFiltersizeAsDouble('RawData (GH)'!D230)</f>
        <v>82</v>
      </c>
      <c r="G230" s="35">
        <f>getMagnification('RawData (GH)'!E230)</f>
        <v>11.3</v>
      </c>
      <c r="H230" s="62">
        <f>getMinimalFocus('RawData (GH)'!F230)</f>
        <v>0</v>
      </c>
      <c r="I230" t="str">
        <f>getMount('RawData (GH)'!G230)</f>
        <v>Leica S</v>
      </c>
      <c r="J230" t="str">
        <f>getSensorCompatibility('RawData (GH)'!H230)</f>
        <v>APS-C/ Kleinbild</v>
      </c>
      <c r="K230" s="45">
        <f>getWeightAsDouble('RawData (GH)'!I230)</f>
        <v>1060</v>
      </c>
      <c r="L230" s="34">
        <f>getSizeDiameter('RawData (GH)'!J230)</f>
        <v>88</v>
      </c>
      <c r="M230" s="34">
        <f>getSizeLength('RawData (GH)'!J230)</f>
        <v>128</v>
      </c>
    </row>
    <row r="231" spans="1:13" x14ac:dyDescent="0.25">
      <c r="A231" t="str">
        <f>'RawData (GH)'!A231</f>
        <v>Leica Elmarit-S 30mm 2.8 ASPH schwarz</v>
      </c>
      <c r="B231" s="5">
        <f>getFocalLengthStart('RawData (GH)'!B231)</f>
        <v>30</v>
      </c>
      <c r="C231" s="5">
        <f>getFocalLengthEnd('RawData (GH)'!B231)</f>
        <v>30</v>
      </c>
      <c r="D231" s="9">
        <f>getApertureStart('RawData (GH)'!C231)</f>
        <v>2.8</v>
      </c>
      <c r="E231" s="9">
        <f>getApertureEnd('RawData (GH)'!C231)</f>
        <v>2.8</v>
      </c>
      <c r="F231" s="2">
        <f>getFiltersizeAsDouble('RawData (GH)'!D231)</f>
        <v>82</v>
      </c>
      <c r="G231" s="35">
        <f>getMagnification('RawData (GH)'!E231)</f>
        <v>11.3</v>
      </c>
      <c r="H231" s="62">
        <f>getMinimalFocus('RawData (GH)'!F231)</f>
        <v>0</v>
      </c>
      <c r="I231" t="str">
        <f>getMount('RawData (GH)'!G231)</f>
        <v>Leica S</v>
      </c>
      <c r="J231" t="str">
        <f>getSensorCompatibility('RawData (GH)'!H231)</f>
        <v>APS-C/ Kleinbild</v>
      </c>
      <c r="K231" s="45">
        <f>getWeightAsDouble('RawData (GH)'!I231)</f>
        <v>1060</v>
      </c>
      <c r="L231" s="34">
        <f>getSizeDiameter('RawData (GH)'!J231)</f>
        <v>88</v>
      </c>
      <c r="M231" s="34">
        <f>getSizeLength('RawData (GH)'!J231)</f>
        <v>128</v>
      </c>
    </row>
    <row r="232" spans="1:13" x14ac:dyDescent="0.25">
      <c r="A232" t="str">
        <f>'RawData (GH)'!A232</f>
        <v>Leica Elmarit-S 45mm 2.8 ASPH CS schwarz</v>
      </c>
      <c r="B232" s="5">
        <f>getFocalLengthStart('RawData (GH)'!B232)</f>
        <v>45</v>
      </c>
      <c r="C232" s="5">
        <f>getFocalLengthEnd('RawData (GH)'!B232)</f>
        <v>45</v>
      </c>
      <c r="D232" s="9">
        <f>getApertureStart('RawData (GH)'!C232)</f>
        <v>2.8</v>
      </c>
      <c r="E232" s="9">
        <f>getApertureEnd('RawData (GH)'!C232)</f>
        <v>2.8</v>
      </c>
      <c r="F232" s="2">
        <f>getFiltersizeAsDouble('RawData (GH)'!D232)</f>
        <v>82</v>
      </c>
      <c r="G232" s="35">
        <f>getMagnification('RawData (GH)'!E232)</f>
        <v>10.1</v>
      </c>
      <c r="H232" s="62">
        <f>getMinimalFocus('RawData (GH)'!F232)</f>
        <v>0</v>
      </c>
      <c r="I232" t="str">
        <f>getMount('RawData (GH)'!G232)</f>
        <v>Leica S</v>
      </c>
      <c r="J232" t="str">
        <f>getSensorCompatibility('RawData (GH)'!H232)</f>
        <v>APS-C/ Kleinbild</v>
      </c>
      <c r="K232" s="45">
        <f>getWeightAsDouble('RawData (GH)'!I232)</f>
        <v>1300</v>
      </c>
      <c r="L232" s="34">
        <f>getSizeDiameter('RawData (GH)'!J232)</f>
        <v>88</v>
      </c>
      <c r="M232" s="34">
        <f>getSizeLength('RawData (GH)'!J232)</f>
        <v>136</v>
      </c>
    </row>
    <row r="233" spans="1:13" x14ac:dyDescent="0.25">
      <c r="A233" t="str">
        <f>'RawData (GH)'!A233</f>
        <v>Leica Elmarit-S 45mm 2.8 ASPH schwarz</v>
      </c>
      <c r="B233" s="5">
        <f>getFocalLengthStart('RawData (GH)'!B233)</f>
        <v>45</v>
      </c>
      <c r="C233" s="5">
        <f>getFocalLengthEnd('RawData (GH)'!B233)</f>
        <v>45</v>
      </c>
      <c r="D233" s="9">
        <f>getApertureStart('RawData (GH)'!C233)</f>
        <v>2.8</v>
      </c>
      <c r="E233" s="9">
        <f>getApertureEnd('RawData (GH)'!C233)</f>
        <v>2.8</v>
      </c>
      <c r="F233" s="2">
        <f>getFiltersizeAsDouble('RawData (GH)'!D233)</f>
        <v>82</v>
      </c>
      <c r="G233" s="35">
        <f>getMagnification('RawData (GH)'!E233)</f>
        <v>10.1</v>
      </c>
      <c r="H233" s="62">
        <f>getMinimalFocus('RawData (GH)'!F233)</f>
        <v>0</v>
      </c>
      <c r="I233" t="str">
        <f>getMount('RawData (GH)'!G233)</f>
        <v>Leica S</v>
      </c>
      <c r="J233" t="str">
        <f>getSensorCompatibility('RawData (GH)'!H233)</f>
        <v>APS-C/ Kleinbild</v>
      </c>
      <c r="K233" s="45">
        <f>getWeightAsDouble('RawData (GH)'!I233)</f>
        <v>1300</v>
      </c>
      <c r="L233" s="34">
        <f>getSizeDiameter('RawData (GH)'!J233)</f>
        <v>88</v>
      </c>
      <c r="M233" s="34">
        <f>getSizeLength('RawData (GH)'!J233)</f>
        <v>136</v>
      </c>
    </row>
    <row r="234" spans="1:13" x14ac:dyDescent="0.25">
      <c r="A234" t="str">
        <f>'RawData (GH)'!A234</f>
        <v>Leica Elmar-M 24mm 3.8 ASPH schwarz</v>
      </c>
      <c r="B234" s="5">
        <f>getFocalLengthStart('RawData (GH)'!B234)</f>
        <v>24</v>
      </c>
      <c r="C234" s="5">
        <f>getFocalLengthEnd('RawData (GH)'!B234)</f>
        <v>24</v>
      </c>
      <c r="D234" s="9">
        <f>getApertureStart('RawData (GH)'!C234)</f>
        <v>3.8</v>
      </c>
      <c r="E234" s="9">
        <f>getApertureEnd('RawData (GH)'!C234)</f>
        <v>3.8</v>
      </c>
      <c r="F234" s="2">
        <f>getFiltersizeAsDouble('RawData (GH)'!D234)</f>
        <v>39</v>
      </c>
      <c r="G234" s="35">
        <f>getMagnification('RawData (GH)'!E234)</f>
        <v>26</v>
      </c>
      <c r="H234" s="62">
        <f>getMinimalFocus('RawData (GH)'!F234)</f>
        <v>0</v>
      </c>
      <c r="I234" t="str">
        <f>getMount('RawData (GH)'!G234)</f>
        <v>Leica M</v>
      </c>
      <c r="J234" t="str">
        <f>getSensorCompatibility('RawData (GH)'!H234)</f>
        <v>APS-C/ Kleinbild</v>
      </c>
      <c r="K234" s="45">
        <f>getWeightAsDouble('RawData (GH)'!I234)</f>
        <v>260</v>
      </c>
      <c r="L234" s="34">
        <f>getSizeDiameter('RawData (GH)'!J234)</f>
        <v>53</v>
      </c>
      <c r="M234" s="34">
        <f>getSizeLength('RawData (GH)'!J234)</f>
        <v>40.6</v>
      </c>
    </row>
    <row r="235" spans="1:13" x14ac:dyDescent="0.25">
      <c r="A235" t="str">
        <f>'RawData (GH)'!A235</f>
        <v>Leica Makro-Elmar-M 90mm 4.0 schwarz</v>
      </c>
      <c r="B235" s="5">
        <f>getFocalLengthStart('RawData (GH)'!B235)</f>
        <v>90</v>
      </c>
      <c r="C235" s="5">
        <f>getFocalLengthEnd('RawData (GH)'!B235)</f>
        <v>90</v>
      </c>
      <c r="D235" s="9">
        <f>getApertureStart('RawData (GH)'!C235)</f>
        <v>4</v>
      </c>
      <c r="E235" s="9">
        <f>getApertureEnd('RawData (GH)'!C235)</f>
        <v>4</v>
      </c>
      <c r="F235" s="2">
        <f>getFiltersizeAsDouble('RawData (GH)'!D235)</f>
        <v>39</v>
      </c>
      <c r="G235" s="35">
        <f>getMagnification('RawData (GH)'!E235)</f>
        <v>6.7</v>
      </c>
      <c r="H235" s="62">
        <f>getMinimalFocus('RawData (GH)'!F235)</f>
        <v>0</v>
      </c>
      <c r="I235" t="str">
        <f>getMount('RawData (GH)'!G235)</f>
        <v>Leica M</v>
      </c>
      <c r="J235" t="str">
        <f>getSensorCompatibility('RawData (GH)'!H235)</f>
        <v>APS-C/ Kleinbild</v>
      </c>
      <c r="K235" s="45">
        <f>getWeightAsDouble('RawData (GH)'!I235)</f>
        <v>240</v>
      </c>
      <c r="L235" s="34">
        <f>getSizeDiameter('RawData (GH)'!J235)</f>
        <v>52</v>
      </c>
      <c r="M235" s="34">
        <f>getSizeLength('RawData (GH)'!J235)</f>
        <v>59</v>
      </c>
    </row>
    <row r="236" spans="1:13" x14ac:dyDescent="0.25">
      <c r="A236" t="str">
        <f>'RawData (GH)'!A236</f>
        <v>Leica Makro-Elmar-M 90mm 4.0 Set schwarz</v>
      </c>
      <c r="B236" s="5">
        <f>getFocalLengthStart('RawData (GH)'!B236)</f>
        <v>90</v>
      </c>
      <c r="C236" s="5">
        <f>getFocalLengthEnd('RawData (GH)'!B236)</f>
        <v>90</v>
      </c>
      <c r="D236" s="9">
        <f>getApertureStart('RawData (GH)'!C236)</f>
        <v>4</v>
      </c>
      <c r="E236" s="9">
        <f>getApertureEnd('RawData (GH)'!C236)</f>
        <v>4</v>
      </c>
      <c r="F236" s="2">
        <f>getFiltersizeAsDouble('RawData (GH)'!D236)</f>
        <v>39</v>
      </c>
      <c r="G236" s="35">
        <f>getMagnification('RawData (GH)'!E236)</f>
        <v>6.7</v>
      </c>
      <c r="H236" s="62">
        <f>getMinimalFocus('RawData (GH)'!F236)</f>
        <v>0</v>
      </c>
      <c r="I236" t="str">
        <f>getMount('RawData (GH)'!G236)</f>
        <v>Leica M</v>
      </c>
      <c r="J236" t="str">
        <f>getSensorCompatibility('RawData (GH)'!H236)</f>
        <v>APS-C/ Kleinbild</v>
      </c>
      <c r="K236" s="45">
        <f>getWeightAsDouble('RawData (GH)'!I236)</f>
        <v>240</v>
      </c>
      <c r="L236" s="34">
        <f>getSizeDiameter('RawData (GH)'!J236)</f>
        <v>52</v>
      </c>
      <c r="M236" s="34">
        <f>getSizeLength('RawData (GH)'!J236)</f>
        <v>59</v>
      </c>
    </row>
    <row r="237" spans="1:13" x14ac:dyDescent="0.25">
      <c r="A237" t="str">
        <f>'RawData (GH)'!A237</f>
        <v>Leica Noctilux-M 50mm 0.95 ASPH schwarz</v>
      </c>
      <c r="B237" s="5">
        <f>getFocalLengthStart('RawData (GH)'!B237)</f>
        <v>50</v>
      </c>
      <c r="C237" s="5">
        <f>getFocalLengthEnd('RawData (GH)'!B237)</f>
        <v>50</v>
      </c>
      <c r="D237" s="9">
        <f>getApertureStart('RawData (GH)'!C237)</f>
        <v>0.95</v>
      </c>
      <c r="E237" s="9">
        <f>getApertureEnd('RawData (GH)'!C237)</f>
        <v>0.95</v>
      </c>
      <c r="F237" s="2">
        <f>getFiltersizeAsDouble('RawData (GH)'!D237)</f>
        <v>60</v>
      </c>
      <c r="G237" s="35">
        <f>getMagnification('RawData (GH)'!E237)</f>
        <v>17</v>
      </c>
      <c r="H237" s="62">
        <f>getMinimalFocus('RawData (GH)'!F237)</f>
        <v>0</v>
      </c>
      <c r="I237" t="str">
        <f>getMount('RawData (GH)'!G237)</f>
        <v>Leica M</v>
      </c>
      <c r="J237" t="str">
        <f>getSensorCompatibility('RawData (GH)'!H237)</f>
        <v>APS-C/ Kleinbild</v>
      </c>
      <c r="K237" s="45">
        <f>getWeightAsDouble('RawData (GH)'!I237)</f>
        <v>700</v>
      </c>
      <c r="L237" s="34">
        <f>getSizeDiameter('RawData (GH)'!J237)</f>
        <v>73</v>
      </c>
      <c r="M237" s="34">
        <f>getSizeLength('RawData (GH)'!J237)</f>
        <v>75.099999999999994</v>
      </c>
    </row>
    <row r="238" spans="1:13" x14ac:dyDescent="0.25">
      <c r="A238" t="str">
        <f>'RawData (GH)'!A238</f>
        <v>Leica Noctilux-M 50mm 0.95 ASPH silber</v>
      </c>
      <c r="B238" s="5">
        <f>getFocalLengthStart('RawData (GH)'!B238)</f>
        <v>50</v>
      </c>
      <c r="C238" s="5">
        <f>getFocalLengthEnd('RawData (GH)'!B238)</f>
        <v>50</v>
      </c>
      <c r="D238" s="9">
        <f>getApertureStart('RawData (GH)'!C238)</f>
        <v>0.95</v>
      </c>
      <c r="E238" s="9">
        <f>getApertureEnd('RawData (GH)'!C238)</f>
        <v>0.95</v>
      </c>
      <c r="F238" s="2">
        <f>getFiltersizeAsDouble('RawData (GH)'!D238)</f>
        <v>60</v>
      </c>
      <c r="G238" s="35">
        <f>getMagnification('RawData (GH)'!E238)</f>
        <v>17</v>
      </c>
      <c r="H238" s="62">
        <f>getMinimalFocus('RawData (GH)'!F238)</f>
        <v>0</v>
      </c>
      <c r="I238" t="str">
        <f>getMount('RawData (GH)'!G238)</f>
        <v>Leica M</v>
      </c>
      <c r="J238" t="str">
        <f>getSensorCompatibility('RawData (GH)'!H238)</f>
        <v>APS-C/ Kleinbild</v>
      </c>
      <c r="K238" s="45">
        <f>getWeightAsDouble('RawData (GH)'!I238)</f>
        <v>700</v>
      </c>
      <c r="L238" s="34">
        <f>getSizeDiameter('RawData (GH)'!J238)</f>
        <v>73</v>
      </c>
      <c r="M238" s="34">
        <f>getSizeLength('RawData (GH)'!J238)</f>
        <v>75.099999999999994</v>
      </c>
    </row>
    <row r="239" spans="1:13" x14ac:dyDescent="0.25">
      <c r="A239" t="str">
        <f>'RawData (GH)'!A239</f>
        <v>Leica Summarit-M 35mm 2.4 ASPH schwarz</v>
      </c>
      <c r="B239" s="5">
        <f>getFocalLengthStart('RawData (GH)'!B239)</f>
        <v>35</v>
      </c>
      <c r="C239" s="5">
        <f>getFocalLengthEnd('RawData (GH)'!B239)</f>
        <v>35</v>
      </c>
      <c r="D239" s="9">
        <f>getApertureStart('RawData (GH)'!C239)</f>
        <v>2.4</v>
      </c>
      <c r="E239" s="9">
        <f>getApertureEnd('RawData (GH)'!C239)</f>
        <v>2.4</v>
      </c>
      <c r="F239" s="2">
        <f>getFiltersizeAsDouble('RawData (GH)'!D239)</f>
        <v>0</v>
      </c>
      <c r="G239" s="35">
        <f>getMagnification('RawData (GH)'!E239)</f>
        <v>0</v>
      </c>
      <c r="H239" s="62">
        <f>getMinimalFocus('RawData (GH)'!F239)</f>
        <v>0</v>
      </c>
      <c r="I239" t="str">
        <f>getMount('RawData (GH)'!G239)</f>
        <v>Leica M</v>
      </c>
      <c r="J239" t="str">
        <f>getSensorCompatibility('RawData (GH)'!H239)</f>
        <v>APS-C/ Kleinbild</v>
      </c>
      <c r="K239" s="45">
        <f>getWeightAsDouble('RawData (GH)'!I239)</f>
        <v>197</v>
      </c>
      <c r="L239" s="34">
        <f>getSizeDiameter('RawData (GH)'!J239)</f>
        <v>52</v>
      </c>
      <c r="M239" s="34">
        <f>getSizeLength('RawData (GH)'!J239)</f>
        <v>34</v>
      </c>
    </row>
    <row r="240" spans="1:13" x14ac:dyDescent="0.25">
      <c r="A240" t="str">
        <f>'RawData (GH)'!A240</f>
        <v>Leica Summarit-M 35mm 2.4 ASPH silber</v>
      </c>
      <c r="B240" s="5">
        <f>getFocalLengthStart('RawData (GH)'!B240)</f>
        <v>35</v>
      </c>
      <c r="C240" s="5">
        <f>getFocalLengthEnd('RawData (GH)'!B240)</f>
        <v>35</v>
      </c>
      <c r="D240" s="9">
        <f>getApertureStart('RawData (GH)'!C240)</f>
        <v>2.4</v>
      </c>
      <c r="E240" s="9">
        <f>getApertureEnd('RawData (GH)'!C240)</f>
        <v>2.4</v>
      </c>
      <c r="F240" s="2">
        <f>getFiltersizeAsDouble('RawData (GH)'!D240)</f>
        <v>0</v>
      </c>
      <c r="G240" s="35">
        <f>getMagnification('RawData (GH)'!E240)</f>
        <v>0</v>
      </c>
      <c r="H240" s="62">
        <f>getMinimalFocus('RawData (GH)'!F240)</f>
        <v>0</v>
      </c>
      <c r="I240" t="str">
        <f>getMount('RawData (GH)'!G240)</f>
        <v>Leica M</v>
      </c>
      <c r="J240" t="str">
        <f>getSensorCompatibility('RawData (GH)'!H240)</f>
        <v>APS-C/ Kleinbild</v>
      </c>
      <c r="K240" s="45">
        <f>getWeightAsDouble('RawData (GH)'!I240)</f>
        <v>197</v>
      </c>
      <c r="L240" s="34">
        <f>getSizeDiameter('RawData (GH)'!J240)</f>
        <v>52</v>
      </c>
      <c r="M240" s="34">
        <f>getSizeLength('RawData (GH)'!J240)</f>
        <v>34</v>
      </c>
    </row>
    <row r="241" spans="1:13" x14ac:dyDescent="0.25">
      <c r="A241" t="str">
        <f>'RawData (GH)'!A241</f>
        <v>Leica Summarit-M 35mm 2.5 schwarz</v>
      </c>
      <c r="B241" s="5">
        <f>getFocalLengthStart('RawData (GH)'!B241)</f>
        <v>35</v>
      </c>
      <c r="C241" s="5">
        <f>getFocalLengthEnd('RawData (GH)'!B241)</f>
        <v>35</v>
      </c>
      <c r="D241" s="9">
        <f>getApertureStart('RawData (GH)'!C241)</f>
        <v>2.5</v>
      </c>
      <c r="E241" s="9">
        <f>getApertureEnd('RawData (GH)'!C241)</f>
        <v>2.5</v>
      </c>
      <c r="F241" s="2">
        <f>getFiltersizeAsDouble('RawData (GH)'!D241)</f>
        <v>0</v>
      </c>
      <c r="G241" s="35">
        <f>getMagnification('RawData (GH)'!E241)</f>
        <v>20.399999999999999</v>
      </c>
      <c r="H241" s="62">
        <f>getMinimalFocus('RawData (GH)'!F241)</f>
        <v>0</v>
      </c>
      <c r="I241" t="str">
        <f>getMount('RawData (GH)'!G241)</f>
        <v>Leica M</v>
      </c>
      <c r="J241" t="str">
        <f>getSensorCompatibility('RawData (GH)'!H241)</f>
        <v>APS-C/ Kleinbild</v>
      </c>
      <c r="K241" s="45">
        <f>getWeightAsDouble('RawData (GH)'!I241)</f>
        <v>220</v>
      </c>
      <c r="L241" s="34">
        <f>getSizeDiameter('RawData (GH)'!J241)</f>
        <v>51.4</v>
      </c>
      <c r="M241" s="34">
        <f>getSizeLength('RawData (GH)'!J241)</f>
        <v>34</v>
      </c>
    </row>
    <row r="242" spans="1:13" x14ac:dyDescent="0.25">
      <c r="A242" t="str">
        <f>'RawData (GH)'!A242</f>
        <v>Leica Summarit-M 50mm 2.4 schwarz</v>
      </c>
      <c r="B242" s="5">
        <f>getFocalLengthStart('RawData (GH)'!B242)</f>
        <v>50</v>
      </c>
      <c r="C242" s="5">
        <f>getFocalLengthEnd('RawData (GH)'!B242)</f>
        <v>50</v>
      </c>
      <c r="D242" s="9">
        <f>getApertureStart('RawData (GH)'!C242)</f>
        <v>2.4</v>
      </c>
      <c r="E242" s="9">
        <f>getApertureEnd('RawData (GH)'!C242)</f>
        <v>2.4</v>
      </c>
      <c r="F242" s="2">
        <f>getFiltersizeAsDouble('RawData (GH)'!D242)</f>
        <v>0</v>
      </c>
      <c r="G242" s="35">
        <f>getMagnification('RawData (GH)'!E242)</f>
        <v>0</v>
      </c>
      <c r="H242" s="62">
        <f>getMinimalFocus('RawData (GH)'!F242)</f>
        <v>0</v>
      </c>
      <c r="I242" t="str">
        <f>getMount('RawData (GH)'!G242)</f>
        <v>Leica M</v>
      </c>
      <c r="J242" t="str">
        <f>getSensorCompatibility('RawData (GH)'!H242)</f>
        <v>APS-C/ Kleinbild</v>
      </c>
      <c r="K242" s="45">
        <f>getWeightAsDouble('RawData (GH)'!I242)</f>
        <v>190</v>
      </c>
      <c r="L242" s="34">
        <f>getSizeDiameter('RawData (GH)'!J242)</f>
        <v>52</v>
      </c>
      <c r="M242" s="34">
        <f>getSizeLength('RawData (GH)'!J242)</f>
        <v>33</v>
      </c>
    </row>
    <row r="243" spans="1:13" x14ac:dyDescent="0.25">
      <c r="A243" t="str">
        <f>'RawData (GH)'!A243</f>
        <v>Leica Summarit-M 50mm 2.4 silber</v>
      </c>
      <c r="B243" s="5">
        <f>getFocalLengthStart('RawData (GH)'!B243)</f>
        <v>50</v>
      </c>
      <c r="C243" s="5">
        <f>getFocalLengthEnd('RawData (GH)'!B243)</f>
        <v>50</v>
      </c>
      <c r="D243" s="9">
        <f>getApertureStart('RawData (GH)'!C243)</f>
        <v>2.4</v>
      </c>
      <c r="E243" s="9">
        <f>getApertureEnd('RawData (GH)'!C243)</f>
        <v>2.4</v>
      </c>
      <c r="F243" s="2">
        <f>getFiltersizeAsDouble('RawData (GH)'!D243)</f>
        <v>0</v>
      </c>
      <c r="G243" s="35">
        <f>getMagnification('RawData (GH)'!E243)</f>
        <v>0</v>
      </c>
      <c r="H243" s="62">
        <f>getMinimalFocus('RawData (GH)'!F243)</f>
        <v>0</v>
      </c>
      <c r="I243" t="str">
        <f>getMount('RawData (GH)'!G243)</f>
        <v>Leica M</v>
      </c>
      <c r="J243" t="str">
        <f>getSensorCompatibility('RawData (GH)'!H243)</f>
        <v>APS-C/ Kleinbild</v>
      </c>
      <c r="K243" s="45">
        <f>getWeightAsDouble('RawData (GH)'!I243)</f>
        <v>190</v>
      </c>
      <c r="L243" s="34">
        <f>getSizeDiameter('RawData (GH)'!J243)</f>
        <v>52</v>
      </c>
      <c r="M243" s="34">
        <f>getSizeLength('RawData (GH)'!J243)</f>
        <v>33</v>
      </c>
    </row>
    <row r="244" spans="1:13" x14ac:dyDescent="0.25">
      <c r="A244" t="str">
        <f>'RawData (GH)'!A244</f>
        <v>Leica Summarit-M 50mm 2.5 schwarz</v>
      </c>
      <c r="B244" s="5">
        <f>getFocalLengthStart('RawData (GH)'!B244)</f>
        <v>50</v>
      </c>
      <c r="C244" s="5">
        <f>getFocalLengthEnd('RawData (GH)'!B244)</f>
        <v>50</v>
      </c>
      <c r="D244" s="9">
        <f>getApertureStart('RawData (GH)'!C244)</f>
        <v>2.5</v>
      </c>
      <c r="E244" s="9">
        <f>getApertureEnd('RawData (GH)'!C244)</f>
        <v>2.5</v>
      </c>
      <c r="F244" s="2">
        <f>getFiltersizeAsDouble('RawData (GH)'!D244)</f>
        <v>0</v>
      </c>
      <c r="G244" s="35">
        <f>getMagnification('RawData (GH)'!E244)</f>
        <v>14.1</v>
      </c>
      <c r="H244" s="62">
        <f>getMinimalFocus('RawData (GH)'!F244)</f>
        <v>0</v>
      </c>
      <c r="I244" t="str">
        <f>getMount('RawData (GH)'!G244)</f>
        <v>Leica M</v>
      </c>
      <c r="J244" t="str">
        <f>getSensorCompatibility('RawData (GH)'!H244)</f>
        <v>APS-C/ Kleinbild</v>
      </c>
      <c r="K244" s="45">
        <f>getWeightAsDouble('RawData (GH)'!I244)</f>
        <v>230</v>
      </c>
      <c r="L244" s="34">
        <f>getSizeDiameter('RawData (GH)'!J244)</f>
        <v>51.5</v>
      </c>
      <c r="M244" s="34">
        <f>getSizeLength('RawData (GH)'!J244)</f>
        <v>33</v>
      </c>
    </row>
    <row r="245" spans="1:13" x14ac:dyDescent="0.25">
      <c r="A245" t="str">
        <f>'RawData (GH)'!A245</f>
        <v>Leica Summarit-M 75mm 2.4 schwarz</v>
      </c>
      <c r="B245" s="5">
        <f>getFocalLengthStart('RawData (GH)'!B245)</f>
        <v>75</v>
      </c>
      <c r="C245" s="5">
        <f>getFocalLengthEnd('RawData (GH)'!B245)</f>
        <v>75</v>
      </c>
      <c r="D245" s="9">
        <f>getApertureStart('RawData (GH)'!C245)</f>
        <v>2.4</v>
      </c>
      <c r="E245" s="9">
        <f>getApertureEnd('RawData (GH)'!C245)</f>
        <v>2.4</v>
      </c>
      <c r="F245" s="2">
        <f>getFiltersizeAsDouble('RawData (GH)'!D245)</f>
        <v>0</v>
      </c>
      <c r="G245" s="35">
        <f>getMagnification('RawData (GH)'!E245)</f>
        <v>0</v>
      </c>
      <c r="H245" s="62">
        <f>getMinimalFocus('RawData (GH)'!F245)</f>
        <v>0</v>
      </c>
      <c r="I245" t="str">
        <f>getMount('RawData (GH)'!G245)</f>
        <v>Leica M</v>
      </c>
      <c r="J245" t="str">
        <f>getSensorCompatibility('RawData (GH)'!H245)</f>
        <v>APS-C/ Kleinbild</v>
      </c>
      <c r="K245" s="45">
        <f>getWeightAsDouble('RawData (GH)'!I245)</f>
        <v>325</v>
      </c>
      <c r="L245" s="34">
        <f>getSizeDiameter('RawData (GH)'!J245)</f>
        <v>55</v>
      </c>
      <c r="M245" s="34">
        <f>getSizeLength('RawData (GH)'!J245)</f>
        <v>60.5</v>
      </c>
    </row>
    <row r="246" spans="1:13" x14ac:dyDescent="0.25">
      <c r="A246" t="str">
        <f>'RawData (GH)'!A246</f>
        <v>Leica Summarit-M 75mm 2.4 silber</v>
      </c>
      <c r="B246" s="5">
        <f>getFocalLengthStart('RawData (GH)'!B246)</f>
        <v>75</v>
      </c>
      <c r="C246" s="5">
        <f>getFocalLengthEnd('RawData (GH)'!B246)</f>
        <v>75</v>
      </c>
      <c r="D246" s="9">
        <f>getApertureStart('RawData (GH)'!C246)</f>
        <v>2.4</v>
      </c>
      <c r="E246" s="9">
        <f>getApertureEnd('RawData (GH)'!C246)</f>
        <v>2.4</v>
      </c>
      <c r="F246" s="2">
        <f>getFiltersizeAsDouble('RawData (GH)'!D246)</f>
        <v>0</v>
      </c>
      <c r="G246" s="35">
        <f>getMagnification('RawData (GH)'!E246)</f>
        <v>0</v>
      </c>
      <c r="H246" s="62">
        <f>getMinimalFocus('RawData (GH)'!F246)</f>
        <v>0</v>
      </c>
      <c r="I246" t="str">
        <f>getMount('RawData (GH)'!G246)</f>
        <v>Leica M</v>
      </c>
      <c r="J246" t="str">
        <f>getSensorCompatibility('RawData (GH)'!H246)</f>
        <v>APS-C/ Kleinbild</v>
      </c>
      <c r="K246" s="45">
        <f>getWeightAsDouble('RawData (GH)'!I246)</f>
        <v>325</v>
      </c>
      <c r="L246" s="34">
        <f>getSizeDiameter('RawData (GH)'!J246)</f>
        <v>55</v>
      </c>
      <c r="M246" s="34">
        <f>getSizeLength('RawData (GH)'!J246)</f>
        <v>60.5</v>
      </c>
    </row>
    <row r="247" spans="1:13" x14ac:dyDescent="0.25">
      <c r="A247" t="str">
        <f>'RawData (GH)'!A247</f>
        <v>Leica Summarit-M 75mm 2.5 schwarz</v>
      </c>
      <c r="B247" s="5">
        <f>getFocalLengthStart('RawData (GH)'!B247)</f>
        <v>75</v>
      </c>
      <c r="C247" s="5">
        <f>getFocalLengthEnd('RawData (GH)'!B247)</f>
        <v>75</v>
      </c>
      <c r="D247" s="9">
        <f>getApertureStart('RawData (GH)'!C247)</f>
        <v>2.5</v>
      </c>
      <c r="E247" s="9">
        <f>getApertureEnd('RawData (GH)'!C247)</f>
        <v>2.5</v>
      </c>
      <c r="F247" s="2">
        <f>getFiltersizeAsDouble('RawData (GH)'!D247)</f>
        <v>0</v>
      </c>
      <c r="G247" s="35">
        <f>getMagnification('RawData (GH)'!E247)</f>
        <v>9.9</v>
      </c>
      <c r="H247" s="62">
        <f>getMinimalFocus('RawData (GH)'!F247)</f>
        <v>0</v>
      </c>
      <c r="I247" t="str">
        <f>getMount('RawData (GH)'!G247)</f>
        <v>Leica M</v>
      </c>
      <c r="J247" t="str">
        <f>getSensorCompatibility('RawData (GH)'!H247)</f>
        <v>APS-C/ Kleinbild</v>
      </c>
      <c r="K247" s="45">
        <f>getWeightAsDouble('RawData (GH)'!I247)</f>
        <v>345</v>
      </c>
      <c r="L247" s="34">
        <f>getSizeDiameter('RawData (GH)'!J247)</f>
        <v>55</v>
      </c>
      <c r="M247" s="34">
        <f>getSizeLength('RawData (GH)'!J247)</f>
        <v>60.5</v>
      </c>
    </row>
    <row r="248" spans="1:13" x14ac:dyDescent="0.25">
      <c r="A248" t="str">
        <f>'RawData (GH)'!A248</f>
        <v>Leica Summarit-M 90mm 2.4 schwarz</v>
      </c>
      <c r="B248" s="5">
        <f>getFocalLengthStart('RawData (GH)'!B248)</f>
        <v>90</v>
      </c>
      <c r="C248" s="5">
        <f>getFocalLengthEnd('RawData (GH)'!B248)</f>
        <v>90</v>
      </c>
      <c r="D248" s="9">
        <f>getApertureStart('RawData (GH)'!C248)</f>
        <v>2.4</v>
      </c>
      <c r="E248" s="9">
        <f>getApertureEnd('RawData (GH)'!C248)</f>
        <v>2.4</v>
      </c>
      <c r="F248" s="2">
        <f>getFiltersizeAsDouble('RawData (GH)'!D248)</f>
        <v>0</v>
      </c>
      <c r="G248" s="35">
        <f>getMagnification('RawData (GH)'!E248)</f>
        <v>0</v>
      </c>
      <c r="H248" s="62">
        <f>getMinimalFocus('RawData (GH)'!F248)</f>
        <v>0</v>
      </c>
      <c r="I248" t="str">
        <f>getMount('RawData (GH)'!G248)</f>
        <v>Leica M</v>
      </c>
      <c r="J248" t="str">
        <f>getSensorCompatibility('RawData (GH)'!H248)</f>
        <v>APS-C/ Kleinbild</v>
      </c>
      <c r="K248" s="45">
        <f>getWeightAsDouble('RawData (GH)'!I248)</f>
        <v>346</v>
      </c>
      <c r="L248" s="34">
        <f>getSizeDiameter('RawData (GH)'!J248)</f>
        <v>55</v>
      </c>
      <c r="M248" s="34">
        <f>getSizeLength('RawData (GH)'!J248)</f>
        <v>67</v>
      </c>
    </row>
    <row r="249" spans="1:13" x14ac:dyDescent="0.25">
      <c r="A249" t="str">
        <f>'RawData (GH)'!A249</f>
        <v>Leica Summarit-M 90mm 2.4 silber</v>
      </c>
      <c r="B249" s="5">
        <f>getFocalLengthStart('RawData (GH)'!B249)</f>
        <v>90</v>
      </c>
      <c r="C249" s="5">
        <f>getFocalLengthEnd('RawData (GH)'!B249)</f>
        <v>90</v>
      </c>
      <c r="D249" s="9">
        <f>getApertureStart('RawData (GH)'!C249)</f>
        <v>2.4</v>
      </c>
      <c r="E249" s="9">
        <f>getApertureEnd('RawData (GH)'!C249)</f>
        <v>2.4</v>
      </c>
      <c r="F249" s="2">
        <f>getFiltersizeAsDouble('RawData (GH)'!D249)</f>
        <v>0</v>
      </c>
      <c r="G249" s="35">
        <f>getMagnification('RawData (GH)'!E249)</f>
        <v>0</v>
      </c>
      <c r="H249" s="62">
        <f>getMinimalFocus('RawData (GH)'!F249)</f>
        <v>0</v>
      </c>
      <c r="I249" t="str">
        <f>getMount('RawData (GH)'!G249)</f>
        <v>Leica M</v>
      </c>
      <c r="J249" t="str">
        <f>getSensorCompatibility('RawData (GH)'!H249)</f>
        <v>APS-C/ Kleinbild</v>
      </c>
      <c r="K249" s="45">
        <f>getWeightAsDouble('RawData (GH)'!I249)</f>
        <v>346</v>
      </c>
      <c r="L249" s="34">
        <f>getSizeDiameter('RawData (GH)'!J249)</f>
        <v>55</v>
      </c>
      <c r="M249" s="34">
        <f>getSizeLength('RawData (GH)'!J249)</f>
        <v>67</v>
      </c>
    </row>
    <row r="250" spans="1:13" x14ac:dyDescent="0.25">
      <c r="A250" t="str">
        <f>'RawData (GH)'!A250</f>
        <v>Leica Summarit-S 35mm 2.5 ASPH schwarz</v>
      </c>
      <c r="B250" s="5">
        <f>getFocalLengthStart('RawData (GH)'!B250)</f>
        <v>35</v>
      </c>
      <c r="C250" s="5">
        <f>getFocalLengthEnd('RawData (GH)'!B250)</f>
        <v>35</v>
      </c>
      <c r="D250" s="9">
        <f>getApertureStart('RawData (GH)'!C250)</f>
        <v>2.5</v>
      </c>
      <c r="E250" s="9">
        <f>getApertureEnd('RawData (GH)'!C250)</f>
        <v>2.5</v>
      </c>
      <c r="F250" s="2">
        <f>getFiltersizeAsDouble('RawData (GH)'!D250)</f>
        <v>82</v>
      </c>
      <c r="G250" s="35">
        <f>getMagnification('RawData (GH)'!E250)</f>
        <v>11.1</v>
      </c>
      <c r="H250" s="62">
        <f>getMinimalFocus('RawData (GH)'!F250)</f>
        <v>0</v>
      </c>
      <c r="I250" t="str">
        <f>getMount('RawData (GH)'!G250)</f>
        <v>Leica S</v>
      </c>
      <c r="J250" t="str">
        <f>getSensorCompatibility('RawData (GH)'!H250)</f>
        <v>APS-C/ Kleinbild</v>
      </c>
      <c r="K250" s="45">
        <f>getWeightAsDouble('RawData (GH)'!I250)</f>
        <v>930</v>
      </c>
      <c r="L250" s="34">
        <f>getSizeDiameter('RawData (GH)'!J250)</f>
        <v>88</v>
      </c>
      <c r="M250" s="34">
        <f>getSizeLength('RawData (GH)'!J250)</f>
        <v>122</v>
      </c>
    </row>
    <row r="251" spans="1:13" x14ac:dyDescent="0.25">
      <c r="A251" t="str">
        <f>'RawData (GH)'!A251</f>
        <v>Leica Summarit-S 70mm 2.5 ASPH CS schwarz</v>
      </c>
      <c r="B251" s="5">
        <f>getFocalLengthStart('RawData (GH)'!B251)</f>
        <v>70</v>
      </c>
      <c r="C251" s="5">
        <f>getFocalLengthEnd('RawData (GH)'!B251)</f>
        <v>70</v>
      </c>
      <c r="D251" s="9">
        <f>getApertureStart('RawData (GH)'!C251)</f>
        <v>2.5</v>
      </c>
      <c r="E251" s="9">
        <f>getApertureEnd('RawData (GH)'!C251)</f>
        <v>2.5</v>
      </c>
      <c r="F251" s="2">
        <f>getFiltersizeAsDouble('RawData (GH)'!D251)</f>
        <v>82</v>
      </c>
      <c r="G251" s="35">
        <f>getMagnification('RawData (GH)'!E251)</f>
        <v>4.7</v>
      </c>
      <c r="H251" s="62">
        <f>getMinimalFocus('RawData (GH)'!F251)</f>
        <v>0</v>
      </c>
      <c r="I251" t="str">
        <f>getMount('RawData (GH)'!G251)</f>
        <v>Leica S</v>
      </c>
      <c r="J251" t="str">
        <f>getSensorCompatibility('RawData (GH)'!H251)</f>
        <v>APS-C/ Kleinbild</v>
      </c>
      <c r="K251" s="45">
        <f>getWeightAsDouble('RawData (GH)'!I251)</f>
        <v>740</v>
      </c>
      <c r="L251" s="34">
        <f>getSizeDiameter('RawData (GH)'!J251)</f>
        <v>90</v>
      </c>
      <c r="M251" s="34">
        <f>getSizeLength('RawData (GH)'!J251)</f>
        <v>93</v>
      </c>
    </row>
    <row r="252" spans="1:13" x14ac:dyDescent="0.25">
      <c r="A252" t="str">
        <f>'RawData (GH)'!A252</f>
        <v>Leica Summarit-S 70mm 2.5 ASPH schwarz</v>
      </c>
      <c r="B252" s="5">
        <f>getFocalLengthStart('RawData (GH)'!B252)</f>
        <v>70</v>
      </c>
      <c r="C252" s="5">
        <f>getFocalLengthEnd('RawData (GH)'!B252)</f>
        <v>70</v>
      </c>
      <c r="D252" s="9">
        <f>getApertureStart('RawData (GH)'!C252)</f>
        <v>2.5</v>
      </c>
      <c r="E252" s="9">
        <f>getApertureEnd('RawData (GH)'!C252)</f>
        <v>2.5</v>
      </c>
      <c r="F252" s="2">
        <f>getFiltersizeAsDouble('RawData (GH)'!D252)</f>
        <v>82</v>
      </c>
      <c r="G252" s="35">
        <f>getMagnification('RawData (GH)'!E252)</f>
        <v>4.7</v>
      </c>
      <c r="H252" s="62">
        <f>getMinimalFocus('RawData (GH)'!F252)</f>
        <v>0</v>
      </c>
      <c r="I252" t="str">
        <f>getMount('RawData (GH)'!G252)</f>
        <v>Leica S</v>
      </c>
      <c r="J252" t="str">
        <f>getSensorCompatibility('RawData (GH)'!H252)</f>
        <v>APS-C/ Kleinbild</v>
      </c>
      <c r="K252" s="45">
        <f>getWeightAsDouble('RawData (GH)'!I252)</f>
        <v>740</v>
      </c>
      <c r="L252" s="34">
        <f>getSizeDiameter('RawData (GH)'!J252)</f>
        <v>90</v>
      </c>
      <c r="M252" s="34">
        <f>getSizeLength('RawData (GH)'!J252)</f>
        <v>93</v>
      </c>
    </row>
    <row r="253" spans="1:13" x14ac:dyDescent="0.25">
      <c r="A253" t="str">
        <f>'RawData (GH)'!A253</f>
        <v>Leica Summaron-M 28mm 5.6 silber</v>
      </c>
      <c r="B253" s="5">
        <f>getFocalLengthStart('RawData (GH)'!B253)</f>
        <v>28</v>
      </c>
      <c r="C253" s="5">
        <f>getFocalLengthEnd('RawData (GH)'!B253)</f>
        <v>28</v>
      </c>
      <c r="D253" s="9">
        <f>getApertureStart('RawData (GH)'!C253)</f>
        <v>5.6</v>
      </c>
      <c r="E253" s="9">
        <f>getApertureEnd('RawData (GH)'!C253)</f>
        <v>5.6</v>
      </c>
      <c r="F253" s="2">
        <f>getFiltersizeAsDouble('RawData (GH)'!D253)</f>
        <v>34</v>
      </c>
      <c r="G253" s="35">
        <f>getMagnification('RawData (GH)'!E253)</f>
        <v>33.4</v>
      </c>
      <c r="H253" s="62">
        <f>getMinimalFocus('RawData (GH)'!F253)</f>
        <v>0</v>
      </c>
      <c r="I253" t="str">
        <f>getMount('RawData (GH)'!G253)</f>
        <v>Leica M</v>
      </c>
      <c r="J253" t="str">
        <f>getSensorCompatibility('RawData (GH)'!H253)</f>
        <v>APS-C/ Kleinbild</v>
      </c>
      <c r="K253" s="45">
        <f>getWeightAsDouble('RawData (GH)'!I253)</f>
        <v>165</v>
      </c>
      <c r="L253" s="34">
        <f>getSizeDiameter('RawData (GH)'!J253)</f>
        <v>51</v>
      </c>
      <c r="M253" s="34">
        <f>getSizeLength('RawData (GH)'!J253)</f>
        <v>18</v>
      </c>
    </row>
    <row r="254" spans="1:13" x14ac:dyDescent="0.25">
      <c r="A254" t="str">
        <f>'RawData (GH)'!A254</f>
        <v>Leica Summicron-M 28mm 2.0 ASPH schwarz</v>
      </c>
      <c r="B254" s="5">
        <f>getFocalLengthStart('RawData (GH)'!B254)</f>
        <v>28</v>
      </c>
      <c r="C254" s="5">
        <f>getFocalLengthEnd('RawData (GH)'!B254)</f>
        <v>28</v>
      </c>
      <c r="D254" s="9">
        <f>getApertureStart('RawData (GH)'!C254)</f>
        <v>2</v>
      </c>
      <c r="E254" s="9">
        <f>getApertureEnd('RawData (GH)'!C254)</f>
        <v>2</v>
      </c>
      <c r="F254" s="2">
        <f>getFiltersizeAsDouble('RawData (GH)'!D254)</f>
        <v>46</v>
      </c>
      <c r="G254" s="35">
        <f>getMagnification('RawData (GH)'!E254)</f>
        <v>22</v>
      </c>
      <c r="H254" s="62">
        <f>getMinimalFocus('RawData (GH)'!F254)</f>
        <v>0</v>
      </c>
      <c r="I254" t="str">
        <f>getMount('RawData (GH)'!G254)</f>
        <v>Leica M</v>
      </c>
      <c r="J254" t="str">
        <f>getSensorCompatibility('RawData (GH)'!H254)</f>
        <v>APS-C/ Kleinbild</v>
      </c>
      <c r="K254" s="45">
        <f>getWeightAsDouble('RawData (GH)'!I254)</f>
        <v>270</v>
      </c>
      <c r="L254" s="34">
        <f>getSizeDiameter('RawData (GH)'!J254)</f>
        <v>53</v>
      </c>
      <c r="M254" s="34">
        <f>getSizeLength('RawData (GH)'!J254)</f>
        <v>40.799999999999997</v>
      </c>
    </row>
    <row r="255" spans="1:13" x14ac:dyDescent="0.25">
      <c r="A255" t="str">
        <f>'RawData (GH)'!A255</f>
        <v>Leica Summicron-M 35mm 2.0 ASPH schwarz</v>
      </c>
      <c r="B255" s="5">
        <f>getFocalLengthStart('RawData (GH)'!B255)</f>
        <v>35</v>
      </c>
      <c r="C255" s="5">
        <f>getFocalLengthEnd('RawData (GH)'!B255)</f>
        <v>35</v>
      </c>
      <c r="D255" s="9">
        <f>getApertureStart('RawData (GH)'!C255)</f>
        <v>2</v>
      </c>
      <c r="E255" s="9">
        <f>getApertureEnd('RawData (GH)'!C255)</f>
        <v>2</v>
      </c>
      <c r="F255" s="2">
        <f>getFiltersizeAsDouble('RawData (GH)'!D255)</f>
        <v>39</v>
      </c>
      <c r="G255" s="35">
        <f>getMagnification('RawData (GH)'!E255)</f>
        <v>17.5</v>
      </c>
      <c r="H255" s="62">
        <f>getMinimalFocus('RawData (GH)'!F255)</f>
        <v>0</v>
      </c>
      <c r="I255" t="str">
        <f>getMount('RawData (GH)'!G255)</f>
        <v>Leica M</v>
      </c>
      <c r="J255" t="str">
        <f>getSensorCompatibility('RawData (GH)'!H255)</f>
        <v>APS-C/ Kleinbild</v>
      </c>
      <c r="K255" s="45">
        <f>getWeightAsDouble('RawData (GH)'!I255)</f>
        <v>255</v>
      </c>
      <c r="L255" s="34">
        <f>getSizeDiameter('RawData (GH)'!J255)</f>
        <v>53</v>
      </c>
      <c r="M255" s="34">
        <f>getSizeLength('RawData (GH)'!J255)</f>
        <v>34.5</v>
      </c>
    </row>
    <row r="256" spans="1:13" x14ac:dyDescent="0.25">
      <c r="A256" t="str">
        <f>'RawData (GH)'!A256</f>
        <v>Leica Summicron-M 35mm 2.0 ASPH schwarz (11673)</v>
      </c>
      <c r="B256" s="5">
        <f>getFocalLengthStart('RawData (GH)'!B256)</f>
        <v>35</v>
      </c>
      <c r="C256" s="5">
        <f>getFocalLengthEnd('RawData (GH)'!B256)</f>
        <v>35</v>
      </c>
      <c r="D256" s="9">
        <f>getApertureStart('RawData (GH)'!C256)</f>
        <v>2</v>
      </c>
      <c r="E256" s="9">
        <f>getApertureEnd('RawData (GH)'!C256)</f>
        <v>2</v>
      </c>
      <c r="F256" s="2">
        <f>getFiltersizeAsDouble('RawData (GH)'!D256)</f>
        <v>39</v>
      </c>
      <c r="G256" s="35">
        <f>getMagnification('RawData (GH)'!E256)</f>
        <v>17.399999999999999</v>
      </c>
      <c r="H256" s="62">
        <f>getMinimalFocus('RawData (GH)'!F256)</f>
        <v>0</v>
      </c>
      <c r="I256" t="str">
        <f>getMount('RawData (GH)'!G256)</f>
        <v>Leica M</v>
      </c>
      <c r="J256" t="str">
        <f>getSensorCompatibility('RawData (GH)'!H256)</f>
        <v>APS-C/ Kleinbild</v>
      </c>
      <c r="K256" s="45">
        <f>getWeightAsDouble('RawData (GH)'!I256)</f>
        <v>252</v>
      </c>
      <c r="L256" s="34">
        <f>getSizeDiameter('RawData (GH)'!J256)</f>
        <v>53</v>
      </c>
      <c r="M256" s="34">
        <f>getSizeLength('RawData (GH)'!J256)</f>
        <v>35.700000000000003</v>
      </c>
    </row>
    <row r="257" spans="1:13" x14ac:dyDescent="0.25">
      <c r="A257" t="str">
        <f>'RawData (GH)'!A257</f>
        <v>Leica Summicron-M 35mm 2.0 ASPH silber</v>
      </c>
      <c r="B257" s="5">
        <f>getFocalLengthStart('RawData (GH)'!B257)</f>
        <v>35</v>
      </c>
      <c r="C257" s="5">
        <f>getFocalLengthEnd('RawData (GH)'!B257)</f>
        <v>35</v>
      </c>
      <c r="D257" s="9">
        <f>getApertureStart('RawData (GH)'!C257)</f>
        <v>2</v>
      </c>
      <c r="E257" s="9">
        <f>getApertureEnd('RawData (GH)'!C257)</f>
        <v>2</v>
      </c>
      <c r="F257" s="2">
        <f>getFiltersizeAsDouble('RawData (GH)'!D257)</f>
        <v>39</v>
      </c>
      <c r="G257" s="35">
        <f>getMagnification('RawData (GH)'!E257)</f>
        <v>17.399999999999999</v>
      </c>
      <c r="H257" s="62">
        <f>getMinimalFocus('RawData (GH)'!F257)</f>
        <v>0</v>
      </c>
      <c r="I257" t="str">
        <f>getMount('RawData (GH)'!G257)</f>
        <v>Leica M</v>
      </c>
      <c r="J257" t="str">
        <f>getSensorCompatibility('RawData (GH)'!H257)</f>
        <v>APS-C/ Kleinbild</v>
      </c>
      <c r="K257" s="45">
        <f>getWeightAsDouble('RawData (GH)'!I257)</f>
        <v>252</v>
      </c>
      <c r="L257" s="34">
        <f>getSizeDiameter('RawData (GH)'!J257)</f>
        <v>53</v>
      </c>
      <c r="M257" s="34">
        <f>getSizeLength('RawData (GH)'!J257)</f>
        <v>35.700000000000003</v>
      </c>
    </row>
    <row r="258" spans="1:13" x14ac:dyDescent="0.25">
      <c r="A258" t="str">
        <f>'RawData (GH)'!A258</f>
        <v>Leica Summicron-M 50mm 2.0 schwarz</v>
      </c>
      <c r="B258" s="5">
        <f>getFocalLengthStart('RawData (GH)'!B258)</f>
        <v>50</v>
      </c>
      <c r="C258" s="5">
        <f>getFocalLengthEnd('RawData (GH)'!B258)</f>
        <v>50</v>
      </c>
      <c r="D258" s="9">
        <f>getApertureStart('RawData (GH)'!C258)</f>
        <v>2</v>
      </c>
      <c r="E258" s="9">
        <f>getApertureEnd('RawData (GH)'!C258)</f>
        <v>2</v>
      </c>
      <c r="F258" s="2">
        <f>getFiltersizeAsDouble('RawData (GH)'!D258)</f>
        <v>39</v>
      </c>
      <c r="G258" s="35">
        <f>getMagnification('RawData (GH)'!E258)</f>
        <v>11.5</v>
      </c>
      <c r="H258" s="62">
        <f>getMinimalFocus('RawData (GH)'!F258)</f>
        <v>0</v>
      </c>
      <c r="I258" t="str">
        <f>getMount('RawData (GH)'!G258)</f>
        <v>Leica M</v>
      </c>
      <c r="J258" t="str">
        <f>getSensorCompatibility('RawData (GH)'!H258)</f>
        <v>APS-C/ Kleinbild</v>
      </c>
      <c r="K258" s="45">
        <f>getWeightAsDouble('RawData (GH)'!I258)</f>
        <v>335</v>
      </c>
      <c r="L258" s="34">
        <f>getSizeDiameter('RawData (GH)'!J258)</f>
        <v>53</v>
      </c>
      <c r="M258" s="34">
        <f>getSizeLength('RawData (GH)'!J258)</f>
        <v>43.5</v>
      </c>
    </row>
    <row r="259" spans="1:13" x14ac:dyDescent="0.25">
      <c r="A259" t="str">
        <f>'RawData (GH)'!A259</f>
        <v>Leica Summicron-S 100mm 2.0 ASPH schwarz</v>
      </c>
      <c r="B259" s="5">
        <f>getFocalLengthStart('RawData (GH)'!B259)</f>
        <v>100</v>
      </c>
      <c r="C259" s="5">
        <f>getFocalLengthEnd('RawData (GH)'!B259)</f>
        <v>100</v>
      </c>
      <c r="D259" s="9">
        <f>getApertureStart('RawData (GH)'!C259)</f>
        <v>2</v>
      </c>
      <c r="E259" s="9">
        <f>getApertureEnd('RawData (GH)'!C259)</f>
        <v>2</v>
      </c>
      <c r="F259" s="2">
        <f>getFiltersizeAsDouble('RawData (GH)'!D259)</f>
        <v>0</v>
      </c>
      <c r="G259" s="35">
        <f>getMagnification('RawData (GH)'!E259)</f>
        <v>0</v>
      </c>
      <c r="H259" s="62">
        <f>getMinimalFocus('RawData (GH)'!F259)</f>
        <v>0</v>
      </c>
      <c r="I259" t="str">
        <f>getMount('RawData (GH)'!G259)</f>
        <v>Leica S</v>
      </c>
      <c r="J259" t="str">
        <f>getSensorCompatibility('RawData (GH)'!H259)</f>
        <v>APS-C/ Kleinbild</v>
      </c>
      <c r="K259" s="45">
        <f>getWeightAsDouble('RawData (GH)'!I259)</f>
        <v>910</v>
      </c>
      <c r="L259" s="34">
        <f>getSizeDiameter('RawData (GH)'!J259)</f>
        <v>91</v>
      </c>
      <c r="M259" s="34">
        <f>getSizeLength('RawData (GH)'!J259)</f>
        <v>102</v>
      </c>
    </row>
    <row r="260" spans="1:13" x14ac:dyDescent="0.25">
      <c r="A260" t="str">
        <f>'RawData (GH)'!A260</f>
        <v>Leica Summicron-T 23mm 2.0 ASPH schwarz</v>
      </c>
      <c r="B260" s="5">
        <f>getFocalLengthStart('RawData (GH)'!B260)</f>
        <v>23</v>
      </c>
      <c r="C260" s="5">
        <f>getFocalLengthEnd('RawData (GH)'!B260)</f>
        <v>23</v>
      </c>
      <c r="D260" s="9">
        <f>getApertureStart('RawData (GH)'!C260)</f>
        <v>2</v>
      </c>
      <c r="E260" s="9">
        <f>getApertureEnd('RawData (GH)'!C260)</f>
        <v>2</v>
      </c>
      <c r="F260" s="2">
        <f>getFiltersizeAsDouble('RawData (GH)'!D260)</f>
        <v>52</v>
      </c>
      <c r="G260" s="35">
        <f>getMagnification('RawData (GH)'!E260)</f>
        <v>12.6</v>
      </c>
      <c r="H260" s="62">
        <f>getMinimalFocus('RawData (GH)'!F260)</f>
        <v>0</v>
      </c>
      <c r="I260" t="str">
        <f>getMount('RawData (GH)'!G260)</f>
        <v>Leica T</v>
      </c>
      <c r="J260" t="str">
        <f>getSensorCompatibility('RawData (GH)'!H260)</f>
        <v>APS-C</v>
      </c>
      <c r="K260" s="45">
        <f>getWeightAsDouble('RawData (GH)'!I260)</f>
        <v>154</v>
      </c>
      <c r="L260" s="34">
        <f>getSizeDiameter('RawData (GH)'!J260)</f>
        <v>63</v>
      </c>
      <c r="M260" s="34">
        <f>getSizeLength('RawData (GH)'!J260)</f>
        <v>37</v>
      </c>
    </row>
    <row r="261" spans="1:13" x14ac:dyDescent="0.25">
      <c r="A261" t="str">
        <f>'RawData (GH)'!A261</f>
        <v>Leica Summilux-M 21mm 1.4 ASPH schwarz</v>
      </c>
      <c r="B261" s="5">
        <f>getFocalLengthStart('RawData (GH)'!B261)</f>
        <v>21</v>
      </c>
      <c r="C261" s="5">
        <f>getFocalLengthEnd('RawData (GH)'!B261)</f>
        <v>21</v>
      </c>
      <c r="D261" s="9">
        <f>getApertureStart('RawData (GH)'!C261)</f>
        <v>1.4</v>
      </c>
      <c r="E261" s="9">
        <f>getApertureEnd('RawData (GH)'!C261)</f>
        <v>1.4</v>
      </c>
      <c r="F261" s="2">
        <f>getFiltersizeAsDouble('RawData (GH)'!D261)</f>
        <v>0</v>
      </c>
      <c r="G261" s="35">
        <f>getMagnification('RawData (GH)'!E261)</f>
        <v>29.41</v>
      </c>
      <c r="H261" s="62">
        <f>getMinimalFocus('RawData (GH)'!F261)</f>
        <v>0</v>
      </c>
      <c r="I261" t="str">
        <f>getMount('RawData (GH)'!G261)</f>
        <v>Leica M</v>
      </c>
      <c r="J261" t="str">
        <f>getSensorCompatibility('RawData (GH)'!H261)</f>
        <v>APS-C/ Kleinbild</v>
      </c>
      <c r="K261" s="45">
        <f>getWeightAsDouble('RawData (GH)'!I261)</f>
        <v>580</v>
      </c>
      <c r="L261" s="34">
        <f>getSizeDiameter('RawData (GH)'!J261)</f>
        <v>69.5</v>
      </c>
      <c r="M261" s="34">
        <f>getSizeLength('RawData (GH)'!J261)</f>
        <v>66</v>
      </c>
    </row>
    <row r="262" spans="1:13" x14ac:dyDescent="0.25">
      <c r="A262" t="str">
        <f>'RawData (GH)'!A262</f>
        <v>Leica Summilux-M 24mm 1.4 ASPH schwarz</v>
      </c>
      <c r="B262" s="5">
        <f>getFocalLengthStart('RawData (GH)'!B262)</f>
        <v>24</v>
      </c>
      <c r="C262" s="5">
        <f>getFocalLengthEnd('RawData (GH)'!B262)</f>
        <v>24</v>
      </c>
      <c r="D262" s="9">
        <f>getApertureStart('RawData (GH)'!C262)</f>
        <v>1.4</v>
      </c>
      <c r="E262" s="9">
        <f>getApertureEnd('RawData (GH)'!C262)</f>
        <v>1.4</v>
      </c>
      <c r="F262" s="2">
        <f>getFiltersizeAsDouble('RawData (GH)'!D262)</f>
        <v>0</v>
      </c>
      <c r="G262" s="35">
        <f>getMagnification('RawData (GH)'!E262)</f>
        <v>25</v>
      </c>
      <c r="H262" s="62">
        <f>getMinimalFocus('RawData (GH)'!F262)</f>
        <v>0</v>
      </c>
      <c r="I262" t="str">
        <f>getMount('RawData (GH)'!G262)</f>
        <v>Leica M</v>
      </c>
      <c r="J262" t="str">
        <f>getSensorCompatibility('RawData (GH)'!H262)</f>
        <v>APS-C/ Kleinbild</v>
      </c>
      <c r="K262" s="45">
        <f>getWeightAsDouble('RawData (GH)'!I262)</f>
        <v>500</v>
      </c>
      <c r="L262" s="34">
        <f>getSizeDiameter('RawData (GH)'!J262)</f>
        <v>61</v>
      </c>
      <c r="M262" s="34">
        <f>getSizeLength('RawData (GH)'!J262)</f>
        <v>58.5</v>
      </c>
    </row>
    <row r="263" spans="1:13" x14ac:dyDescent="0.25">
      <c r="A263" t="str">
        <f>'RawData (GH)'!A263</f>
        <v>Leica Summilux-M 28mm 1.4 ASPH schwarz</v>
      </c>
      <c r="B263" s="5">
        <f>getFocalLengthStart('RawData (GH)'!B263)</f>
        <v>28</v>
      </c>
      <c r="C263" s="5">
        <f>getFocalLengthEnd('RawData (GH)'!B263)</f>
        <v>28</v>
      </c>
      <c r="D263" s="9">
        <f>getApertureStart('RawData (GH)'!C263)</f>
        <v>1.4</v>
      </c>
      <c r="E263" s="9">
        <f>getApertureEnd('RawData (GH)'!C263)</f>
        <v>1.4</v>
      </c>
      <c r="F263" s="2">
        <f>getFiltersizeAsDouble('RawData (GH)'!D263)</f>
        <v>49</v>
      </c>
      <c r="G263" s="35">
        <f>getMagnification('RawData (GH)'!E263)</f>
        <v>21.9</v>
      </c>
      <c r="H263" s="62">
        <f>getMinimalFocus('RawData (GH)'!F263)</f>
        <v>0</v>
      </c>
      <c r="I263" t="str">
        <f>getMount('RawData (GH)'!G263)</f>
        <v>Leica M</v>
      </c>
      <c r="J263" t="str">
        <f>getSensorCompatibility('RawData (GH)'!H263)</f>
        <v>APS-C/ Kleinbild</v>
      </c>
      <c r="K263" s="45">
        <f>getWeightAsDouble('RawData (GH)'!I263)</f>
        <v>440</v>
      </c>
      <c r="L263" s="34">
        <f>getSizeDiameter('RawData (GH)'!J263)</f>
        <v>61</v>
      </c>
      <c r="M263" s="34">
        <f>getSizeLength('RawData (GH)'!J263)</f>
        <v>67</v>
      </c>
    </row>
    <row r="264" spans="1:13" x14ac:dyDescent="0.25">
      <c r="A264" t="str">
        <f>'RawData (GH)'!A264</f>
        <v>Leica Summilux-M 35mm 1.4 ASPH schwarz</v>
      </c>
      <c r="B264" s="5">
        <f>getFocalLengthStart('RawData (GH)'!B264)</f>
        <v>35</v>
      </c>
      <c r="C264" s="5">
        <f>getFocalLengthEnd('RawData (GH)'!B264)</f>
        <v>35</v>
      </c>
      <c r="D264" s="9">
        <f>getApertureStart('RawData (GH)'!C264)</f>
        <v>1.4</v>
      </c>
      <c r="E264" s="9">
        <f>getApertureEnd('RawData (GH)'!C264)</f>
        <v>1.4</v>
      </c>
      <c r="F264" s="2">
        <f>getFiltersizeAsDouble('RawData (GH)'!D264)</f>
        <v>46</v>
      </c>
      <c r="G264" s="35">
        <f>getMagnification('RawData (GH)'!E264)</f>
        <v>17.399999999999999</v>
      </c>
      <c r="H264" s="62">
        <f>getMinimalFocus('RawData (GH)'!F264)</f>
        <v>0</v>
      </c>
      <c r="I264" t="str">
        <f>getMount('RawData (GH)'!G264)</f>
        <v>Leica M</v>
      </c>
      <c r="J264" t="str">
        <f>getSensorCompatibility('RawData (GH)'!H264)</f>
        <v>APS-C/ Kleinbild</v>
      </c>
      <c r="K264" s="45">
        <f>getWeightAsDouble('RawData (GH)'!I264)</f>
        <v>250</v>
      </c>
      <c r="L264" s="34">
        <f>getSizeDiameter('RawData (GH)'!J264)</f>
        <v>53</v>
      </c>
      <c r="M264" s="34">
        <f>getSizeLength('RawData (GH)'!J264)</f>
        <v>46.2</v>
      </c>
    </row>
    <row r="265" spans="1:13" x14ac:dyDescent="0.25">
      <c r="A265" t="str">
        <f>'RawData (GH)'!A265</f>
        <v>Leica Summilux-M 35mm 1.4 ASPH silber</v>
      </c>
      <c r="B265" s="5">
        <f>getFocalLengthStart('RawData (GH)'!B265)</f>
        <v>35</v>
      </c>
      <c r="C265" s="5">
        <f>getFocalLengthEnd('RawData (GH)'!B265)</f>
        <v>35</v>
      </c>
      <c r="D265" s="9">
        <f>getApertureStart('RawData (GH)'!C265)</f>
        <v>1.4</v>
      </c>
      <c r="E265" s="9">
        <f>getApertureEnd('RawData (GH)'!C265)</f>
        <v>1.4</v>
      </c>
      <c r="F265" s="2">
        <f>getFiltersizeAsDouble('RawData (GH)'!D265)</f>
        <v>46</v>
      </c>
      <c r="G265" s="35">
        <f>getMagnification('RawData (GH)'!E265)</f>
        <v>17.399999999999999</v>
      </c>
      <c r="H265" s="62">
        <f>getMinimalFocus('RawData (GH)'!F265)</f>
        <v>0</v>
      </c>
      <c r="I265" t="str">
        <f>getMount('RawData (GH)'!G265)</f>
        <v>Leica M</v>
      </c>
      <c r="J265" t="str">
        <f>getSensorCompatibility('RawData (GH)'!H265)</f>
        <v>APS-C/ Kleinbild</v>
      </c>
      <c r="K265" s="45">
        <f>getWeightAsDouble('RawData (GH)'!I265)</f>
        <v>320</v>
      </c>
      <c r="L265" s="34">
        <f>getSizeDiameter('RawData (GH)'!J265)</f>
        <v>56</v>
      </c>
      <c r="M265" s="34">
        <f>getSizeLength('RawData (GH)'!J265)</f>
        <v>46</v>
      </c>
    </row>
    <row r="266" spans="1:13" x14ac:dyDescent="0.25">
      <c r="A266" t="str">
        <f>'RawData (GH)'!A266</f>
        <v>Leica Summilux-M 50mm 1.4 ASPH schwarz</v>
      </c>
      <c r="B266" s="5">
        <f>getFocalLengthStart('RawData (GH)'!B266)</f>
        <v>50</v>
      </c>
      <c r="C266" s="5">
        <f>getFocalLengthEnd('RawData (GH)'!B266)</f>
        <v>50</v>
      </c>
      <c r="D266" s="9">
        <f>getApertureStart('RawData (GH)'!C266)</f>
        <v>1.4</v>
      </c>
      <c r="E266" s="9">
        <f>getApertureEnd('RawData (GH)'!C266)</f>
        <v>1.4</v>
      </c>
      <c r="F266" s="2">
        <f>getFiltersizeAsDouble('RawData (GH)'!D266)</f>
        <v>46</v>
      </c>
      <c r="G266" s="35">
        <f>getMagnification('RawData (GH)'!E266)</f>
        <v>11.3</v>
      </c>
      <c r="H266" s="62">
        <f>getMinimalFocus('RawData (GH)'!F266)</f>
        <v>0</v>
      </c>
      <c r="I266" t="str">
        <f>getMount('RawData (GH)'!G266)</f>
        <v>Leica M</v>
      </c>
      <c r="J266" t="str">
        <f>getSensorCompatibility('RawData (GH)'!H266)</f>
        <v>APS-C/ Kleinbild</v>
      </c>
      <c r="K266" s="45">
        <f>getWeightAsDouble('RawData (GH)'!I266)</f>
        <v>335</v>
      </c>
      <c r="L266" s="34">
        <f>getSizeDiameter('RawData (GH)'!J266)</f>
        <v>53.5</v>
      </c>
      <c r="M266" s="34">
        <f>getSizeLength('RawData (GH)'!J266)</f>
        <v>52.5</v>
      </c>
    </row>
    <row r="267" spans="1:13" x14ac:dyDescent="0.25">
      <c r="A267" t="str">
        <f>'RawData (GH)'!A267</f>
        <v>Leica Summilux-M 50mm 1.4 ASPH silber/verchromt</v>
      </c>
      <c r="B267" s="5">
        <f>getFocalLengthStart('RawData (GH)'!B267)</f>
        <v>50</v>
      </c>
      <c r="C267" s="5">
        <f>getFocalLengthEnd('RawData (GH)'!B267)</f>
        <v>50</v>
      </c>
      <c r="D267" s="9">
        <f>getApertureStart('RawData (GH)'!C267)</f>
        <v>1.4</v>
      </c>
      <c r="E267" s="9">
        <f>getApertureEnd('RawData (GH)'!C267)</f>
        <v>1.4</v>
      </c>
      <c r="F267" s="2">
        <f>getFiltersizeAsDouble('RawData (GH)'!D267)</f>
        <v>46</v>
      </c>
      <c r="G267" s="35">
        <f>getMagnification('RawData (GH)'!E267)</f>
        <v>11.3</v>
      </c>
      <c r="H267" s="62">
        <f>getMinimalFocus('RawData (GH)'!F267)</f>
        <v>0</v>
      </c>
      <c r="I267" t="str">
        <f>getMount('RawData (GH)'!G267)</f>
        <v>Leica M</v>
      </c>
      <c r="J267" t="str">
        <f>getSensorCompatibility('RawData (GH)'!H267)</f>
        <v>APS-C/ Kleinbild</v>
      </c>
      <c r="K267" s="45">
        <f>getWeightAsDouble('RawData (GH)'!I267)</f>
        <v>335</v>
      </c>
      <c r="L267" s="34">
        <f>getSizeDiameter('RawData (GH)'!J267)</f>
        <v>53.5</v>
      </c>
      <c r="M267" s="34">
        <f>getSizeLength('RawData (GH)'!J267)</f>
        <v>52.5</v>
      </c>
    </row>
    <row r="268" spans="1:13" x14ac:dyDescent="0.25">
      <c r="A268" t="str">
        <f>'RawData (GH)'!A268</f>
        <v>Leica Summilux-SL 50mm 1.4 ASPH schwarz</v>
      </c>
      <c r="B268" s="5">
        <f>getFocalLengthStart('RawData (GH)'!B268)</f>
        <v>50</v>
      </c>
      <c r="C268" s="5">
        <f>getFocalLengthEnd('RawData (GH)'!B268)</f>
        <v>50</v>
      </c>
      <c r="D268" s="9">
        <f>getApertureStart('RawData (GH)'!C268)</f>
        <v>1.4</v>
      </c>
      <c r="E268" s="9">
        <f>getApertureEnd('RawData (GH)'!C268)</f>
        <v>1.4</v>
      </c>
      <c r="F268" s="2">
        <f>getFiltersizeAsDouble('RawData (GH)'!D268)</f>
        <v>82</v>
      </c>
      <c r="G268" s="35">
        <f>getMagnification('RawData (GH)'!E268)</f>
        <v>10</v>
      </c>
      <c r="H268" s="62">
        <f>getMinimalFocus('RawData (GH)'!F268)</f>
        <v>0</v>
      </c>
      <c r="I268" t="str">
        <f>getMount('RawData (GH)'!G268)</f>
        <v>Leica L</v>
      </c>
      <c r="J268" t="str">
        <f>getSensorCompatibility('RawData (GH)'!H268)</f>
        <v>APS-C/ Kleinbild</v>
      </c>
      <c r="K268" s="45">
        <f>getWeightAsDouble('RawData (GH)'!I268)</f>
        <v>1070</v>
      </c>
      <c r="L268" s="34">
        <f>getSizeDiameter('RawData (GH)'!J268)</f>
        <v>88</v>
      </c>
      <c r="M268" s="34">
        <f>getSizeLength('RawData (GH)'!J268)</f>
        <v>124</v>
      </c>
    </row>
    <row r="269" spans="1:13" x14ac:dyDescent="0.25">
      <c r="A269" t="str">
        <f>'RawData (GH)'!A269</f>
        <v>Leica Summilux-TL 35mm 1.4 ASPH schwarz</v>
      </c>
      <c r="B269" s="5">
        <f>getFocalLengthStart('RawData (GH)'!B269)</f>
        <v>35</v>
      </c>
      <c r="C269" s="5">
        <f>getFocalLengthEnd('RawData (GH)'!B269)</f>
        <v>35</v>
      </c>
      <c r="D269" s="9">
        <f>getApertureStart('RawData (GH)'!C269)</f>
        <v>1.4</v>
      </c>
      <c r="E269" s="9">
        <f>getApertureEnd('RawData (GH)'!C269)</f>
        <v>1.4</v>
      </c>
      <c r="F269" s="2">
        <f>getFiltersizeAsDouble('RawData (GH)'!D269)</f>
        <v>60</v>
      </c>
      <c r="G269" s="35">
        <f>getMagnification('RawData (GH)'!E269)</f>
        <v>9.4</v>
      </c>
      <c r="H269" s="62">
        <f>getMinimalFocus('RawData (GH)'!F269)</f>
        <v>0</v>
      </c>
      <c r="I269" t="str">
        <f>getMount('RawData (GH)'!G269)</f>
        <v>Leica L</v>
      </c>
      <c r="J269" t="str">
        <f>getSensorCompatibility('RawData (GH)'!H269)</f>
        <v>APS-C/ Kleinbild</v>
      </c>
      <c r="K269" s="45">
        <f>getWeightAsDouble('RawData (GH)'!I269)</f>
        <v>428</v>
      </c>
      <c r="L269" s="34">
        <f>getSizeDiameter('RawData (GH)'!J269)</f>
        <v>70</v>
      </c>
      <c r="M269" s="34">
        <f>getSizeLength('RawData (GH)'!J269)</f>
        <v>77</v>
      </c>
    </row>
    <row r="270" spans="1:13" x14ac:dyDescent="0.25">
      <c r="A270" t="str">
        <f>'RawData (GH)'!A270</f>
        <v>Leica Summilux-TL 35mm 1.4 ASPH silber</v>
      </c>
      <c r="B270" s="5">
        <f>getFocalLengthStart('RawData (GH)'!B270)</f>
        <v>35</v>
      </c>
      <c r="C270" s="5">
        <f>getFocalLengthEnd('RawData (GH)'!B270)</f>
        <v>35</v>
      </c>
      <c r="D270" s="9">
        <f>getApertureStart('RawData (GH)'!C270)</f>
        <v>1.4</v>
      </c>
      <c r="E270" s="9">
        <f>getApertureEnd('RawData (GH)'!C270)</f>
        <v>1.4</v>
      </c>
      <c r="F270" s="2">
        <f>getFiltersizeAsDouble('RawData (GH)'!D270)</f>
        <v>60</v>
      </c>
      <c r="G270" s="35">
        <f>getMagnification('RawData (GH)'!E270)</f>
        <v>9.4</v>
      </c>
      <c r="H270" s="62">
        <f>getMinimalFocus('RawData (GH)'!F270)</f>
        <v>0</v>
      </c>
      <c r="I270" t="str">
        <f>getMount('RawData (GH)'!G270)</f>
        <v>Leica L</v>
      </c>
      <c r="J270" t="str">
        <f>getSensorCompatibility('RawData (GH)'!H270)</f>
        <v>APS-C/ Kleinbild</v>
      </c>
      <c r="K270" s="45">
        <f>getWeightAsDouble('RawData (GH)'!I270)</f>
        <v>428</v>
      </c>
      <c r="L270" s="34">
        <f>getSizeDiameter('RawData (GH)'!J270)</f>
        <v>70</v>
      </c>
      <c r="M270" s="34">
        <f>getSizeLength('RawData (GH)'!J270)</f>
        <v>77</v>
      </c>
    </row>
    <row r="271" spans="1:13" x14ac:dyDescent="0.25">
      <c r="A271" t="str">
        <f>'RawData (GH)'!A271</f>
        <v>Leica Super-Elmar-M 18mm 3.8 ASPH schwarz</v>
      </c>
      <c r="B271" s="5">
        <f>getFocalLengthStart('RawData (GH)'!B271)</f>
        <v>18</v>
      </c>
      <c r="C271" s="5">
        <f>getFocalLengthEnd('RawData (GH)'!B271)</f>
        <v>18</v>
      </c>
      <c r="D271" s="9">
        <f>getApertureStart('RawData (GH)'!C271)</f>
        <v>3.8</v>
      </c>
      <c r="E271" s="9">
        <f>getApertureEnd('RawData (GH)'!C271)</f>
        <v>3.8</v>
      </c>
      <c r="F271" s="2">
        <f>getFiltersizeAsDouble('RawData (GH)'!D271)</f>
        <v>77</v>
      </c>
      <c r="G271" s="35">
        <f>getMagnification('RawData (GH)'!E271)</f>
        <v>34.6</v>
      </c>
      <c r="H271" s="62">
        <f>getMinimalFocus('RawData (GH)'!F271)</f>
        <v>0</v>
      </c>
      <c r="I271" t="str">
        <f>getMount('RawData (GH)'!G271)</f>
        <v>Leica M</v>
      </c>
      <c r="J271" t="str">
        <f>getSensorCompatibility('RawData (GH)'!H271)</f>
        <v>APS-C/ Kleinbild</v>
      </c>
      <c r="K271" s="45">
        <f>getWeightAsDouble('RawData (GH)'!I271)</f>
        <v>310</v>
      </c>
      <c r="L271" s="34">
        <f>getSizeDiameter('RawData (GH)'!J271)</f>
        <v>61</v>
      </c>
      <c r="M271" s="34">
        <f>getSizeLength('RawData (GH)'!J271)</f>
        <v>58</v>
      </c>
    </row>
    <row r="272" spans="1:13" x14ac:dyDescent="0.25">
      <c r="A272" t="str">
        <f>'RawData (GH)'!A272</f>
        <v>Leica Super-Elmar-M 21mm 3.4 ASPH schwarz</v>
      </c>
      <c r="B272" s="5">
        <f>getFocalLengthStart('RawData (GH)'!B272)</f>
        <v>21</v>
      </c>
      <c r="C272" s="5">
        <f>getFocalLengthEnd('RawData (GH)'!B272)</f>
        <v>21</v>
      </c>
      <c r="D272" s="9">
        <f>getApertureStart('RawData (GH)'!C272)</f>
        <v>3.4</v>
      </c>
      <c r="E272" s="9">
        <f>getApertureEnd('RawData (GH)'!C272)</f>
        <v>3.4</v>
      </c>
      <c r="F272" s="2">
        <f>getFiltersizeAsDouble('RawData (GH)'!D272)</f>
        <v>46</v>
      </c>
      <c r="G272" s="35">
        <f>getMagnification('RawData (GH)'!E272)</f>
        <v>29.8</v>
      </c>
      <c r="H272" s="62">
        <f>getMinimalFocus('RawData (GH)'!F272)</f>
        <v>0</v>
      </c>
      <c r="I272" t="str">
        <f>getMount('RawData (GH)'!G272)</f>
        <v>Leica M</v>
      </c>
      <c r="J272" t="str">
        <f>getSensorCompatibility('RawData (GH)'!H272)</f>
        <v>APS-C/ Kleinbild</v>
      </c>
      <c r="K272" s="45">
        <f>getWeightAsDouble('RawData (GH)'!I272)</f>
        <v>279</v>
      </c>
      <c r="L272" s="34">
        <f>getSizeDiameter('RawData (GH)'!J272)</f>
        <v>53</v>
      </c>
      <c r="M272" s="34">
        <f>getSizeLength('RawData (GH)'!J272)</f>
        <v>43</v>
      </c>
    </row>
    <row r="273" spans="1:13" x14ac:dyDescent="0.25">
      <c r="A273" t="str">
        <f>'RawData (GH)'!A273</f>
        <v>Leica Super-Elmar-S 24mm 3.5 ASPH schwarz</v>
      </c>
      <c r="B273" s="5">
        <f>getFocalLengthStart('RawData (GH)'!B273)</f>
        <v>24</v>
      </c>
      <c r="C273" s="5">
        <f>getFocalLengthEnd('RawData (GH)'!B273)</f>
        <v>24</v>
      </c>
      <c r="D273" s="9">
        <f>getApertureStart('RawData (GH)'!C273)</f>
        <v>3.5</v>
      </c>
      <c r="E273" s="9">
        <f>getApertureEnd('RawData (GH)'!C273)</f>
        <v>3.5</v>
      </c>
      <c r="F273" s="2">
        <f>getFiltersizeAsDouble('RawData (GH)'!D273)</f>
        <v>95</v>
      </c>
      <c r="G273" s="35">
        <f>getMagnification('RawData (GH)'!E273)</f>
        <v>11.3</v>
      </c>
      <c r="H273" s="62">
        <f>getMinimalFocus('RawData (GH)'!F273)</f>
        <v>0</v>
      </c>
      <c r="I273" t="str">
        <f>getMount('RawData (GH)'!G273)</f>
        <v>Leica S</v>
      </c>
      <c r="J273" t="str">
        <f>getSensorCompatibility('RawData (GH)'!H273)</f>
        <v>APS-C/ Kleinbild</v>
      </c>
      <c r="K273" s="45">
        <f>getWeightAsDouble('RawData (GH)'!I273)</f>
        <v>1110</v>
      </c>
      <c r="L273" s="34">
        <f>getSizeDiameter('RawData (GH)'!J273)</f>
        <v>101</v>
      </c>
      <c r="M273" s="34">
        <f>getSizeLength('RawData (GH)'!J273)</f>
        <v>112</v>
      </c>
    </row>
    <row r="274" spans="1:13" x14ac:dyDescent="0.25">
      <c r="A274" t="str">
        <f>'RawData (GH)'!A274</f>
        <v>Leica Super-Vario-Elmar-T 11-23mm 3.5-4.5 ASPH schwarz</v>
      </c>
      <c r="B274" s="5">
        <f>getFocalLengthStart('RawData (GH)'!B274)</f>
        <v>11</v>
      </c>
      <c r="C274" s="5">
        <f>getFocalLengthEnd('RawData (GH)'!B274)</f>
        <v>23</v>
      </c>
      <c r="D274" s="9">
        <f>getApertureStart('RawData (GH)'!C274)</f>
        <v>3.5</v>
      </c>
      <c r="E274" s="9">
        <f>getApertureEnd('RawData (GH)'!C274)</f>
        <v>4.5</v>
      </c>
      <c r="F274" s="2">
        <f>getFiltersizeAsDouble('RawData (GH)'!D274)</f>
        <v>67</v>
      </c>
      <c r="G274" s="35">
        <f>getMagnification('RawData (GH)'!E274)</f>
        <v>9.6999999999999993</v>
      </c>
      <c r="H274" s="62">
        <f>getMinimalFocus('RawData (GH)'!F274)</f>
        <v>0</v>
      </c>
      <c r="I274" t="str">
        <f>getMount('RawData (GH)'!G274)</f>
        <v>Leica T</v>
      </c>
      <c r="J274" t="str">
        <f>getSensorCompatibility('RawData (GH)'!H274)</f>
        <v>APS-C</v>
      </c>
      <c r="K274" s="45">
        <f>getWeightAsDouble('RawData (GH)'!I274)</f>
        <v>386</v>
      </c>
      <c r="L274" s="34">
        <f>getSizeDiameter('RawData (GH)'!J274)</f>
        <v>73</v>
      </c>
      <c r="M274" s="34">
        <f>getSizeLength('RawData (GH)'!J274)</f>
        <v>77</v>
      </c>
    </row>
    <row r="275" spans="1:13" x14ac:dyDescent="0.25">
      <c r="A275" t="str">
        <f>'RawData (GH)'!A275</f>
        <v>Leica Thambar-M 90mm 2.2 schwarz</v>
      </c>
      <c r="B275" s="5">
        <f>getFocalLengthStart('RawData (GH)'!B275)</f>
        <v>90</v>
      </c>
      <c r="C275" s="5">
        <f>getFocalLengthEnd('RawData (GH)'!B275)</f>
        <v>90</v>
      </c>
      <c r="D275" s="9">
        <f>getApertureStart('RawData (GH)'!C275)</f>
        <v>2.2000000000000002</v>
      </c>
      <c r="E275" s="9">
        <f>getApertureEnd('RawData (GH)'!C275)</f>
        <v>2.2000000000000002</v>
      </c>
      <c r="F275" s="2">
        <f>getFiltersizeAsDouble('RawData (GH)'!D275)</f>
        <v>49</v>
      </c>
      <c r="G275" s="35">
        <f>getMagnification('RawData (GH)'!E275)</f>
        <v>9</v>
      </c>
      <c r="H275" s="62">
        <f>getMinimalFocus('RawData (GH)'!F275)</f>
        <v>0</v>
      </c>
      <c r="I275" t="str">
        <f>getMount('RawData (GH)'!G275)</f>
        <v>Leica M</v>
      </c>
      <c r="J275" t="str">
        <f>getSensorCompatibility('RawData (GH)'!H275)</f>
        <v>APS-C/ Kleinbild</v>
      </c>
      <c r="K275" s="45">
        <f>getWeightAsDouble('RawData (GH)'!I275)</f>
        <v>500</v>
      </c>
      <c r="L275" s="34">
        <f>getSizeDiameter('RawData (GH)'!J275)</f>
        <v>57</v>
      </c>
      <c r="M275" s="34">
        <f>getSizeLength('RawData (GH)'!J275)</f>
        <v>90</v>
      </c>
    </row>
    <row r="276" spans="1:13" x14ac:dyDescent="0.25">
      <c r="A276" t="str">
        <f>'RawData (GH)'!A276</f>
        <v>Leica Tri-Elmar-M 16-18-21mm 4.0 ASPH schwarz</v>
      </c>
      <c r="B276" s="5">
        <f>getFocalLengthStart('RawData (GH)'!B276)</f>
        <v>16</v>
      </c>
      <c r="C276" s="5">
        <f>getFocalLengthEnd('RawData (GH)'!B276)</f>
        <v>21</v>
      </c>
      <c r="D276" s="9">
        <f>getApertureStart('RawData (GH)'!C276)</f>
        <v>4</v>
      </c>
      <c r="E276" s="9">
        <f>getApertureEnd('RawData (GH)'!C276)</f>
        <v>4</v>
      </c>
      <c r="F276" s="2">
        <f>getFiltersizeAsDouble('RawData (GH)'!D276)</f>
        <v>67</v>
      </c>
      <c r="G276" s="35">
        <f>getMagnification('RawData (GH)'!E276)</f>
        <v>30</v>
      </c>
      <c r="H276" s="62">
        <f>getMinimalFocus('RawData (GH)'!F276)</f>
        <v>0</v>
      </c>
      <c r="I276" t="str">
        <f>getMount('RawData (GH)'!G276)</f>
        <v>Leica M</v>
      </c>
      <c r="J276" t="str">
        <f>getSensorCompatibility('RawData (GH)'!H276)</f>
        <v>APS-C/ Kleinbild</v>
      </c>
      <c r="K276" s="45">
        <f>getWeightAsDouble('RawData (GH)'!I276)</f>
        <v>335</v>
      </c>
      <c r="L276" s="34">
        <f>getSizeDiameter('RawData (GH)'!J276)</f>
        <v>54</v>
      </c>
      <c r="M276" s="34">
        <f>getSizeLength('RawData (GH)'!J276)</f>
        <v>66</v>
      </c>
    </row>
    <row r="277" spans="1:13" x14ac:dyDescent="0.25">
      <c r="A277" t="str">
        <f>'RawData (GH)'!A277</f>
        <v>Leica TS-APO-Elmar-S 120mm 5.6 Tilt/Shift schwarz</v>
      </c>
      <c r="B277" s="5">
        <f>getFocalLengthStart('RawData (GH)'!B277)</f>
        <v>120</v>
      </c>
      <c r="C277" s="5">
        <f>getFocalLengthEnd('RawData (GH)'!B277)</f>
        <v>120</v>
      </c>
      <c r="D277" s="9">
        <f>getApertureStart('RawData (GH)'!C277)</f>
        <v>5.6</v>
      </c>
      <c r="E277" s="9">
        <f>getApertureEnd('RawData (GH)'!C277)</f>
        <v>5.6</v>
      </c>
      <c r="F277" s="2">
        <f>getFiltersizeAsDouble('RawData (GH)'!D277)</f>
        <v>95</v>
      </c>
      <c r="G277" s="35">
        <f>getMagnification('RawData (GH)'!E277)</f>
        <v>5.3</v>
      </c>
      <c r="H277" s="62">
        <f>getMinimalFocus('RawData (GH)'!F277)</f>
        <v>0</v>
      </c>
      <c r="I277" t="str">
        <f>getMount('RawData (GH)'!G277)</f>
        <v>Leica S</v>
      </c>
      <c r="J277" t="str">
        <f>getSensorCompatibility('RawData (GH)'!H277)</f>
        <v>APS-C/ Kleinbild</v>
      </c>
      <c r="K277" s="45">
        <f>getWeightAsDouble('RawData (GH)'!I277)</f>
        <v>1110</v>
      </c>
      <c r="L277" s="34">
        <f>getSizeDiameter('RawData (GH)'!J277)</f>
        <v>108</v>
      </c>
      <c r="M277" s="34">
        <f>getSizeLength('RawData (GH)'!J277)</f>
        <v>144</v>
      </c>
    </row>
    <row r="278" spans="1:13" x14ac:dyDescent="0.25">
      <c r="A278" t="str">
        <f>'RawData (GH)'!A278</f>
        <v>Leica Vario-Elmarit-SL 24-90mm 2.8-4.0 ASPH schwarz</v>
      </c>
      <c r="B278" s="5">
        <f>getFocalLengthStart('RawData (GH)'!B278)</f>
        <v>24</v>
      </c>
      <c r="C278" s="5">
        <f>getFocalLengthEnd('RawData (GH)'!B278)</f>
        <v>90</v>
      </c>
      <c r="D278" s="9">
        <f>getApertureStart('RawData (GH)'!C278)</f>
        <v>2.8</v>
      </c>
      <c r="E278" s="9">
        <f>getApertureEnd('RawData (GH)'!C278)</f>
        <v>4</v>
      </c>
      <c r="F278" s="2">
        <f>getFiltersizeAsDouble('RawData (GH)'!D278)</f>
        <v>82</v>
      </c>
      <c r="G278" s="35">
        <f>getMagnification('RawData (GH)'!E278)</f>
        <v>0</v>
      </c>
      <c r="H278" s="62">
        <f>getMinimalFocus('RawData (GH)'!F278)</f>
        <v>0</v>
      </c>
      <c r="I278" t="str">
        <f>getMount('RawData (GH)'!G278)</f>
        <v>Leica L</v>
      </c>
      <c r="J278" t="str">
        <f>getSensorCompatibility('RawData (GH)'!H278)</f>
        <v>APS-C/ Kleinbild</v>
      </c>
      <c r="K278" s="45">
        <f>getWeightAsDouble('RawData (GH)'!I278)</f>
        <v>1140</v>
      </c>
      <c r="L278" s="34">
        <f>getSizeDiameter('RawData (GH)'!J278)</f>
        <v>88</v>
      </c>
      <c r="M278" s="34">
        <f>getSizeLength('RawData (GH)'!J278)</f>
        <v>138</v>
      </c>
    </row>
    <row r="279" spans="1:13" x14ac:dyDescent="0.25">
      <c r="A279" t="str">
        <f>'RawData (GH)'!A279</f>
        <v>Leica Vario-Elmar-S 30-90mm 3.5-5.6 schwarz</v>
      </c>
      <c r="B279" s="5">
        <f>getFocalLengthStart('RawData (GH)'!B279)</f>
        <v>30</v>
      </c>
      <c r="C279" s="5">
        <f>getFocalLengthEnd('RawData (GH)'!B279)</f>
        <v>90</v>
      </c>
      <c r="D279" s="9">
        <f>getApertureStart('RawData (GH)'!C279)</f>
        <v>3.5</v>
      </c>
      <c r="E279" s="9">
        <f>getApertureEnd('RawData (GH)'!C279)</f>
        <v>5.6</v>
      </c>
      <c r="F279" s="2">
        <f>getFiltersizeAsDouble('RawData (GH)'!D279)</f>
        <v>95</v>
      </c>
      <c r="G279" s="35">
        <f>getMagnification('RawData (GH)'!E279)</f>
        <v>6.5</v>
      </c>
      <c r="H279" s="62">
        <f>getMinimalFocus('RawData (GH)'!F279)</f>
        <v>0</v>
      </c>
      <c r="I279" t="str">
        <f>getMount('RawData (GH)'!G279)</f>
        <v>Leica S</v>
      </c>
      <c r="J279" t="str">
        <f>getSensorCompatibility('RawData (GH)'!H279)</f>
        <v>APS-C/ Kleinbild</v>
      </c>
      <c r="K279" s="45">
        <f>getWeightAsDouble('RawData (GH)'!I279)</f>
        <v>1270</v>
      </c>
      <c r="L279" s="34">
        <f>getSizeDiameter('RawData (GH)'!J279)</f>
        <v>101</v>
      </c>
      <c r="M279" s="34">
        <f>getSizeLength('RawData (GH)'!J279)</f>
        <v>114</v>
      </c>
    </row>
    <row r="280" spans="1:13" x14ac:dyDescent="0.25">
      <c r="A280" t="str">
        <f>'RawData (GH)'!A280</f>
        <v>Leica Vario-Elmar-T 18-56mm 3.5-5.6 ASPH schwarz</v>
      </c>
      <c r="B280" s="5">
        <f>getFocalLengthStart('RawData (GH)'!B280)</f>
        <v>18</v>
      </c>
      <c r="C280" s="5">
        <f>getFocalLengthEnd('RawData (GH)'!B280)</f>
        <v>56</v>
      </c>
      <c r="D280" s="9">
        <f>getApertureStart('RawData (GH)'!C280)</f>
        <v>3.5</v>
      </c>
      <c r="E280" s="9">
        <f>getApertureEnd('RawData (GH)'!C280)</f>
        <v>5.6</v>
      </c>
      <c r="F280" s="2">
        <f>getFiltersizeAsDouble('RawData (GH)'!D280)</f>
        <v>52</v>
      </c>
      <c r="G280" s="35">
        <f>getMagnification('RawData (GH)'!E280)</f>
        <v>7.5</v>
      </c>
      <c r="H280" s="62">
        <f>getMinimalFocus('RawData (GH)'!F280)</f>
        <v>0</v>
      </c>
      <c r="I280" t="str">
        <f>getMount('RawData (GH)'!G280)</f>
        <v>Leica T</v>
      </c>
      <c r="J280" t="str">
        <f>getSensorCompatibility('RawData (GH)'!H280)</f>
        <v>APS-C</v>
      </c>
      <c r="K280" s="45">
        <f>getWeightAsDouble('RawData (GH)'!I280)</f>
        <v>256</v>
      </c>
      <c r="L280" s="34">
        <f>getSizeDiameter('RawData (GH)'!J280)</f>
        <v>63</v>
      </c>
      <c r="M280" s="34">
        <f>getSizeLength('RawData (GH)'!J280)</f>
        <v>60</v>
      </c>
    </row>
    <row r="281" spans="1:13" x14ac:dyDescent="0.25">
      <c r="A281" t="str">
        <f>'RawData (GH)'!A281</f>
        <v>Lensbaby Trio 28mm 3.5 für Fujifilm X silber</v>
      </c>
      <c r="B281" s="5">
        <f>getFocalLengthStart('RawData (GH)'!B281)</f>
        <v>28</v>
      </c>
      <c r="C281" s="5">
        <f>getFocalLengthEnd('RawData (GH)'!B281)</f>
        <v>28</v>
      </c>
      <c r="D281" s="9">
        <f>getApertureStart('RawData (GH)'!C281)</f>
        <v>3.5</v>
      </c>
      <c r="E281" s="9">
        <f>getApertureEnd('RawData (GH)'!C281)</f>
        <v>3.5</v>
      </c>
      <c r="F281" s="2">
        <f>getFiltersizeAsDouble('RawData (GH)'!D281)</f>
        <v>46</v>
      </c>
      <c r="G281" s="35">
        <f>getMagnification('RawData (GH)'!E281)</f>
        <v>0</v>
      </c>
      <c r="H281" s="62">
        <f>getMinimalFocus('RawData (GH)'!F281)</f>
        <v>0</v>
      </c>
      <c r="I281" t="str">
        <f>getMount('RawData (GH)'!G281)</f>
        <v>Fujifilm X</v>
      </c>
      <c r="J281" t="str">
        <f>getSensorCompatibility('RawData (GH)'!H281)</f>
        <v>APS-C/ Kleinbild</v>
      </c>
      <c r="K281" s="45">
        <f>getWeightAsDouble('RawData (GH)'!I281)</f>
        <v>139</v>
      </c>
      <c r="L281" s="34">
        <f>getSizeDiameter('RawData (GH)'!J281)</f>
        <v>69.900000000000006</v>
      </c>
      <c r="M281" s="34">
        <f>getSizeLength('RawData (GH)'!J281)</f>
        <v>50.8</v>
      </c>
    </row>
    <row r="282" spans="1:13" x14ac:dyDescent="0.25">
      <c r="A282" t="str">
        <f>'RawData (GH)'!A282</f>
        <v>Lensbaby Trio 28mm 3.5 für Micro-Four-Thirds silber</v>
      </c>
      <c r="B282" s="5">
        <f>getFocalLengthStart('RawData (GH)'!B282)</f>
        <v>28</v>
      </c>
      <c r="C282" s="5">
        <f>getFocalLengthEnd('RawData (GH)'!B282)</f>
        <v>28</v>
      </c>
      <c r="D282" s="9">
        <f>getApertureStart('RawData (GH)'!C282)</f>
        <v>3.5</v>
      </c>
      <c r="E282" s="9">
        <f>getApertureEnd('RawData (GH)'!C282)</f>
        <v>3.5</v>
      </c>
      <c r="F282" s="2">
        <f>getFiltersizeAsDouble('RawData (GH)'!D282)</f>
        <v>46</v>
      </c>
      <c r="G282" s="35">
        <f>getMagnification('RawData (GH)'!E282)</f>
        <v>0</v>
      </c>
      <c r="H282" s="62">
        <f>getMinimalFocus('RawData (GH)'!F282)</f>
        <v>0</v>
      </c>
      <c r="I282" t="str">
        <f>getMount('RawData (GH)'!G282)</f>
        <v>Micro-Four-Thirds</v>
      </c>
      <c r="J282" t="str">
        <f>getSensorCompatibility('RawData (GH)'!H282)</f>
        <v>APS-C/ Kleinbild</v>
      </c>
      <c r="K282" s="45">
        <f>getWeightAsDouble('RawData (GH)'!I282)</f>
        <v>139</v>
      </c>
      <c r="L282" s="34">
        <f>getSizeDiameter('RawData (GH)'!J282)</f>
        <v>69.900000000000006</v>
      </c>
      <c r="M282" s="34">
        <f>getSizeLength('RawData (GH)'!J282)</f>
        <v>50.8</v>
      </c>
    </row>
    <row r="283" spans="1:13" x14ac:dyDescent="0.25">
      <c r="A283" t="str">
        <f>'RawData (GH)'!A283</f>
        <v>Lensbaby Trio 28mm 3.5 für Sony E silber</v>
      </c>
      <c r="B283" s="5">
        <f>getFocalLengthStart('RawData (GH)'!B283)</f>
        <v>28</v>
      </c>
      <c r="C283" s="5">
        <f>getFocalLengthEnd('RawData (GH)'!B283)</f>
        <v>28</v>
      </c>
      <c r="D283" s="9">
        <f>getApertureStart('RawData (GH)'!C283)</f>
        <v>3.5</v>
      </c>
      <c r="E283" s="9">
        <f>getApertureEnd('RawData (GH)'!C283)</f>
        <v>3.5</v>
      </c>
      <c r="F283" s="2">
        <f>getFiltersizeAsDouble('RawData (GH)'!D283)</f>
        <v>46</v>
      </c>
      <c r="G283" s="35">
        <f>getMagnification('RawData (GH)'!E283)</f>
        <v>0</v>
      </c>
      <c r="H283" s="62">
        <f>getMinimalFocus('RawData (GH)'!F283)</f>
        <v>0</v>
      </c>
      <c r="I283" t="str">
        <f>getMount('RawData (GH)'!G283)</f>
        <v>Sony E</v>
      </c>
      <c r="J283" t="str">
        <f>getSensorCompatibility('RawData (GH)'!H283)</f>
        <v>APS-C/ Kleinbild</v>
      </c>
      <c r="K283" s="45">
        <f>getWeightAsDouble('RawData (GH)'!I283)</f>
        <v>139</v>
      </c>
      <c r="L283" s="34">
        <f>getSizeDiameter('RawData (GH)'!J283)</f>
        <v>69.900000000000006</v>
      </c>
      <c r="M283" s="34">
        <f>getSizeLength('RawData (GH)'!J283)</f>
        <v>50.8</v>
      </c>
    </row>
    <row r="284" spans="1:13" x14ac:dyDescent="0.25">
      <c r="A284" t="str">
        <f>'RawData (GH)'!A284</f>
        <v>Lensbaby Twist 60mm 2.5 für Canon EF schwarz</v>
      </c>
      <c r="B284" s="5">
        <f>getFocalLengthStart('RawData (GH)'!B284)</f>
        <v>60</v>
      </c>
      <c r="C284" s="5">
        <f>getFocalLengthEnd('RawData (GH)'!B284)</f>
        <v>60</v>
      </c>
      <c r="D284" s="9">
        <f>getApertureStart('RawData (GH)'!C284)</f>
        <v>2.5</v>
      </c>
      <c r="E284" s="9">
        <f>getApertureEnd('RawData (GH)'!C284)</f>
        <v>2.5</v>
      </c>
      <c r="F284" s="2">
        <f>getFiltersizeAsDouble('RawData (GH)'!D284)</f>
        <v>46</v>
      </c>
      <c r="G284" s="35">
        <f>getMagnification('RawData (GH)'!E284)</f>
        <v>0</v>
      </c>
      <c r="H284" s="62">
        <f>getMinimalFocus('RawData (GH)'!F284)</f>
        <v>0</v>
      </c>
      <c r="I284" t="str">
        <f>getMount('RawData (GH)'!G284)</f>
        <v>Canon EF</v>
      </c>
      <c r="J284" t="str">
        <f>getSensorCompatibility('RawData (GH)'!H284)</f>
        <v>APS-C/ Kleinbild</v>
      </c>
      <c r="K284" s="45">
        <f>getWeightAsDouble('RawData (GH)'!I284)</f>
        <v>200</v>
      </c>
      <c r="L284" s="34">
        <f>getSizeDiameter('RawData (GH)'!J284)</f>
        <v>0</v>
      </c>
      <c r="M284" s="34">
        <f>getSizeLength('RawData (GH)'!J284)</f>
        <v>0</v>
      </c>
    </row>
    <row r="285" spans="1:13" x14ac:dyDescent="0.25">
      <c r="A285" t="str">
        <f>'RawData (GH)'!A285</f>
        <v>Lensbaby Twist 60mm 2.5 für Nikon F schwarz</v>
      </c>
      <c r="B285" s="5">
        <f>getFocalLengthStart('RawData (GH)'!B285)</f>
        <v>60</v>
      </c>
      <c r="C285" s="5">
        <f>getFocalLengthEnd('RawData (GH)'!B285)</f>
        <v>60</v>
      </c>
      <c r="D285" s="9">
        <f>getApertureStart('RawData (GH)'!C285)</f>
        <v>2.5</v>
      </c>
      <c r="E285" s="9">
        <f>getApertureEnd('RawData (GH)'!C285)</f>
        <v>2.5</v>
      </c>
      <c r="F285" s="2">
        <f>getFiltersizeAsDouble('RawData (GH)'!D285)</f>
        <v>46</v>
      </c>
      <c r="G285" s="35">
        <f>getMagnification('RawData (GH)'!E285)</f>
        <v>0</v>
      </c>
      <c r="H285" s="62">
        <f>getMinimalFocus('RawData (GH)'!F285)</f>
        <v>0</v>
      </c>
      <c r="I285" t="str">
        <f>getMount('RawData (GH)'!G285)</f>
        <v>Nikon F</v>
      </c>
      <c r="J285" t="str">
        <f>getSensorCompatibility('RawData (GH)'!H285)</f>
        <v>APS-C/ Kleinbild</v>
      </c>
      <c r="K285" s="45">
        <f>getWeightAsDouble('RawData (GH)'!I285)</f>
        <v>200</v>
      </c>
      <c r="L285" s="34">
        <f>getSizeDiameter('RawData (GH)'!J285)</f>
        <v>0</v>
      </c>
      <c r="M285" s="34">
        <f>getSizeLength('RawData (GH)'!J285)</f>
        <v>0</v>
      </c>
    </row>
    <row r="286" spans="1:13" x14ac:dyDescent="0.25">
      <c r="A286" t="str">
        <f>'RawData (GH)'!A286</f>
        <v>Lensbaby Twist 60mm 2.5 für Sony E schwarz</v>
      </c>
      <c r="B286" s="5">
        <f>getFocalLengthStart('RawData (GH)'!B286)</f>
        <v>60</v>
      </c>
      <c r="C286" s="5">
        <f>getFocalLengthEnd('RawData (GH)'!B286)</f>
        <v>60</v>
      </c>
      <c r="D286" s="9">
        <f>getApertureStart('RawData (GH)'!C286)</f>
        <v>2.5</v>
      </c>
      <c r="E286" s="9">
        <f>getApertureEnd('RawData (GH)'!C286)</f>
        <v>2.5</v>
      </c>
      <c r="F286" s="2">
        <f>getFiltersizeAsDouble('RawData (GH)'!D286)</f>
        <v>46</v>
      </c>
      <c r="G286" s="35">
        <f>getMagnification('RawData (GH)'!E286)</f>
        <v>0</v>
      </c>
      <c r="H286" s="62">
        <f>getMinimalFocus('RawData (GH)'!F286)</f>
        <v>0</v>
      </c>
      <c r="I286" t="str">
        <f>getMount('RawData (GH)'!G286)</f>
        <v>Sony E</v>
      </c>
      <c r="J286" t="str">
        <f>getSensorCompatibility('RawData (GH)'!H286)</f>
        <v>APS-C/ Kleinbild</v>
      </c>
      <c r="K286" s="45">
        <f>getWeightAsDouble('RawData (GH)'!I286)</f>
        <v>200</v>
      </c>
      <c r="L286" s="34">
        <f>getSizeDiameter('RawData (GH)'!J286)</f>
        <v>0</v>
      </c>
      <c r="M286" s="34">
        <f>getSizeLength('RawData (GH)'!J286)</f>
        <v>0</v>
      </c>
    </row>
    <row r="287" spans="1:13" x14ac:dyDescent="0.25">
      <c r="A287" t="str">
        <f>'RawData (GH)'!A287</f>
        <v>Lensbaby Velvet 56mm 1.6 für Canon EF schwarz</v>
      </c>
      <c r="B287" s="5">
        <f>getFocalLengthStart('RawData (GH)'!B287)</f>
        <v>56</v>
      </c>
      <c r="C287" s="5">
        <f>getFocalLengthEnd('RawData (GH)'!B287)</f>
        <v>56</v>
      </c>
      <c r="D287" s="9">
        <f>getApertureStart('RawData (GH)'!C287)</f>
        <v>1.6</v>
      </c>
      <c r="E287" s="9">
        <f>getApertureEnd('RawData (GH)'!C287)</f>
        <v>1.6</v>
      </c>
      <c r="F287" s="2">
        <f>getFiltersizeAsDouble('RawData (GH)'!D287)</f>
        <v>62</v>
      </c>
      <c r="G287" s="35">
        <f>getMagnification('RawData (GH)'!E287)</f>
        <v>2</v>
      </c>
      <c r="H287" s="62">
        <f>getMinimalFocus('RawData (GH)'!F287)</f>
        <v>0</v>
      </c>
      <c r="I287" t="str">
        <f>getMount('RawData (GH)'!G287)</f>
        <v>Canon EF</v>
      </c>
      <c r="J287" t="str">
        <f>getSensorCompatibility('RawData (GH)'!H287)</f>
        <v>APS-C/ Kleinbild</v>
      </c>
      <c r="K287" s="45">
        <f>getWeightAsDouble('RawData (GH)'!I287)</f>
        <v>400</v>
      </c>
      <c r="L287" s="34">
        <f>getSizeDiameter('RawData (GH)'!J287)</f>
        <v>72</v>
      </c>
      <c r="M287" s="34">
        <f>getSizeLength('RawData (GH)'!J287)</f>
        <v>85</v>
      </c>
    </row>
    <row r="288" spans="1:13" x14ac:dyDescent="0.25">
      <c r="A288" t="str">
        <f>'RawData (GH)'!A288</f>
        <v>Lensbaby Velvet 56mm 1.6 für Canon EF silber</v>
      </c>
      <c r="B288" s="5">
        <f>getFocalLengthStart('RawData (GH)'!B288)</f>
        <v>56</v>
      </c>
      <c r="C288" s="5">
        <f>getFocalLengthEnd('RawData (GH)'!B288)</f>
        <v>56</v>
      </c>
      <c r="D288" s="9">
        <f>getApertureStart('RawData (GH)'!C288)</f>
        <v>1.6</v>
      </c>
      <c r="E288" s="9">
        <f>getApertureEnd('RawData (GH)'!C288)</f>
        <v>1.6</v>
      </c>
      <c r="F288" s="2">
        <f>getFiltersizeAsDouble('RawData (GH)'!D288)</f>
        <v>62</v>
      </c>
      <c r="G288" s="35">
        <f>getMagnification('RawData (GH)'!E288)</f>
        <v>2</v>
      </c>
      <c r="H288" s="62">
        <f>getMinimalFocus('RawData (GH)'!F288)</f>
        <v>0</v>
      </c>
      <c r="I288" t="str">
        <f>getMount('RawData (GH)'!G288)</f>
        <v>Canon EF</v>
      </c>
      <c r="J288" t="str">
        <f>getSensorCompatibility('RawData (GH)'!H288)</f>
        <v>APS-C/ Kleinbild</v>
      </c>
      <c r="K288" s="45">
        <f>getWeightAsDouble('RawData (GH)'!I288)</f>
        <v>400</v>
      </c>
      <c r="L288" s="34">
        <f>getSizeDiameter('RawData (GH)'!J288)</f>
        <v>72</v>
      </c>
      <c r="M288" s="34">
        <f>getSizeLength('RawData (GH)'!J288)</f>
        <v>85</v>
      </c>
    </row>
    <row r="289" spans="1:13" x14ac:dyDescent="0.25">
      <c r="A289" t="str">
        <f>'RawData (GH)'!A289</f>
        <v>Lensbaby Velvet 56mm 1.6 für Fujifilm X schwarz</v>
      </c>
      <c r="B289" s="5">
        <f>getFocalLengthStart('RawData (GH)'!B289)</f>
        <v>56</v>
      </c>
      <c r="C289" s="5">
        <f>getFocalLengthEnd('RawData (GH)'!B289)</f>
        <v>56</v>
      </c>
      <c r="D289" s="9">
        <f>getApertureStart('RawData (GH)'!C289)</f>
        <v>1.6</v>
      </c>
      <c r="E289" s="9">
        <f>getApertureEnd('RawData (GH)'!C289)</f>
        <v>1.6</v>
      </c>
      <c r="F289" s="2">
        <f>getFiltersizeAsDouble('RawData (GH)'!D289)</f>
        <v>62</v>
      </c>
      <c r="G289" s="35">
        <f>getMagnification('RawData (GH)'!E289)</f>
        <v>2</v>
      </c>
      <c r="H289" s="62">
        <f>getMinimalFocus('RawData (GH)'!F289)</f>
        <v>0</v>
      </c>
      <c r="I289" t="str">
        <f>getMount('RawData (GH)'!G289)</f>
        <v>Fujifilm X</v>
      </c>
      <c r="J289" t="str">
        <f>getSensorCompatibility('RawData (GH)'!H289)</f>
        <v>APS-C/ Kleinbild</v>
      </c>
      <c r="K289" s="45">
        <f>getWeightAsDouble('RawData (GH)'!I289)</f>
        <v>400</v>
      </c>
      <c r="L289" s="34">
        <f>getSizeDiameter('RawData (GH)'!J289)</f>
        <v>72</v>
      </c>
      <c r="M289" s="34">
        <f>getSizeLength('RawData (GH)'!J289)</f>
        <v>85</v>
      </c>
    </row>
    <row r="290" spans="1:13" x14ac:dyDescent="0.25">
      <c r="A290" t="str">
        <f>'RawData (GH)'!A290</f>
        <v>Lensbaby Velvet 56mm 1.6 für Nikon F schwarz</v>
      </c>
      <c r="B290" s="5">
        <f>getFocalLengthStart('RawData (GH)'!B290)</f>
        <v>56</v>
      </c>
      <c r="C290" s="5">
        <f>getFocalLengthEnd('RawData (GH)'!B290)</f>
        <v>56</v>
      </c>
      <c r="D290" s="9">
        <f>getApertureStart('RawData (GH)'!C290)</f>
        <v>1.6</v>
      </c>
      <c r="E290" s="9">
        <f>getApertureEnd('RawData (GH)'!C290)</f>
        <v>1.6</v>
      </c>
      <c r="F290" s="2">
        <f>getFiltersizeAsDouble('RawData (GH)'!D290)</f>
        <v>62</v>
      </c>
      <c r="G290" s="35">
        <f>getMagnification('RawData (GH)'!E290)</f>
        <v>2</v>
      </c>
      <c r="H290" s="62">
        <f>getMinimalFocus('RawData (GH)'!F290)</f>
        <v>0</v>
      </c>
      <c r="I290" t="str">
        <f>getMount('RawData (GH)'!G290)</f>
        <v>Nikon F</v>
      </c>
      <c r="J290" t="str">
        <f>getSensorCompatibility('RawData (GH)'!H290)</f>
        <v>APS-C/ Kleinbild</v>
      </c>
      <c r="K290" s="45">
        <f>getWeightAsDouble('RawData (GH)'!I290)</f>
        <v>400</v>
      </c>
      <c r="L290" s="34">
        <f>getSizeDiameter('RawData (GH)'!J290)</f>
        <v>72</v>
      </c>
      <c r="M290" s="34">
        <f>getSizeLength('RawData (GH)'!J290)</f>
        <v>85</v>
      </c>
    </row>
    <row r="291" spans="1:13" x14ac:dyDescent="0.25">
      <c r="A291" t="str">
        <f>'RawData (GH)'!A291</f>
        <v>Lensbaby Velvet 56mm 1.6 für Nikon F silber</v>
      </c>
      <c r="B291" s="5">
        <f>getFocalLengthStart('RawData (GH)'!B291)</f>
        <v>56</v>
      </c>
      <c r="C291" s="5">
        <f>getFocalLengthEnd('RawData (GH)'!B291)</f>
        <v>56</v>
      </c>
      <c r="D291" s="9">
        <f>getApertureStart('RawData (GH)'!C291)</f>
        <v>1.6</v>
      </c>
      <c r="E291" s="9">
        <f>getApertureEnd('RawData (GH)'!C291)</f>
        <v>1.6</v>
      </c>
      <c r="F291" s="2">
        <f>getFiltersizeAsDouble('RawData (GH)'!D291)</f>
        <v>62</v>
      </c>
      <c r="G291" s="35">
        <f>getMagnification('RawData (GH)'!E291)</f>
        <v>2</v>
      </c>
      <c r="H291" s="62">
        <f>getMinimalFocus('RawData (GH)'!F291)</f>
        <v>0</v>
      </c>
      <c r="I291" t="str">
        <f>getMount('RawData (GH)'!G291)</f>
        <v>Nikon F</v>
      </c>
      <c r="J291" t="str">
        <f>getSensorCompatibility('RawData (GH)'!H291)</f>
        <v>APS-C/ Kleinbild</v>
      </c>
      <c r="K291" s="45">
        <f>getWeightAsDouble('RawData (GH)'!I291)</f>
        <v>400</v>
      </c>
      <c r="L291" s="34">
        <f>getSizeDiameter('RawData (GH)'!J291)</f>
        <v>72</v>
      </c>
      <c r="M291" s="34">
        <f>getSizeLength('RawData (GH)'!J291)</f>
        <v>85</v>
      </c>
    </row>
    <row r="292" spans="1:13" x14ac:dyDescent="0.25">
      <c r="A292" t="str">
        <f>'RawData (GH)'!A292</f>
        <v>Lensbaby Velvet 56mm 1.6 für Pentax K schwarz</v>
      </c>
      <c r="B292" s="5">
        <f>getFocalLengthStart('RawData (GH)'!B292)</f>
        <v>56</v>
      </c>
      <c r="C292" s="5">
        <f>getFocalLengthEnd('RawData (GH)'!B292)</f>
        <v>56</v>
      </c>
      <c r="D292" s="9">
        <f>getApertureStart('RawData (GH)'!C292)</f>
        <v>1.6</v>
      </c>
      <c r="E292" s="9">
        <f>getApertureEnd('RawData (GH)'!C292)</f>
        <v>1.6</v>
      </c>
      <c r="F292" s="2">
        <f>getFiltersizeAsDouble('RawData (GH)'!D292)</f>
        <v>62</v>
      </c>
      <c r="G292" s="35">
        <f>getMagnification('RawData (GH)'!E292)</f>
        <v>2</v>
      </c>
      <c r="H292" s="62">
        <f>getMinimalFocus('RawData (GH)'!F292)</f>
        <v>0</v>
      </c>
      <c r="I292" t="str">
        <f>getMount('RawData (GH)'!G292)</f>
        <v>Pentax K</v>
      </c>
      <c r="J292" t="str">
        <f>getSensorCompatibility('RawData (GH)'!H292)</f>
        <v>APS-C/ Kleinbild</v>
      </c>
      <c r="K292" s="45">
        <f>getWeightAsDouble('RawData (GH)'!I292)</f>
        <v>400</v>
      </c>
      <c r="L292" s="34">
        <f>getSizeDiameter('RawData (GH)'!J292)</f>
        <v>72</v>
      </c>
      <c r="M292" s="34">
        <f>getSizeLength('RawData (GH)'!J292)</f>
        <v>85</v>
      </c>
    </row>
    <row r="293" spans="1:13" x14ac:dyDescent="0.25">
      <c r="A293" t="str">
        <f>'RawData (GH)'!A293</f>
        <v>Lensbaby Velvet 56mm 1.6 für Samsung NX schwarz</v>
      </c>
      <c r="B293" s="5">
        <f>getFocalLengthStart('RawData (GH)'!B293)</f>
        <v>56</v>
      </c>
      <c r="C293" s="5">
        <f>getFocalLengthEnd('RawData (GH)'!B293)</f>
        <v>56</v>
      </c>
      <c r="D293" s="9">
        <f>getApertureStart('RawData (GH)'!C293)</f>
        <v>1.6</v>
      </c>
      <c r="E293" s="9">
        <f>getApertureEnd('RawData (GH)'!C293)</f>
        <v>1.6</v>
      </c>
      <c r="F293" s="2">
        <f>getFiltersizeAsDouble('RawData (GH)'!D293)</f>
        <v>62</v>
      </c>
      <c r="G293" s="35">
        <f>getMagnification('RawData (GH)'!E293)</f>
        <v>2</v>
      </c>
      <c r="H293" s="62">
        <f>getMinimalFocus('RawData (GH)'!F293)</f>
        <v>0</v>
      </c>
      <c r="I293" t="str">
        <f>getMount('RawData (GH)'!G293)</f>
        <v>Samsung NX</v>
      </c>
      <c r="J293" t="str">
        <f>getSensorCompatibility('RawData (GH)'!H293)</f>
        <v>APS-C/ Kleinbild</v>
      </c>
      <c r="K293" s="45">
        <f>getWeightAsDouble('RawData (GH)'!I293)</f>
        <v>400</v>
      </c>
      <c r="L293" s="34">
        <f>getSizeDiameter('RawData (GH)'!J293)</f>
        <v>72</v>
      </c>
      <c r="M293" s="34">
        <f>getSizeLength('RawData (GH)'!J293)</f>
        <v>85</v>
      </c>
    </row>
    <row r="294" spans="1:13" x14ac:dyDescent="0.25">
      <c r="A294" t="str">
        <f>'RawData (GH)'!A294</f>
        <v>Lensbaby Velvet 56mm 1.6 für Sony A schwarz</v>
      </c>
      <c r="B294" s="5">
        <f>getFocalLengthStart('RawData (GH)'!B294)</f>
        <v>56</v>
      </c>
      <c r="C294" s="5">
        <f>getFocalLengthEnd('RawData (GH)'!B294)</f>
        <v>56</v>
      </c>
      <c r="D294" s="9">
        <f>getApertureStart('RawData (GH)'!C294)</f>
        <v>1.6</v>
      </c>
      <c r="E294" s="9">
        <f>getApertureEnd('RawData (GH)'!C294)</f>
        <v>1.6</v>
      </c>
      <c r="F294" s="2">
        <f>getFiltersizeAsDouble('RawData (GH)'!D294)</f>
        <v>62</v>
      </c>
      <c r="G294" s="35">
        <f>getMagnification('RawData (GH)'!E294)</f>
        <v>2</v>
      </c>
      <c r="H294" s="62">
        <f>getMinimalFocus('RawData (GH)'!F294)</f>
        <v>0</v>
      </c>
      <c r="I294" t="str">
        <f>getMount('RawData (GH)'!G294)</f>
        <v>Sony A</v>
      </c>
      <c r="J294" t="str">
        <f>getSensorCompatibility('RawData (GH)'!H294)</f>
        <v>APS-C/ Kleinbild</v>
      </c>
      <c r="K294" s="45">
        <f>getWeightAsDouble('RawData (GH)'!I294)</f>
        <v>400</v>
      </c>
      <c r="L294" s="34">
        <f>getSizeDiameter('RawData (GH)'!J294)</f>
        <v>72</v>
      </c>
      <c r="M294" s="34">
        <f>getSizeLength('RawData (GH)'!J294)</f>
        <v>85</v>
      </c>
    </row>
    <row r="295" spans="1:13" x14ac:dyDescent="0.25">
      <c r="A295" t="str">
        <f>'RawData (GH)'!A295</f>
        <v>Lensbaby Velvet 85mm 1.8 für Canon EF schwarz</v>
      </c>
      <c r="B295" s="5">
        <f>getFocalLengthStart('RawData (GH)'!B295)</f>
        <v>85</v>
      </c>
      <c r="C295" s="5">
        <f>getFocalLengthEnd('RawData (GH)'!B295)</f>
        <v>85</v>
      </c>
      <c r="D295" s="9">
        <f>getApertureStart('RawData (GH)'!C295)</f>
        <v>1.8</v>
      </c>
      <c r="E295" s="9">
        <f>getApertureEnd('RawData (GH)'!C295)</f>
        <v>1.8</v>
      </c>
      <c r="F295" s="2">
        <f>getFiltersizeAsDouble('RawData (GH)'!D295)</f>
        <v>68</v>
      </c>
      <c r="G295" s="35">
        <f>getMagnification('RawData (GH)'!E295)</f>
        <v>2</v>
      </c>
      <c r="H295" s="62">
        <f>getMinimalFocus('RawData (GH)'!F295)</f>
        <v>0</v>
      </c>
      <c r="I295" t="str">
        <f>getMount('RawData (GH)'!G295)</f>
        <v>Canon EF</v>
      </c>
      <c r="J295" t="str">
        <f>getSensorCompatibility('RawData (GH)'!H295)</f>
        <v>APS-C/ Kleinbild</v>
      </c>
      <c r="K295" s="45">
        <f>getWeightAsDouble('RawData (GH)'!I295)</f>
        <v>530</v>
      </c>
      <c r="L295" s="34">
        <f>getSizeDiameter('RawData (GH)'!J295)</f>
        <v>76</v>
      </c>
      <c r="M295" s="34">
        <f>getSizeLength('RawData (GH)'!J295)</f>
        <v>89</v>
      </c>
    </row>
    <row r="296" spans="1:13" x14ac:dyDescent="0.25">
      <c r="A296" t="str">
        <f>'RawData (GH)'!A296</f>
        <v>Lensbaby Velvet 85mm 1.8 für Fujifilm X schwarz</v>
      </c>
      <c r="B296" s="5">
        <f>getFocalLengthStart('RawData (GH)'!B296)</f>
        <v>85</v>
      </c>
      <c r="C296" s="5">
        <f>getFocalLengthEnd('RawData (GH)'!B296)</f>
        <v>85</v>
      </c>
      <c r="D296" s="9">
        <f>getApertureStart('RawData (GH)'!C296)</f>
        <v>1.8</v>
      </c>
      <c r="E296" s="9">
        <f>getApertureEnd('RawData (GH)'!C296)</f>
        <v>1.8</v>
      </c>
      <c r="F296" s="2">
        <f>getFiltersizeAsDouble('RawData (GH)'!D296)</f>
        <v>68</v>
      </c>
      <c r="G296" s="35">
        <f>getMagnification('RawData (GH)'!E296)</f>
        <v>2</v>
      </c>
      <c r="H296" s="62">
        <f>getMinimalFocus('RawData (GH)'!F296)</f>
        <v>0</v>
      </c>
      <c r="I296" t="str">
        <f>getMount('RawData (GH)'!G296)</f>
        <v>Fujifilm X</v>
      </c>
      <c r="J296" t="str">
        <f>getSensorCompatibility('RawData (GH)'!H296)</f>
        <v>APS-C/ Kleinbild</v>
      </c>
      <c r="K296" s="45">
        <f>getWeightAsDouble('RawData (GH)'!I296)</f>
        <v>530</v>
      </c>
      <c r="L296" s="34">
        <f>getSizeDiameter('RawData (GH)'!J296)</f>
        <v>76</v>
      </c>
      <c r="M296" s="34">
        <f>getSizeLength('RawData (GH)'!J296)</f>
        <v>89</v>
      </c>
    </row>
    <row r="297" spans="1:13" x14ac:dyDescent="0.25">
      <c r="A297" t="str">
        <f>'RawData (GH)'!A297</f>
        <v>Lensbaby Velvet 85mm 1.8 für Micro-Four-Thirds schwarz</v>
      </c>
      <c r="B297" s="5">
        <f>getFocalLengthStart('RawData (GH)'!B297)</f>
        <v>85</v>
      </c>
      <c r="C297" s="5">
        <f>getFocalLengthEnd('RawData (GH)'!B297)</f>
        <v>85</v>
      </c>
      <c r="D297" s="9">
        <f>getApertureStart('RawData (GH)'!C297)</f>
        <v>1.8</v>
      </c>
      <c r="E297" s="9">
        <f>getApertureEnd('RawData (GH)'!C297)</f>
        <v>1.8</v>
      </c>
      <c r="F297" s="2">
        <f>getFiltersizeAsDouble('RawData (GH)'!D297)</f>
        <v>68</v>
      </c>
      <c r="G297" s="35">
        <f>getMagnification('RawData (GH)'!E297)</f>
        <v>2</v>
      </c>
      <c r="H297" s="62">
        <f>getMinimalFocus('RawData (GH)'!F297)</f>
        <v>0</v>
      </c>
      <c r="I297" t="str">
        <f>getMount('RawData (GH)'!G297)</f>
        <v>Micro-Four-Thirds</v>
      </c>
      <c r="J297" t="str">
        <f>getSensorCompatibility('RawData (GH)'!H297)</f>
        <v>APS-C/ Kleinbild</v>
      </c>
      <c r="K297" s="45">
        <f>getWeightAsDouble('RawData (GH)'!I297)</f>
        <v>530</v>
      </c>
      <c r="L297" s="34">
        <f>getSizeDiameter('RawData (GH)'!J297)</f>
        <v>76</v>
      </c>
      <c r="M297" s="34">
        <f>getSizeLength('RawData (GH)'!J297)</f>
        <v>89</v>
      </c>
    </row>
    <row r="298" spans="1:13" x14ac:dyDescent="0.25">
      <c r="A298" t="str">
        <f>'RawData (GH)'!A298</f>
        <v>Lensbaby Velvet 85mm 1.8 für Nikon F schwarz</v>
      </c>
      <c r="B298" s="5">
        <f>getFocalLengthStart('RawData (GH)'!B298)</f>
        <v>85</v>
      </c>
      <c r="C298" s="5">
        <f>getFocalLengthEnd('RawData (GH)'!B298)</f>
        <v>85</v>
      </c>
      <c r="D298" s="9">
        <f>getApertureStart('RawData (GH)'!C298)</f>
        <v>1.8</v>
      </c>
      <c r="E298" s="9">
        <f>getApertureEnd('RawData (GH)'!C298)</f>
        <v>1.8</v>
      </c>
      <c r="F298" s="2">
        <f>getFiltersizeAsDouble('RawData (GH)'!D298)</f>
        <v>68</v>
      </c>
      <c r="G298" s="35">
        <f>getMagnification('RawData (GH)'!E298)</f>
        <v>2</v>
      </c>
      <c r="H298" s="62">
        <f>getMinimalFocus('RawData (GH)'!F298)</f>
        <v>0</v>
      </c>
      <c r="I298" t="str">
        <f>getMount('RawData (GH)'!G298)</f>
        <v>Nikon F</v>
      </c>
      <c r="J298" t="str">
        <f>getSensorCompatibility('RawData (GH)'!H298)</f>
        <v>APS-C/ Kleinbild</v>
      </c>
      <c r="K298" s="45">
        <f>getWeightAsDouble('RawData (GH)'!I298)</f>
        <v>530</v>
      </c>
      <c r="L298" s="34">
        <f>getSizeDiameter('RawData (GH)'!J298)</f>
        <v>76</v>
      </c>
      <c r="M298" s="34">
        <f>getSizeLength('RawData (GH)'!J298)</f>
        <v>89</v>
      </c>
    </row>
    <row r="299" spans="1:13" x14ac:dyDescent="0.25">
      <c r="A299" t="str">
        <f>'RawData (GH)'!A299</f>
        <v>Lensbaby Velvet 85mm 1.8 für Pentax K schwarz</v>
      </c>
      <c r="B299" s="5">
        <f>getFocalLengthStart('RawData (GH)'!B299)</f>
        <v>85</v>
      </c>
      <c r="C299" s="5">
        <f>getFocalLengthEnd('RawData (GH)'!B299)</f>
        <v>85</v>
      </c>
      <c r="D299" s="9">
        <f>getApertureStart('RawData (GH)'!C299)</f>
        <v>1.8</v>
      </c>
      <c r="E299" s="9">
        <f>getApertureEnd('RawData (GH)'!C299)</f>
        <v>1.8</v>
      </c>
      <c r="F299" s="2">
        <f>getFiltersizeAsDouble('RawData (GH)'!D299)</f>
        <v>68</v>
      </c>
      <c r="G299" s="35">
        <f>getMagnification('RawData (GH)'!E299)</f>
        <v>2</v>
      </c>
      <c r="H299" s="62">
        <f>getMinimalFocus('RawData (GH)'!F299)</f>
        <v>0</v>
      </c>
      <c r="I299" t="str">
        <f>getMount('RawData (GH)'!G299)</f>
        <v>Pentax K</v>
      </c>
      <c r="J299" t="str">
        <f>getSensorCompatibility('RawData (GH)'!H299)</f>
        <v>APS-C/ Kleinbild</v>
      </c>
      <c r="K299" s="45">
        <f>getWeightAsDouble('RawData (GH)'!I299)</f>
        <v>530</v>
      </c>
      <c r="L299" s="34">
        <f>getSizeDiameter('RawData (GH)'!J299)</f>
        <v>76</v>
      </c>
      <c r="M299" s="34">
        <f>getSizeLength('RawData (GH)'!J299)</f>
        <v>89</v>
      </c>
    </row>
    <row r="300" spans="1:13" x14ac:dyDescent="0.25">
      <c r="A300" t="str">
        <f>'RawData (GH)'!A300</f>
        <v>Lensbaby Velvet 85mm 1.8 für Samsung NX schwarz</v>
      </c>
      <c r="B300" s="5">
        <f>getFocalLengthStart('RawData (GH)'!B300)</f>
        <v>85</v>
      </c>
      <c r="C300" s="5">
        <f>getFocalLengthEnd('RawData (GH)'!B300)</f>
        <v>85</v>
      </c>
      <c r="D300" s="9">
        <f>getApertureStart('RawData (GH)'!C300)</f>
        <v>1.8</v>
      </c>
      <c r="E300" s="9">
        <f>getApertureEnd('RawData (GH)'!C300)</f>
        <v>1.8</v>
      </c>
      <c r="F300" s="2">
        <f>getFiltersizeAsDouble('RawData (GH)'!D300)</f>
        <v>68</v>
      </c>
      <c r="G300" s="35">
        <f>getMagnification('RawData (GH)'!E300)</f>
        <v>2</v>
      </c>
      <c r="H300" s="62">
        <f>getMinimalFocus('RawData (GH)'!F300)</f>
        <v>0</v>
      </c>
      <c r="I300" t="str">
        <f>getMount('RawData (GH)'!G300)</f>
        <v>Samsung NX</v>
      </c>
      <c r="J300" t="str">
        <f>getSensorCompatibility('RawData (GH)'!H300)</f>
        <v>APS-C/ Kleinbild</v>
      </c>
      <c r="K300" s="45">
        <f>getWeightAsDouble('RawData (GH)'!I300)</f>
        <v>530</v>
      </c>
      <c r="L300" s="34">
        <f>getSizeDiameter('RawData (GH)'!J300)</f>
        <v>76</v>
      </c>
      <c r="M300" s="34">
        <f>getSizeLength('RawData (GH)'!J300)</f>
        <v>89</v>
      </c>
    </row>
    <row r="301" spans="1:13" x14ac:dyDescent="0.25">
      <c r="A301" t="str">
        <f>'RawData (GH)'!A301</f>
        <v>Lensbaby Velvet 85mm 1.8 für Sony A schwarz</v>
      </c>
      <c r="B301" s="5">
        <f>getFocalLengthStart('RawData (GH)'!B301)</f>
        <v>85</v>
      </c>
      <c r="C301" s="5">
        <f>getFocalLengthEnd('RawData (GH)'!B301)</f>
        <v>85</v>
      </c>
      <c r="D301" s="9">
        <f>getApertureStart('RawData (GH)'!C301)</f>
        <v>1.8</v>
      </c>
      <c r="E301" s="9">
        <f>getApertureEnd('RawData (GH)'!C301)</f>
        <v>1.8</v>
      </c>
      <c r="F301" s="2">
        <f>getFiltersizeAsDouble('RawData (GH)'!D301)</f>
        <v>68</v>
      </c>
      <c r="G301" s="35">
        <f>getMagnification('RawData (GH)'!E301)</f>
        <v>2</v>
      </c>
      <c r="H301" s="62">
        <f>getMinimalFocus('RawData (GH)'!F301)</f>
        <v>0</v>
      </c>
      <c r="I301" t="str">
        <f>getMount('RawData (GH)'!G301)</f>
        <v>Sony A</v>
      </c>
      <c r="J301" t="str">
        <f>getSensorCompatibility('RawData (GH)'!H301)</f>
        <v>APS-C/ Kleinbild</v>
      </c>
      <c r="K301" s="45">
        <f>getWeightAsDouble('RawData (GH)'!I301)</f>
        <v>530</v>
      </c>
      <c r="L301" s="34">
        <f>getSizeDiameter('RawData (GH)'!J301)</f>
        <v>76</v>
      </c>
      <c r="M301" s="34">
        <f>getSizeLength('RawData (GH)'!J301)</f>
        <v>89</v>
      </c>
    </row>
    <row r="302" spans="1:13" x14ac:dyDescent="0.25">
      <c r="A302" t="str">
        <f>'RawData (GH)'!A302</f>
        <v>Lensbaby Velvet 85mm 1.8 für Sony E schwarz</v>
      </c>
      <c r="B302" s="5">
        <f>getFocalLengthStart('RawData (GH)'!B302)</f>
        <v>85</v>
      </c>
      <c r="C302" s="5">
        <f>getFocalLengthEnd('RawData (GH)'!B302)</f>
        <v>85</v>
      </c>
      <c r="D302" s="9">
        <f>getApertureStart('RawData (GH)'!C302)</f>
        <v>1.8</v>
      </c>
      <c r="E302" s="9">
        <f>getApertureEnd('RawData (GH)'!C302)</f>
        <v>1.8</v>
      </c>
      <c r="F302" s="2">
        <f>getFiltersizeAsDouble('RawData (GH)'!D302)</f>
        <v>68</v>
      </c>
      <c r="G302" s="35">
        <f>getMagnification('RawData (GH)'!E302)</f>
        <v>2</v>
      </c>
      <c r="H302" s="62">
        <f>getMinimalFocus('RawData (GH)'!F302)</f>
        <v>0</v>
      </c>
      <c r="I302" t="str">
        <f>getMount('RawData (GH)'!G302)</f>
        <v>Sony E</v>
      </c>
      <c r="J302" t="str">
        <f>getSensorCompatibility('RawData (GH)'!H302)</f>
        <v>APS-C/ Kleinbild</v>
      </c>
      <c r="K302" s="45">
        <f>getWeightAsDouble('RawData (GH)'!I302)</f>
        <v>530</v>
      </c>
      <c r="L302" s="34">
        <f>getSizeDiameter('RawData (GH)'!J302)</f>
        <v>76</v>
      </c>
      <c r="M302" s="34">
        <f>getSizeLength('RawData (GH)'!J302)</f>
        <v>89</v>
      </c>
    </row>
    <row r="303" spans="1:13" x14ac:dyDescent="0.25">
      <c r="A303" t="str">
        <f>'RawData (GH)'!A303</f>
        <v>Lomography Petzval 58mm 1.9 für Canon EF messing</v>
      </c>
      <c r="B303" s="5">
        <f>getFocalLengthStart('RawData (GH)'!B303)</f>
        <v>58</v>
      </c>
      <c r="C303" s="5">
        <f>getFocalLengthEnd('RawData (GH)'!B303)</f>
        <v>58</v>
      </c>
      <c r="D303" s="9">
        <f>getApertureStart('RawData (GH)'!C303)</f>
        <v>1.9</v>
      </c>
      <c r="E303" s="9">
        <f>getApertureEnd('RawData (GH)'!C303)</f>
        <v>1.9</v>
      </c>
      <c r="F303" s="2">
        <f>getFiltersizeAsDouble('RawData (GH)'!D303)</f>
        <v>0</v>
      </c>
      <c r="G303" s="35">
        <f>getMagnification('RawData (GH)'!E303)</f>
        <v>0</v>
      </c>
      <c r="H303" s="62">
        <f>getMinimalFocus('RawData (GH)'!F303)</f>
        <v>0</v>
      </c>
      <c r="I303" t="str">
        <f>getMount('RawData (GH)'!G303)</f>
        <v>Canon EF</v>
      </c>
      <c r="J303" t="str">
        <f>getSensorCompatibility('RawData (GH)'!H303)</f>
        <v>APS-C/ Kleinbild</v>
      </c>
      <c r="K303" s="45">
        <f>getWeightAsDouble('RawData (GH)'!I303)</f>
        <v>0</v>
      </c>
      <c r="L303" s="34">
        <f>getSizeDiameter('RawData (GH)'!J303)</f>
        <v>0</v>
      </c>
      <c r="M303" s="34">
        <f>getSizeLength('RawData (GH)'!J303)</f>
        <v>0</v>
      </c>
    </row>
    <row r="304" spans="1:13" x14ac:dyDescent="0.25">
      <c r="A304" t="str">
        <f>'RawData (GH)'!A304</f>
        <v>Lomography Petzval 58mm 1.9 für Nikon F messing</v>
      </c>
      <c r="B304" s="5">
        <f>getFocalLengthStart('RawData (GH)'!B304)</f>
        <v>58</v>
      </c>
      <c r="C304" s="5">
        <f>getFocalLengthEnd('RawData (GH)'!B304)</f>
        <v>58</v>
      </c>
      <c r="D304" s="9">
        <f>getApertureStart('RawData (GH)'!C304)</f>
        <v>1.9</v>
      </c>
      <c r="E304" s="9">
        <f>getApertureEnd('RawData (GH)'!C304)</f>
        <v>1.9</v>
      </c>
      <c r="F304" s="2">
        <f>getFiltersizeAsDouble('RawData (GH)'!D304)</f>
        <v>0</v>
      </c>
      <c r="G304" s="35">
        <f>getMagnification('RawData (GH)'!E304)</f>
        <v>0</v>
      </c>
      <c r="H304" s="62">
        <f>getMinimalFocus('RawData (GH)'!F304)</f>
        <v>0</v>
      </c>
      <c r="I304" t="str">
        <f>getMount('RawData (GH)'!G304)</f>
        <v>Nikon F</v>
      </c>
      <c r="J304" t="str">
        <f>getSensorCompatibility('RawData (GH)'!H304)</f>
        <v>APS-C/ Kleinbild</v>
      </c>
      <c r="K304" s="45">
        <f>getWeightAsDouble('RawData (GH)'!I304)</f>
        <v>0</v>
      </c>
      <c r="L304" s="34">
        <f>getSizeDiameter('RawData (GH)'!J304)</f>
        <v>0</v>
      </c>
      <c r="M304" s="34">
        <f>getSizeLength('RawData (GH)'!J304)</f>
        <v>0</v>
      </c>
    </row>
    <row r="305" spans="1:13" x14ac:dyDescent="0.25">
      <c r="A305" t="str">
        <f>'RawData (GH)'!A305</f>
        <v>Meike 12mm 2.8 für Fujifilm X schwarz</v>
      </c>
      <c r="B305" s="5">
        <f>getFocalLengthStart('RawData (GH)'!B305)</f>
        <v>12</v>
      </c>
      <c r="C305" s="5">
        <f>getFocalLengthEnd('RawData (GH)'!B305)</f>
        <v>12</v>
      </c>
      <c r="D305" s="9">
        <f>getApertureStart('RawData (GH)'!C305)</f>
        <v>2.8</v>
      </c>
      <c r="E305" s="9">
        <f>getApertureEnd('RawData (GH)'!C305)</f>
        <v>2.8</v>
      </c>
      <c r="F305" s="2">
        <f>getFiltersizeAsDouble('RawData (GH)'!D305)</f>
        <v>72</v>
      </c>
      <c r="G305" s="35">
        <f>getMagnification('RawData (GH)'!E305)</f>
        <v>8.1300000000000008</v>
      </c>
      <c r="H305" s="62">
        <f>getMinimalFocus('RawData (GH)'!F305)</f>
        <v>0</v>
      </c>
      <c r="I305" t="str">
        <f>getMount('RawData (GH)'!G305)</f>
        <v>Fujifilm X</v>
      </c>
      <c r="J305" t="str">
        <f>getSensorCompatibility('RawData (GH)'!H305)</f>
        <v>APS-C</v>
      </c>
      <c r="K305" s="45">
        <f>getWeightAsDouble('RawData (GH)'!I305)</f>
        <v>360</v>
      </c>
      <c r="L305" s="34">
        <f>getSizeDiameter('RawData (GH)'!J305)</f>
        <v>78</v>
      </c>
      <c r="M305" s="34">
        <f>getSizeLength('RawData (GH)'!J305)</f>
        <v>65.8</v>
      </c>
    </row>
    <row r="306" spans="1:13" x14ac:dyDescent="0.25">
      <c r="A306" t="str">
        <f>'RawData (GH)'!A306</f>
        <v>Meike 25mm 0.95 für Nikon 1 schwarz</v>
      </c>
      <c r="B306" s="5">
        <f>getFocalLengthStart('RawData (GH)'!B306)</f>
        <v>25</v>
      </c>
      <c r="C306" s="5">
        <f>getFocalLengthEnd('RawData (GH)'!B306)</f>
        <v>25</v>
      </c>
      <c r="D306" s="9">
        <f>getApertureStart('RawData (GH)'!C306)</f>
        <v>0.95</v>
      </c>
      <c r="E306" s="9">
        <f>getApertureEnd('RawData (GH)'!C306)</f>
        <v>0.95</v>
      </c>
      <c r="F306" s="2">
        <f>getFiltersizeAsDouble('RawData (GH)'!D306)</f>
        <v>55</v>
      </c>
      <c r="G306" s="35">
        <f>getMagnification('RawData (GH)'!E306)</f>
        <v>7.41</v>
      </c>
      <c r="H306" s="62">
        <f>getMinimalFocus('RawData (GH)'!F306)</f>
        <v>0</v>
      </c>
      <c r="I306" t="str">
        <f>getMount('RawData (GH)'!G306)</f>
        <v>Nikon 1</v>
      </c>
      <c r="J306" t="str">
        <f>getSensorCompatibility('RawData (GH)'!H306)</f>
        <v>APS-C</v>
      </c>
      <c r="K306" s="45">
        <f>getWeightAsDouble('RawData (GH)'!I306)</f>
        <v>540</v>
      </c>
      <c r="L306" s="34">
        <f>getSizeDiameter('RawData (GH)'!J306)</f>
        <v>64</v>
      </c>
      <c r="M306" s="34">
        <f>getSizeLength('RawData (GH)'!J306)</f>
        <v>101</v>
      </c>
    </row>
    <row r="307" spans="1:13" x14ac:dyDescent="0.25">
      <c r="A307" t="str">
        <f>'RawData (GH)'!A307</f>
        <v>Meike 25mm 0.95 für Sony E schwarz</v>
      </c>
      <c r="B307" s="5">
        <f>getFocalLengthStart('RawData (GH)'!B307)</f>
        <v>25</v>
      </c>
      <c r="C307" s="5">
        <f>getFocalLengthEnd('RawData (GH)'!B307)</f>
        <v>25</v>
      </c>
      <c r="D307" s="9">
        <f>getApertureStart('RawData (GH)'!C307)</f>
        <v>0.95</v>
      </c>
      <c r="E307" s="9">
        <f>getApertureEnd('RawData (GH)'!C307)</f>
        <v>0.95</v>
      </c>
      <c r="F307" s="2">
        <f>getFiltersizeAsDouble('RawData (GH)'!D307)</f>
        <v>55</v>
      </c>
      <c r="G307" s="35">
        <f>getMagnification('RawData (GH)'!E307)</f>
        <v>7.41</v>
      </c>
      <c r="H307" s="62">
        <f>getMinimalFocus('RawData (GH)'!F307)</f>
        <v>0</v>
      </c>
      <c r="I307" t="str">
        <f>getMount('RawData (GH)'!G307)</f>
        <v>Sony E</v>
      </c>
      <c r="J307" t="str">
        <f>getSensorCompatibility('RawData (GH)'!H307)</f>
        <v>APS-C</v>
      </c>
      <c r="K307" s="45">
        <f>getWeightAsDouble('RawData (GH)'!I307)</f>
        <v>540</v>
      </c>
      <c r="L307" s="34">
        <f>getSizeDiameter('RawData (GH)'!J307)</f>
        <v>64</v>
      </c>
      <c r="M307" s="34">
        <f>getSizeLength('RawData (GH)'!J307)</f>
        <v>101</v>
      </c>
    </row>
    <row r="308" spans="1:13" x14ac:dyDescent="0.25">
      <c r="A308" t="str">
        <f>'RawData (GH)'!A308</f>
        <v>Meike 28mm 2.8 für Canon EF-M schwarz</v>
      </c>
      <c r="B308" s="5">
        <f>getFocalLengthStart('RawData (GH)'!B308)</f>
        <v>28</v>
      </c>
      <c r="C308" s="5">
        <f>getFocalLengthEnd('RawData (GH)'!B308)</f>
        <v>28</v>
      </c>
      <c r="D308" s="9">
        <f>getApertureStart('RawData (GH)'!C308)</f>
        <v>2.8</v>
      </c>
      <c r="E308" s="9">
        <f>getApertureEnd('RawData (GH)'!C308)</f>
        <v>2.8</v>
      </c>
      <c r="F308" s="2">
        <f>getFiltersizeAsDouble('RawData (GH)'!D308)</f>
        <v>49</v>
      </c>
      <c r="G308" s="35">
        <f>getMagnification('RawData (GH)'!E308)</f>
        <v>9.09</v>
      </c>
      <c r="H308" s="62">
        <f>getMinimalFocus('RawData (GH)'!F308)</f>
        <v>0</v>
      </c>
      <c r="I308" t="str">
        <f>getMount('RawData (GH)'!G308)</f>
        <v>Canon EF-M</v>
      </c>
      <c r="J308" t="str">
        <f>getSensorCompatibility('RawData (GH)'!H308)</f>
        <v>APS-C</v>
      </c>
      <c r="K308" s="45">
        <f>getWeightAsDouble('RawData (GH)'!I308)</f>
        <v>102</v>
      </c>
      <c r="L308" s="34">
        <f>getSizeDiameter('RawData (GH)'!J308)</f>
        <v>60.4</v>
      </c>
      <c r="M308" s="34">
        <f>getSizeLength('RawData (GH)'!J308)</f>
        <v>29</v>
      </c>
    </row>
    <row r="309" spans="1:13" x14ac:dyDescent="0.25">
      <c r="A309" t="str">
        <f>'RawData (GH)'!A309</f>
        <v>Meike 28mm 2.8 für Fujifilm X schwarz</v>
      </c>
      <c r="B309" s="5">
        <f>getFocalLengthStart('RawData (GH)'!B309)</f>
        <v>28</v>
      </c>
      <c r="C309" s="5">
        <f>getFocalLengthEnd('RawData (GH)'!B309)</f>
        <v>28</v>
      </c>
      <c r="D309" s="9">
        <f>getApertureStart('RawData (GH)'!C309)</f>
        <v>2.8</v>
      </c>
      <c r="E309" s="9">
        <f>getApertureEnd('RawData (GH)'!C309)</f>
        <v>2.8</v>
      </c>
      <c r="F309" s="2">
        <f>getFiltersizeAsDouble('RawData (GH)'!D309)</f>
        <v>49</v>
      </c>
      <c r="G309" s="35">
        <f>getMagnification('RawData (GH)'!E309)</f>
        <v>9.09</v>
      </c>
      <c r="H309" s="62">
        <f>getMinimalFocus('RawData (GH)'!F309)</f>
        <v>0</v>
      </c>
      <c r="I309" t="str">
        <f>getMount('RawData (GH)'!G309)</f>
        <v>Fujifilm X</v>
      </c>
      <c r="J309" t="str">
        <f>getSensorCompatibility('RawData (GH)'!H309)</f>
        <v>APS-C</v>
      </c>
      <c r="K309" s="45">
        <f>getWeightAsDouble('RawData (GH)'!I309)</f>
        <v>102</v>
      </c>
      <c r="L309" s="34">
        <f>getSizeDiameter('RawData (GH)'!J309)</f>
        <v>60.4</v>
      </c>
      <c r="M309" s="34">
        <f>getSizeLength('RawData (GH)'!J309)</f>
        <v>29</v>
      </c>
    </row>
    <row r="310" spans="1:13" x14ac:dyDescent="0.25">
      <c r="A310" t="str">
        <f>'RawData (GH)'!A310</f>
        <v>Meike 28mm 2.8 für Micro-Four-Thirds schwarz</v>
      </c>
      <c r="B310" s="5">
        <f>getFocalLengthStart('RawData (GH)'!B310)</f>
        <v>28</v>
      </c>
      <c r="C310" s="5">
        <f>getFocalLengthEnd('RawData (GH)'!B310)</f>
        <v>28</v>
      </c>
      <c r="D310" s="9">
        <f>getApertureStart('RawData (GH)'!C310)</f>
        <v>2.8</v>
      </c>
      <c r="E310" s="9">
        <f>getApertureEnd('RawData (GH)'!C310)</f>
        <v>2.8</v>
      </c>
      <c r="F310" s="2">
        <f>getFiltersizeAsDouble('RawData (GH)'!D310)</f>
        <v>49</v>
      </c>
      <c r="G310" s="35">
        <f>getMagnification('RawData (GH)'!E310)</f>
        <v>9.09</v>
      </c>
      <c r="H310" s="62">
        <f>getMinimalFocus('RawData (GH)'!F310)</f>
        <v>0</v>
      </c>
      <c r="I310" t="str">
        <f>getMount('RawData (GH)'!G310)</f>
        <v>Micro-Four-Thirds</v>
      </c>
      <c r="J310" t="str">
        <f>getSensorCompatibility('RawData (GH)'!H310)</f>
        <v>APS-C</v>
      </c>
      <c r="K310" s="45">
        <f>getWeightAsDouble('RawData (GH)'!I310)</f>
        <v>102</v>
      </c>
      <c r="L310" s="34">
        <f>getSizeDiameter('RawData (GH)'!J310)</f>
        <v>60.4</v>
      </c>
      <c r="M310" s="34">
        <f>getSizeLength('RawData (GH)'!J310)</f>
        <v>29</v>
      </c>
    </row>
    <row r="311" spans="1:13" x14ac:dyDescent="0.25">
      <c r="A311" t="str">
        <f>'RawData (GH)'!A311</f>
        <v>Meike 28mm 2.8 für Sony E schwarz</v>
      </c>
      <c r="B311" s="5">
        <f>getFocalLengthStart('RawData (GH)'!B311)</f>
        <v>28</v>
      </c>
      <c r="C311" s="5">
        <f>getFocalLengthEnd('RawData (GH)'!B311)</f>
        <v>28</v>
      </c>
      <c r="D311" s="9">
        <f>getApertureStart('RawData (GH)'!C311)</f>
        <v>2.8</v>
      </c>
      <c r="E311" s="9">
        <f>getApertureEnd('RawData (GH)'!C311)</f>
        <v>2.8</v>
      </c>
      <c r="F311" s="2">
        <f>getFiltersizeAsDouble('RawData (GH)'!D311)</f>
        <v>49</v>
      </c>
      <c r="G311" s="35">
        <f>getMagnification('RawData (GH)'!E311)</f>
        <v>9.09</v>
      </c>
      <c r="H311" s="62">
        <f>getMinimalFocus('RawData (GH)'!F311)</f>
        <v>0</v>
      </c>
      <c r="I311" t="str">
        <f>getMount('RawData (GH)'!G311)</f>
        <v>Sony E</v>
      </c>
      <c r="J311" t="str">
        <f>getSensorCompatibility('RawData (GH)'!H311)</f>
        <v>APS-C</v>
      </c>
      <c r="K311" s="45">
        <f>getWeightAsDouble('RawData (GH)'!I311)</f>
        <v>102</v>
      </c>
      <c r="L311" s="34">
        <f>getSizeDiameter('RawData (GH)'!J311)</f>
        <v>60.4</v>
      </c>
      <c r="M311" s="34">
        <f>getSizeLength('RawData (GH)'!J311)</f>
        <v>29</v>
      </c>
    </row>
    <row r="312" spans="1:13" x14ac:dyDescent="0.25">
      <c r="A312" t="str">
        <f>'RawData (GH)'!A312</f>
        <v>Meike 35mm 1.7 für Canon EF-M schwarz</v>
      </c>
      <c r="B312" s="5">
        <f>getFocalLengthStart('RawData (GH)'!B312)</f>
        <v>35</v>
      </c>
      <c r="C312" s="5">
        <f>getFocalLengthEnd('RawData (GH)'!B312)</f>
        <v>35</v>
      </c>
      <c r="D312" s="9">
        <f>getApertureStart('RawData (GH)'!C312)</f>
        <v>1.7</v>
      </c>
      <c r="E312" s="9">
        <f>getApertureEnd('RawData (GH)'!C312)</f>
        <v>1.7</v>
      </c>
      <c r="F312" s="2">
        <f>getFiltersizeAsDouble('RawData (GH)'!D312)</f>
        <v>49</v>
      </c>
      <c r="G312" s="35">
        <f>getMagnification('RawData (GH)'!E312)</f>
        <v>8.85</v>
      </c>
      <c r="H312" s="62">
        <f>getMinimalFocus('RawData (GH)'!F312)</f>
        <v>0</v>
      </c>
      <c r="I312" t="str">
        <f>getMount('RawData (GH)'!G312)</f>
        <v>Canon EF-M</v>
      </c>
      <c r="J312" t="str">
        <f>getSensorCompatibility('RawData (GH)'!H312)</f>
        <v>APS-C</v>
      </c>
      <c r="K312" s="45">
        <f>getWeightAsDouble('RawData (GH)'!I312)</f>
        <v>176</v>
      </c>
      <c r="L312" s="34">
        <f>getSizeDiameter('RawData (GH)'!J312)</f>
        <v>60.5</v>
      </c>
      <c r="M312" s="34">
        <f>getSizeLength('RawData (GH)'!J312)</f>
        <v>41</v>
      </c>
    </row>
    <row r="313" spans="1:13" x14ac:dyDescent="0.25">
      <c r="A313" t="str">
        <f>'RawData (GH)'!A313</f>
        <v>Meike 35mm 1.7 für Fujifilm X schwarz</v>
      </c>
      <c r="B313" s="5">
        <f>getFocalLengthStart('RawData (GH)'!B313)</f>
        <v>35</v>
      </c>
      <c r="C313" s="5">
        <f>getFocalLengthEnd('RawData (GH)'!B313)</f>
        <v>35</v>
      </c>
      <c r="D313" s="9">
        <f>getApertureStart('RawData (GH)'!C313)</f>
        <v>1.7</v>
      </c>
      <c r="E313" s="9">
        <f>getApertureEnd('RawData (GH)'!C313)</f>
        <v>1.7</v>
      </c>
      <c r="F313" s="2">
        <f>getFiltersizeAsDouble('RawData (GH)'!D313)</f>
        <v>49</v>
      </c>
      <c r="G313" s="35">
        <f>getMagnification('RawData (GH)'!E313)</f>
        <v>8.85</v>
      </c>
      <c r="H313" s="62">
        <f>getMinimalFocus('RawData (GH)'!F313)</f>
        <v>0</v>
      </c>
      <c r="I313" t="str">
        <f>getMount('RawData (GH)'!G313)</f>
        <v>Fujifilm X</v>
      </c>
      <c r="J313" t="str">
        <f>getSensorCompatibility('RawData (GH)'!H313)</f>
        <v>APS-C</v>
      </c>
      <c r="K313" s="45">
        <f>getWeightAsDouble('RawData (GH)'!I313)</f>
        <v>176</v>
      </c>
      <c r="L313" s="34">
        <f>getSizeDiameter('RawData (GH)'!J313)</f>
        <v>60.5</v>
      </c>
      <c r="M313" s="34">
        <f>getSizeLength('RawData (GH)'!J313)</f>
        <v>41</v>
      </c>
    </row>
    <row r="314" spans="1:13" x14ac:dyDescent="0.25">
      <c r="A314" t="str">
        <f>'RawData (GH)'!A314</f>
        <v>Meike 35mm 1.7 für Micro-Four-Thirds schwarz</v>
      </c>
      <c r="B314" s="5">
        <f>getFocalLengthStart('RawData (GH)'!B314)</f>
        <v>35</v>
      </c>
      <c r="C314" s="5">
        <f>getFocalLengthEnd('RawData (GH)'!B314)</f>
        <v>35</v>
      </c>
      <c r="D314" s="9">
        <f>getApertureStart('RawData (GH)'!C314)</f>
        <v>1.7</v>
      </c>
      <c r="E314" s="9">
        <f>getApertureEnd('RawData (GH)'!C314)</f>
        <v>1.7</v>
      </c>
      <c r="F314" s="2">
        <f>getFiltersizeAsDouble('RawData (GH)'!D314)</f>
        <v>49</v>
      </c>
      <c r="G314" s="35">
        <f>getMagnification('RawData (GH)'!E314)</f>
        <v>8.85</v>
      </c>
      <c r="H314" s="62">
        <f>getMinimalFocus('RawData (GH)'!F314)</f>
        <v>0</v>
      </c>
      <c r="I314" t="str">
        <f>getMount('RawData (GH)'!G314)</f>
        <v>Micro-Four-Thirds</v>
      </c>
      <c r="J314" t="str">
        <f>getSensorCompatibility('RawData (GH)'!H314)</f>
        <v>APS-C</v>
      </c>
      <c r="K314" s="45">
        <f>getWeightAsDouble('RawData (GH)'!I314)</f>
        <v>176</v>
      </c>
      <c r="L314" s="34">
        <f>getSizeDiameter('RawData (GH)'!J314)</f>
        <v>60.5</v>
      </c>
      <c r="M314" s="34">
        <f>getSizeLength('RawData (GH)'!J314)</f>
        <v>41</v>
      </c>
    </row>
    <row r="315" spans="1:13" x14ac:dyDescent="0.25">
      <c r="A315" t="str">
        <f>'RawData (GH)'!A315</f>
        <v>Meike 35mm 1.7 für Nikon 1 schwarz</v>
      </c>
      <c r="B315" s="5">
        <f>getFocalLengthStart('RawData (GH)'!B315)</f>
        <v>35</v>
      </c>
      <c r="C315" s="5">
        <f>getFocalLengthEnd('RawData (GH)'!B315)</f>
        <v>35</v>
      </c>
      <c r="D315" s="9">
        <f>getApertureStart('RawData (GH)'!C315)</f>
        <v>1.7</v>
      </c>
      <c r="E315" s="9">
        <f>getApertureEnd('RawData (GH)'!C315)</f>
        <v>1.7</v>
      </c>
      <c r="F315" s="2">
        <f>getFiltersizeAsDouble('RawData (GH)'!D315)</f>
        <v>49</v>
      </c>
      <c r="G315" s="35">
        <f>getMagnification('RawData (GH)'!E315)</f>
        <v>8.85</v>
      </c>
      <c r="H315" s="62">
        <f>getMinimalFocus('RawData (GH)'!F315)</f>
        <v>0</v>
      </c>
      <c r="I315" t="str">
        <f>getMount('RawData (GH)'!G315)</f>
        <v>Nikon 1</v>
      </c>
      <c r="J315" t="str">
        <f>getSensorCompatibility('RawData (GH)'!H315)</f>
        <v>APS-C</v>
      </c>
      <c r="K315" s="45">
        <f>getWeightAsDouble('RawData (GH)'!I315)</f>
        <v>176</v>
      </c>
      <c r="L315" s="34">
        <f>getSizeDiameter('RawData (GH)'!J315)</f>
        <v>60.5</v>
      </c>
      <c r="M315" s="34">
        <f>getSizeLength('RawData (GH)'!J315)</f>
        <v>41</v>
      </c>
    </row>
    <row r="316" spans="1:13" x14ac:dyDescent="0.25">
      <c r="A316" t="str">
        <f>'RawData (GH)'!A316</f>
        <v>Meike 35mm 1.7 für Sony E schwarz</v>
      </c>
      <c r="B316" s="5">
        <f>getFocalLengthStart('RawData (GH)'!B316)</f>
        <v>35</v>
      </c>
      <c r="C316" s="5">
        <f>getFocalLengthEnd('RawData (GH)'!B316)</f>
        <v>35</v>
      </c>
      <c r="D316" s="9">
        <f>getApertureStart('RawData (GH)'!C316)</f>
        <v>1.7</v>
      </c>
      <c r="E316" s="9">
        <f>getApertureEnd('RawData (GH)'!C316)</f>
        <v>1.7</v>
      </c>
      <c r="F316" s="2">
        <f>getFiltersizeAsDouble('RawData (GH)'!D316)</f>
        <v>49</v>
      </c>
      <c r="G316" s="35">
        <f>getMagnification('RawData (GH)'!E316)</f>
        <v>8.85</v>
      </c>
      <c r="H316" s="62">
        <f>getMinimalFocus('RawData (GH)'!F316)</f>
        <v>0</v>
      </c>
      <c r="I316" t="str">
        <f>getMount('RawData (GH)'!G316)</f>
        <v>Sony E</v>
      </c>
      <c r="J316" t="str">
        <f>getSensorCompatibility('RawData (GH)'!H316)</f>
        <v>APS-C</v>
      </c>
      <c r="K316" s="45">
        <f>getWeightAsDouble('RawData (GH)'!I316)</f>
        <v>176</v>
      </c>
      <c r="L316" s="34">
        <f>getSizeDiameter('RawData (GH)'!J316)</f>
        <v>60.5</v>
      </c>
      <c r="M316" s="34">
        <f>getSizeLength('RawData (GH)'!J316)</f>
        <v>41</v>
      </c>
    </row>
    <row r="317" spans="1:13" x14ac:dyDescent="0.25">
      <c r="A317" t="str">
        <f>'RawData (GH)'!A317</f>
        <v>Meike 50mm 2.0 für Canon EF-M schwarz</v>
      </c>
      <c r="B317" s="5">
        <f>getFocalLengthStart('RawData (GH)'!B317)</f>
        <v>50</v>
      </c>
      <c r="C317" s="5">
        <f>getFocalLengthEnd('RawData (GH)'!B317)</f>
        <v>50</v>
      </c>
      <c r="D317" s="9">
        <f>getApertureStart('RawData (GH)'!C317)</f>
        <v>2</v>
      </c>
      <c r="E317" s="9">
        <f>getApertureEnd('RawData (GH)'!C317)</f>
        <v>2</v>
      </c>
      <c r="F317" s="2">
        <f>getFiltersizeAsDouble('RawData (GH)'!D317)</f>
        <v>49</v>
      </c>
      <c r="G317" s="35">
        <f>getMagnification('RawData (GH)'!E317)</f>
        <v>12.5</v>
      </c>
      <c r="H317" s="62">
        <f>getMinimalFocus('RawData (GH)'!F317)</f>
        <v>0</v>
      </c>
      <c r="I317" t="str">
        <f>getMount('RawData (GH)'!G317)</f>
        <v>Canon EF-M</v>
      </c>
      <c r="J317" t="str">
        <f>getSensorCompatibility('RawData (GH)'!H317)</f>
        <v>APS-C</v>
      </c>
      <c r="K317" s="45">
        <f>getWeightAsDouble('RawData (GH)'!I317)</f>
        <v>188</v>
      </c>
      <c r="L317" s="34">
        <f>getSizeDiameter('RawData (GH)'!J317)</f>
        <v>60.5</v>
      </c>
      <c r="M317" s="34">
        <f>getSizeLength('RawData (GH)'!J317)</f>
        <v>41</v>
      </c>
    </row>
    <row r="318" spans="1:13" x14ac:dyDescent="0.25">
      <c r="A318" t="str">
        <f>'RawData (GH)'!A318</f>
        <v>Meike 50mm 2.0 für Fujifilm X schwarz</v>
      </c>
      <c r="B318" s="5">
        <f>getFocalLengthStart('RawData (GH)'!B318)</f>
        <v>50</v>
      </c>
      <c r="C318" s="5">
        <f>getFocalLengthEnd('RawData (GH)'!B318)</f>
        <v>50</v>
      </c>
      <c r="D318" s="9">
        <f>getApertureStart('RawData (GH)'!C318)</f>
        <v>2</v>
      </c>
      <c r="E318" s="9">
        <f>getApertureEnd('RawData (GH)'!C318)</f>
        <v>2</v>
      </c>
      <c r="F318" s="2">
        <f>getFiltersizeAsDouble('RawData (GH)'!D318)</f>
        <v>49</v>
      </c>
      <c r="G318" s="35">
        <f>getMagnification('RawData (GH)'!E318)</f>
        <v>12.5</v>
      </c>
      <c r="H318" s="62">
        <f>getMinimalFocus('RawData (GH)'!F318)</f>
        <v>0</v>
      </c>
      <c r="I318" t="str">
        <f>getMount('RawData (GH)'!G318)</f>
        <v>Fujifilm X</v>
      </c>
      <c r="J318" t="str">
        <f>getSensorCompatibility('RawData (GH)'!H318)</f>
        <v>APS-C</v>
      </c>
      <c r="K318" s="45">
        <f>getWeightAsDouble('RawData (GH)'!I318)</f>
        <v>188</v>
      </c>
      <c r="L318" s="34">
        <f>getSizeDiameter('RawData (GH)'!J318)</f>
        <v>60.5</v>
      </c>
      <c r="M318" s="34">
        <f>getSizeLength('RawData (GH)'!J318)</f>
        <v>41</v>
      </c>
    </row>
    <row r="319" spans="1:13" x14ac:dyDescent="0.25">
      <c r="A319" t="str">
        <f>'RawData (GH)'!A319</f>
        <v>Meike 50mm 2.0 für Micro-Four-Thirds schwarz</v>
      </c>
      <c r="B319" s="5">
        <f>getFocalLengthStart('RawData (GH)'!B319)</f>
        <v>50</v>
      </c>
      <c r="C319" s="5">
        <f>getFocalLengthEnd('RawData (GH)'!B319)</f>
        <v>50</v>
      </c>
      <c r="D319" s="9">
        <f>getApertureStart('RawData (GH)'!C319)</f>
        <v>2</v>
      </c>
      <c r="E319" s="9">
        <f>getApertureEnd('RawData (GH)'!C319)</f>
        <v>2</v>
      </c>
      <c r="F319" s="2">
        <f>getFiltersizeAsDouble('RawData (GH)'!D319)</f>
        <v>49</v>
      </c>
      <c r="G319" s="35">
        <f>getMagnification('RawData (GH)'!E319)</f>
        <v>12.5</v>
      </c>
      <c r="H319" s="62">
        <f>getMinimalFocus('RawData (GH)'!F319)</f>
        <v>0</v>
      </c>
      <c r="I319" t="str">
        <f>getMount('RawData (GH)'!G319)</f>
        <v>Micro-Four-Thirds</v>
      </c>
      <c r="J319" t="str">
        <f>getSensorCompatibility('RawData (GH)'!H319)</f>
        <v>APS-C</v>
      </c>
      <c r="K319" s="45">
        <f>getWeightAsDouble('RawData (GH)'!I319)</f>
        <v>188</v>
      </c>
      <c r="L319" s="34">
        <f>getSizeDiameter('RawData (GH)'!J319)</f>
        <v>60.5</v>
      </c>
      <c r="M319" s="34">
        <f>getSizeLength('RawData (GH)'!J319)</f>
        <v>41</v>
      </c>
    </row>
    <row r="320" spans="1:13" x14ac:dyDescent="0.25">
      <c r="A320" t="str">
        <f>'RawData (GH)'!A320</f>
        <v>Meike 50mm 2.0 für Sony E schwarz</v>
      </c>
      <c r="B320" s="5">
        <f>getFocalLengthStart('RawData (GH)'!B320)</f>
        <v>50</v>
      </c>
      <c r="C320" s="5">
        <f>getFocalLengthEnd('RawData (GH)'!B320)</f>
        <v>50</v>
      </c>
      <c r="D320" s="9">
        <f>getApertureStart('RawData (GH)'!C320)</f>
        <v>2</v>
      </c>
      <c r="E320" s="9">
        <f>getApertureEnd('RawData (GH)'!C320)</f>
        <v>2</v>
      </c>
      <c r="F320" s="2">
        <f>getFiltersizeAsDouble('RawData (GH)'!D320)</f>
        <v>49</v>
      </c>
      <c r="G320" s="35">
        <f>getMagnification('RawData (GH)'!E320)</f>
        <v>12.5</v>
      </c>
      <c r="H320" s="62">
        <f>getMinimalFocus('RawData (GH)'!F320)</f>
        <v>0</v>
      </c>
      <c r="I320" t="str">
        <f>getMount('RawData (GH)'!G320)</f>
        <v>Sony E</v>
      </c>
      <c r="J320" t="str">
        <f>getSensorCompatibility('RawData (GH)'!H320)</f>
        <v>APS-C</v>
      </c>
      <c r="K320" s="45">
        <f>getWeightAsDouble('RawData (GH)'!I320)</f>
        <v>188</v>
      </c>
      <c r="L320" s="34">
        <f>getSizeDiameter('RawData (GH)'!J320)</f>
        <v>60.5</v>
      </c>
      <c r="M320" s="34">
        <f>getSizeLength('RawData (GH)'!J320)</f>
        <v>41</v>
      </c>
    </row>
    <row r="321" spans="1:13" x14ac:dyDescent="0.25">
      <c r="A321" t="str">
        <f>'RawData (GH)'!A321</f>
        <v>Meike 6.5mm 2.0 Fisheye für Fujifilm X schwarz</v>
      </c>
      <c r="B321" s="5">
        <f>getFocalLengthStart('RawData (GH)'!B321)</f>
        <v>6.5</v>
      </c>
      <c r="C321" s="5">
        <f>getFocalLengthEnd('RawData (GH)'!B321)</f>
        <v>6.5</v>
      </c>
      <c r="D321" s="9">
        <f>getApertureStart('RawData (GH)'!C321)</f>
        <v>2</v>
      </c>
      <c r="E321" s="9">
        <f>getApertureEnd('RawData (GH)'!C321)</f>
        <v>2</v>
      </c>
      <c r="F321" s="2">
        <f>getFiltersizeAsDouble('RawData (GH)'!D321)</f>
        <v>0</v>
      </c>
      <c r="G321" s="35">
        <f>getMagnification('RawData (GH)'!E321)</f>
        <v>0</v>
      </c>
      <c r="H321" s="62">
        <f>getMinimalFocus('RawData (GH)'!F321)</f>
        <v>0</v>
      </c>
      <c r="I321" t="str">
        <f>getMount('RawData (GH)'!G321)</f>
        <v>Fujifilm X</v>
      </c>
      <c r="J321" t="str">
        <f>getSensorCompatibility('RawData (GH)'!H321)</f>
        <v>APS-C</v>
      </c>
      <c r="K321" s="45">
        <f>getWeightAsDouble('RawData (GH)'!I321)</f>
        <v>300</v>
      </c>
      <c r="L321" s="34">
        <f>getSizeDiameter('RawData (GH)'!J321)</f>
        <v>61</v>
      </c>
      <c r="M321" s="34">
        <f>getSizeLength('RawData (GH)'!J321)</f>
        <v>51.5</v>
      </c>
    </row>
    <row r="322" spans="1:13" x14ac:dyDescent="0.25">
      <c r="A322" t="str">
        <f>'RawData (GH)'!A322</f>
        <v>Meike 6.5mm 2.0 Fisheye für Micro-Four-Thirds schwarz</v>
      </c>
      <c r="B322" s="5">
        <f>getFocalLengthStart('RawData (GH)'!B322)</f>
        <v>6.5</v>
      </c>
      <c r="C322" s="5">
        <f>getFocalLengthEnd('RawData (GH)'!B322)</f>
        <v>6.5</v>
      </c>
      <c r="D322" s="9">
        <f>getApertureStart('RawData (GH)'!C322)</f>
        <v>2</v>
      </c>
      <c r="E322" s="9">
        <f>getApertureEnd('RawData (GH)'!C322)</f>
        <v>2</v>
      </c>
      <c r="F322" s="2">
        <f>getFiltersizeAsDouble('RawData (GH)'!D322)</f>
        <v>0</v>
      </c>
      <c r="G322" s="35">
        <f>getMagnification('RawData (GH)'!E322)</f>
        <v>0</v>
      </c>
      <c r="H322" s="62">
        <f>getMinimalFocus('RawData (GH)'!F322)</f>
        <v>0</v>
      </c>
      <c r="I322" t="str">
        <f>getMount('RawData (GH)'!G322)</f>
        <v>Micro-Four-Thirds</v>
      </c>
      <c r="J322" t="str">
        <f>getSensorCompatibility('RawData (GH)'!H322)</f>
        <v>APS-C</v>
      </c>
      <c r="K322" s="45">
        <f>getWeightAsDouble('RawData (GH)'!I322)</f>
        <v>300</v>
      </c>
      <c r="L322" s="34">
        <f>getSizeDiameter('RawData (GH)'!J322)</f>
        <v>61</v>
      </c>
      <c r="M322" s="34">
        <f>getSizeLength('RawData (GH)'!J322)</f>
        <v>51.5</v>
      </c>
    </row>
    <row r="323" spans="1:13" x14ac:dyDescent="0.25">
      <c r="A323" t="str">
        <f>'RawData (GH)'!A323</f>
        <v>Meike 6.5mm 2.0 Fisheye für Sony E schwarz</v>
      </c>
      <c r="B323" s="5">
        <f>getFocalLengthStart('RawData (GH)'!B323)</f>
        <v>6.5</v>
      </c>
      <c r="C323" s="5">
        <f>getFocalLengthEnd('RawData (GH)'!B323)</f>
        <v>6.5</v>
      </c>
      <c r="D323" s="9">
        <f>getApertureStart('RawData (GH)'!C323)</f>
        <v>2</v>
      </c>
      <c r="E323" s="9">
        <f>getApertureEnd('RawData (GH)'!C323)</f>
        <v>2</v>
      </c>
      <c r="F323" s="2">
        <f>getFiltersizeAsDouble('RawData (GH)'!D323)</f>
        <v>0</v>
      </c>
      <c r="G323" s="35">
        <f>getMagnification('RawData (GH)'!E323)</f>
        <v>0</v>
      </c>
      <c r="H323" s="62">
        <f>getMinimalFocus('RawData (GH)'!F323)</f>
        <v>0</v>
      </c>
      <c r="I323" t="str">
        <f>getMount('RawData (GH)'!G323)</f>
        <v>Sony E</v>
      </c>
      <c r="J323" t="str">
        <f>getSensorCompatibility('RawData (GH)'!H323)</f>
        <v>APS-C</v>
      </c>
      <c r="K323" s="45">
        <f>getWeightAsDouble('RawData (GH)'!I323)</f>
        <v>300</v>
      </c>
      <c r="L323" s="34">
        <f>getSizeDiameter('RawData (GH)'!J323)</f>
        <v>61</v>
      </c>
      <c r="M323" s="34">
        <f>getSizeLength('RawData (GH)'!J323)</f>
        <v>51.5</v>
      </c>
    </row>
    <row r="324" spans="1:13" x14ac:dyDescent="0.25">
      <c r="A324" t="str">
        <f>'RawData (GH)'!A324</f>
        <v>Meike 8mm 3.5 Fisheye für Canon EF schwarz</v>
      </c>
      <c r="B324" s="5">
        <f>getFocalLengthStart('RawData (GH)'!B324)</f>
        <v>8</v>
      </c>
      <c r="C324" s="5">
        <f>getFocalLengthEnd('RawData (GH)'!B324)</f>
        <v>8</v>
      </c>
      <c r="D324" s="9">
        <f>getApertureStart('RawData (GH)'!C324)</f>
        <v>3.5</v>
      </c>
      <c r="E324" s="9">
        <f>getApertureEnd('RawData (GH)'!C324)</f>
        <v>3.5</v>
      </c>
      <c r="F324" s="2">
        <f>getFiltersizeAsDouble('RawData (GH)'!D324)</f>
        <v>0</v>
      </c>
      <c r="G324" s="35">
        <f>getMagnification('RawData (GH)'!E324)</f>
        <v>0</v>
      </c>
      <c r="H324" s="62">
        <f>getMinimalFocus('RawData (GH)'!F324)</f>
        <v>0</v>
      </c>
      <c r="I324" t="str">
        <f>getMount('RawData (GH)'!G324)</f>
        <v>Canon EF</v>
      </c>
      <c r="J324" t="str">
        <f>getSensorCompatibility('RawData (GH)'!H324)</f>
        <v>APS-C/ Kleinbild</v>
      </c>
      <c r="K324" s="45">
        <f>getWeightAsDouble('RawData (GH)'!I324)</f>
        <v>519</v>
      </c>
      <c r="L324" s="34">
        <f>getSizeDiameter('RawData (GH)'!J324)</f>
        <v>77</v>
      </c>
      <c r="M324" s="34">
        <f>getSizeLength('RawData (GH)'!J324)</f>
        <v>84</v>
      </c>
    </row>
    <row r="325" spans="1:13" x14ac:dyDescent="0.25">
      <c r="A325" t="str">
        <f>'RawData (GH)'!A325</f>
        <v>Meike 8mm 3.5 Fisheye für Micro-Four-Thirds schwarz</v>
      </c>
      <c r="B325" s="5">
        <f>getFocalLengthStart('RawData (GH)'!B325)</f>
        <v>8</v>
      </c>
      <c r="C325" s="5">
        <f>getFocalLengthEnd('RawData (GH)'!B325)</f>
        <v>8</v>
      </c>
      <c r="D325" s="9">
        <f>getApertureStart('RawData (GH)'!C325)</f>
        <v>3.5</v>
      </c>
      <c r="E325" s="9">
        <f>getApertureEnd('RawData (GH)'!C325)</f>
        <v>3.5</v>
      </c>
      <c r="F325" s="2">
        <f>getFiltersizeAsDouble('RawData (GH)'!D325)</f>
        <v>0</v>
      </c>
      <c r="G325" s="35">
        <f>getMagnification('RawData (GH)'!E325)</f>
        <v>0</v>
      </c>
      <c r="H325" s="62">
        <f>getMinimalFocus('RawData (GH)'!F325)</f>
        <v>0</v>
      </c>
      <c r="I325" t="str">
        <f>getMount('RawData (GH)'!G325)</f>
        <v>Micro-Four-Thirds</v>
      </c>
      <c r="J325" t="str">
        <f>getSensorCompatibility('RawData (GH)'!H325)</f>
        <v>APS-C</v>
      </c>
      <c r="K325" s="45">
        <f>getWeightAsDouble('RawData (GH)'!I325)</f>
        <v>569</v>
      </c>
      <c r="L325" s="34">
        <f>getSizeDiameter('RawData (GH)'!J325)</f>
        <v>77</v>
      </c>
      <c r="M325" s="34">
        <f>getSizeLength('RawData (GH)'!J325)</f>
        <v>109</v>
      </c>
    </row>
    <row r="326" spans="1:13" x14ac:dyDescent="0.25">
      <c r="A326" t="str">
        <f>'RawData (GH)'!A326</f>
        <v>Meike 8mm 3.5 Fisheye für Nikon F schwarz</v>
      </c>
      <c r="B326" s="5">
        <f>getFocalLengthStart('RawData (GH)'!B326)</f>
        <v>8</v>
      </c>
      <c r="C326" s="5">
        <f>getFocalLengthEnd('RawData (GH)'!B326)</f>
        <v>8</v>
      </c>
      <c r="D326" s="9">
        <f>getApertureStart('RawData (GH)'!C326)</f>
        <v>3.5</v>
      </c>
      <c r="E326" s="9">
        <f>getApertureEnd('RawData (GH)'!C326)</f>
        <v>3.5</v>
      </c>
      <c r="F326" s="2">
        <f>getFiltersizeAsDouble('RawData (GH)'!D326)</f>
        <v>0</v>
      </c>
      <c r="G326" s="35">
        <f>getMagnification('RawData (GH)'!E326)</f>
        <v>0</v>
      </c>
      <c r="H326" s="62">
        <f>getMinimalFocus('RawData (GH)'!F326)</f>
        <v>0</v>
      </c>
      <c r="I326" t="str">
        <f>getMount('RawData (GH)'!G326)</f>
        <v>Nikon F</v>
      </c>
      <c r="J326" t="str">
        <f>getSensorCompatibility('RawData (GH)'!H326)</f>
        <v>APS-C/ Kleinbild</v>
      </c>
      <c r="K326" s="45">
        <f>getWeightAsDouble('RawData (GH)'!I326)</f>
        <v>519</v>
      </c>
      <c r="L326" s="34">
        <f>getSizeDiameter('RawData (GH)'!J326)</f>
        <v>77</v>
      </c>
      <c r="M326" s="34">
        <f>getSizeLength('RawData (GH)'!J326)</f>
        <v>84</v>
      </c>
    </row>
    <row r="327" spans="1:13" x14ac:dyDescent="0.25">
      <c r="A327" t="str">
        <f>'RawData (GH)'!A327</f>
        <v>Meyer Optik Görlitz Figmentum 35mm 2.0 für Canon EF silber</v>
      </c>
      <c r="B327" s="5">
        <f>getFocalLengthStart('RawData (GH)'!B327)</f>
        <v>35</v>
      </c>
      <c r="C327" s="5">
        <f>getFocalLengthEnd('RawData (GH)'!B327)</f>
        <v>35</v>
      </c>
      <c r="D327" s="9">
        <f>getApertureStart('RawData (GH)'!C327)</f>
        <v>2</v>
      </c>
      <c r="E327" s="9">
        <f>getApertureEnd('RawData (GH)'!C327)</f>
        <v>2</v>
      </c>
      <c r="F327" s="2">
        <f>getFiltersizeAsDouble('RawData (GH)'!D327)</f>
        <v>55</v>
      </c>
      <c r="G327" s="35">
        <f>getMagnification('RawData (GH)'!E327)</f>
        <v>0</v>
      </c>
      <c r="H327" s="62">
        <f>getMinimalFocus('RawData (GH)'!F327)</f>
        <v>0</v>
      </c>
      <c r="I327" t="str">
        <f>getMount('RawData (GH)'!G327)</f>
        <v>Canon EF</v>
      </c>
      <c r="J327" t="str">
        <f>getSensorCompatibility('RawData (GH)'!H327)</f>
        <v>APS-C/ Kleinbild</v>
      </c>
      <c r="K327" s="45">
        <f>getWeightAsDouble('RawData (GH)'!I327)</f>
        <v>370</v>
      </c>
      <c r="L327" s="34">
        <f>getSizeDiameter('RawData (GH)'!J327)</f>
        <v>0</v>
      </c>
      <c r="M327" s="34">
        <f>getSizeLength('RawData (GH)'!J327)</f>
        <v>0</v>
      </c>
    </row>
    <row r="328" spans="1:13" x14ac:dyDescent="0.25">
      <c r="A328" t="str">
        <f>'RawData (GH)'!A328</f>
        <v>Meyer Optik Görlitz Figmentum 35mm 2.0 für Nikon F silber</v>
      </c>
      <c r="B328" s="5">
        <f>getFocalLengthStart('RawData (GH)'!B328)</f>
        <v>35</v>
      </c>
      <c r="C328" s="5">
        <f>getFocalLengthEnd('RawData (GH)'!B328)</f>
        <v>35</v>
      </c>
      <c r="D328" s="9">
        <f>getApertureStart('RawData (GH)'!C328)</f>
        <v>2</v>
      </c>
      <c r="E328" s="9">
        <f>getApertureEnd('RawData (GH)'!C328)</f>
        <v>2</v>
      </c>
      <c r="F328" s="2">
        <f>getFiltersizeAsDouble('RawData (GH)'!D328)</f>
        <v>55</v>
      </c>
      <c r="G328" s="35">
        <f>getMagnification('RawData (GH)'!E328)</f>
        <v>0</v>
      </c>
      <c r="H328" s="62">
        <f>getMinimalFocus('RawData (GH)'!F328)</f>
        <v>0</v>
      </c>
      <c r="I328" t="str">
        <f>getMount('RawData (GH)'!G328)</f>
        <v>Nikon F</v>
      </c>
      <c r="J328" t="str">
        <f>getSensorCompatibility('RawData (GH)'!H328)</f>
        <v>APS-C/ Kleinbild</v>
      </c>
      <c r="K328" s="45">
        <f>getWeightAsDouble('RawData (GH)'!I328)</f>
        <v>370</v>
      </c>
      <c r="L328" s="34">
        <f>getSizeDiameter('RawData (GH)'!J328)</f>
        <v>0</v>
      </c>
      <c r="M328" s="34">
        <f>getSizeLength('RawData (GH)'!J328)</f>
        <v>0</v>
      </c>
    </row>
    <row r="329" spans="1:13" x14ac:dyDescent="0.25">
      <c r="A329" t="str">
        <f>'RawData (GH)'!A329</f>
        <v>Meyer Optik Görlitz Figmentum 85mm 2.0 für Canon EF silber</v>
      </c>
      <c r="B329" s="5">
        <f>getFocalLengthStart('RawData (GH)'!B329)</f>
        <v>85</v>
      </c>
      <c r="C329" s="5">
        <f>getFocalLengthEnd('RawData (GH)'!B329)</f>
        <v>85</v>
      </c>
      <c r="D329" s="9">
        <f>getApertureStart('RawData (GH)'!C329)</f>
        <v>2</v>
      </c>
      <c r="E329" s="9">
        <f>getApertureEnd('RawData (GH)'!C329)</f>
        <v>2</v>
      </c>
      <c r="F329" s="2">
        <f>getFiltersizeAsDouble('RawData (GH)'!D329)</f>
        <v>55</v>
      </c>
      <c r="G329" s="35">
        <f>getMagnification('RawData (GH)'!E329)</f>
        <v>0</v>
      </c>
      <c r="H329" s="62">
        <f>getMinimalFocus('RawData (GH)'!F329)</f>
        <v>0</v>
      </c>
      <c r="I329" t="str">
        <f>getMount('RawData (GH)'!G329)</f>
        <v>Canon EF</v>
      </c>
      <c r="J329" t="str">
        <f>getSensorCompatibility('RawData (GH)'!H329)</f>
        <v>APS-C/ Kleinbild</v>
      </c>
      <c r="K329" s="45">
        <f>getWeightAsDouble('RawData (GH)'!I329)</f>
        <v>425</v>
      </c>
      <c r="L329" s="34">
        <f>getSizeDiameter('RawData (GH)'!J329)</f>
        <v>0</v>
      </c>
      <c r="M329" s="34">
        <f>getSizeLength('RawData (GH)'!J329)</f>
        <v>0</v>
      </c>
    </row>
    <row r="330" spans="1:13" x14ac:dyDescent="0.25">
      <c r="A330" t="str">
        <f>'RawData (GH)'!A330</f>
        <v>Meyer Optik Görlitz Figmentum 85mm 2.0 für Nikon F silber</v>
      </c>
      <c r="B330" s="5">
        <f>getFocalLengthStart('RawData (GH)'!B330)</f>
        <v>85</v>
      </c>
      <c r="C330" s="5">
        <f>getFocalLengthEnd('RawData (GH)'!B330)</f>
        <v>85</v>
      </c>
      <c r="D330" s="9">
        <f>getApertureStart('RawData (GH)'!C330)</f>
        <v>2</v>
      </c>
      <c r="E330" s="9">
        <f>getApertureEnd('RawData (GH)'!C330)</f>
        <v>2</v>
      </c>
      <c r="F330" s="2">
        <f>getFiltersizeAsDouble('RawData (GH)'!D330)</f>
        <v>55</v>
      </c>
      <c r="G330" s="35">
        <f>getMagnification('RawData (GH)'!E330)</f>
        <v>0</v>
      </c>
      <c r="H330" s="62">
        <f>getMinimalFocus('RawData (GH)'!F330)</f>
        <v>0</v>
      </c>
      <c r="I330" t="str">
        <f>getMount('RawData (GH)'!G330)</f>
        <v>Nikon F</v>
      </c>
      <c r="J330" t="str">
        <f>getSensorCompatibility('RawData (GH)'!H330)</f>
        <v>APS-C/ Kleinbild</v>
      </c>
      <c r="K330" s="45">
        <f>getWeightAsDouble('RawData (GH)'!I330)</f>
        <v>425</v>
      </c>
      <c r="L330" s="34">
        <f>getSizeDiameter('RawData (GH)'!J330)</f>
        <v>0</v>
      </c>
      <c r="M330" s="34">
        <f>getSizeLength('RawData (GH)'!J330)</f>
        <v>0</v>
      </c>
    </row>
    <row r="331" spans="1:13" x14ac:dyDescent="0.25">
      <c r="A331" t="str">
        <f>'RawData (GH)'!A331</f>
        <v>Meyer Optik Görlitz Nocturnus 35mm 0.95 für Fujifilm X schwarz</v>
      </c>
      <c r="B331" s="5">
        <f>getFocalLengthStart('RawData (GH)'!B331)</f>
        <v>35</v>
      </c>
      <c r="C331" s="5">
        <f>getFocalLengthEnd('RawData (GH)'!B331)</f>
        <v>35</v>
      </c>
      <c r="D331" s="9">
        <f>getApertureStart('RawData (GH)'!C331)</f>
        <v>0.95</v>
      </c>
      <c r="E331" s="9">
        <f>getApertureEnd('RawData (GH)'!C331)</f>
        <v>0.95</v>
      </c>
      <c r="F331" s="2">
        <f>getFiltersizeAsDouble('RawData (GH)'!D331)</f>
        <v>0</v>
      </c>
      <c r="G331" s="35">
        <f>getMagnification('RawData (GH)'!E331)</f>
        <v>0</v>
      </c>
      <c r="H331" s="62">
        <f>getMinimalFocus('RawData (GH)'!F331)</f>
        <v>0</v>
      </c>
      <c r="I331" t="str">
        <f>getMount('RawData (GH)'!G331)</f>
        <v>Fujifilm X</v>
      </c>
      <c r="J331" t="str">
        <f>getSensorCompatibility('RawData (GH)'!H331)</f>
        <v>APS-C</v>
      </c>
      <c r="K331" s="45">
        <f>getWeightAsDouble('RawData (GH)'!I331)</f>
        <v>680</v>
      </c>
      <c r="L331" s="34">
        <f>getSizeDiameter('RawData (GH)'!J331)</f>
        <v>0</v>
      </c>
      <c r="M331" s="34">
        <f>getSizeLength('RawData (GH)'!J331)</f>
        <v>0</v>
      </c>
    </row>
    <row r="332" spans="1:13" x14ac:dyDescent="0.25">
      <c r="A332" t="str">
        <f>'RawData (GH)'!A332</f>
        <v>Meyer Optik Görlitz Nocturnus 35mm 0.95 für Micro-Four-Thirds schwarz</v>
      </c>
      <c r="B332" s="5">
        <f>getFocalLengthStart('RawData (GH)'!B332)</f>
        <v>35</v>
      </c>
      <c r="C332" s="5">
        <f>getFocalLengthEnd('RawData (GH)'!B332)</f>
        <v>35</v>
      </c>
      <c r="D332" s="9">
        <f>getApertureStart('RawData (GH)'!C332)</f>
        <v>0.95</v>
      </c>
      <c r="E332" s="9">
        <f>getApertureEnd('RawData (GH)'!C332)</f>
        <v>0.95</v>
      </c>
      <c r="F332" s="2">
        <f>getFiltersizeAsDouble('RawData (GH)'!D332)</f>
        <v>0</v>
      </c>
      <c r="G332" s="35">
        <f>getMagnification('RawData (GH)'!E332)</f>
        <v>0</v>
      </c>
      <c r="H332" s="62">
        <f>getMinimalFocus('RawData (GH)'!F332)</f>
        <v>0</v>
      </c>
      <c r="I332" t="str">
        <f>getMount('RawData (GH)'!G332)</f>
        <v>Micro-Four-Thirds</v>
      </c>
      <c r="J332" t="str">
        <f>getSensorCompatibility('RawData (GH)'!H332)</f>
        <v>APS-C</v>
      </c>
      <c r="K332" s="45">
        <f>getWeightAsDouble('RawData (GH)'!I332)</f>
        <v>680</v>
      </c>
      <c r="L332" s="34">
        <f>getSizeDiameter('RawData (GH)'!J332)</f>
        <v>0</v>
      </c>
      <c r="M332" s="34">
        <f>getSizeLength('RawData (GH)'!J332)</f>
        <v>0</v>
      </c>
    </row>
    <row r="333" spans="1:13" x14ac:dyDescent="0.25">
      <c r="A333" t="str">
        <f>'RawData (GH)'!A333</f>
        <v>Meyer Optik Görlitz Nocturnus 35mm 0.95 für Sony E schwarz</v>
      </c>
      <c r="B333" s="5">
        <f>getFocalLengthStart('RawData (GH)'!B333)</f>
        <v>35</v>
      </c>
      <c r="C333" s="5">
        <f>getFocalLengthEnd('RawData (GH)'!B333)</f>
        <v>35</v>
      </c>
      <c r="D333" s="9">
        <f>getApertureStart('RawData (GH)'!C333)</f>
        <v>0.95</v>
      </c>
      <c r="E333" s="9">
        <f>getApertureEnd('RawData (GH)'!C333)</f>
        <v>0.95</v>
      </c>
      <c r="F333" s="2">
        <f>getFiltersizeAsDouble('RawData (GH)'!D333)</f>
        <v>0</v>
      </c>
      <c r="G333" s="35">
        <f>getMagnification('RawData (GH)'!E333)</f>
        <v>0</v>
      </c>
      <c r="H333" s="62">
        <f>getMinimalFocus('RawData (GH)'!F333)</f>
        <v>0</v>
      </c>
      <c r="I333" t="str">
        <f>getMount('RawData (GH)'!G333)</f>
        <v>Sony E</v>
      </c>
      <c r="J333" t="str">
        <f>getSensorCompatibility('RawData (GH)'!H333)</f>
        <v>APS-C</v>
      </c>
      <c r="K333" s="45">
        <f>getWeightAsDouble('RawData (GH)'!I333)</f>
        <v>680</v>
      </c>
      <c r="L333" s="34">
        <f>getSizeDiameter('RawData (GH)'!J333)</f>
        <v>0</v>
      </c>
      <c r="M333" s="34">
        <f>getSizeLength('RawData (GH)'!J333)</f>
        <v>0</v>
      </c>
    </row>
    <row r="334" spans="1:13" x14ac:dyDescent="0.25">
      <c r="A334" t="str">
        <f>'RawData (GH)'!A334</f>
        <v>Meyer Optik Görlitz Nocturnus 50mm 0.95 für Sony E schwarz</v>
      </c>
      <c r="B334" s="5">
        <f>getFocalLengthStart('RawData (GH)'!B334)</f>
        <v>50</v>
      </c>
      <c r="C334" s="5">
        <f>getFocalLengthEnd('RawData (GH)'!B334)</f>
        <v>50</v>
      </c>
      <c r="D334" s="9">
        <f>getApertureStart('RawData (GH)'!C334)</f>
        <v>0.95</v>
      </c>
      <c r="E334" s="9">
        <f>getApertureEnd('RawData (GH)'!C334)</f>
        <v>0.95</v>
      </c>
      <c r="F334" s="2">
        <f>getFiltersizeAsDouble('RawData (GH)'!D334)</f>
        <v>0</v>
      </c>
      <c r="G334" s="35">
        <f>getMagnification('RawData (GH)'!E334)</f>
        <v>0</v>
      </c>
      <c r="H334" s="62">
        <f>getMinimalFocus('RawData (GH)'!F334)</f>
        <v>0</v>
      </c>
      <c r="I334" t="str">
        <f>getMount('RawData (GH)'!G334)</f>
        <v>Sony E</v>
      </c>
      <c r="J334" t="str">
        <f>getSensorCompatibility('RawData (GH)'!H334)</f>
        <v>APS-C/ Kleinbild</v>
      </c>
      <c r="K334" s="45">
        <f>getWeightAsDouble('RawData (GH)'!I334)</f>
        <v>720</v>
      </c>
      <c r="L334" s="34">
        <f>getSizeDiameter('RawData (GH)'!J334)</f>
        <v>0</v>
      </c>
      <c r="M334" s="34">
        <f>getSizeLength('RawData (GH)'!J334)</f>
        <v>0</v>
      </c>
    </row>
    <row r="335" spans="1:13" x14ac:dyDescent="0.25">
      <c r="A335" t="str">
        <f>'RawData (GH)'!A335</f>
        <v>Meyer Optik Görlitz Nocturnus 50mm 0.95 II für Sony E schwarz</v>
      </c>
      <c r="B335" s="5">
        <f>getFocalLengthStart('RawData (GH)'!B335)</f>
        <v>50</v>
      </c>
      <c r="C335" s="5">
        <f>getFocalLengthEnd('RawData (GH)'!B335)</f>
        <v>50</v>
      </c>
      <c r="D335" s="9">
        <f>getApertureStart('RawData (GH)'!C335)</f>
        <v>0.95</v>
      </c>
      <c r="E335" s="9">
        <f>getApertureEnd('RawData (GH)'!C335)</f>
        <v>0.95</v>
      </c>
      <c r="F335" s="2">
        <f>getFiltersizeAsDouble('RawData (GH)'!D335)</f>
        <v>67</v>
      </c>
      <c r="G335" s="35">
        <f>getMagnification('RawData (GH)'!E335)</f>
        <v>0</v>
      </c>
      <c r="H335" s="62">
        <f>getMinimalFocus('RawData (GH)'!F335)</f>
        <v>0</v>
      </c>
      <c r="I335" t="str">
        <f>getMount('RawData (GH)'!G335)</f>
        <v>Sony E</v>
      </c>
      <c r="J335" t="str">
        <f>getSensorCompatibility('RawData (GH)'!H335)</f>
        <v>APS-C/ Kleinbild</v>
      </c>
      <c r="K335" s="45">
        <f>getWeightAsDouble('RawData (GH)'!I335)</f>
        <v>680</v>
      </c>
      <c r="L335" s="34">
        <f>getSizeDiameter('RawData (GH)'!J335)</f>
        <v>0</v>
      </c>
      <c r="M335" s="34">
        <f>getSizeLength('RawData (GH)'!J335)</f>
        <v>0</v>
      </c>
    </row>
    <row r="336" spans="1:13" x14ac:dyDescent="0.25">
      <c r="A336" t="str">
        <f>'RawData (GH)'!A336</f>
        <v>Meyer Optik Görlitz Primoplan 58mm 1.9 für Canon EF schwarz</v>
      </c>
      <c r="B336" s="5">
        <f>getFocalLengthStart('RawData (GH)'!B336)</f>
        <v>58</v>
      </c>
      <c r="C336" s="5">
        <f>getFocalLengthEnd('RawData (GH)'!B336)</f>
        <v>58</v>
      </c>
      <c r="D336" s="9">
        <f>getApertureStart('RawData (GH)'!C336)</f>
        <v>1.9</v>
      </c>
      <c r="E336" s="9">
        <f>getApertureEnd('RawData (GH)'!C336)</f>
        <v>1.9</v>
      </c>
      <c r="F336" s="2">
        <f>getFiltersizeAsDouble('RawData (GH)'!D336)</f>
        <v>37</v>
      </c>
      <c r="G336" s="35">
        <f>getMagnification('RawData (GH)'!E336)</f>
        <v>0</v>
      </c>
      <c r="H336" s="62">
        <f>getMinimalFocus('RawData (GH)'!F336)</f>
        <v>0</v>
      </c>
      <c r="I336" t="str">
        <f>getMount('RawData (GH)'!G336)</f>
        <v>Canon EF</v>
      </c>
      <c r="J336" t="str">
        <f>getSensorCompatibility('RawData (GH)'!H336)</f>
        <v>APS-C/ Kleinbild</v>
      </c>
      <c r="K336" s="45">
        <f>getWeightAsDouble('RawData (GH)'!I336)</f>
        <v>200</v>
      </c>
      <c r="L336" s="34">
        <f>getSizeDiameter('RawData (GH)'!J336)</f>
        <v>0</v>
      </c>
      <c r="M336" s="34">
        <f>getSizeLength('RawData (GH)'!J336)</f>
        <v>0</v>
      </c>
    </row>
    <row r="337" spans="1:13" x14ac:dyDescent="0.25">
      <c r="A337" t="str">
        <f>'RawData (GH)'!A337</f>
        <v>Meyer Optik Görlitz Primoplan 58mm 1.9 für Fujifilm X schwarz</v>
      </c>
      <c r="B337" s="5">
        <f>getFocalLengthStart('RawData (GH)'!B337)</f>
        <v>58</v>
      </c>
      <c r="C337" s="5">
        <f>getFocalLengthEnd('RawData (GH)'!B337)</f>
        <v>58</v>
      </c>
      <c r="D337" s="9">
        <f>getApertureStart('RawData (GH)'!C337)</f>
        <v>1.9</v>
      </c>
      <c r="E337" s="9">
        <f>getApertureEnd('RawData (GH)'!C337)</f>
        <v>1.9</v>
      </c>
      <c r="F337" s="2">
        <f>getFiltersizeAsDouble('RawData (GH)'!D337)</f>
        <v>37</v>
      </c>
      <c r="G337" s="35">
        <f>getMagnification('RawData (GH)'!E337)</f>
        <v>0</v>
      </c>
      <c r="H337" s="62">
        <f>getMinimalFocus('RawData (GH)'!F337)</f>
        <v>0</v>
      </c>
      <c r="I337" t="str">
        <f>getMount('RawData (GH)'!G337)</f>
        <v>Fujifilm X</v>
      </c>
      <c r="J337" t="str">
        <f>getSensorCompatibility('RawData (GH)'!H337)</f>
        <v>APS-C/ Kleinbild</v>
      </c>
      <c r="K337" s="45">
        <f>getWeightAsDouble('RawData (GH)'!I337)</f>
        <v>200</v>
      </c>
      <c r="L337" s="34">
        <f>getSizeDiameter('RawData (GH)'!J337)</f>
        <v>0</v>
      </c>
      <c r="M337" s="34">
        <f>getSizeLength('RawData (GH)'!J337)</f>
        <v>0</v>
      </c>
    </row>
    <row r="338" spans="1:13" x14ac:dyDescent="0.25">
      <c r="A338" t="str">
        <f>'RawData (GH)'!A338</f>
        <v>Meyer Optik Görlitz Primoplan 58mm 1.9 für Leica L schwarz</v>
      </c>
      <c r="B338" s="5">
        <f>getFocalLengthStart('RawData (GH)'!B338)</f>
        <v>58</v>
      </c>
      <c r="C338" s="5">
        <f>getFocalLengthEnd('RawData (GH)'!B338)</f>
        <v>58</v>
      </c>
      <c r="D338" s="9">
        <f>getApertureStart('RawData (GH)'!C338)</f>
        <v>1.9</v>
      </c>
      <c r="E338" s="9">
        <f>getApertureEnd('RawData (GH)'!C338)</f>
        <v>1.9</v>
      </c>
      <c r="F338" s="2">
        <f>getFiltersizeAsDouble('RawData (GH)'!D338)</f>
        <v>37</v>
      </c>
      <c r="G338" s="35">
        <f>getMagnification('RawData (GH)'!E338)</f>
        <v>0</v>
      </c>
      <c r="H338" s="62">
        <f>getMinimalFocus('RawData (GH)'!F338)</f>
        <v>0</v>
      </c>
      <c r="I338" t="str">
        <f>getMount('RawData (GH)'!G338)</f>
        <v>Leica L</v>
      </c>
      <c r="J338" t="str">
        <f>getSensorCompatibility('RawData (GH)'!H338)</f>
        <v>APS-C/ Kleinbild</v>
      </c>
      <c r="K338" s="45">
        <f>getWeightAsDouble('RawData (GH)'!I338)</f>
        <v>200</v>
      </c>
      <c r="L338" s="34">
        <f>getSizeDiameter('RawData (GH)'!J338)</f>
        <v>0</v>
      </c>
      <c r="M338" s="34">
        <f>getSizeLength('RawData (GH)'!J338)</f>
        <v>0</v>
      </c>
    </row>
    <row r="339" spans="1:13" x14ac:dyDescent="0.25">
      <c r="A339" t="str">
        <f>'RawData (GH)'!A339</f>
        <v>Meyer Optik Görlitz Primoplan 58mm 1.9 für Leica M schwarz</v>
      </c>
      <c r="B339" s="5">
        <f>getFocalLengthStart('RawData (GH)'!B339)</f>
        <v>58</v>
      </c>
      <c r="C339" s="5">
        <f>getFocalLengthEnd('RawData (GH)'!B339)</f>
        <v>58</v>
      </c>
      <c r="D339" s="9">
        <f>getApertureStart('RawData (GH)'!C339)</f>
        <v>1.9</v>
      </c>
      <c r="E339" s="9">
        <f>getApertureEnd('RawData (GH)'!C339)</f>
        <v>1.9</v>
      </c>
      <c r="F339" s="2">
        <f>getFiltersizeAsDouble('RawData (GH)'!D339)</f>
        <v>37</v>
      </c>
      <c r="G339" s="35">
        <f>getMagnification('RawData (GH)'!E339)</f>
        <v>0</v>
      </c>
      <c r="H339" s="62">
        <f>getMinimalFocus('RawData (GH)'!F339)</f>
        <v>0</v>
      </c>
      <c r="I339" t="str">
        <f>getMount('RawData (GH)'!G339)</f>
        <v>Leica M</v>
      </c>
      <c r="J339" t="str">
        <f>getSensorCompatibility('RawData (GH)'!H339)</f>
        <v>APS-C/ Kleinbild</v>
      </c>
      <c r="K339" s="45">
        <f>getWeightAsDouble('RawData (GH)'!I339)</f>
        <v>200</v>
      </c>
      <c r="L339" s="34">
        <f>getSizeDiameter('RawData (GH)'!J339)</f>
        <v>0</v>
      </c>
      <c r="M339" s="34">
        <f>getSizeLength('RawData (GH)'!J339)</f>
        <v>0</v>
      </c>
    </row>
    <row r="340" spans="1:13" x14ac:dyDescent="0.25">
      <c r="A340" t="str">
        <f>'RawData (GH)'!A340</f>
        <v>Meyer Optik Görlitz Primoplan 58mm 1.9 für M42 schwarz</v>
      </c>
      <c r="B340" s="5">
        <f>getFocalLengthStart('RawData (GH)'!B340)</f>
        <v>58</v>
      </c>
      <c r="C340" s="5">
        <f>getFocalLengthEnd('RawData (GH)'!B340)</f>
        <v>58</v>
      </c>
      <c r="D340" s="9">
        <f>getApertureStart('RawData (GH)'!C340)</f>
        <v>1.9</v>
      </c>
      <c r="E340" s="9">
        <f>getApertureEnd('RawData (GH)'!C340)</f>
        <v>1.9</v>
      </c>
      <c r="F340" s="2">
        <f>getFiltersizeAsDouble('RawData (GH)'!D340)</f>
        <v>37</v>
      </c>
      <c r="G340" s="35">
        <f>getMagnification('RawData (GH)'!E340)</f>
        <v>0</v>
      </c>
      <c r="H340" s="62">
        <f>getMinimalFocus('RawData (GH)'!F340)</f>
        <v>0</v>
      </c>
      <c r="I340" t="str">
        <f>getMount('RawData (GH)'!G340)</f>
        <v>M42</v>
      </c>
      <c r="J340" t="str">
        <f>getSensorCompatibility('RawData (GH)'!H340)</f>
        <v>APS-C/ Kleinbild</v>
      </c>
      <c r="K340" s="45">
        <f>getWeightAsDouble('RawData (GH)'!I340)</f>
        <v>200</v>
      </c>
      <c r="L340" s="34">
        <f>getSizeDiameter('RawData (GH)'!J340)</f>
        <v>0</v>
      </c>
      <c r="M340" s="34">
        <f>getSizeLength('RawData (GH)'!J340)</f>
        <v>0</v>
      </c>
    </row>
    <row r="341" spans="1:13" x14ac:dyDescent="0.25">
      <c r="A341" t="str">
        <f>'RawData (GH)'!A341</f>
        <v>Meyer Optik Görlitz Primoplan 58mm 1.9 für Micro-Four-Thirds schwarz</v>
      </c>
      <c r="B341" s="5">
        <f>getFocalLengthStart('RawData (GH)'!B341)</f>
        <v>58</v>
      </c>
      <c r="C341" s="5">
        <f>getFocalLengthEnd('RawData (GH)'!B341)</f>
        <v>58</v>
      </c>
      <c r="D341" s="9">
        <f>getApertureStart('RawData (GH)'!C341)</f>
        <v>1.9</v>
      </c>
      <c r="E341" s="9">
        <f>getApertureEnd('RawData (GH)'!C341)</f>
        <v>1.9</v>
      </c>
      <c r="F341" s="2">
        <f>getFiltersizeAsDouble('RawData (GH)'!D341)</f>
        <v>37</v>
      </c>
      <c r="G341" s="35">
        <f>getMagnification('RawData (GH)'!E341)</f>
        <v>0</v>
      </c>
      <c r="H341" s="62">
        <f>getMinimalFocus('RawData (GH)'!F341)</f>
        <v>0</v>
      </c>
      <c r="I341" t="str">
        <f>getMount('RawData (GH)'!G341)</f>
        <v>Micro-Four-Thirds</v>
      </c>
      <c r="J341" t="str">
        <f>getSensorCompatibility('RawData (GH)'!H341)</f>
        <v>APS-C/ Kleinbild</v>
      </c>
      <c r="K341" s="45">
        <f>getWeightAsDouble('RawData (GH)'!I341)</f>
        <v>200</v>
      </c>
      <c r="L341" s="34">
        <f>getSizeDiameter('RawData (GH)'!J341)</f>
        <v>0</v>
      </c>
      <c r="M341" s="34">
        <f>getSizeLength('RawData (GH)'!J341)</f>
        <v>0</v>
      </c>
    </row>
    <row r="342" spans="1:13" x14ac:dyDescent="0.25">
      <c r="A342" t="str">
        <f>'RawData (GH)'!A342</f>
        <v>Meyer Optik Görlitz Primoplan 58mm 1.9 für Nikon F schwarz</v>
      </c>
      <c r="B342" s="5">
        <f>getFocalLengthStart('RawData (GH)'!B342)</f>
        <v>58</v>
      </c>
      <c r="C342" s="5">
        <f>getFocalLengthEnd('RawData (GH)'!B342)</f>
        <v>58</v>
      </c>
      <c r="D342" s="9">
        <f>getApertureStart('RawData (GH)'!C342)</f>
        <v>1.9</v>
      </c>
      <c r="E342" s="9">
        <f>getApertureEnd('RawData (GH)'!C342)</f>
        <v>1.9</v>
      </c>
      <c r="F342" s="2">
        <f>getFiltersizeAsDouble('RawData (GH)'!D342)</f>
        <v>37</v>
      </c>
      <c r="G342" s="35">
        <f>getMagnification('RawData (GH)'!E342)</f>
        <v>0</v>
      </c>
      <c r="H342" s="62">
        <f>getMinimalFocus('RawData (GH)'!F342)</f>
        <v>0</v>
      </c>
      <c r="I342" t="str">
        <f>getMount('RawData (GH)'!G342)</f>
        <v>Nikon F</v>
      </c>
      <c r="J342" t="str">
        <f>getSensorCompatibility('RawData (GH)'!H342)</f>
        <v>APS-C/ Kleinbild</v>
      </c>
      <c r="K342" s="45">
        <f>getWeightAsDouble('RawData (GH)'!I342)</f>
        <v>200</v>
      </c>
      <c r="L342" s="34">
        <f>getSizeDiameter('RawData (GH)'!J342)</f>
        <v>0</v>
      </c>
      <c r="M342" s="34">
        <f>getSizeLength('RawData (GH)'!J342)</f>
        <v>0</v>
      </c>
    </row>
    <row r="343" spans="1:13" x14ac:dyDescent="0.25">
      <c r="A343" t="str">
        <f>'RawData (GH)'!A343</f>
        <v>Meyer Optik Görlitz Primoplan 58mm 1.9 für Pentax K schwarz</v>
      </c>
      <c r="B343" s="5">
        <f>getFocalLengthStart('RawData (GH)'!B343)</f>
        <v>58</v>
      </c>
      <c r="C343" s="5">
        <f>getFocalLengthEnd('RawData (GH)'!B343)</f>
        <v>58</v>
      </c>
      <c r="D343" s="9">
        <f>getApertureStart('RawData (GH)'!C343)</f>
        <v>1.9</v>
      </c>
      <c r="E343" s="9">
        <f>getApertureEnd('RawData (GH)'!C343)</f>
        <v>1.9</v>
      </c>
      <c r="F343" s="2">
        <f>getFiltersizeAsDouble('RawData (GH)'!D343)</f>
        <v>37</v>
      </c>
      <c r="G343" s="35">
        <f>getMagnification('RawData (GH)'!E343)</f>
        <v>0</v>
      </c>
      <c r="H343" s="62">
        <f>getMinimalFocus('RawData (GH)'!F343)</f>
        <v>0</v>
      </c>
      <c r="I343" t="str">
        <f>getMount('RawData (GH)'!G343)</f>
        <v>Pentax K</v>
      </c>
      <c r="J343" t="str">
        <f>getSensorCompatibility('RawData (GH)'!H343)</f>
        <v>APS-C/ Kleinbild</v>
      </c>
      <c r="K343" s="45">
        <f>getWeightAsDouble('RawData (GH)'!I343)</f>
        <v>200</v>
      </c>
      <c r="L343" s="34">
        <f>getSizeDiameter('RawData (GH)'!J343)</f>
        <v>0</v>
      </c>
      <c r="M343" s="34">
        <f>getSizeLength('RawData (GH)'!J343)</f>
        <v>0</v>
      </c>
    </row>
    <row r="344" spans="1:13" x14ac:dyDescent="0.25">
      <c r="A344" t="str">
        <f>'RawData (GH)'!A344</f>
        <v>Meyer Optik Görlitz Primoplan 58mm 1.9 für Sony E schwarz</v>
      </c>
      <c r="B344" s="5">
        <f>getFocalLengthStart('RawData (GH)'!B344)</f>
        <v>58</v>
      </c>
      <c r="C344" s="5">
        <f>getFocalLengthEnd('RawData (GH)'!B344)</f>
        <v>58</v>
      </c>
      <c r="D344" s="9">
        <f>getApertureStart('RawData (GH)'!C344)</f>
        <v>1.9</v>
      </c>
      <c r="E344" s="9">
        <f>getApertureEnd('RawData (GH)'!C344)</f>
        <v>1.9</v>
      </c>
      <c r="F344" s="2">
        <f>getFiltersizeAsDouble('RawData (GH)'!D344)</f>
        <v>37</v>
      </c>
      <c r="G344" s="35">
        <f>getMagnification('RawData (GH)'!E344)</f>
        <v>0</v>
      </c>
      <c r="H344" s="62">
        <f>getMinimalFocus('RawData (GH)'!F344)</f>
        <v>0</v>
      </c>
      <c r="I344" t="str">
        <f>getMount('RawData (GH)'!G344)</f>
        <v>Sony E</v>
      </c>
      <c r="J344" t="str">
        <f>getSensorCompatibility('RawData (GH)'!H344)</f>
        <v>APS-C/ Kleinbild</v>
      </c>
      <c r="K344" s="45">
        <f>getWeightAsDouble('RawData (GH)'!I344)</f>
        <v>200</v>
      </c>
      <c r="L344" s="34">
        <f>getSizeDiameter('RawData (GH)'!J344)</f>
        <v>0</v>
      </c>
      <c r="M344" s="34">
        <f>getSizeLength('RawData (GH)'!J344)</f>
        <v>0</v>
      </c>
    </row>
    <row r="345" spans="1:13" x14ac:dyDescent="0.25">
      <c r="A345" t="str">
        <f>'RawData (GH)'!A345</f>
        <v>Meyer Optik Görlitz Primoplan 75mm 1.9 für Canon EF schwarz</v>
      </c>
      <c r="B345" s="5">
        <f>getFocalLengthStart('RawData (GH)'!B345)</f>
        <v>75</v>
      </c>
      <c r="C345" s="5">
        <f>getFocalLengthEnd('RawData (GH)'!B345)</f>
        <v>75</v>
      </c>
      <c r="D345" s="9">
        <f>getApertureStart('RawData (GH)'!C345)</f>
        <v>1.9</v>
      </c>
      <c r="E345" s="9">
        <f>getApertureEnd('RawData (GH)'!C345)</f>
        <v>1.9</v>
      </c>
      <c r="F345" s="2">
        <f>getFiltersizeAsDouble('RawData (GH)'!D345)</f>
        <v>52</v>
      </c>
      <c r="G345" s="35">
        <f>getMagnification('RawData (GH)'!E345)</f>
        <v>0</v>
      </c>
      <c r="H345" s="62">
        <f>getMinimalFocus('RawData (GH)'!F345)</f>
        <v>0</v>
      </c>
      <c r="I345" t="str">
        <f>getMount('RawData (GH)'!G345)</f>
        <v>Canon EF</v>
      </c>
      <c r="J345" t="str">
        <f>getSensorCompatibility('RawData (GH)'!H345)</f>
        <v>APS-C/ Kleinbild</v>
      </c>
      <c r="K345" s="45">
        <f>getWeightAsDouble('RawData (GH)'!I345)</f>
        <v>300</v>
      </c>
      <c r="L345" s="34">
        <f>getSizeDiameter('RawData (GH)'!J345)</f>
        <v>58</v>
      </c>
      <c r="M345" s="34">
        <f>getSizeLength('RawData (GH)'!J345)</f>
        <v>55</v>
      </c>
    </row>
    <row r="346" spans="1:13" x14ac:dyDescent="0.25">
      <c r="A346" t="str">
        <f>'RawData (GH)'!A346</f>
        <v>Meyer Optik Görlitz Primoplan 75mm 1.9 für Fujifilm X schwarz</v>
      </c>
      <c r="B346" s="5">
        <f>getFocalLengthStart('RawData (GH)'!B346)</f>
        <v>75</v>
      </c>
      <c r="C346" s="5">
        <f>getFocalLengthEnd('RawData (GH)'!B346)</f>
        <v>75</v>
      </c>
      <c r="D346" s="9">
        <f>getApertureStart('RawData (GH)'!C346)</f>
        <v>1.9</v>
      </c>
      <c r="E346" s="9">
        <f>getApertureEnd('RawData (GH)'!C346)</f>
        <v>1.9</v>
      </c>
      <c r="F346" s="2">
        <f>getFiltersizeAsDouble('RawData (GH)'!D346)</f>
        <v>52</v>
      </c>
      <c r="G346" s="35">
        <f>getMagnification('RawData (GH)'!E346)</f>
        <v>0</v>
      </c>
      <c r="H346" s="62">
        <f>getMinimalFocus('RawData (GH)'!F346)</f>
        <v>0</v>
      </c>
      <c r="I346" t="str">
        <f>getMount('RawData (GH)'!G346)</f>
        <v>Fujifilm X</v>
      </c>
      <c r="J346" t="str">
        <f>getSensorCompatibility('RawData (GH)'!H346)</f>
        <v>APS-C/ Kleinbild</v>
      </c>
      <c r="K346" s="45">
        <f>getWeightAsDouble('RawData (GH)'!I346)</f>
        <v>300</v>
      </c>
      <c r="L346" s="34">
        <f>getSizeDiameter('RawData (GH)'!J346)</f>
        <v>58</v>
      </c>
      <c r="M346" s="34">
        <f>getSizeLength('RawData (GH)'!J346)</f>
        <v>55</v>
      </c>
    </row>
    <row r="347" spans="1:13" x14ac:dyDescent="0.25">
      <c r="A347" t="str">
        <f>'RawData (GH)'!A347</f>
        <v>Meyer Optik Görlitz Primoplan 75mm 1.9 für Leica L schwarz</v>
      </c>
      <c r="B347" s="5">
        <f>getFocalLengthStart('RawData (GH)'!B347)</f>
        <v>75</v>
      </c>
      <c r="C347" s="5">
        <f>getFocalLengthEnd('RawData (GH)'!B347)</f>
        <v>75</v>
      </c>
      <c r="D347" s="9">
        <f>getApertureStart('RawData (GH)'!C347)</f>
        <v>1.9</v>
      </c>
      <c r="E347" s="9">
        <f>getApertureEnd('RawData (GH)'!C347)</f>
        <v>1.9</v>
      </c>
      <c r="F347" s="2">
        <f>getFiltersizeAsDouble('RawData (GH)'!D347)</f>
        <v>52</v>
      </c>
      <c r="G347" s="35">
        <f>getMagnification('RawData (GH)'!E347)</f>
        <v>0</v>
      </c>
      <c r="H347" s="62">
        <f>getMinimalFocus('RawData (GH)'!F347)</f>
        <v>0</v>
      </c>
      <c r="I347" t="str">
        <f>getMount('RawData (GH)'!G347)</f>
        <v>Leica L</v>
      </c>
      <c r="J347" t="str">
        <f>getSensorCompatibility('RawData (GH)'!H347)</f>
        <v>APS-C/ Kleinbild</v>
      </c>
      <c r="K347" s="45">
        <f>getWeightAsDouble('RawData (GH)'!I347)</f>
        <v>300</v>
      </c>
      <c r="L347" s="34">
        <f>getSizeDiameter('RawData (GH)'!J347)</f>
        <v>58</v>
      </c>
      <c r="M347" s="34">
        <f>getSizeLength('RawData (GH)'!J347)</f>
        <v>55</v>
      </c>
    </row>
    <row r="348" spans="1:13" x14ac:dyDescent="0.25">
      <c r="A348" t="str">
        <f>'RawData (GH)'!A348</f>
        <v>Meyer Optik Görlitz Primoplan 75mm 1.9 für Leica M schwarz</v>
      </c>
      <c r="B348" s="5">
        <f>getFocalLengthStart('RawData (GH)'!B348)</f>
        <v>75</v>
      </c>
      <c r="C348" s="5">
        <f>getFocalLengthEnd('RawData (GH)'!B348)</f>
        <v>75</v>
      </c>
      <c r="D348" s="9">
        <f>getApertureStart('RawData (GH)'!C348)</f>
        <v>1.9</v>
      </c>
      <c r="E348" s="9">
        <f>getApertureEnd('RawData (GH)'!C348)</f>
        <v>1.9</v>
      </c>
      <c r="F348" s="2">
        <f>getFiltersizeAsDouble('RawData (GH)'!D348)</f>
        <v>52</v>
      </c>
      <c r="G348" s="35">
        <f>getMagnification('RawData (GH)'!E348)</f>
        <v>0</v>
      </c>
      <c r="H348" s="62">
        <f>getMinimalFocus('RawData (GH)'!F348)</f>
        <v>0</v>
      </c>
      <c r="I348" t="str">
        <f>getMount('RawData (GH)'!G348)</f>
        <v>Leica M</v>
      </c>
      <c r="J348" t="str">
        <f>getSensorCompatibility('RawData (GH)'!H348)</f>
        <v>APS-C/ Kleinbild</v>
      </c>
      <c r="K348" s="45">
        <f>getWeightAsDouble('RawData (GH)'!I348)</f>
        <v>300</v>
      </c>
      <c r="L348" s="34">
        <f>getSizeDiameter('RawData (GH)'!J348)</f>
        <v>58</v>
      </c>
      <c r="M348" s="34">
        <f>getSizeLength('RawData (GH)'!J348)</f>
        <v>55</v>
      </c>
    </row>
    <row r="349" spans="1:13" x14ac:dyDescent="0.25">
      <c r="A349" t="str">
        <f>'RawData (GH)'!A349</f>
        <v>Meyer Optik Görlitz Primoplan 75mm 1.9 für M42 schwarz</v>
      </c>
      <c r="B349" s="5">
        <f>getFocalLengthStart('RawData (GH)'!B349)</f>
        <v>75</v>
      </c>
      <c r="C349" s="5">
        <f>getFocalLengthEnd('RawData (GH)'!B349)</f>
        <v>75</v>
      </c>
      <c r="D349" s="9">
        <f>getApertureStart('RawData (GH)'!C349)</f>
        <v>1.9</v>
      </c>
      <c r="E349" s="9">
        <f>getApertureEnd('RawData (GH)'!C349)</f>
        <v>1.9</v>
      </c>
      <c r="F349" s="2">
        <f>getFiltersizeAsDouble('RawData (GH)'!D349)</f>
        <v>52</v>
      </c>
      <c r="G349" s="35">
        <f>getMagnification('RawData (GH)'!E349)</f>
        <v>0</v>
      </c>
      <c r="H349" s="62">
        <f>getMinimalFocus('RawData (GH)'!F349)</f>
        <v>0</v>
      </c>
      <c r="I349" t="str">
        <f>getMount('RawData (GH)'!G349)</f>
        <v>M42</v>
      </c>
      <c r="J349" t="str">
        <f>getSensorCompatibility('RawData (GH)'!H349)</f>
        <v>APS-C/ Kleinbild</v>
      </c>
      <c r="K349" s="45">
        <f>getWeightAsDouble('RawData (GH)'!I349)</f>
        <v>300</v>
      </c>
      <c r="L349" s="34">
        <f>getSizeDiameter('RawData (GH)'!J349)</f>
        <v>58</v>
      </c>
      <c r="M349" s="34">
        <f>getSizeLength('RawData (GH)'!J349)</f>
        <v>55</v>
      </c>
    </row>
    <row r="350" spans="1:13" x14ac:dyDescent="0.25">
      <c r="A350" t="str">
        <f>'RawData (GH)'!A350</f>
        <v>Meyer Optik Görlitz Primoplan 75mm 1.9 für Micro-Four-Thirds schwarz</v>
      </c>
      <c r="B350" s="5">
        <f>getFocalLengthStart('RawData (GH)'!B350)</f>
        <v>75</v>
      </c>
      <c r="C350" s="5">
        <f>getFocalLengthEnd('RawData (GH)'!B350)</f>
        <v>75</v>
      </c>
      <c r="D350" s="9">
        <f>getApertureStart('RawData (GH)'!C350)</f>
        <v>1.9</v>
      </c>
      <c r="E350" s="9">
        <f>getApertureEnd('RawData (GH)'!C350)</f>
        <v>1.9</v>
      </c>
      <c r="F350" s="2">
        <f>getFiltersizeAsDouble('RawData (GH)'!D350)</f>
        <v>52</v>
      </c>
      <c r="G350" s="35">
        <f>getMagnification('RawData (GH)'!E350)</f>
        <v>0</v>
      </c>
      <c r="H350" s="62">
        <f>getMinimalFocus('RawData (GH)'!F350)</f>
        <v>0</v>
      </c>
      <c r="I350" t="str">
        <f>getMount('RawData (GH)'!G350)</f>
        <v>Micro-Four-Thirds</v>
      </c>
      <c r="J350" t="str">
        <f>getSensorCompatibility('RawData (GH)'!H350)</f>
        <v>APS-C/ Kleinbild</v>
      </c>
      <c r="K350" s="45">
        <f>getWeightAsDouble('RawData (GH)'!I350)</f>
        <v>300</v>
      </c>
      <c r="L350" s="34">
        <f>getSizeDiameter('RawData (GH)'!J350)</f>
        <v>58</v>
      </c>
      <c r="M350" s="34">
        <f>getSizeLength('RawData (GH)'!J350)</f>
        <v>55</v>
      </c>
    </row>
    <row r="351" spans="1:13" x14ac:dyDescent="0.25">
      <c r="A351" t="str">
        <f>'RawData (GH)'!A351</f>
        <v>Meyer Optik Görlitz Primoplan 75mm 1.9 für Nikon F schwarz</v>
      </c>
      <c r="B351" s="5">
        <f>getFocalLengthStart('RawData (GH)'!B351)</f>
        <v>75</v>
      </c>
      <c r="C351" s="5">
        <f>getFocalLengthEnd('RawData (GH)'!B351)</f>
        <v>75</v>
      </c>
      <c r="D351" s="9">
        <f>getApertureStart('RawData (GH)'!C351)</f>
        <v>1.9</v>
      </c>
      <c r="E351" s="9">
        <f>getApertureEnd('RawData (GH)'!C351)</f>
        <v>1.9</v>
      </c>
      <c r="F351" s="2">
        <f>getFiltersizeAsDouble('RawData (GH)'!D351)</f>
        <v>52</v>
      </c>
      <c r="G351" s="35">
        <f>getMagnification('RawData (GH)'!E351)</f>
        <v>0</v>
      </c>
      <c r="H351" s="62">
        <f>getMinimalFocus('RawData (GH)'!F351)</f>
        <v>0</v>
      </c>
      <c r="I351" t="str">
        <f>getMount('RawData (GH)'!G351)</f>
        <v>Nikon F</v>
      </c>
      <c r="J351" t="str">
        <f>getSensorCompatibility('RawData (GH)'!H351)</f>
        <v>APS-C/ Kleinbild</v>
      </c>
      <c r="K351" s="45">
        <f>getWeightAsDouble('RawData (GH)'!I351)</f>
        <v>300</v>
      </c>
      <c r="L351" s="34">
        <f>getSizeDiameter('RawData (GH)'!J351)</f>
        <v>58</v>
      </c>
      <c r="M351" s="34">
        <f>getSizeLength('RawData (GH)'!J351)</f>
        <v>55</v>
      </c>
    </row>
    <row r="352" spans="1:13" x14ac:dyDescent="0.25">
      <c r="A352" t="str">
        <f>'RawData (GH)'!A352</f>
        <v>Meyer Optik Görlitz Primoplan 75mm 1.9 für Pentax K schwarz</v>
      </c>
      <c r="B352" s="5">
        <f>getFocalLengthStart('RawData (GH)'!B352)</f>
        <v>75</v>
      </c>
      <c r="C352" s="5">
        <f>getFocalLengthEnd('RawData (GH)'!B352)</f>
        <v>75</v>
      </c>
      <c r="D352" s="9">
        <f>getApertureStart('RawData (GH)'!C352)</f>
        <v>1.9</v>
      </c>
      <c r="E352" s="9">
        <f>getApertureEnd('RawData (GH)'!C352)</f>
        <v>1.9</v>
      </c>
      <c r="F352" s="2">
        <f>getFiltersizeAsDouble('RawData (GH)'!D352)</f>
        <v>52</v>
      </c>
      <c r="G352" s="35">
        <f>getMagnification('RawData (GH)'!E352)</f>
        <v>0</v>
      </c>
      <c r="H352" s="62">
        <f>getMinimalFocus('RawData (GH)'!F352)</f>
        <v>0</v>
      </c>
      <c r="I352" t="str">
        <f>getMount('RawData (GH)'!G352)</f>
        <v>Pentax K</v>
      </c>
      <c r="J352" t="str">
        <f>getSensorCompatibility('RawData (GH)'!H352)</f>
        <v>APS-C/ Kleinbild</v>
      </c>
      <c r="K352" s="45">
        <f>getWeightAsDouble('RawData (GH)'!I352)</f>
        <v>300</v>
      </c>
      <c r="L352" s="34">
        <f>getSizeDiameter('RawData (GH)'!J352)</f>
        <v>58</v>
      </c>
      <c r="M352" s="34">
        <f>getSizeLength('RawData (GH)'!J352)</f>
        <v>55</v>
      </c>
    </row>
    <row r="353" spans="1:13" x14ac:dyDescent="0.25">
      <c r="A353" t="str">
        <f>'RawData (GH)'!A353</f>
        <v>Meyer Optik Görlitz Primoplan 75mm 1.9 für Sony E schwarz</v>
      </c>
      <c r="B353" s="5">
        <f>getFocalLengthStart('RawData (GH)'!B353)</f>
        <v>75</v>
      </c>
      <c r="C353" s="5">
        <f>getFocalLengthEnd('RawData (GH)'!B353)</f>
        <v>75</v>
      </c>
      <c r="D353" s="9">
        <f>getApertureStart('RawData (GH)'!C353)</f>
        <v>1.9</v>
      </c>
      <c r="E353" s="9">
        <f>getApertureEnd('RawData (GH)'!C353)</f>
        <v>1.9</v>
      </c>
      <c r="F353" s="2">
        <f>getFiltersizeAsDouble('RawData (GH)'!D353)</f>
        <v>52</v>
      </c>
      <c r="G353" s="35">
        <f>getMagnification('RawData (GH)'!E353)</f>
        <v>0</v>
      </c>
      <c r="H353" s="62">
        <f>getMinimalFocus('RawData (GH)'!F353)</f>
        <v>0</v>
      </c>
      <c r="I353" t="str">
        <f>getMount('RawData (GH)'!G353)</f>
        <v>Sony E</v>
      </c>
      <c r="J353" t="str">
        <f>getSensorCompatibility('RawData (GH)'!H353)</f>
        <v>APS-C/ Kleinbild</v>
      </c>
      <c r="K353" s="45">
        <f>getWeightAsDouble('RawData (GH)'!I353)</f>
        <v>300</v>
      </c>
      <c r="L353" s="34">
        <f>getSizeDiameter('RawData (GH)'!J353)</f>
        <v>58</v>
      </c>
      <c r="M353" s="34">
        <f>getSizeLength('RawData (GH)'!J353)</f>
        <v>55</v>
      </c>
    </row>
    <row r="354" spans="1:13" x14ac:dyDescent="0.25">
      <c r="A354" t="str">
        <f>'RawData (GH)'!A354</f>
        <v>Meyer Optik Görlitz Somnium 85mm 1.5 für Canon EF silber</v>
      </c>
      <c r="B354" s="5">
        <f>getFocalLengthStart('RawData (GH)'!B354)</f>
        <v>85</v>
      </c>
      <c r="C354" s="5">
        <f>getFocalLengthEnd('RawData (GH)'!B354)</f>
        <v>85</v>
      </c>
      <c r="D354" s="9">
        <f>getApertureStart('RawData (GH)'!C354)</f>
        <v>1.5</v>
      </c>
      <c r="E354" s="9">
        <f>getApertureEnd('RawData (GH)'!C354)</f>
        <v>1.5</v>
      </c>
      <c r="F354" s="2">
        <f>getFiltersizeAsDouble('RawData (GH)'!D354)</f>
        <v>67</v>
      </c>
      <c r="G354" s="35">
        <f>getMagnification('RawData (GH)'!E354)</f>
        <v>0</v>
      </c>
      <c r="H354" s="62">
        <f>getMinimalFocus('RawData (GH)'!F354)</f>
        <v>0</v>
      </c>
      <c r="I354" t="str">
        <f>getMount('RawData (GH)'!G354)</f>
        <v>Canon EF</v>
      </c>
      <c r="J354" t="str">
        <f>getSensorCompatibility('RawData (GH)'!H354)</f>
        <v>APS-C/ Kleinbild</v>
      </c>
      <c r="K354" s="45">
        <f>getWeightAsDouble('RawData (GH)'!I354)</f>
        <v>885</v>
      </c>
      <c r="L354" s="34">
        <f>getSizeDiameter('RawData (GH)'!J354)</f>
        <v>0</v>
      </c>
      <c r="M354" s="34">
        <f>getSizeLength('RawData (GH)'!J354)</f>
        <v>0</v>
      </c>
    </row>
    <row r="355" spans="1:13" x14ac:dyDescent="0.25">
      <c r="A355" t="str">
        <f>'RawData (GH)'!A355</f>
        <v>Meyer Optik Görlitz Somnium 85mm 1.5 für M42 silber</v>
      </c>
      <c r="B355" s="5">
        <f>getFocalLengthStart('RawData (GH)'!B355)</f>
        <v>85</v>
      </c>
      <c r="C355" s="5">
        <f>getFocalLengthEnd('RawData (GH)'!B355)</f>
        <v>85</v>
      </c>
      <c r="D355" s="9">
        <f>getApertureStart('RawData (GH)'!C355)</f>
        <v>1.5</v>
      </c>
      <c r="E355" s="9">
        <f>getApertureEnd('RawData (GH)'!C355)</f>
        <v>1.5</v>
      </c>
      <c r="F355" s="2">
        <f>getFiltersizeAsDouble('RawData (GH)'!D355)</f>
        <v>67</v>
      </c>
      <c r="G355" s="35">
        <f>getMagnification('RawData (GH)'!E355)</f>
        <v>0</v>
      </c>
      <c r="H355" s="62">
        <f>getMinimalFocus('RawData (GH)'!F355)</f>
        <v>0</v>
      </c>
      <c r="I355" t="str">
        <f>getMount('RawData (GH)'!G355)</f>
        <v>M42</v>
      </c>
      <c r="J355" t="str">
        <f>getSensorCompatibility('RawData (GH)'!H355)</f>
        <v>APS-C/ Kleinbild</v>
      </c>
      <c r="K355" s="45">
        <f>getWeightAsDouble('RawData (GH)'!I355)</f>
        <v>885</v>
      </c>
      <c r="L355" s="34">
        <f>getSizeDiameter('RawData (GH)'!J355)</f>
        <v>0</v>
      </c>
      <c r="M355" s="34">
        <f>getSizeLength('RawData (GH)'!J355)</f>
        <v>0</v>
      </c>
    </row>
    <row r="356" spans="1:13" x14ac:dyDescent="0.25">
      <c r="A356" t="str">
        <f>'RawData (GH)'!A356</f>
        <v>Meyer Optik Görlitz Somnium 85mm 1.5 für Nikon F silber</v>
      </c>
      <c r="B356" s="5">
        <f>getFocalLengthStart('RawData (GH)'!B356)</f>
        <v>85</v>
      </c>
      <c r="C356" s="5">
        <f>getFocalLengthEnd('RawData (GH)'!B356)</f>
        <v>85</v>
      </c>
      <c r="D356" s="9">
        <f>getApertureStart('RawData (GH)'!C356)</f>
        <v>1.5</v>
      </c>
      <c r="E356" s="9">
        <f>getApertureEnd('RawData (GH)'!C356)</f>
        <v>1.5</v>
      </c>
      <c r="F356" s="2">
        <f>getFiltersizeAsDouble('RawData (GH)'!D356)</f>
        <v>67</v>
      </c>
      <c r="G356" s="35">
        <f>getMagnification('RawData (GH)'!E356)</f>
        <v>0</v>
      </c>
      <c r="H356" s="62">
        <f>getMinimalFocus('RawData (GH)'!F356)</f>
        <v>0</v>
      </c>
      <c r="I356" t="str">
        <f>getMount('RawData (GH)'!G356)</f>
        <v>Nikon F</v>
      </c>
      <c r="J356" t="str">
        <f>getSensorCompatibility('RawData (GH)'!H356)</f>
        <v>APS-C/ Kleinbild</v>
      </c>
      <c r="K356" s="45">
        <f>getWeightAsDouble('RawData (GH)'!I356)</f>
        <v>885</v>
      </c>
      <c r="L356" s="34">
        <f>getSizeDiameter('RawData (GH)'!J356)</f>
        <v>0</v>
      </c>
      <c r="M356" s="34">
        <f>getSizeLength('RawData (GH)'!J356)</f>
        <v>0</v>
      </c>
    </row>
    <row r="357" spans="1:13" x14ac:dyDescent="0.25">
      <c r="A357" t="str">
        <f>'RawData (GH)'!A357</f>
        <v>Meyer Optik Görlitz Trimagon 95mm 2.6 für Canon EF schwarz</v>
      </c>
      <c r="B357" s="5">
        <f>getFocalLengthStart('RawData (GH)'!B357)</f>
        <v>95</v>
      </c>
      <c r="C357" s="5">
        <f>getFocalLengthEnd('RawData (GH)'!B357)</f>
        <v>95</v>
      </c>
      <c r="D357" s="9">
        <f>getApertureStart('RawData (GH)'!C357)</f>
        <v>2.6</v>
      </c>
      <c r="E357" s="9">
        <f>getApertureEnd('RawData (GH)'!C357)</f>
        <v>2.6</v>
      </c>
      <c r="F357" s="2">
        <f>getFiltersizeAsDouble('RawData (GH)'!D357)</f>
        <v>52</v>
      </c>
      <c r="G357" s="35">
        <f>getMagnification('RawData (GH)'!E357)</f>
        <v>0</v>
      </c>
      <c r="H357" s="62">
        <f>getMinimalFocus('RawData (GH)'!F357)</f>
        <v>0</v>
      </c>
      <c r="I357" t="str">
        <f>getMount('RawData (GH)'!G357)</f>
        <v>Canon EF</v>
      </c>
      <c r="J357" t="str">
        <f>getSensorCompatibility('RawData (GH)'!H357)</f>
        <v>APS-C/ Kleinbild</v>
      </c>
      <c r="K357" s="45">
        <f>getWeightAsDouble('RawData (GH)'!I357)</f>
        <v>380</v>
      </c>
      <c r="L357" s="34">
        <f>getSizeDiameter('RawData (GH)'!J357)</f>
        <v>55</v>
      </c>
      <c r="M357" s="34">
        <f>getSizeLength('RawData (GH)'!J357)</f>
        <v>122</v>
      </c>
    </row>
    <row r="358" spans="1:13" x14ac:dyDescent="0.25">
      <c r="A358" t="str">
        <f>'RawData (GH)'!A358</f>
        <v>Meyer Optik Görlitz Trimagon 95mm 2.6 für Fujifilm X schwarz</v>
      </c>
      <c r="B358" s="5">
        <f>getFocalLengthStart('RawData (GH)'!B358)</f>
        <v>95</v>
      </c>
      <c r="C358" s="5">
        <f>getFocalLengthEnd('RawData (GH)'!B358)</f>
        <v>95</v>
      </c>
      <c r="D358" s="9">
        <f>getApertureStart('RawData (GH)'!C358)</f>
        <v>2.6</v>
      </c>
      <c r="E358" s="9">
        <f>getApertureEnd('RawData (GH)'!C358)</f>
        <v>2.6</v>
      </c>
      <c r="F358" s="2">
        <f>getFiltersizeAsDouble('RawData (GH)'!D358)</f>
        <v>52</v>
      </c>
      <c r="G358" s="35">
        <f>getMagnification('RawData (GH)'!E358)</f>
        <v>0</v>
      </c>
      <c r="H358" s="62">
        <f>getMinimalFocus('RawData (GH)'!F358)</f>
        <v>0</v>
      </c>
      <c r="I358" t="str">
        <f>getMount('RawData (GH)'!G358)</f>
        <v>Fujifilm X</v>
      </c>
      <c r="J358" t="str">
        <f>getSensorCompatibility('RawData (GH)'!H358)</f>
        <v>APS-C/ Kleinbild</v>
      </c>
      <c r="K358" s="45">
        <f>getWeightAsDouble('RawData (GH)'!I358)</f>
        <v>380</v>
      </c>
      <c r="L358" s="34">
        <f>getSizeDiameter('RawData (GH)'!J358)</f>
        <v>55</v>
      </c>
      <c r="M358" s="34">
        <f>getSizeLength('RawData (GH)'!J358)</f>
        <v>122</v>
      </c>
    </row>
    <row r="359" spans="1:13" x14ac:dyDescent="0.25">
      <c r="A359" t="str">
        <f>'RawData (GH)'!A359</f>
        <v>Meyer Optik Görlitz Trimagon 95mm 2.6 für Leica L schwarz</v>
      </c>
      <c r="B359" s="5">
        <f>getFocalLengthStart('RawData (GH)'!B359)</f>
        <v>95</v>
      </c>
      <c r="C359" s="5">
        <f>getFocalLengthEnd('RawData (GH)'!B359)</f>
        <v>95</v>
      </c>
      <c r="D359" s="9">
        <f>getApertureStart('RawData (GH)'!C359)</f>
        <v>2.6</v>
      </c>
      <c r="E359" s="9">
        <f>getApertureEnd('RawData (GH)'!C359)</f>
        <v>2.6</v>
      </c>
      <c r="F359" s="2">
        <f>getFiltersizeAsDouble('RawData (GH)'!D359)</f>
        <v>52</v>
      </c>
      <c r="G359" s="35">
        <f>getMagnification('RawData (GH)'!E359)</f>
        <v>0</v>
      </c>
      <c r="H359" s="62">
        <f>getMinimalFocus('RawData (GH)'!F359)</f>
        <v>0</v>
      </c>
      <c r="I359" t="str">
        <f>getMount('RawData (GH)'!G359)</f>
        <v>Leica L</v>
      </c>
      <c r="J359" t="str">
        <f>getSensorCompatibility('RawData (GH)'!H359)</f>
        <v>APS-C/ Kleinbild</v>
      </c>
      <c r="K359" s="45">
        <f>getWeightAsDouble('RawData (GH)'!I359)</f>
        <v>380</v>
      </c>
      <c r="L359" s="34">
        <f>getSizeDiameter('RawData (GH)'!J359)</f>
        <v>55</v>
      </c>
      <c r="M359" s="34">
        <f>getSizeLength('RawData (GH)'!J359)</f>
        <v>122</v>
      </c>
    </row>
    <row r="360" spans="1:13" x14ac:dyDescent="0.25">
      <c r="A360" t="str">
        <f>'RawData (GH)'!A360</f>
        <v>Meyer Optik Görlitz Trimagon 95mm 2.6 für Leica M schwarz</v>
      </c>
      <c r="B360" s="5">
        <f>getFocalLengthStart('RawData (GH)'!B360)</f>
        <v>95</v>
      </c>
      <c r="C360" s="5">
        <f>getFocalLengthEnd('RawData (GH)'!B360)</f>
        <v>95</v>
      </c>
      <c r="D360" s="9">
        <f>getApertureStart('RawData (GH)'!C360)</f>
        <v>2.6</v>
      </c>
      <c r="E360" s="9">
        <f>getApertureEnd('RawData (GH)'!C360)</f>
        <v>2.6</v>
      </c>
      <c r="F360" s="2">
        <f>getFiltersizeAsDouble('RawData (GH)'!D360)</f>
        <v>52</v>
      </c>
      <c r="G360" s="35">
        <f>getMagnification('RawData (GH)'!E360)</f>
        <v>0</v>
      </c>
      <c r="H360" s="62">
        <f>getMinimalFocus('RawData (GH)'!F360)</f>
        <v>0</v>
      </c>
      <c r="I360" t="str">
        <f>getMount('RawData (GH)'!G360)</f>
        <v>Leica M</v>
      </c>
      <c r="J360" t="str">
        <f>getSensorCompatibility('RawData (GH)'!H360)</f>
        <v>APS-C/ Kleinbild</v>
      </c>
      <c r="K360" s="45">
        <f>getWeightAsDouble('RawData (GH)'!I360)</f>
        <v>380</v>
      </c>
      <c r="L360" s="34">
        <f>getSizeDiameter('RawData (GH)'!J360)</f>
        <v>55</v>
      </c>
      <c r="M360" s="34">
        <f>getSizeLength('RawData (GH)'!J360)</f>
        <v>122</v>
      </c>
    </row>
    <row r="361" spans="1:13" x14ac:dyDescent="0.25">
      <c r="A361" t="str">
        <f>'RawData (GH)'!A361</f>
        <v>Meyer Optik Görlitz Trimagon 95mm 2.6 für Micro-Four-Thirds schwarz</v>
      </c>
      <c r="B361" s="5">
        <f>getFocalLengthStart('RawData (GH)'!B361)</f>
        <v>95</v>
      </c>
      <c r="C361" s="5">
        <f>getFocalLengthEnd('RawData (GH)'!B361)</f>
        <v>95</v>
      </c>
      <c r="D361" s="9">
        <f>getApertureStart('RawData (GH)'!C361)</f>
        <v>2.6</v>
      </c>
      <c r="E361" s="9">
        <f>getApertureEnd('RawData (GH)'!C361)</f>
        <v>2.6</v>
      </c>
      <c r="F361" s="2">
        <f>getFiltersizeAsDouble('RawData (GH)'!D361)</f>
        <v>52</v>
      </c>
      <c r="G361" s="35">
        <f>getMagnification('RawData (GH)'!E361)</f>
        <v>0</v>
      </c>
      <c r="H361" s="62">
        <f>getMinimalFocus('RawData (GH)'!F361)</f>
        <v>0</v>
      </c>
      <c r="I361" t="str">
        <f>getMount('RawData (GH)'!G361)</f>
        <v>Micro-Four-Thirds</v>
      </c>
      <c r="J361" t="str">
        <f>getSensorCompatibility('RawData (GH)'!H361)</f>
        <v>APS-C/ Kleinbild</v>
      </c>
      <c r="K361" s="45">
        <f>getWeightAsDouble('RawData (GH)'!I361)</f>
        <v>380</v>
      </c>
      <c r="L361" s="34">
        <f>getSizeDiameter('RawData (GH)'!J361)</f>
        <v>55</v>
      </c>
      <c r="M361" s="34">
        <f>getSizeLength('RawData (GH)'!J361)</f>
        <v>122</v>
      </c>
    </row>
    <row r="362" spans="1:13" x14ac:dyDescent="0.25">
      <c r="A362" t="str">
        <f>'RawData (GH)'!A362</f>
        <v>Meyer Optik Görlitz Trimagon 95mm 2.6 für Nikon F schwarz</v>
      </c>
      <c r="B362" s="5">
        <f>getFocalLengthStart('RawData (GH)'!B362)</f>
        <v>95</v>
      </c>
      <c r="C362" s="5">
        <f>getFocalLengthEnd('RawData (GH)'!B362)</f>
        <v>95</v>
      </c>
      <c r="D362" s="9">
        <f>getApertureStart('RawData (GH)'!C362)</f>
        <v>2.6</v>
      </c>
      <c r="E362" s="9">
        <f>getApertureEnd('RawData (GH)'!C362)</f>
        <v>2.6</v>
      </c>
      <c r="F362" s="2">
        <f>getFiltersizeAsDouble('RawData (GH)'!D362)</f>
        <v>52</v>
      </c>
      <c r="G362" s="35">
        <f>getMagnification('RawData (GH)'!E362)</f>
        <v>0</v>
      </c>
      <c r="H362" s="62">
        <f>getMinimalFocus('RawData (GH)'!F362)</f>
        <v>0</v>
      </c>
      <c r="I362" t="str">
        <f>getMount('RawData (GH)'!G362)</f>
        <v>Nikon F</v>
      </c>
      <c r="J362" t="str">
        <f>getSensorCompatibility('RawData (GH)'!H362)</f>
        <v>APS-C/ Kleinbild</v>
      </c>
      <c r="K362" s="45">
        <f>getWeightAsDouble('RawData (GH)'!I362)</f>
        <v>380</v>
      </c>
      <c r="L362" s="34">
        <f>getSizeDiameter('RawData (GH)'!J362)</f>
        <v>55</v>
      </c>
      <c r="M362" s="34">
        <f>getSizeLength('RawData (GH)'!J362)</f>
        <v>122</v>
      </c>
    </row>
    <row r="363" spans="1:13" x14ac:dyDescent="0.25">
      <c r="A363" t="str">
        <f>'RawData (GH)'!A363</f>
        <v>Meyer Optik Görlitz Trimagon 95mm 2.6 für Sony E schwarz</v>
      </c>
      <c r="B363" s="5">
        <f>getFocalLengthStart('RawData (GH)'!B363)</f>
        <v>95</v>
      </c>
      <c r="C363" s="5">
        <f>getFocalLengthEnd('RawData (GH)'!B363)</f>
        <v>95</v>
      </c>
      <c r="D363" s="9">
        <f>getApertureStart('RawData (GH)'!C363)</f>
        <v>2.6</v>
      </c>
      <c r="E363" s="9">
        <f>getApertureEnd('RawData (GH)'!C363)</f>
        <v>2.6</v>
      </c>
      <c r="F363" s="2">
        <f>getFiltersizeAsDouble('RawData (GH)'!D363)</f>
        <v>52</v>
      </c>
      <c r="G363" s="35">
        <f>getMagnification('RawData (GH)'!E363)</f>
        <v>0</v>
      </c>
      <c r="H363" s="62">
        <f>getMinimalFocus('RawData (GH)'!F363)</f>
        <v>0</v>
      </c>
      <c r="I363" t="str">
        <f>getMount('RawData (GH)'!G363)</f>
        <v>Sony E</v>
      </c>
      <c r="J363" t="str">
        <f>getSensorCompatibility('RawData (GH)'!H363)</f>
        <v>APS-C/ Kleinbild</v>
      </c>
      <c r="K363" s="45">
        <f>getWeightAsDouble('RawData (GH)'!I363)</f>
        <v>380</v>
      </c>
      <c r="L363" s="34">
        <f>getSizeDiameter('RawData (GH)'!J363)</f>
        <v>55</v>
      </c>
      <c r="M363" s="34">
        <f>getSizeLength('RawData (GH)'!J363)</f>
        <v>122</v>
      </c>
    </row>
    <row r="364" spans="1:13" x14ac:dyDescent="0.25">
      <c r="A364" t="str">
        <f>'RawData (GH)'!A364</f>
        <v>Meyer Optik Görlitz Trioplan 100mm 2.8 für Canon EF schwarz</v>
      </c>
      <c r="B364" s="5">
        <f>getFocalLengthStart('RawData (GH)'!B364)</f>
        <v>100</v>
      </c>
      <c r="C364" s="5">
        <f>getFocalLengthEnd('RawData (GH)'!B364)</f>
        <v>100</v>
      </c>
      <c r="D364" s="9">
        <f>getApertureStart('RawData (GH)'!C364)</f>
        <v>2.8</v>
      </c>
      <c r="E364" s="9">
        <f>getApertureEnd('RawData (GH)'!C364)</f>
        <v>2.8</v>
      </c>
      <c r="F364" s="2">
        <f>getFiltersizeAsDouble('RawData (GH)'!D364)</f>
        <v>52</v>
      </c>
      <c r="G364" s="35">
        <f>getMagnification('RawData (GH)'!E364)</f>
        <v>0</v>
      </c>
      <c r="H364" s="62">
        <f>getMinimalFocus('RawData (GH)'!F364)</f>
        <v>0</v>
      </c>
      <c r="I364" t="str">
        <f>getMount('RawData (GH)'!G364)</f>
        <v>Canon EF</v>
      </c>
      <c r="J364" t="str">
        <f>getSensorCompatibility('RawData (GH)'!H364)</f>
        <v>APS-C/ Kleinbild</v>
      </c>
      <c r="K364" s="45">
        <f>getWeightAsDouble('RawData (GH)'!I364)</f>
        <v>800</v>
      </c>
      <c r="L364" s="34">
        <f>getSizeDiameter('RawData (GH)'!J364)</f>
        <v>0</v>
      </c>
      <c r="M364" s="34">
        <f>getSizeLength('RawData (GH)'!J364)</f>
        <v>0</v>
      </c>
    </row>
    <row r="365" spans="1:13" x14ac:dyDescent="0.25">
      <c r="A365" t="str">
        <f>'RawData (GH)'!A365</f>
        <v>Meyer Optik Görlitz Trioplan 100mm 2.8 für Fujifilm X schwarz</v>
      </c>
      <c r="B365" s="5">
        <f>getFocalLengthStart('RawData (GH)'!B365)</f>
        <v>100</v>
      </c>
      <c r="C365" s="5">
        <f>getFocalLengthEnd('RawData (GH)'!B365)</f>
        <v>100</v>
      </c>
      <c r="D365" s="9">
        <f>getApertureStart('RawData (GH)'!C365)</f>
        <v>2.8</v>
      </c>
      <c r="E365" s="9">
        <f>getApertureEnd('RawData (GH)'!C365)</f>
        <v>2.8</v>
      </c>
      <c r="F365" s="2">
        <f>getFiltersizeAsDouble('RawData (GH)'!D365)</f>
        <v>52</v>
      </c>
      <c r="G365" s="35">
        <f>getMagnification('RawData (GH)'!E365)</f>
        <v>0</v>
      </c>
      <c r="H365" s="62">
        <f>getMinimalFocus('RawData (GH)'!F365)</f>
        <v>0</v>
      </c>
      <c r="I365" t="str">
        <f>getMount('RawData (GH)'!G365)</f>
        <v>Fujifilm X</v>
      </c>
      <c r="J365" t="str">
        <f>getSensorCompatibility('RawData (GH)'!H365)</f>
        <v>APS-C/ Kleinbild</v>
      </c>
      <c r="K365" s="45">
        <f>getWeightAsDouble('RawData (GH)'!I365)</f>
        <v>800</v>
      </c>
      <c r="L365" s="34">
        <f>getSizeDiameter('RawData (GH)'!J365)</f>
        <v>0</v>
      </c>
      <c r="M365" s="34">
        <f>getSizeLength('RawData (GH)'!J365)</f>
        <v>0</v>
      </c>
    </row>
    <row r="366" spans="1:13" x14ac:dyDescent="0.25">
      <c r="A366" t="str">
        <f>'RawData (GH)'!A366</f>
        <v>Meyer Optik Görlitz Trioplan 100mm 2.8 für Leica M schwarz</v>
      </c>
      <c r="B366" s="5">
        <f>getFocalLengthStart('RawData (GH)'!B366)</f>
        <v>100</v>
      </c>
      <c r="C366" s="5">
        <f>getFocalLengthEnd('RawData (GH)'!B366)</f>
        <v>100</v>
      </c>
      <c r="D366" s="9">
        <f>getApertureStart('RawData (GH)'!C366)</f>
        <v>2.8</v>
      </c>
      <c r="E366" s="9">
        <f>getApertureEnd('RawData (GH)'!C366)</f>
        <v>2.8</v>
      </c>
      <c r="F366" s="2">
        <f>getFiltersizeAsDouble('RawData (GH)'!D366)</f>
        <v>52</v>
      </c>
      <c r="G366" s="35">
        <f>getMagnification('RawData (GH)'!E366)</f>
        <v>0</v>
      </c>
      <c r="H366" s="62">
        <f>getMinimalFocus('RawData (GH)'!F366)</f>
        <v>0</v>
      </c>
      <c r="I366" t="str">
        <f>getMount('RawData (GH)'!G366)</f>
        <v>Leica M</v>
      </c>
      <c r="J366" t="str">
        <f>getSensorCompatibility('RawData (GH)'!H366)</f>
        <v>APS-C/ Kleinbild</v>
      </c>
      <c r="K366" s="45">
        <f>getWeightAsDouble('RawData (GH)'!I366)</f>
        <v>800</v>
      </c>
      <c r="L366" s="34">
        <f>getSizeDiameter('RawData (GH)'!J366)</f>
        <v>0</v>
      </c>
      <c r="M366" s="34">
        <f>getSizeLength('RawData (GH)'!J366)</f>
        <v>0</v>
      </c>
    </row>
    <row r="367" spans="1:13" x14ac:dyDescent="0.25">
      <c r="A367" t="str">
        <f>'RawData (GH)'!A367</f>
        <v>Meyer Optik Görlitz Trioplan 100mm 2.8 für M42 schwarz</v>
      </c>
      <c r="B367" s="5">
        <f>getFocalLengthStart('RawData (GH)'!B367)</f>
        <v>100</v>
      </c>
      <c r="C367" s="5">
        <f>getFocalLengthEnd('RawData (GH)'!B367)</f>
        <v>100</v>
      </c>
      <c r="D367" s="9">
        <f>getApertureStart('RawData (GH)'!C367)</f>
        <v>2.8</v>
      </c>
      <c r="E367" s="9">
        <f>getApertureEnd('RawData (GH)'!C367)</f>
        <v>2.8</v>
      </c>
      <c r="F367" s="2">
        <f>getFiltersizeAsDouble('RawData (GH)'!D367)</f>
        <v>52</v>
      </c>
      <c r="G367" s="35">
        <f>getMagnification('RawData (GH)'!E367)</f>
        <v>0</v>
      </c>
      <c r="H367" s="62">
        <f>getMinimalFocus('RawData (GH)'!F367)</f>
        <v>0</v>
      </c>
      <c r="I367" t="str">
        <f>getMount('RawData (GH)'!G367)</f>
        <v>M42</v>
      </c>
      <c r="J367" t="str">
        <f>getSensorCompatibility('RawData (GH)'!H367)</f>
        <v>APS-C/ Kleinbild</v>
      </c>
      <c r="K367" s="45">
        <f>getWeightAsDouble('RawData (GH)'!I367)</f>
        <v>800</v>
      </c>
      <c r="L367" s="34">
        <f>getSizeDiameter('RawData (GH)'!J367)</f>
        <v>0</v>
      </c>
      <c r="M367" s="34">
        <f>getSizeLength('RawData (GH)'!J367)</f>
        <v>0</v>
      </c>
    </row>
    <row r="368" spans="1:13" x14ac:dyDescent="0.25">
      <c r="A368" t="str">
        <f>'RawData (GH)'!A368</f>
        <v>Meyer Optik Görlitz Trioplan 100mm 2.8 für Micro-Four-Thirds schwarz</v>
      </c>
      <c r="B368" s="5">
        <f>getFocalLengthStart('RawData (GH)'!B368)</f>
        <v>100</v>
      </c>
      <c r="C368" s="5">
        <f>getFocalLengthEnd('RawData (GH)'!B368)</f>
        <v>100</v>
      </c>
      <c r="D368" s="9">
        <f>getApertureStart('RawData (GH)'!C368)</f>
        <v>2.8</v>
      </c>
      <c r="E368" s="9">
        <f>getApertureEnd('RawData (GH)'!C368)</f>
        <v>2.8</v>
      </c>
      <c r="F368" s="2">
        <f>getFiltersizeAsDouble('RawData (GH)'!D368)</f>
        <v>52</v>
      </c>
      <c r="G368" s="35">
        <f>getMagnification('RawData (GH)'!E368)</f>
        <v>0</v>
      </c>
      <c r="H368" s="62">
        <f>getMinimalFocus('RawData (GH)'!F368)</f>
        <v>0</v>
      </c>
      <c r="I368" t="str">
        <f>getMount('RawData (GH)'!G368)</f>
        <v>Micro-Four-Thirds</v>
      </c>
      <c r="J368" t="str">
        <f>getSensorCompatibility('RawData (GH)'!H368)</f>
        <v>APS-C/ Kleinbild</v>
      </c>
      <c r="K368" s="45">
        <f>getWeightAsDouble('RawData (GH)'!I368)</f>
        <v>800</v>
      </c>
      <c r="L368" s="34">
        <f>getSizeDiameter('RawData (GH)'!J368)</f>
        <v>0</v>
      </c>
      <c r="M368" s="34">
        <f>getSizeLength('RawData (GH)'!J368)</f>
        <v>0</v>
      </c>
    </row>
    <row r="369" spans="1:13" x14ac:dyDescent="0.25">
      <c r="A369" t="str">
        <f>'RawData (GH)'!A369</f>
        <v>Meyer Optik Görlitz Trioplan 100mm 2.8 für Nikon F schwarz</v>
      </c>
      <c r="B369" s="5">
        <f>getFocalLengthStart('RawData (GH)'!B369)</f>
        <v>100</v>
      </c>
      <c r="C369" s="5">
        <f>getFocalLengthEnd('RawData (GH)'!B369)</f>
        <v>100</v>
      </c>
      <c r="D369" s="9">
        <f>getApertureStart('RawData (GH)'!C369)</f>
        <v>2.8</v>
      </c>
      <c r="E369" s="9">
        <f>getApertureEnd('RawData (GH)'!C369)</f>
        <v>2.8</v>
      </c>
      <c r="F369" s="2">
        <f>getFiltersizeAsDouble('RawData (GH)'!D369)</f>
        <v>52</v>
      </c>
      <c r="G369" s="35">
        <f>getMagnification('RawData (GH)'!E369)</f>
        <v>0</v>
      </c>
      <c r="H369" s="62">
        <f>getMinimalFocus('RawData (GH)'!F369)</f>
        <v>0</v>
      </c>
      <c r="I369" t="str">
        <f>getMount('RawData (GH)'!G369)</f>
        <v>Nikon F</v>
      </c>
      <c r="J369" t="str">
        <f>getSensorCompatibility('RawData (GH)'!H369)</f>
        <v>APS-C/ Kleinbild</v>
      </c>
      <c r="K369" s="45">
        <f>getWeightAsDouble('RawData (GH)'!I369)</f>
        <v>800</v>
      </c>
      <c r="L369" s="34">
        <f>getSizeDiameter('RawData (GH)'!J369)</f>
        <v>0</v>
      </c>
      <c r="M369" s="34">
        <f>getSizeLength('RawData (GH)'!J369)</f>
        <v>0</v>
      </c>
    </row>
    <row r="370" spans="1:13" x14ac:dyDescent="0.25">
      <c r="A370" t="str">
        <f>'RawData (GH)'!A370</f>
        <v>Meyer Optik Görlitz Trioplan 100mm 2.8 für Pentax K schwarz</v>
      </c>
      <c r="B370" s="5">
        <f>getFocalLengthStart('RawData (GH)'!B370)</f>
        <v>100</v>
      </c>
      <c r="C370" s="5">
        <f>getFocalLengthEnd('RawData (GH)'!B370)</f>
        <v>100</v>
      </c>
      <c r="D370" s="9">
        <f>getApertureStart('RawData (GH)'!C370)</f>
        <v>2.8</v>
      </c>
      <c r="E370" s="9">
        <f>getApertureEnd('RawData (GH)'!C370)</f>
        <v>2.8</v>
      </c>
      <c r="F370" s="2">
        <f>getFiltersizeAsDouble('RawData (GH)'!D370)</f>
        <v>52</v>
      </c>
      <c r="G370" s="35">
        <f>getMagnification('RawData (GH)'!E370)</f>
        <v>0</v>
      </c>
      <c r="H370" s="62">
        <f>getMinimalFocus('RawData (GH)'!F370)</f>
        <v>0</v>
      </c>
      <c r="I370" t="str">
        <f>getMount('RawData (GH)'!G370)</f>
        <v>Pentax K</v>
      </c>
      <c r="J370" t="str">
        <f>getSensorCompatibility('RawData (GH)'!H370)</f>
        <v>APS-C/ Kleinbild</v>
      </c>
      <c r="K370" s="45">
        <f>getWeightAsDouble('RawData (GH)'!I370)</f>
        <v>800</v>
      </c>
      <c r="L370" s="34">
        <f>getSizeDiameter('RawData (GH)'!J370)</f>
        <v>0</v>
      </c>
      <c r="M370" s="34">
        <f>getSizeLength('RawData (GH)'!J370)</f>
        <v>0</v>
      </c>
    </row>
    <row r="371" spans="1:13" x14ac:dyDescent="0.25">
      <c r="A371" t="str">
        <f>'RawData (GH)'!A371</f>
        <v>Meyer Optik Görlitz Trioplan 100mm 2.8 für Sony E schwarz</v>
      </c>
      <c r="B371" s="5">
        <f>getFocalLengthStart('RawData (GH)'!B371)</f>
        <v>100</v>
      </c>
      <c r="C371" s="5">
        <f>getFocalLengthEnd('RawData (GH)'!B371)</f>
        <v>100</v>
      </c>
      <c r="D371" s="9">
        <f>getApertureStart('RawData (GH)'!C371)</f>
        <v>2.8</v>
      </c>
      <c r="E371" s="9">
        <f>getApertureEnd('RawData (GH)'!C371)</f>
        <v>2.8</v>
      </c>
      <c r="F371" s="2">
        <f>getFiltersizeAsDouble('RawData (GH)'!D371)</f>
        <v>52</v>
      </c>
      <c r="G371" s="35">
        <f>getMagnification('RawData (GH)'!E371)</f>
        <v>0</v>
      </c>
      <c r="H371" s="62">
        <f>getMinimalFocus('RawData (GH)'!F371)</f>
        <v>0</v>
      </c>
      <c r="I371" t="str">
        <f>getMount('RawData (GH)'!G371)</f>
        <v>Sony E</v>
      </c>
      <c r="J371" t="str">
        <f>getSensorCompatibility('RawData (GH)'!H371)</f>
        <v>APS-C/ Kleinbild</v>
      </c>
      <c r="K371" s="45">
        <f>getWeightAsDouble('RawData (GH)'!I371)</f>
        <v>800</v>
      </c>
      <c r="L371" s="34">
        <f>getSizeDiameter('RawData (GH)'!J371)</f>
        <v>0</v>
      </c>
      <c r="M371" s="34">
        <f>getSizeLength('RawData (GH)'!J371)</f>
        <v>0</v>
      </c>
    </row>
    <row r="372" spans="1:13" x14ac:dyDescent="0.25">
      <c r="A372" t="str">
        <f>'RawData (GH)'!A372</f>
        <v>Meyer Optik Görlitz Trioplan 50mm 2.9 für Canon EF schwarz</v>
      </c>
      <c r="B372" s="5">
        <f>getFocalLengthStart('RawData (GH)'!B372)</f>
        <v>50</v>
      </c>
      <c r="C372" s="5">
        <f>getFocalLengthEnd('RawData (GH)'!B372)</f>
        <v>50</v>
      </c>
      <c r="D372" s="9">
        <f>getApertureStart('RawData (GH)'!C372)</f>
        <v>2.9</v>
      </c>
      <c r="E372" s="9">
        <f>getApertureEnd('RawData (GH)'!C372)</f>
        <v>2.9</v>
      </c>
      <c r="F372" s="2">
        <f>getFiltersizeAsDouble('RawData (GH)'!D372)</f>
        <v>35.5</v>
      </c>
      <c r="G372" s="35">
        <f>getMagnification('RawData (GH)'!E372)</f>
        <v>0</v>
      </c>
      <c r="H372" s="62">
        <f>getMinimalFocus('RawData (GH)'!F372)</f>
        <v>0</v>
      </c>
      <c r="I372" t="str">
        <f>getMount('RawData (GH)'!G372)</f>
        <v>Canon EF</v>
      </c>
      <c r="J372" t="str">
        <f>getSensorCompatibility('RawData (GH)'!H372)</f>
        <v>APS-C/ Kleinbild</v>
      </c>
      <c r="K372" s="45">
        <f>getWeightAsDouble('RawData (GH)'!I372)</f>
        <v>200</v>
      </c>
      <c r="L372" s="34">
        <f>getSizeDiameter('RawData (GH)'!J372)</f>
        <v>0</v>
      </c>
      <c r="M372" s="34">
        <f>getSizeLength('RawData (GH)'!J372)</f>
        <v>0</v>
      </c>
    </row>
    <row r="373" spans="1:13" x14ac:dyDescent="0.25">
      <c r="A373" t="str">
        <f>'RawData (GH)'!A373</f>
        <v>Meyer Optik Görlitz Trioplan 50mm 2.9 für Fujifilm X schwarz</v>
      </c>
      <c r="B373" s="5">
        <f>getFocalLengthStart('RawData (GH)'!B373)</f>
        <v>50</v>
      </c>
      <c r="C373" s="5">
        <f>getFocalLengthEnd('RawData (GH)'!B373)</f>
        <v>50</v>
      </c>
      <c r="D373" s="9">
        <f>getApertureStart('RawData (GH)'!C373)</f>
        <v>2.9</v>
      </c>
      <c r="E373" s="9">
        <f>getApertureEnd('RawData (GH)'!C373)</f>
        <v>2.9</v>
      </c>
      <c r="F373" s="2">
        <f>getFiltersizeAsDouble('RawData (GH)'!D373)</f>
        <v>35.5</v>
      </c>
      <c r="G373" s="35">
        <f>getMagnification('RawData (GH)'!E373)</f>
        <v>0</v>
      </c>
      <c r="H373" s="62">
        <f>getMinimalFocus('RawData (GH)'!F373)</f>
        <v>0</v>
      </c>
      <c r="I373" t="str">
        <f>getMount('RawData (GH)'!G373)</f>
        <v>Fujifilm X</v>
      </c>
      <c r="J373" t="str">
        <f>getSensorCompatibility('RawData (GH)'!H373)</f>
        <v>APS-C/ Kleinbild</v>
      </c>
      <c r="K373" s="45">
        <f>getWeightAsDouble('RawData (GH)'!I373)</f>
        <v>200</v>
      </c>
      <c r="L373" s="34">
        <f>getSizeDiameter('RawData (GH)'!J373)</f>
        <v>0</v>
      </c>
      <c r="M373" s="34">
        <f>getSizeLength('RawData (GH)'!J373)</f>
        <v>0</v>
      </c>
    </row>
    <row r="374" spans="1:13" x14ac:dyDescent="0.25">
      <c r="A374" t="str">
        <f>'RawData (GH)'!A374</f>
        <v>Meyer Optik Görlitz Trioplan 50mm 2.9 für Leica M schwarz</v>
      </c>
      <c r="B374" s="5">
        <f>getFocalLengthStart('RawData (GH)'!B374)</f>
        <v>50</v>
      </c>
      <c r="C374" s="5">
        <f>getFocalLengthEnd('RawData (GH)'!B374)</f>
        <v>50</v>
      </c>
      <c r="D374" s="9">
        <f>getApertureStart('RawData (GH)'!C374)</f>
        <v>2.9</v>
      </c>
      <c r="E374" s="9">
        <f>getApertureEnd('RawData (GH)'!C374)</f>
        <v>2.9</v>
      </c>
      <c r="F374" s="2">
        <f>getFiltersizeAsDouble('RawData (GH)'!D374)</f>
        <v>35.5</v>
      </c>
      <c r="G374" s="35">
        <f>getMagnification('RawData (GH)'!E374)</f>
        <v>0</v>
      </c>
      <c r="H374" s="62">
        <f>getMinimalFocus('RawData (GH)'!F374)</f>
        <v>0</v>
      </c>
      <c r="I374" t="str">
        <f>getMount('RawData (GH)'!G374)</f>
        <v>Leica M</v>
      </c>
      <c r="J374" t="str">
        <f>getSensorCompatibility('RawData (GH)'!H374)</f>
        <v>APS-C/ Kleinbild</v>
      </c>
      <c r="K374" s="45">
        <f>getWeightAsDouble('RawData (GH)'!I374)</f>
        <v>200</v>
      </c>
      <c r="L374" s="34">
        <f>getSizeDiameter('RawData (GH)'!J374)</f>
        <v>0</v>
      </c>
      <c r="M374" s="34">
        <f>getSizeLength('RawData (GH)'!J374)</f>
        <v>0</v>
      </c>
    </row>
    <row r="375" spans="1:13" x14ac:dyDescent="0.25">
      <c r="A375" t="str">
        <f>'RawData (GH)'!A375</f>
        <v>Meyer Optik Görlitz Trioplan 50mm 2.9 für M42 schwarz</v>
      </c>
      <c r="B375" s="5">
        <f>getFocalLengthStart('RawData (GH)'!B375)</f>
        <v>50</v>
      </c>
      <c r="C375" s="5">
        <f>getFocalLengthEnd('RawData (GH)'!B375)</f>
        <v>50</v>
      </c>
      <c r="D375" s="9">
        <f>getApertureStart('RawData (GH)'!C375)</f>
        <v>2.9</v>
      </c>
      <c r="E375" s="9">
        <f>getApertureEnd('RawData (GH)'!C375)</f>
        <v>2.9</v>
      </c>
      <c r="F375" s="2">
        <f>getFiltersizeAsDouble('RawData (GH)'!D375)</f>
        <v>35.5</v>
      </c>
      <c r="G375" s="35">
        <f>getMagnification('RawData (GH)'!E375)</f>
        <v>0</v>
      </c>
      <c r="H375" s="62">
        <f>getMinimalFocus('RawData (GH)'!F375)</f>
        <v>0</v>
      </c>
      <c r="I375" t="str">
        <f>getMount('RawData (GH)'!G375)</f>
        <v>M42</v>
      </c>
      <c r="J375" t="str">
        <f>getSensorCompatibility('RawData (GH)'!H375)</f>
        <v>APS-C/ Kleinbild</v>
      </c>
      <c r="K375" s="45">
        <f>getWeightAsDouble('RawData (GH)'!I375)</f>
        <v>200</v>
      </c>
      <c r="L375" s="34">
        <f>getSizeDiameter('RawData (GH)'!J375)</f>
        <v>0</v>
      </c>
      <c r="M375" s="34">
        <f>getSizeLength('RawData (GH)'!J375)</f>
        <v>0</v>
      </c>
    </row>
    <row r="376" spans="1:13" x14ac:dyDescent="0.25">
      <c r="A376" t="str">
        <f>'RawData (GH)'!A376</f>
        <v>Meyer Optik Görlitz Trioplan 50mm 2.9 für Nikon F schwarz</v>
      </c>
      <c r="B376" s="5">
        <f>getFocalLengthStart('RawData (GH)'!B376)</f>
        <v>50</v>
      </c>
      <c r="C376" s="5">
        <f>getFocalLengthEnd('RawData (GH)'!B376)</f>
        <v>50</v>
      </c>
      <c r="D376" s="9">
        <f>getApertureStart('RawData (GH)'!C376)</f>
        <v>2.9</v>
      </c>
      <c r="E376" s="9">
        <f>getApertureEnd('RawData (GH)'!C376)</f>
        <v>2.9</v>
      </c>
      <c r="F376" s="2">
        <f>getFiltersizeAsDouble('RawData (GH)'!D376)</f>
        <v>35.5</v>
      </c>
      <c r="G376" s="35">
        <f>getMagnification('RawData (GH)'!E376)</f>
        <v>0</v>
      </c>
      <c r="H376" s="62">
        <f>getMinimalFocus('RawData (GH)'!F376)</f>
        <v>0</v>
      </c>
      <c r="I376" t="str">
        <f>getMount('RawData (GH)'!G376)</f>
        <v>Nikon F</v>
      </c>
      <c r="J376" t="str">
        <f>getSensorCompatibility('RawData (GH)'!H376)</f>
        <v>APS-C/ Kleinbild</v>
      </c>
      <c r="K376" s="45">
        <f>getWeightAsDouble('RawData (GH)'!I376)</f>
        <v>200</v>
      </c>
      <c r="L376" s="34">
        <f>getSizeDiameter('RawData (GH)'!J376)</f>
        <v>0</v>
      </c>
      <c r="M376" s="34">
        <f>getSizeLength('RawData (GH)'!J376)</f>
        <v>0</v>
      </c>
    </row>
    <row r="377" spans="1:13" x14ac:dyDescent="0.25">
      <c r="A377" t="str">
        <f>'RawData (GH)'!A377</f>
        <v>Meyer Optik Görlitz Trioplan 50mm 2.9 für Sony E schwarz</v>
      </c>
      <c r="B377" s="5">
        <f>getFocalLengthStart('RawData (GH)'!B377)</f>
        <v>50</v>
      </c>
      <c r="C377" s="5">
        <f>getFocalLengthEnd('RawData (GH)'!B377)</f>
        <v>50</v>
      </c>
      <c r="D377" s="9">
        <f>getApertureStart('RawData (GH)'!C377)</f>
        <v>2.9</v>
      </c>
      <c r="E377" s="9">
        <f>getApertureEnd('RawData (GH)'!C377)</f>
        <v>2.9</v>
      </c>
      <c r="F377" s="2">
        <f>getFiltersizeAsDouble('RawData (GH)'!D377)</f>
        <v>35.5</v>
      </c>
      <c r="G377" s="35">
        <f>getMagnification('RawData (GH)'!E377)</f>
        <v>0</v>
      </c>
      <c r="H377" s="62">
        <f>getMinimalFocus('RawData (GH)'!F377)</f>
        <v>0</v>
      </c>
      <c r="I377" t="str">
        <f>getMount('RawData (GH)'!G377)</f>
        <v>Sony E</v>
      </c>
      <c r="J377" t="str">
        <f>getSensorCompatibility('RawData (GH)'!H377)</f>
        <v>APS-C/ Kleinbild</v>
      </c>
      <c r="K377" s="45">
        <f>getWeightAsDouble('RawData (GH)'!I377)</f>
        <v>200</v>
      </c>
      <c r="L377" s="34">
        <f>getSizeDiameter('RawData (GH)'!J377)</f>
        <v>0</v>
      </c>
      <c r="M377" s="34">
        <f>getSizeLength('RawData (GH)'!J377)</f>
        <v>0</v>
      </c>
    </row>
    <row r="378" spans="1:13" x14ac:dyDescent="0.25">
      <c r="A378" t="str">
        <f>'RawData (GH)'!A378</f>
        <v>Mitakon Creator 135mm 2.8 II für Canon EF schwarz</v>
      </c>
      <c r="B378" s="5">
        <f>getFocalLengthStart('RawData (GH)'!B378)</f>
        <v>135</v>
      </c>
      <c r="C378" s="5">
        <f>getFocalLengthEnd('RawData (GH)'!B378)</f>
        <v>135</v>
      </c>
      <c r="D378" s="9">
        <f>getApertureStart('RawData (GH)'!C378)</f>
        <v>2.8</v>
      </c>
      <c r="E378" s="9">
        <f>getApertureEnd('RawData (GH)'!C378)</f>
        <v>2.8</v>
      </c>
      <c r="F378" s="2">
        <f>getFiltersizeAsDouble('RawData (GH)'!D378)</f>
        <v>0</v>
      </c>
      <c r="G378" s="35">
        <f>getMagnification('RawData (GH)'!E378)</f>
        <v>0</v>
      </c>
      <c r="H378" s="62">
        <f>getMinimalFocus('RawData (GH)'!F378)</f>
        <v>0</v>
      </c>
      <c r="I378" t="str">
        <f>getMount('RawData (GH)'!G378)</f>
        <v>Canon EF</v>
      </c>
      <c r="J378" t="str">
        <f>getSensorCompatibility('RawData (GH)'!H378)</f>
        <v>APS-C/ Kleinbild</v>
      </c>
      <c r="K378" s="45">
        <f>getWeightAsDouble('RawData (GH)'!I378)</f>
        <v>700</v>
      </c>
      <c r="L378" s="34">
        <f>getSizeDiameter('RawData (GH)'!J378)</f>
        <v>0</v>
      </c>
      <c r="M378" s="34">
        <f>getSizeLength('RawData (GH)'!J378)</f>
        <v>0</v>
      </c>
    </row>
    <row r="379" spans="1:13" x14ac:dyDescent="0.25">
      <c r="A379" t="str">
        <f>'RawData (GH)'!A379</f>
        <v>Mitakon Creator 85mm 2.0 für Canon EF schwarz</v>
      </c>
      <c r="B379" s="5">
        <f>getFocalLengthStart('RawData (GH)'!B379)</f>
        <v>85</v>
      </c>
      <c r="C379" s="5">
        <f>getFocalLengthEnd('RawData (GH)'!B379)</f>
        <v>85</v>
      </c>
      <c r="D379" s="9">
        <f>getApertureStart('RawData (GH)'!C379)</f>
        <v>2</v>
      </c>
      <c r="E379" s="9">
        <f>getApertureEnd('RawData (GH)'!C379)</f>
        <v>2</v>
      </c>
      <c r="F379" s="2">
        <f>getFiltersizeAsDouble('RawData (GH)'!D379)</f>
        <v>0</v>
      </c>
      <c r="G379" s="35">
        <f>getMagnification('RawData (GH)'!E379)</f>
        <v>0</v>
      </c>
      <c r="H379" s="62">
        <f>getMinimalFocus('RawData (GH)'!F379)</f>
        <v>0</v>
      </c>
      <c r="I379" t="str">
        <f>getMount('RawData (GH)'!G379)</f>
        <v>Canon EF</v>
      </c>
      <c r="J379" t="str">
        <f>getSensorCompatibility('RawData (GH)'!H379)</f>
        <v>APS-C/ Kleinbild</v>
      </c>
      <c r="K379" s="45">
        <f>getWeightAsDouble('RawData (GH)'!I379)</f>
        <v>370</v>
      </c>
      <c r="L379" s="34">
        <f>getSizeDiameter('RawData (GH)'!J379)</f>
        <v>0</v>
      </c>
      <c r="M379" s="34">
        <f>getSizeLength('RawData (GH)'!J379)</f>
        <v>0</v>
      </c>
    </row>
    <row r="380" spans="1:13" x14ac:dyDescent="0.25">
      <c r="A380" t="str">
        <f>'RawData (GH)'!A380</f>
        <v>Mitakon Creator 85mm 2.0 für Nikon F schwarz</v>
      </c>
      <c r="B380" s="5">
        <f>getFocalLengthStart('RawData (GH)'!B380)</f>
        <v>85</v>
      </c>
      <c r="C380" s="5">
        <f>getFocalLengthEnd('RawData (GH)'!B380)</f>
        <v>85</v>
      </c>
      <c r="D380" s="9">
        <f>getApertureStart('RawData (GH)'!C380)</f>
        <v>2</v>
      </c>
      <c r="E380" s="9">
        <f>getApertureEnd('RawData (GH)'!C380)</f>
        <v>2</v>
      </c>
      <c r="F380" s="2">
        <f>getFiltersizeAsDouble('RawData (GH)'!D380)</f>
        <v>0</v>
      </c>
      <c r="G380" s="35">
        <f>getMagnification('RawData (GH)'!E380)</f>
        <v>0</v>
      </c>
      <c r="H380" s="62">
        <f>getMinimalFocus('RawData (GH)'!F380)</f>
        <v>0</v>
      </c>
      <c r="I380" t="str">
        <f>getMount('RawData (GH)'!G380)</f>
        <v>Nikon F</v>
      </c>
      <c r="J380" t="str">
        <f>getSensorCompatibility('RawData (GH)'!H380)</f>
        <v>APS-C/ Kleinbild</v>
      </c>
      <c r="K380" s="45">
        <f>getWeightAsDouble('RawData (GH)'!I380)</f>
        <v>370</v>
      </c>
      <c r="L380" s="34">
        <f>getSizeDiameter('RawData (GH)'!J380)</f>
        <v>0</v>
      </c>
      <c r="M380" s="34">
        <f>getSizeLength('RawData (GH)'!J380)</f>
        <v>0</v>
      </c>
    </row>
    <row r="381" spans="1:13" x14ac:dyDescent="0.25">
      <c r="A381" t="str">
        <f>'RawData (GH)'!A381</f>
        <v>Mitakon Creator 85mm 2.0 für Pentax K schwarz</v>
      </c>
      <c r="B381" s="5">
        <f>getFocalLengthStart('RawData (GH)'!B381)</f>
        <v>85</v>
      </c>
      <c r="C381" s="5">
        <f>getFocalLengthEnd('RawData (GH)'!B381)</f>
        <v>85</v>
      </c>
      <c r="D381" s="9">
        <f>getApertureStart('RawData (GH)'!C381)</f>
        <v>2</v>
      </c>
      <c r="E381" s="9">
        <f>getApertureEnd('RawData (GH)'!C381)</f>
        <v>2</v>
      </c>
      <c r="F381" s="2">
        <f>getFiltersizeAsDouble('RawData (GH)'!D381)</f>
        <v>0</v>
      </c>
      <c r="G381" s="35">
        <f>getMagnification('RawData (GH)'!E381)</f>
        <v>0</v>
      </c>
      <c r="H381" s="62">
        <f>getMinimalFocus('RawData (GH)'!F381)</f>
        <v>0</v>
      </c>
      <c r="I381" t="str">
        <f>getMount('RawData (GH)'!G381)</f>
        <v>Pentax K</v>
      </c>
      <c r="J381" t="str">
        <f>getSensorCompatibility('RawData (GH)'!H381)</f>
        <v>APS-C/ Kleinbild</v>
      </c>
      <c r="K381" s="45">
        <f>getWeightAsDouble('RawData (GH)'!I381)</f>
        <v>370</v>
      </c>
      <c r="L381" s="34">
        <f>getSizeDiameter('RawData (GH)'!J381)</f>
        <v>0</v>
      </c>
      <c r="M381" s="34">
        <f>getSizeLength('RawData (GH)'!J381)</f>
        <v>0</v>
      </c>
    </row>
    <row r="382" spans="1:13" x14ac:dyDescent="0.25">
      <c r="A382" t="str">
        <f>'RawData (GH)'!A382</f>
        <v>Mitakon Speedmaster 25mm 0.95 für Micro-Four-Thirds schwarz</v>
      </c>
      <c r="B382" s="5">
        <f>getFocalLengthStart('RawData (GH)'!B382)</f>
        <v>25</v>
      </c>
      <c r="C382" s="5">
        <f>getFocalLengthEnd('RawData (GH)'!B382)</f>
        <v>25</v>
      </c>
      <c r="D382" s="9">
        <f>getApertureStart('RawData (GH)'!C382)</f>
        <v>0.95</v>
      </c>
      <c r="E382" s="9">
        <f>getApertureEnd('RawData (GH)'!C382)</f>
        <v>0.95</v>
      </c>
      <c r="F382" s="2">
        <f>getFiltersizeAsDouble('RawData (GH)'!D382)</f>
        <v>43</v>
      </c>
      <c r="G382" s="35">
        <f>getMagnification('RawData (GH)'!E382)</f>
        <v>0</v>
      </c>
      <c r="H382" s="62">
        <f>getMinimalFocus('RawData (GH)'!F382)</f>
        <v>0</v>
      </c>
      <c r="I382" t="str">
        <f>getMount('RawData (GH)'!G382)</f>
        <v>Micro-Four-Thirds</v>
      </c>
      <c r="J382" t="str">
        <f>getSensorCompatibility('RawData (GH)'!H382)</f>
        <v>Micro-Four-Thirds</v>
      </c>
      <c r="K382" s="45">
        <f>getWeightAsDouble('RawData (GH)'!I382)</f>
        <v>230</v>
      </c>
      <c r="L382" s="34">
        <f>getSizeDiameter('RawData (GH)'!J382)</f>
        <v>60</v>
      </c>
      <c r="M382" s="34">
        <f>getSizeLength('RawData (GH)'!J382)</f>
        <v>45</v>
      </c>
    </row>
    <row r="383" spans="1:13" x14ac:dyDescent="0.25">
      <c r="A383" t="str">
        <f>'RawData (GH)'!A383</f>
        <v>Mitakon Speedmaster 35mm 0.95 II für Fujifilm X schwarz</v>
      </c>
      <c r="B383" s="5">
        <f>getFocalLengthStart('RawData (GH)'!B383)</f>
        <v>35</v>
      </c>
      <c r="C383" s="5">
        <f>getFocalLengthEnd('RawData (GH)'!B383)</f>
        <v>35</v>
      </c>
      <c r="D383" s="9">
        <f>getApertureStart('RawData (GH)'!C383)</f>
        <v>0.95</v>
      </c>
      <c r="E383" s="9">
        <f>getApertureEnd('RawData (GH)'!C383)</f>
        <v>0.95</v>
      </c>
      <c r="F383" s="2">
        <f>getFiltersizeAsDouble('RawData (GH)'!D383)</f>
        <v>55</v>
      </c>
      <c r="G383" s="35">
        <f>getMagnification('RawData (GH)'!E383)</f>
        <v>0</v>
      </c>
      <c r="H383" s="62">
        <f>getMinimalFocus('RawData (GH)'!F383)</f>
        <v>0</v>
      </c>
      <c r="I383" t="str">
        <f>getMount('RawData (GH)'!G383)</f>
        <v>Fujifilm X</v>
      </c>
      <c r="J383" t="str">
        <f>getSensorCompatibility('RawData (GH)'!H383)</f>
        <v>APS-C</v>
      </c>
      <c r="K383" s="45">
        <f>getWeightAsDouble('RawData (GH)'!I383)</f>
        <v>460</v>
      </c>
      <c r="L383" s="34">
        <f>getSizeDiameter('RawData (GH)'!J383)</f>
        <v>63</v>
      </c>
      <c r="M383" s="34">
        <f>getSizeLength('RawData (GH)'!J383)</f>
        <v>60</v>
      </c>
    </row>
    <row r="384" spans="1:13" x14ac:dyDescent="0.25">
      <c r="A384" t="str">
        <f>'RawData (GH)'!A384</f>
        <v>Mitakon Speedmaster 35mm 0.95 II für Sony E schwarz</v>
      </c>
      <c r="B384" s="5">
        <f>getFocalLengthStart('RawData (GH)'!B384)</f>
        <v>35</v>
      </c>
      <c r="C384" s="5">
        <f>getFocalLengthEnd('RawData (GH)'!B384)</f>
        <v>35</v>
      </c>
      <c r="D384" s="9">
        <f>getApertureStart('RawData (GH)'!C384)</f>
        <v>0.95</v>
      </c>
      <c r="E384" s="9">
        <f>getApertureEnd('RawData (GH)'!C384)</f>
        <v>0.95</v>
      </c>
      <c r="F384" s="2">
        <f>getFiltersizeAsDouble('RawData (GH)'!D384)</f>
        <v>55</v>
      </c>
      <c r="G384" s="35">
        <f>getMagnification('RawData (GH)'!E384)</f>
        <v>0</v>
      </c>
      <c r="H384" s="62">
        <f>getMinimalFocus('RawData (GH)'!F384)</f>
        <v>0</v>
      </c>
      <c r="I384" t="str">
        <f>getMount('RawData (GH)'!G384)</f>
        <v>Sony E</v>
      </c>
      <c r="J384" t="str">
        <f>getSensorCompatibility('RawData (GH)'!H384)</f>
        <v>APS-C</v>
      </c>
      <c r="K384" s="45">
        <f>getWeightAsDouble('RawData (GH)'!I384)</f>
        <v>460</v>
      </c>
      <c r="L384" s="34">
        <f>getSizeDiameter('RawData (GH)'!J384)</f>
        <v>63</v>
      </c>
      <c r="M384" s="34">
        <f>getSizeLength('RawData (GH)'!J384)</f>
        <v>60</v>
      </c>
    </row>
    <row r="385" spans="1:13" x14ac:dyDescent="0.25">
      <c r="A385" t="str">
        <f>'RawData (GH)'!A385</f>
        <v>Mitakon Speedmaster 50mm 0.95 PRO für Sony E schwarz</v>
      </c>
      <c r="B385" s="5">
        <f>getFocalLengthStart('RawData (GH)'!B385)</f>
        <v>50</v>
      </c>
      <c r="C385" s="5">
        <f>getFocalLengthEnd('RawData (GH)'!B385)</f>
        <v>50</v>
      </c>
      <c r="D385" s="9">
        <f>getApertureStart('RawData (GH)'!C385)</f>
        <v>0.95</v>
      </c>
      <c r="E385" s="9">
        <f>getApertureEnd('RawData (GH)'!C385)</f>
        <v>0.95</v>
      </c>
      <c r="F385" s="2">
        <f>getFiltersizeAsDouble('RawData (GH)'!D385)</f>
        <v>0</v>
      </c>
      <c r="G385" s="35">
        <f>getMagnification('RawData (GH)'!E385)</f>
        <v>0</v>
      </c>
      <c r="H385" s="62">
        <f>getMinimalFocus('RawData (GH)'!F385)</f>
        <v>0</v>
      </c>
      <c r="I385" t="str">
        <f>getMount('RawData (GH)'!G385)</f>
        <v>Sony E</v>
      </c>
      <c r="J385" t="str">
        <f>getSensorCompatibility('RawData (GH)'!H385)</f>
        <v>APS-C/ Kleinbild</v>
      </c>
      <c r="K385" s="45">
        <f>getWeightAsDouble('RawData (GH)'!I385)</f>
        <v>0</v>
      </c>
      <c r="L385" s="34">
        <f>getSizeDiameter('RawData (GH)'!J385)</f>
        <v>0</v>
      </c>
      <c r="M385" s="34">
        <f>getSizeLength('RawData (GH)'!J385)</f>
        <v>0</v>
      </c>
    </row>
    <row r="386" spans="1:13" x14ac:dyDescent="0.25">
      <c r="A386" t="str">
        <f>'RawData (GH)'!A386</f>
        <v>Mitakon Speedmaster 85mm 1.2 für Canon EF schwarz</v>
      </c>
      <c r="B386" s="5">
        <f>getFocalLengthStart('RawData (GH)'!B386)</f>
        <v>85</v>
      </c>
      <c r="C386" s="5">
        <f>getFocalLengthEnd('RawData (GH)'!B386)</f>
        <v>85</v>
      </c>
      <c r="D386" s="9">
        <f>getApertureStart('RawData (GH)'!C386)</f>
        <v>1.2</v>
      </c>
      <c r="E386" s="9">
        <f>getApertureEnd('RawData (GH)'!C386)</f>
        <v>1.2</v>
      </c>
      <c r="F386" s="2">
        <f>getFiltersizeAsDouble('RawData (GH)'!D386)</f>
        <v>77</v>
      </c>
      <c r="G386" s="35">
        <f>getMagnification('RawData (GH)'!E386)</f>
        <v>0</v>
      </c>
      <c r="H386" s="62">
        <f>getMinimalFocus('RawData (GH)'!F386)</f>
        <v>0</v>
      </c>
      <c r="I386" t="str">
        <f>getMount('RawData (GH)'!G386)</f>
        <v>Canon EF</v>
      </c>
      <c r="J386" t="str">
        <f>getSensorCompatibility('RawData (GH)'!H386)</f>
        <v>APS-C/ Kleinbild</v>
      </c>
      <c r="K386" s="45">
        <f>getWeightAsDouble('RawData (GH)'!I386)</f>
        <v>921</v>
      </c>
      <c r="L386" s="34">
        <f>getSizeDiameter('RawData (GH)'!J386)</f>
        <v>0</v>
      </c>
      <c r="M386" s="34">
        <f>getSizeLength('RawData (GH)'!J386)</f>
        <v>0</v>
      </c>
    </row>
    <row r="387" spans="1:13" x14ac:dyDescent="0.25">
      <c r="A387" t="str">
        <f>'RawData (GH)'!A387</f>
        <v>Mitakon Speedmaster 85mm 1.2 für Nikon F schwarz</v>
      </c>
      <c r="B387" s="5">
        <f>getFocalLengthStart('RawData (GH)'!B387)</f>
        <v>85</v>
      </c>
      <c r="C387" s="5">
        <f>getFocalLengthEnd('RawData (GH)'!B387)</f>
        <v>85</v>
      </c>
      <c r="D387" s="9">
        <f>getApertureStart('RawData (GH)'!C387)</f>
        <v>1.2</v>
      </c>
      <c r="E387" s="9">
        <f>getApertureEnd('RawData (GH)'!C387)</f>
        <v>1.2</v>
      </c>
      <c r="F387" s="2">
        <f>getFiltersizeAsDouble('RawData (GH)'!D387)</f>
        <v>77</v>
      </c>
      <c r="G387" s="35">
        <f>getMagnification('RawData (GH)'!E387)</f>
        <v>0</v>
      </c>
      <c r="H387" s="62">
        <f>getMinimalFocus('RawData (GH)'!F387)</f>
        <v>0</v>
      </c>
      <c r="I387" t="str">
        <f>getMount('RawData (GH)'!G387)</f>
        <v>Nikon F</v>
      </c>
      <c r="J387" t="str">
        <f>getSensorCompatibility('RawData (GH)'!H387)</f>
        <v>APS-C/ Kleinbild</v>
      </c>
      <c r="K387" s="45">
        <f>getWeightAsDouble('RawData (GH)'!I387)</f>
        <v>921</v>
      </c>
      <c r="L387" s="34">
        <f>getSizeDiameter('RawData (GH)'!J387)</f>
        <v>0</v>
      </c>
      <c r="M387" s="34">
        <f>getSizeLength('RawData (GH)'!J387)</f>
        <v>0</v>
      </c>
    </row>
    <row r="388" spans="1:13" x14ac:dyDescent="0.25">
      <c r="A388" t="str">
        <f>'RawData (GH)'!A388</f>
        <v>Mitakon Speedmaster 85mm 1.2 für Sony E schwarz</v>
      </c>
      <c r="B388" s="5">
        <f>getFocalLengthStart('RawData (GH)'!B388)</f>
        <v>85</v>
      </c>
      <c r="C388" s="5">
        <f>getFocalLengthEnd('RawData (GH)'!B388)</f>
        <v>85</v>
      </c>
      <c r="D388" s="9">
        <f>getApertureStart('RawData (GH)'!C388)</f>
        <v>1.2</v>
      </c>
      <c r="E388" s="9">
        <f>getApertureEnd('RawData (GH)'!C388)</f>
        <v>1.2</v>
      </c>
      <c r="F388" s="2">
        <f>getFiltersizeAsDouble('RawData (GH)'!D388)</f>
        <v>77</v>
      </c>
      <c r="G388" s="35">
        <f>getMagnification('RawData (GH)'!E388)</f>
        <v>0</v>
      </c>
      <c r="H388" s="62">
        <f>getMinimalFocus('RawData (GH)'!F388)</f>
        <v>0</v>
      </c>
      <c r="I388" t="str">
        <f>getMount('RawData (GH)'!G388)</f>
        <v>Sony E</v>
      </c>
      <c r="J388" t="str">
        <f>getSensorCompatibility('RawData (GH)'!H388)</f>
        <v>APS-C/ Kleinbild</v>
      </c>
      <c r="K388" s="45">
        <f>getWeightAsDouble('RawData (GH)'!I388)</f>
        <v>921</v>
      </c>
      <c r="L388" s="34">
        <f>getSizeDiameter('RawData (GH)'!J388)</f>
        <v>0</v>
      </c>
      <c r="M388" s="34">
        <f>getSizeLength('RawData (GH)'!J388)</f>
        <v>0</v>
      </c>
    </row>
    <row r="389" spans="1:13" x14ac:dyDescent="0.25">
      <c r="A389" t="str">
        <f>'RawData (GH)'!A389</f>
        <v>Nikon 1 NIKKOR 10mm 2.8 schwarz</v>
      </c>
      <c r="B389" s="5">
        <f>getFocalLengthStart('RawData (GH)'!B389)</f>
        <v>10</v>
      </c>
      <c r="C389" s="5">
        <f>getFocalLengthEnd('RawData (GH)'!B389)</f>
        <v>10</v>
      </c>
      <c r="D389" s="9">
        <f>getApertureStart('RawData (GH)'!C389)</f>
        <v>2.8</v>
      </c>
      <c r="E389" s="9">
        <f>getApertureEnd('RawData (GH)'!C389)</f>
        <v>2.8</v>
      </c>
      <c r="F389" s="2">
        <f>getFiltersizeAsDouble('RawData (GH)'!D389)</f>
        <v>40.5</v>
      </c>
      <c r="G389" s="35">
        <f>getMagnification('RawData (GH)'!E389)</f>
        <v>16.670000000000002</v>
      </c>
      <c r="H389" s="62">
        <f>getMinimalFocus('RawData (GH)'!F389)</f>
        <v>0</v>
      </c>
      <c r="I389" t="str">
        <f>getMount('RawData (GH)'!G389)</f>
        <v>Nikon 1</v>
      </c>
      <c r="J389" t="str">
        <f>getSensorCompatibility('RawData (GH)'!H389)</f>
        <v>Nikon CX</v>
      </c>
      <c r="K389" s="45">
        <f>getWeightAsDouble('RawData (GH)'!I389)</f>
        <v>77</v>
      </c>
      <c r="L389" s="34">
        <f>getSizeDiameter('RawData (GH)'!J389)</f>
        <v>55.5</v>
      </c>
      <c r="M389" s="34">
        <f>getSizeLength('RawData (GH)'!J389)</f>
        <v>22</v>
      </c>
    </row>
    <row r="390" spans="1:13" x14ac:dyDescent="0.25">
      <c r="A390" t="str">
        <f>'RawData (GH)'!A390</f>
        <v>Nikon 1 NIKKOR 10mm 2.8 weiß</v>
      </c>
      <c r="B390" s="5">
        <f>getFocalLengthStart('RawData (GH)'!B390)</f>
        <v>10</v>
      </c>
      <c r="C390" s="5">
        <f>getFocalLengthEnd('RawData (GH)'!B390)</f>
        <v>10</v>
      </c>
      <c r="D390" s="9">
        <f>getApertureStart('RawData (GH)'!C390)</f>
        <v>2.8</v>
      </c>
      <c r="E390" s="9">
        <f>getApertureEnd('RawData (GH)'!C390)</f>
        <v>2.8</v>
      </c>
      <c r="F390" s="2">
        <f>getFiltersizeAsDouble('RawData (GH)'!D390)</f>
        <v>40.5</v>
      </c>
      <c r="G390" s="35">
        <f>getMagnification('RawData (GH)'!E390)</f>
        <v>16.670000000000002</v>
      </c>
      <c r="H390" s="62">
        <f>getMinimalFocus('RawData (GH)'!F390)</f>
        <v>0</v>
      </c>
      <c r="I390" t="str">
        <f>getMount('RawData (GH)'!G390)</f>
        <v>Nikon 1</v>
      </c>
      <c r="J390" t="str">
        <f>getSensorCompatibility('RawData (GH)'!H390)</f>
        <v>Nikon CX</v>
      </c>
      <c r="K390" s="45">
        <f>getWeightAsDouble('RawData (GH)'!I390)</f>
        <v>77</v>
      </c>
      <c r="L390" s="34">
        <f>getSizeDiameter('RawData (GH)'!J390)</f>
        <v>55.5</v>
      </c>
      <c r="M390" s="34">
        <f>getSizeLength('RawData (GH)'!J390)</f>
        <v>22</v>
      </c>
    </row>
    <row r="391" spans="1:13" x14ac:dyDescent="0.25">
      <c r="A391" t="str">
        <f>'RawData (GH)'!A391</f>
        <v>Nikon 1 NIKKOR 11-27.5mm 3.5-5.6 weiß</v>
      </c>
      <c r="B391" s="5">
        <f>getFocalLengthStart('RawData (GH)'!B391)</f>
        <v>11</v>
      </c>
      <c r="C391" s="5">
        <f>getFocalLengthEnd('RawData (GH)'!B391)</f>
        <v>27.5</v>
      </c>
      <c r="D391" s="9">
        <f>getApertureStart('RawData (GH)'!C391)</f>
        <v>3.5</v>
      </c>
      <c r="E391" s="9">
        <f>getApertureEnd('RawData (GH)'!C391)</f>
        <v>5.6</v>
      </c>
      <c r="F391" s="2">
        <f>getFiltersizeAsDouble('RawData (GH)'!D391)</f>
        <v>40.5</v>
      </c>
      <c r="G391" s="35">
        <f>getMagnification('RawData (GH)'!E391)</f>
        <v>10</v>
      </c>
      <c r="H391" s="62">
        <f>getMinimalFocus('RawData (GH)'!F391)</f>
        <v>0</v>
      </c>
      <c r="I391" t="str">
        <f>getMount('RawData (GH)'!G391)</f>
        <v>Nikon 1</v>
      </c>
      <c r="J391" t="str">
        <f>getSensorCompatibility('RawData (GH)'!H391)</f>
        <v>Nikon CX</v>
      </c>
      <c r="K391" s="45">
        <f>getWeightAsDouble('RawData (GH)'!I391)</f>
        <v>83</v>
      </c>
      <c r="L391" s="34">
        <f>getSizeDiameter('RawData (GH)'!J391)</f>
        <v>57.5</v>
      </c>
      <c r="M391" s="34">
        <f>getSizeLength('RawData (GH)'!J391)</f>
        <v>31</v>
      </c>
    </row>
    <row r="392" spans="1:13" x14ac:dyDescent="0.25">
      <c r="A392" t="str">
        <f>'RawData (GH)'!A392</f>
        <v>Nikon 1 NIKKOR 18.5mm 1.8 schwarz</v>
      </c>
      <c r="B392" s="5">
        <f>getFocalLengthStart('RawData (GH)'!B392)</f>
        <v>18.5</v>
      </c>
      <c r="C392" s="5">
        <f>getFocalLengthEnd('RawData (GH)'!B392)</f>
        <v>18.5</v>
      </c>
      <c r="D392" s="9">
        <f>getApertureStart('RawData (GH)'!C392)</f>
        <v>1.8</v>
      </c>
      <c r="E392" s="9">
        <f>getApertureEnd('RawData (GH)'!C392)</f>
        <v>1.8</v>
      </c>
      <c r="F392" s="2">
        <f>getFiltersizeAsDouble('RawData (GH)'!D392)</f>
        <v>40.5</v>
      </c>
      <c r="G392" s="35">
        <f>getMagnification('RawData (GH)'!E392)</f>
        <v>8.3000000000000007</v>
      </c>
      <c r="H392" s="62">
        <f>getMinimalFocus('RawData (GH)'!F392)</f>
        <v>0</v>
      </c>
      <c r="I392" t="str">
        <f>getMount('RawData (GH)'!G392)</f>
        <v>Nikon 1</v>
      </c>
      <c r="J392" t="str">
        <f>getSensorCompatibility('RawData (GH)'!H392)</f>
        <v>Nikon CX</v>
      </c>
      <c r="K392" s="45">
        <f>getWeightAsDouble('RawData (GH)'!I392)</f>
        <v>70</v>
      </c>
      <c r="L392" s="34">
        <f>getSizeDiameter('RawData (GH)'!J392)</f>
        <v>56</v>
      </c>
      <c r="M392" s="34">
        <f>getSizeLength('RawData (GH)'!J392)</f>
        <v>36</v>
      </c>
    </row>
    <row r="393" spans="1:13" x14ac:dyDescent="0.25">
      <c r="A393" t="str">
        <f>'RawData (GH)'!A393</f>
        <v>Nikon 1 NIKKOR 18.5mm 1.8 silber</v>
      </c>
      <c r="B393" s="5">
        <f>getFocalLengthStart('RawData (GH)'!B393)</f>
        <v>18.5</v>
      </c>
      <c r="C393" s="5">
        <f>getFocalLengthEnd('RawData (GH)'!B393)</f>
        <v>18.5</v>
      </c>
      <c r="D393" s="9">
        <f>getApertureStart('RawData (GH)'!C393)</f>
        <v>1.8</v>
      </c>
      <c r="E393" s="9">
        <f>getApertureEnd('RawData (GH)'!C393)</f>
        <v>1.8</v>
      </c>
      <c r="F393" s="2">
        <f>getFiltersizeAsDouble('RawData (GH)'!D393)</f>
        <v>40.5</v>
      </c>
      <c r="G393" s="35">
        <f>getMagnification('RawData (GH)'!E393)</f>
        <v>8.3000000000000007</v>
      </c>
      <c r="H393" s="62">
        <f>getMinimalFocus('RawData (GH)'!F393)</f>
        <v>0</v>
      </c>
      <c r="I393" t="str">
        <f>getMount('RawData (GH)'!G393)</f>
        <v>Nikon 1</v>
      </c>
      <c r="J393" t="str">
        <f>getSensorCompatibility('RawData (GH)'!H393)</f>
        <v>Nikon CX</v>
      </c>
      <c r="K393" s="45">
        <f>getWeightAsDouble('RawData (GH)'!I393)</f>
        <v>70</v>
      </c>
      <c r="L393" s="34">
        <f>getSizeDiameter('RawData (GH)'!J393)</f>
        <v>56</v>
      </c>
      <c r="M393" s="34">
        <f>getSizeLength('RawData (GH)'!J393)</f>
        <v>36</v>
      </c>
    </row>
    <row r="394" spans="1:13" x14ac:dyDescent="0.25">
      <c r="A394" t="str">
        <f>'RawData (GH)'!A394</f>
        <v>Nikon 1 NIKKOR 18.5mm 1.8 weiß</v>
      </c>
      <c r="B394" s="5">
        <f>getFocalLengthStart('RawData (GH)'!B394)</f>
        <v>18.5</v>
      </c>
      <c r="C394" s="5">
        <f>getFocalLengthEnd('RawData (GH)'!B394)</f>
        <v>18.5</v>
      </c>
      <c r="D394" s="9">
        <f>getApertureStart('RawData (GH)'!C394)</f>
        <v>1.8</v>
      </c>
      <c r="E394" s="9">
        <f>getApertureEnd('RawData (GH)'!C394)</f>
        <v>1.8</v>
      </c>
      <c r="F394" s="2">
        <f>getFiltersizeAsDouble('RawData (GH)'!D394)</f>
        <v>40.5</v>
      </c>
      <c r="G394" s="35">
        <f>getMagnification('RawData (GH)'!E394)</f>
        <v>8.3000000000000007</v>
      </c>
      <c r="H394" s="62">
        <f>getMinimalFocus('RawData (GH)'!F394)</f>
        <v>0</v>
      </c>
      <c r="I394" t="str">
        <f>getMount('RawData (GH)'!G394)</f>
        <v>Nikon 1</v>
      </c>
      <c r="J394" t="str">
        <f>getSensorCompatibility('RawData (GH)'!H394)</f>
        <v>Nikon CX</v>
      </c>
      <c r="K394" s="45">
        <f>getWeightAsDouble('RawData (GH)'!I394)</f>
        <v>70</v>
      </c>
      <c r="L394" s="34">
        <f>getSizeDiameter('RawData (GH)'!J394)</f>
        <v>56</v>
      </c>
      <c r="M394" s="34">
        <f>getSizeLength('RawData (GH)'!J394)</f>
        <v>36</v>
      </c>
    </row>
    <row r="395" spans="1:13" x14ac:dyDescent="0.25">
      <c r="A395" t="str">
        <f>'RawData (GH)'!A395</f>
        <v>Nikon 1 NIKKOR 32mm 1.2 schwarz</v>
      </c>
      <c r="B395" s="5">
        <f>getFocalLengthStart('RawData (GH)'!B395)</f>
        <v>32</v>
      </c>
      <c r="C395" s="5">
        <f>getFocalLengthEnd('RawData (GH)'!B395)</f>
        <v>32</v>
      </c>
      <c r="D395" s="9">
        <f>getApertureStart('RawData (GH)'!C395)</f>
        <v>1.2</v>
      </c>
      <c r="E395" s="9">
        <f>getApertureEnd('RawData (GH)'!C395)</f>
        <v>1.2</v>
      </c>
      <c r="F395" s="2">
        <f>getFiltersizeAsDouble('RawData (GH)'!D395)</f>
        <v>52</v>
      </c>
      <c r="G395" s="35">
        <f>getMagnification('RawData (GH)'!E395)</f>
        <v>13</v>
      </c>
      <c r="H395" s="62">
        <f>getMinimalFocus('RawData (GH)'!F395)</f>
        <v>0</v>
      </c>
      <c r="I395" t="str">
        <f>getMount('RawData (GH)'!G395)</f>
        <v>Nikon 1</v>
      </c>
      <c r="J395" t="str">
        <f>getSensorCompatibility('RawData (GH)'!H395)</f>
        <v>Nikon CX</v>
      </c>
      <c r="K395" s="45">
        <f>getWeightAsDouble('RawData (GH)'!I395)</f>
        <v>235</v>
      </c>
      <c r="L395" s="34">
        <f>getSizeDiameter('RawData (GH)'!J395)</f>
        <v>65.5</v>
      </c>
      <c r="M395" s="34">
        <f>getSizeLength('RawData (GH)'!J395)</f>
        <v>47</v>
      </c>
    </row>
    <row r="396" spans="1:13" x14ac:dyDescent="0.25">
      <c r="A396" t="str">
        <f>'RawData (GH)'!A396</f>
        <v>Nikon 1 NIKKOR 32mm 1.2 silber</v>
      </c>
      <c r="B396" s="5">
        <f>getFocalLengthStart('RawData (GH)'!B396)</f>
        <v>32</v>
      </c>
      <c r="C396" s="5">
        <f>getFocalLengthEnd('RawData (GH)'!B396)</f>
        <v>32</v>
      </c>
      <c r="D396" s="9">
        <f>getApertureStart('RawData (GH)'!C396)</f>
        <v>1.2</v>
      </c>
      <c r="E396" s="9">
        <f>getApertureEnd('RawData (GH)'!C396)</f>
        <v>1.2</v>
      </c>
      <c r="F396" s="2">
        <f>getFiltersizeAsDouble('RawData (GH)'!D396)</f>
        <v>52</v>
      </c>
      <c r="G396" s="35">
        <f>getMagnification('RawData (GH)'!E396)</f>
        <v>13</v>
      </c>
      <c r="H396" s="62">
        <f>getMinimalFocus('RawData (GH)'!F396)</f>
        <v>0</v>
      </c>
      <c r="I396" t="str">
        <f>getMount('RawData (GH)'!G396)</f>
        <v>Nikon 1</v>
      </c>
      <c r="J396" t="str">
        <f>getSensorCompatibility('RawData (GH)'!H396)</f>
        <v>Nikon CX</v>
      </c>
      <c r="K396" s="45">
        <f>getWeightAsDouble('RawData (GH)'!I396)</f>
        <v>235</v>
      </c>
      <c r="L396" s="34">
        <f>getSizeDiameter('RawData (GH)'!J396)</f>
        <v>65.5</v>
      </c>
      <c r="M396" s="34">
        <f>getSizeLength('RawData (GH)'!J396)</f>
        <v>47</v>
      </c>
    </row>
    <row r="397" spans="1:13" x14ac:dyDescent="0.25">
      <c r="A397" t="str">
        <f>'RawData (GH)'!A397</f>
        <v>Nikon 1 NIKKOR AW 10mm 2.8 schwarz</v>
      </c>
      <c r="B397" s="5">
        <f>getFocalLengthStart('RawData (GH)'!B397)</f>
        <v>10</v>
      </c>
      <c r="C397" s="5">
        <f>getFocalLengthEnd('RawData (GH)'!B397)</f>
        <v>10</v>
      </c>
      <c r="D397" s="9">
        <f>getApertureStart('RawData (GH)'!C397)</f>
        <v>2.8</v>
      </c>
      <c r="E397" s="9">
        <f>getApertureEnd('RawData (GH)'!C397)</f>
        <v>2.8</v>
      </c>
      <c r="F397" s="2">
        <f>getFiltersizeAsDouble('RawData (GH)'!D397)</f>
        <v>40.5</v>
      </c>
      <c r="G397" s="35">
        <f>getMagnification('RawData (GH)'!E397)</f>
        <v>16.7</v>
      </c>
      <c r="H397" s="62">
        <f>getMinimalFocus('RawData (GH)'!F397)</f>
        <v>0</v>
      </c>
      <c r="I397" t="str">
        <f>getMount('RawData (GH)'!G397)</f>
        <v>Nikon 1</v>
      </c>
      <c r="J397" t="str">
        <f>getSensorCompatibility('RawData (GH)'!H397)</f>
        <v>Nikon CX</v>
      </c>
      <c r="K397" s="45">
        <f>getWeightAsDouble('RawData (GH)'!I397)</f>
        <v>118</v>
      </c>
      <c r="L397" s="34">
        <f>getSizeDiameter('RawData (GH)'!J397)</f>
        <v>61</v>
      </c>
      <c r="M397" s="34">
        <f>getSizeLength('RawData (GH)'!J397)</f>
        <v>30</v>
      </c>
    </row>
    <row r="398" spans="1:13" x14ac:dyDescent="0.25">
      <c r="A398" t="str">
        <f>'RawData (GH)'!A398</f>
        <v>Nikon 1 NIKKOR VR 10-100mm 4.0-5.6 schwarz</v>
      </c>
      <c r="B398" s="5">
        <f>getFocalLengthStart('RawData (GH)'!B398)</f>
        <v>10</v>
      </c>
      <c r="C398" s="5">
        <f>getFocalLengthEnd('RawData (GH)'!B398)</f>
        <v>100</v>
      </c>
      <c r="D398" s="9">
        <f>getApertureStart('RawData (GH)'!C398)</f>
        <v>4</v>
      </c>
      <c r="E398" s="9">
        <f>getApertureEnd('RawData (GH)'!C398)</f>
        <v>5.6</v>
      </c>
      <c r="F398" s="2">
        <f>getFiltersizeAsDouble('RawData (GH)'!D398)</f>
        <v>55</v>
      </c>
      <c r="G398" s="35">
        <f>getMagnification('RawData (GH)'!E398)</f>
        <v>8.33</v>
      </c>
      <c r="H398" s="62">
        <f>getMinimalFocus('RawData (GH)'!F398)</f>
        <v>0</v>
      </c>
      <c r="I398" t="str">
        <f>getMount('RawData (GH)'!G398)</f>
        <v>Nikon 1</v>
      </c>
      <c r="J398" t="str">
        <f>getSensorCompatibility('RawData (GH)'!H398)</f>
        <v>Nikon CX</v>
      </c>
      <c r="K398" s="45">
        <f>getWeightAsDouble('RawData (GH)'!I398)</f>
        <v>298</v>
      </c>
      <c r="L398" s="34">
        <f>getSizeDiameter('RawData (GH)'!J398)</f>
        <v>60.5</v>
      </c>
      <c r="M398" s="34">
        <f>getSizeLength('RawData (GH)'!J398)</f>
        <v>70.5</v>
      </c>
    </row>
    <row r="399" spans="1:13" x14ac:dyDescent="0.25">
      <c r="A399" t="str">
        <f>'RawData (GH)'!A399</f>
        <v>Nikon 1 NIKKOR VR 10-100mm 4.0-5.6 silber</v>
      </c>
      <c r="B399" s="5">
        <f>getFocalLengthStart('RawData (GH)'!B399)</f>
        <v>10</v>
      </c>
      <c r="C399" s="5">
        <f>getFocalLengthEnd('RawData (GH)'!B399)</f>
        <v>100</v>
      </c>
      <c r="D399" s="9">
        <f>getApertureStart('RawData (GH)'!C399)</f>
        <v>4</v>
      </c>
      <c r="E399" s="9">
        <f>getApertureEnd('RawData (GH)'!C399)</f>
        <v>5.6</v>
      </c>
      <c r="F399" s="2">
        <f>getFiltersizeAsDouble('RawData (GH)'!D399)</f>
        <v>55</v>
      </c>
      <c r="G399" s="35">
        <f>getMagnification('RawData (GH)'!E399)</f>
        <v>8.33</v>
      </c>
      <c r="H399" s="62">
        <f>getMinimalFocus('RawData (GH)'!F399)</f>
        <v>0</v>
      </c>
      <c r="I399" t="str">
        <f>getMount('RawData (GH)'!G399)</f>
        <v>Nikon 1</v>
      </c>
      <c r="J399" t="str">
        <f>getSensorCompatibility('RawData (GH)'!H399)</f>
        <v>Nikon CX</v>
      </c>
      <c r="K399" s="45">
        <f>getWeightAsDouble('RawData (GH)'!I399)</f>
        <v>298</v>
      </c>
      <c r="L399" s="34">
        <f>getSizeDiameter('RawData (GH)'!J399)</f>
        <v>60.5</v>
      </c>
      <c r="M399" s="34">
        <f>getSizeLength('RawData (GH)'!J399)</f>
        <v>70.5</v>
      </c>
    </row>
    <row r="400" spans="1:13" x14ac:dyDescent="0.25">
      <c r="A400" t="str">
        <f>'RawData (GH)'!A400</f>
        <v>Nikon 1 NIKKOR VR 10-100mm 4.0-5.6 weiß</v>
      </c>
      <c r="B400" s="5">
        <f>getFocalLengthStart('RawData (GH)'!B400)</f>
        <v>10</v>
      </c>
      <c r="C400" s="5">
        <f>getFocalLengthEnd('RawData (GH)'!B400)</f>
        <v>100</v>
      </c>
      <c r="D400" s="9">
        <f>getApertureStart('RawData (GH)'!C400)</f>
        <v>4</v>
      </c>
      <c r="E400" s="9">
        <f>getApertureEnd('RawData (GH)'!C400)</f>
        <v>5.6</v>
      </c>
      <c r="F400" s="2">
        <f>getFiltersizeAsDouble('RawData (GH)'!D400)</f>
        <v>55</v>
      </c>
      <c r="G400" s="35">
        <f>getMagnification('RawData (GH)'!E400)</f>
        <v>8.33</v>
      </c>
      <c r="H400" s="62">
        <f>getMinimalFocus('RawData (GH)'!F400)</f>
        <v>0</v>
      </c>
      <c r="I400" t="str">
        <f>getMount('RawData (GH)'!G400)</f>
        <v>Nikon 1</v>
      </c>
      <c r="J400" t="str">
        <f>getSensorCompatibility('RawData (GH)'!H400)</f>
        <v>Nikon CX</v>
      </c>
      <c r="K400" s="45">
        <f>getWeightAsDouble('RawData (GH)'!I400)</f>
        <v>298</v>
      </c>
      <c r="L400" s="34">
        <f>getSizeDiameter('RawData (GH)'!J400)</f>
        <v>60.5</v>
      </c>
      <c r="M400" s="34">
        <f>getSizeLength('RawData (GH)'!J400)</f>
        <v>70.5</v>
      </c>
    </row>
    <row r="401" spans="1:13" x14ac:dyDescent="0.25">
      <c r="A401" t="str">
        <f>'RawData (GH)'!A401</f>
        <v>Nikon 1 NIKKOR VR 10-100mm 4.5-5.6 PD-Zoom schwarz</v>
      </c>
      <c r="B401" s="5">
        <f>getFocalLengthStart('RawData (GH)'!B401)</f>
        <v>10</v>
      </c>
      <c r="C401" s="5">
        <f>getFocalLengthEnd('RawData (GH)'!B401)</f>
        <v>100</v>
      </c>
      <c r="D401" s="9">
        <f>getApertureStart('RawData (GH)'!C401)</f>
        <v>4.5</v>
      </c>
      <c r="E401" s="9">
        <f>getApertureEnd('RawData (GH)'!C401)</f>
        <v>5.6</v>
      </c>
      <c r="F401" s="2">
        <f>getFiltersizeAsDouble('RawData (GH)'!D401)</f>
        <v>72</v>
      </c>
      <c r="G401" s="35">
        <f>getMagnification('RawData (GH)'!E401)</f>
        <v>4.8</v>
      </c>
      <c r="H401" s="62">
        <f>getMinimalFocus('RawData (GH)'!F401)</f>
        <v>0</v>
      </c>
      <c r="I401" t="str">
        <f>getMount('RawData (GH)'!G401)</f>
        <v>Nikon 1</v>
      </c>
      <c r="J401" t="str">
        <f>getSensorCompatibility('RawData (GH)'!H401)</f>
        <v>Nikon CX</v>
      </c>
      <c r="K401" s="45">
        <f>getWeightAsDouble('RawData (GH)'!I401)</f>
        <v>530</v>
      </c>
      <c r="L401" s="34">
        <f>getSizeDiameter('RawData (GH)'!J401)</f>
        <v>77</v>
      </c>
      <c r="M401" s="34">
        <f>getSizeLength('RawData (GH)'!J401)</f>
        <v>95</v>
      </c>
    </row>
    <row r="402" spans="1:13" x14ac:dyDescent="0.25">
      <c r="A402" t="str">
        <f>'RawData (GH)'!A402</f>
        <v>Nikon 1 NIKKOR VR 10-30mm 3.5-5.6 PD-Zoom schwarz</v>
      </c>
      <c r="B402" s="5">
        <f>getFocalLengthStart('RawData (GH)'!B402)</f>
        <v>10</v>
      </c>
      <c r="C402" s="5">
        <f>getFocalLengthEnd('RawData (GH)'!B402)</f>
        <v>30</v>
      </c>
      <c r="D402" s="9">
        <f>getApertureStart('RawData (GH)'!C402)</f>
        <v>3.5</v>
      </c>
      <c r="E402" s="9">
        <f>getApertureEnd('RawData (GH)'!C402)</f>
        <v>5.6</v>
      </c>
      <c r="F402" s="2">
        <f>getFiltersizeAsDouble('RawData (GH)'!D402)</f>
        <v>0</v>
      </c>
      <c r="G402" s="35">
        <f>getMagnification('RawData (GH)'!E402)</f>
        <v>0</v>
      </c>
      <c r="H402" s="62">
        <f>getMinimalFocus('RawData (GH)'!F402)</f>
        <v>0</v>
      </c>
      <c r="I402" t="str">
        <f>getMount('RawData (GH)'!G402)</f>
        <v>Nikon 1</v>
      </c>
      <c r="J402" t="str">
        <f>getSensorCompatibility('RawData (GH)'!H402)</f>
        <v>Nikon CX</v>
      </c>
      <c r="K402" s="45">
        <f>getWeightAsDouble('RawData (GH)'!I402)</f>
        <v>85</v>
      </c>
      <c r="L402" s="34">
        <f>getSizeDiameter('RawData (GH)'!J402)</f>
        <v>58</v>
      </c>
      <c r="M402" s="34">
        <f>getSizeLength('RawData (GH)'!J402)</f>
        <v>28</v>
      </c>
    </row>
    <row r="403" spans="1:13" x14ac:dyDescent="0.25">
      <c r="A403" t="str">
        <f>'RawData (GH)'!A403</f>
        <v>Nikon 1 NIKKOR VR 10-30mm 3.5-5.6 schwarz</v>
      </c>
      <c r="B403" s="5">
        <f>getFocalLengthStart('RawData (GH)'!B403)</f>
        <v>10</v>
      </c>
      <c r="C403" s="5">
        <f>getFocalLengthEnd('RawData (GH)'!B403)</f>
        <v>30</v>
      </c>
      <c r="D403" s="9">
        <f>getApertureStart('RawData (GH)'!C403)</f>
        <v>3.5</v>
      </c>
      <c r="E403" s="9">
        <f>getApertureEnd('RawData (GH)'!C403)</f>
        <v>5.6</v>
      </c>
      <c r="F403" s="2">
        <f>getFiltersizeAsDouble('RawData (GH)'!D403)</f>
        <v>40.5</v>
      </c>
      <c r="G403" s="35">
        <f>getMagnification('RawData (GH)'!E403)</f>
        <v>4.8</v>
      </c>
      <c r="H403" s="62">
        <f>getMinimalFocus('RawData (GH)'!F403)</f>
        <v>0</v>
      </c>
      <c r="I403" t="str">
        <f>getMount('RawData (GH)'!G403)</f>
        <v>Nikon 1</v>
      </c>
      <c r="J403" t="str">
        <f>getSensorCompatibility('RawData (GH)'!H403)</f>
        <v>Nikon CX</v>
      </c>
      <c r="K403" s="45">
        <f>getWeightAsDouble('RawData (GH)'!I403)</f>
        <v>115</v>
      </c>
      <c r="L403" s="34">
        <f>getSizeDiameter('RawData (GH)'!J403)</f>
        <v>57.5</v>
      </c>
      <c r="M403" s="34">
        <f>getSizeLength('RawData (GH)'!J403)</f>
        <v>42</v>
      </c>
    </row>
    <row r="404" spans="1:13" x14ac:dyDescent="0.25">
      <c r="A404" t="str">
        <f>'RawData (GH)'!A404</f>
        <v>Nikon 1 NIKKOR VR 30-110mm 3.8-5.6 schwarz</v>
      </c>
      <c r="B404" s="5">
        <f>getFocalLengthStart('RawData (GH)'!B404)</f>
        <v>30</v>
      </c>
      <c r="C404" s="5">
        <f>getFocalLengthEnd('RawData (GH)'!B404)</f>
        <v>110</v>
      </c>
      <c r="D404" s="9">
        <f>getApertureStart('RawData (GH)'!C404)</f>
        <v>3.8</v>
      </c>
      <c r="E404" s="9">
        <f>getApertureEnd('RawData (GH)'!C404)</f>
        <v>5.6</v>
      </c>
      <c r="F404" s="2">
        <f>getFiltersizeAsDouble('RawData (GH)'!D404)</f>
        <v>40.5</v>
      </c>
      <c r="G404" s="35">
        <f>getMagnification('RawData (GH)'!E404)</f>
        <v>10</v>
      </c>
      <c r="H404" s="62">
        <f>getMinimalFocus('RawData (GH)'!F404)</f>
        <v>0</v>
      </c>
      <c r="I404" t="str">
        <f>getMount('RawData (GH)'!G404)</f>
        <v>Nikon 1</v>
      </c>
      <c r="J404" t="str">
        <f>getSensorCompatibility('RawData (GH)'!H404)</f>
        <v>Nikon CX</v>
      </c>
      <c r="K404" s="45">
        <f>getWeightAsDouble('RawData (GH)'!I404)</f>
        <v>180</v>
      </c>
      <c r="L404" s="34">
        <f>getSizeDiameter('RawData (GH)'!J404)</f>
        <v>60</v>
      </c>
      <c r="M404" s="34">
        <f>getSizeLength('RawData (GH)'!J404)</f>
        <v>61</v>
      </c>
    </row>
    <row r="405" spans="1:13" x14ac:dyDescent="0.25">
      <c r="A405" t="str">
        <f>'RawData (GH)'!A405</f>
        <v>Nikon 1 NIKKOR VR 30-110mm 3.8-5.6 weiß</v>
      </c>
      <c r="B405" s="5">
        <f>getFocalLengthStart('RawData (GH)'!B405)</f>
        <v>30</v>
      </c>
      <c r="C405" s="5">
        <f>getFocalLengthEnd('RawData (GH)'!B405)</f>
        <v>110</v>
      </c>
      <c r="D405" s="9">
        <f>getApertureStart('RawData (GH)'!C405)</f>
        <v>3.8</v>
      </c>
      <c r="E405" s="9">
        <f>getApertureEnd('RawData (GH)'!C405)</f>
        <v>5.6</v>
      </c>
      <c r="F405" s="2">
        <f>getFiltersizeAsDouble('RawData (GH)'!D405)</f>
        <v>40.5</v>
      </c>
      <c r="G405" s="35">
        <f>getMagnification('RawData (GH)'!E405)</f>
        <v>10</v>
      </c>
      <c r="H405" s="62">
        <f>getMinimalFocus('RawData (GH)'!F405)</f>
        <v>0</v>
      </c>
      <c r="I405" t="str">
        <f>getMount('RawData (GH)'!G405)</f>
        <v>Nikon 1</v>
      </c>
      <c r="J405" t="str">
        <f>getSensorCompatibility('RawData (GH)'!H405)</f>
        <v>Nikon CX</v>
      </c>
      <c r="K405" s="45">
        <f>getWeightAsDouble('RawData (GH)'!I405)</f>
        <v>180</v>
      </c>
      <c r="L405" s="34">
        <f>getSizeDiameter('RawData (GH)'!J405)</f>
        <v>60</v>
      </c>
      <c r="M405" s="34">
        <f>getSizeLength('RawData (GH)'!J405)</f>
        <v>61</v>
      </c>
    </row>
    <row r="406" spans="1:13" x14ac:dyDescent="0.25">
      <c r="A406" t="str">
        <f>'RawData (GH)'!A406</f>
        <v>Nikon 1 NIKKOR VR 6.7-13mm 3.5-5.6 schwarz</v>
      </c>
      <c r="B406" s="5">
        <f>getFocalLengthStart('RawData (GH)'!B406)</f>
        <v>6.7</v>
      </c>
      <c r="C406" s="5">
        <f>getFocalLengthEnd('RawData (GH)'!B406)</f>
        <v>13</v>
      </c>
      <c r="D406" s="9">
        <f>getApertureStart('RawData (GH)'!C406)</f>
        <v>3.5</v>
      </c>
      <c r="E406" s="9">
        <f>getApertureEnd('RawData (GH)'!C406)</f>
        <v>5.6</v>
      </c>
      <c r="F406" s="2">
        <f>getFiltersizeAsDouble('RawData (GH)'!D406)</f>
        <v>52</v>
      </c>
      <c r="G406" s="35">
        <f>getMagnification('RawData (GH)'!E406)</f>
        <v>16.66</v>
      </c>
      <c r="H406" s="62">
        <f>getMinimalFocus('RawData (GH)'!F406)</f>
        <v>0</v>
      </c>
      <c r="I406" t="str">
        <f>getMount('RawData (GH)'!G406)</f>
        <v>Nikon 1</v>
      </c>
      <c r="J406" t="str">
        <f>getSensorCompatibility('RawData (GH)'!H406)</f>
        <v>Nikon CX</v>
      </c>
      <c r="K406" s="45">
        <f>getWeightAsDouble('RawData (GH)'!I406)</f>
        <v>125</v>
      </c>
      <c r="L406" s="34">
        <f>getSizeDiameter('RawData (GH)'!J406)</f>
        <v>56.5</v>
      </c>
      <c r="M406" s="34">
        <f>getSizeLength('RawData (GH)'!J406)</f>
        <v>46</v>
      </c>
    </row>
    <row r="407" spans="1:13" x14ac:dyDescent="0.25">
      <c r="A407" t="str">
        <f>'RawData (GH)'!A407</f>
        <v>Nikon 1 NIKKOR VR 6.7-13mm 3.5-5.6 silber</v>
      </c>
      <c r="B407" s="5">
        <f>getFocalLengthStart('RawData (GH)'!B407)</f>
        <v>6.7</v>
      </c>
      <c r="C407" s="5">
        <f>getFocalLengthEnd('RawData (GH)'!B407)</f>
        <v>13</v>
      </c>
      <c r="D407" s="9">
        <f>getApertureStart('RawData (GH)'!C407)</f>
        <v>3.5</v>
      </c>
      <c r="E407" s="9">
        <f>getApertureEnd('RawData (GH)'!C407)</f>
        <v>5.6</v>
      </c>
      <c r="F407" s="2">
        <f>getFiltersizeAsDouble('RawData (GH)'!D407)</f>
        <v>52</v>
      </c>
      <c r="G407" s="35">
        <f>getMagnification('RawData (GH)'!E407)</f>
        <v>16.66</v>
      </c>
      <c r="H407" s="62">
        <f>getMinimalFocus('RawData (GH)'!F407)</f>
        <v>0</v>
      </c>
      <c r="I407" t="str">
        <f>getMount('RawData (GH)'!G407)</f>
        <v>Nikon 1</v>
      </c>
      <c r="J407" t="str">
        <f>getSensorCompatibility('RawData (GH)'!H407)</f>
        <v>Nikon CX</v>
      </c>
      <c r="K407" s="45">
        <f>getWeightAsDouble('RawData (GH)'!I407)</f>
        <v>125</v>
      </c>
      <c r="L407" s="34">
        <f>getSizeDiameter('RawData (GH)'!J407)</f>
        <v>56.5</v>
      </c>
      <c r="M407" s="34">
        <f>getSizeLength('RawData (GH)'!J407)</f>
        <v>46</v>
      </c>
    </row>
    <row r="408" spans="1:13" x14ac:dyDescent="0.25">
      <c r="A408" t="str">
        <f>'RawData (GH)'!A408</f>
        <v>Nikon 1 NIKKOR VR 70-300mm 4.5-5.6 schwarz</v>
      </c>
      <c r="B408" s="5">
        <f>getFocalLengthStart('RawData (GH)'!B408)</f>
        <v>70</v>
      </c>
      <c r="C408" s="5">
        <f>getFocalLengthEnd('RawData (GH)'!B408)</f>
        <v>300</v>
      </c>
      <c r="D408" s="9">
        <f>getApertureStart('RawData (GH)'!C408)</f>
        <v>4.5</v>
      </c>
      <c r="E408" s="9">
        <f>getApertureEnd('RawData (GH)'!C408)</f>
        <v>5.6</v>
      </c>
      <c r="F408" s="2">
        <f>getFiltersizeAsDouble('RawData (GH)'!D408)</f>
        <v>62</v>
      </c>
      <c r="G408" s="35">
        <f>getMagnification('RawData (GH)'!E408)</f>
        <v>6.7</v>
      </c>
      <c r="H408" s="62">
        <f>getMinimalFocus('RawData (GH)'!F408)</f>
        <v>0</v>
      </c>
      <c r="I408" t="str">
        <f>getMount('RawData (GH)'!G408)</f>
        <v>Nikon 1</v>
      </c>
      <c r="J408" t="str">
        <f>getSensorCompatibility('RawData (GH)'!H408)</f>
        <v>Nikon CX</v>
      </c>
      <c r="K408" s="45">
        <f>getWeightAsDouble('RawData (GH)'!I408)</f>
        <v>550</v>
      </c>
      <c r="L408" s="34">
        <f>getSizeDiameter('RawData (GH)'!J408)</f>
        <v>72</v>
      </c>
      <c r="M408" s="34">
        <f>getSizeLength('RawData (GH)'!J408)</f>
        <v>108</v>
      </c>
    </row>
    <row r="409" spans="1:13" x14ac:dyDescent="0.25">
      <c r="A409" t="str">
        <f>'RawData (GH)'!A409</f>
        <v>Nikon 20mm 2.8 schwarz</v>
      </c>
      <c r="B409" s="5">
        <f>getFocalLengthStart('RawData (GH)'!B409)</f>
        <v>20</v>
      </c>
      <c r="C409" s="5">
        <f>getFocalLengthEnd('RawData (GH)'!B409)</f>
        <v>20</v>
      </c>
      <c r="D409" s="9">
        <f>getApertureStart('RawData (GH)'!C409)</f>
        <v>2.8</v>
      </c>
      <c r="E409" s="9">
        <f>getApertureEnd('RawData (GH)'!C409)</f>
        <v>2.8</v>
      </c>
      <c r="F409" s="2">
        <f>getFiltersizeAsDouble('RawData (GH)'!D409)</f>
        <v>62</v>
      </c>
      <c r="G409" s="35">
        <f>getMagnification('RawData (GH)'!E409)</f>
        <v>0</v>
      </c>
      <c r="H409" s="62">
        <f>getMinimalFocus('RawData (GH)'!F409)</f>
        <v>0</v>
      </c>
      <c r="I409" t="str">
        <f>getMount('RawData (GH)'!G409)</f>
        <v>Nikon F</v>
      </c>
      <c r="J409" t="str">
        <f>getSensorCompatibility('RawData (GH)'!H409)</f>
        <v>APS-C/ Kleinbild</v>
      </c>
      <c r="K409" s="45">
        <f>getWeightAsDouble('RawData (GH)'!I409)</f>
        <v>260</v>
      </c>
      <c r="L409" s="34">
        <f>getSizeDiameter('RawData (GH)'!J409)</f>
        <v>65</v>
      </c>
      <c r="M409" s="34">
        <f>getSizeLength('RawData (GH)'!J409)</f>
        <v>42.5</v>
      </c>
    </row>
    <row r="410" spans="1:13" x14ac:dyDescent="0.25">
      <c r="A410" t="str">
        <f>'RawData (GH)'!A410</f>
        <v>Nikon 24mm 2.8 schwarz</v>
      </c>
      <c r="B410" s="5">
        <f>getFocalLengthStart('RawData (GH)'!B410)</f>
        <v>24</v>
      </c>
      <c r="C410" s="5">
        <f>getFocalLengthEnd('RawData (GH)'!B410)</f>
        <v>24</v>
      </c>
      <c r="D410" s="9">
        <f>getApertureStart('RawData (GH)'!C410)</f>
        <v>2.8</v>
      </c>
      <c r="E410" s="9">
        <f>getApertureEnd('RawData (GH)'!C410)</f>
        <v>2.8</v>
      </c>
      <c r="F410" s="2">
        <f>getFiltersizeAsDouble('RawData (GH)'!D410)</f>
        <v>52</v>
      </c>
      <c r="G410" s="35">
        <f>getMagnification('RawData (GH)'!E410)</f>
        <v>0</v>
      </c>
      <c r="H410" s="62">
        <f>getMinimalFocus('RawData (GH)'!F410)</f>
        <v>0</v>
      </c>
      <c r="I410" t="str">
        <f>getMount('RawData (GH)'!G410)</f>
        <v>Nikon F</v>
      </c>
      <c r="J410" t="str">
        <f>getSensorCompatibility('RawData (GH)'!H410)</f>
        <v>APS-C/ Kleinbild</v>
      </c>
      <c r="K410" s="45">
        <f>getWeightAsDouble('RawData (GH)'!I410)</f>
        <v>250</v>
      </c>
      <c r="L410" s="34">
        <f>getSizeDiameter('RawData (GH)'!J410)</f>
        <v>46</v>
      </c>
      <c r="M410" s="34">
        <f>getSizeLength('RawData (GH)'!J410)</f>
        <v>63</v>
      </c>
    </row>
    <row r="411" spans="1:13" x14ac:dyDescent="0.25">
      <c r="A411" t="str">
        <f>'RawData (GH)'!A411</f>
        <v>Nikon 35mm 1.4 schwarz</v>
      </c>
      <c r="B411" s="5">
        <f>getFocalLengthStart('RawData (GH)'!B411)</f>
        <v>35</v>
      </c>
      <c r="C411" s="5">
        <f>getFocalLengthEnd('RawData (GH)'!B411)</f>
        <v>35</v>
      </c>
      <c r="D411" s="9">
        <f>getApertureStart('RawData (GH)'!C411)</f>
        <v>1.4</v>
      </c>
      <c r="E411" s="9">
        <f>getApertureEnd('RawData (GH)'!C411)</f>
        <v>1.4</v>
      </c>
      <c r="F411" s="2">
        <f>getFiltersizeAsDouble('RawData (GH)'!D411)</f>
        <v>52</v>
      </c>
      <c r="G411" s="35">
        <f>getMagnification('RawData (GH)'!E411)</f>
        <v>0</v>
      </c>
      <c r="H411" s="62">
        <f>getMinimalFocus('RawData (GH)'!F411)</f>
        <v>0</v>
      </c>
      <c r="I411" t="str">
        <f>getMount('RawData (GH)'!G411)</f>
        <v>Nikon F</v>
      </c>
      <c r="J411" t="str">
        <f>getSensorCompatibility('RawData (GH)'!H411)</f>
        <v>APS-C/ Kleinbild</v>
      </c>
      <c r="K411" s="45">
        <f>getWeightAsDouble('RawData (GH)'!I411)</f>
        <v>400</v>
      </c>
      <c r="L411" s="34">
        <f>getSizeDiameter('RawData (GH)'!J411)</f>
        <v>62</v>
      </c>
      <c r="M411" s="34">
        <f>getSizeLength('RawData (GH)'!J411)</f>
        <v>67.5</v>
      </c>
    </row>
    <row r="412" spans="1:13" x14ac:dyDescent="0.25">
      <c r="A412" t="str">
        <f>'RawData (GH)'!A412</f>
        <v>Nikon 50mm 1.2 schwarz</v>
      </c>
      <c r="B412" s="5">
        <f>getFocalLengthStart('RawData (GH)'!B412)</f>
        <v>50</v>
      </c>
      <c r="C412" s="5">
        <f>getFocalLengthEnd('RawData (GH)'!B412)</f>
        <v>50</v>
      </c>
      <c r="D412" s="9">
        <f>getApertureStart('RawData (GH)'!C412)</f>
        <v>1.2</v>
      </c>
      <c r="E412" s="9">
        <f>getApertureEnd('RawData (GH)'!C412)</f>
        <v>1.2</v>
      </c>
      <c r="F412" s="2">
        <f>getFiltersizeAsDouble('RawData (GH)'!D412)</f>
        <v>52</v>
      </c>
      <c r="G412" s="35">
        <f>getMagnification('RawData (GH)'!E412)</f>
        <v>0</v>
      </c>
      <c r="H412" s="62">
        <f>getMinimalFocus('RawData (GH)'!F412)</f>
        <v>0</v>
      </c>
      <c r="I412" t="str">
        <f>getMount('RawData (GH)'!G412)</f>
        <v>Nikon F</v>
      </c>
      <c r="J412" t="str">
        <f>getSensorCompatibility('RawData (GH)'!H412)</f>
        <v>APS-C/ Kleinbild</v>
      </c>
      <c r="K412" s="45">
        <f>getWeightAsDouble('RawData (GH)'!I412)</f>
        <v>360</v>
      </c>
      <c r="L412" s="34">
        <f>getSizeDiameter('RawData (GH)'!J412)</f>
        <v>68.5</v>
      </c>
      <c r="M412" s="34">
        <f>getSizeLength('RawData (GH)'!J412)</f>
        <v>47.5</v>
      </c>
    </row>
    <row r="413" spans="1:13" x14ac:dyDescent="0.25">
      <c r="A413" t="str">
        <f>'RawData (GH)'!A413</f>
        <v>Nikon 50mm 1.4 schwarz</v>
      </c>
      <c r="B413" s="5">
        <f>getFocalLengthStart('RawData (GH)'!B413)</f>
        <v>50</v>
      </c>
      <c r="C413" s="5">
        <f>getFocalLengthEnd('RawData (GH)'!B413)</f>
        <v>50</v>
      </c>
      <c r="D413" s="9">
        <f>getApertureStart('RawData (GH)'!C413)</f>
        <v>1.4</v>
      </c>
      <c r="E413" s="9">
        <f>getApertureEnd('RawData (GH)'!C413)</f>
        <v>1.4</v>
      </c>
      <c r="F413" s="2">
        <f>getFiltersizeAsDouble('RawData (GH)'!D413)</f>
        <v>52</v>
      </c>
      <c r="G413" s="35">
        <f>getMagnification('RawData (GH)'!E413)</f>
        <v>0</v>
      </c>
      <c r="H413" s="62">
        <f>getMinimalFocus('RawData (GH)'!F413)</f>
        <v>0</v>
      </c>
      <c r="I413" t="str">
        <f>getMount('RawData (GH)'!G413)</f>
        <v>Nikon F</v>
      </c>
      <c r="J413" t="str">
        <f>getSensorCompatibility('RawData (GH)'!H413)</f>
        <v>APS-C/ Kleinbild</v>
      </c>
      <c r="K413" s="45">
        <f>getWeightAsDouble('RawData (GH)'!I413)</f>
        <v>250</v>
      </c>
      <c r="L413" s="34">
        <f>getSizeDiameter('RawData (GH)'!J413)</f>
        <v>63</v>
      </c>
      <c r="M413" s="34">
        <f>getSizeLength('RawData (GH)'!J413)</f>
        <v>40</v>
      </c>
    </row>
    <row r="414" spans="1:13" x14ac:dyDescent="0.25">
      <c r="A414" t="str">
        <f>'RawData (GH)'!A414</f>
        <v>Nikon AF 14mm 2.8D ED schwarz</v>
      </c>
      <c r="B414" s="5">
        <f>getFocalLengthStart('RawData (GH)'!B414)</f>
        <v>14</v>
      </c>
      <c r="C414" s="5">
        <f>getFocalLengthEnd('RawData (GH)'!B414)</f>
        <v>14</v>
      </c>
      <c r="D414" s="9">
        <f>getApertureStart('RawData (GH)'!C414)</f>
        <v>2.8</v>
      </c>
      <c r="E414" s="9">
        <f>getApertureEnd('RawData (GH)'!C414)</f>
        <v>2.8</v>
      </c>
      <c r="F414" s="2">
        <f>getFiltersizeAsDouble('RawData (GH)'!D414)</f>
        <v>0</v>
      </c>
      <c r="G414" s="35">
        <f>getMagnification('RawData (GH)'!E414)</f>
        <v>6.71</v>
      </c>
      <c r="H414" s="62">
        <f>getMinimalFocus('RawData (GH)'!F414)</f>
        <v>0</v>
      </c>
      <c r="I414" t="str">
        <f>getMount('RawData (GH)'!G414)</f>
        <v>Nikon F</v>
      </c>
      <c r="J414" t="str">
        <f>getSensorCompatibility('RawData (GH)'!H414)</f>
        <v>APS-C/ Kleinbild</v>
      </c>
      <c r="K414" s="45">
        <f>getWeightAsDouble('RawData (GH)'!I414)</f>
        <v>670</v>
      </c>
      <c r="L414" s="34">
        <f>getSizeDiameter('RawData (GH)'!J414)</f>
        <v>86.5</v>
      </c>
      <c r="M414" s="34">
        <f>getSizeLength('RawData (GH)'!J414)</f>
        <v>87</v>
      </c>
    </row>
    <row r="415" spans="1:13" x14ac:dyDescent="0.25">
      <c r="A415" t="str">
        <f>'RawData (GH)'!A415</f>
        <v>Nikon AF 16mm 2.8D Fisheye schwarz</v>
      </c>
      <c r="B415" s="5">
        <f>getFocalLengthStart('RawData (GH)'!B415)</f>
        <v>16</v>
      </c>
      <c r="C415" s="5">
        <f>getFocalLengthEnd('RawData (GH)'!B415)</f>
        <v>16</v>
      </c>
      <c r="D415" s="9">
        <f>getApertureStart('RawData (GH)'!C415)</f>
        <v>2.8</v>
      </c>
      <c r="E415" s="9">
        <f>getApertureEnd('RawData (GH)'!C415)</f>
        <v>2.8</v>
      </c>
      <c r="F415" s="2">
        <f>getFiltersizeAsDouble('RawData (GH)'!D415)</f>
        <v>0</v>
      </c>
      <c r="G415" s="35">
        <f>getMagnification('RawData (GH)'!E415)</f>
        <v>10</v>
      </c>
      <c r="H415" s="62">
        <f>getMinimalFocus('RawData (GH)'!F415)</f>
        <v>0</v>
      </c>
      <c r="I415" t="str">
        <f>getMount('RawData (GH)'!G415)</f>
        <v>Nikon F</v>
      </c>
      <c r="J415" t="str">
        <f>getSensorCompatibility('RawData (GH)'!H415)</f>
        <v>APS-C/ Kleinbild</v>
      </c>
      <c r="K415" s="45">
        <f>getWeightAsDouble('RawData (GH)'!I415)</f>
        <v>290</v>
      </c>
      <c r="L415" s="34">
        <f>getSizeDiameter('RawData (GH)'!J415)</f>
        <v>57</v>
      </c>
      <c r="M415" s="34">
        <f>getSizeLength('RawData (GH)'!J415)</f>
        <v>63</v>
      </c>
    </row>
    <row r="416" spans="1:13" x14ac:dyDescent="0.25">
      <c r="A416" t="str">
        <f>'RawData (GH)'!A416</f>
        <v>Nikon AF 180mm 2.8D IF-ED schwarz</v>
      </c>
      <c r="B416" s="5">
        <f>getFocalLengthStart('RawData (GH)'!B416)</f>
        <v>180</v>
      </c>
      <c r="C416" s="5">
        <f>getFocalLengthEnd('RawData (GH)'!B416)</f>
        <v>180</v>
      </c>
      <c r="D416" s="9">
        <f>getApertureStart('RawData (GH)'!C416)</f>
        <v>2.8</v>
      </c>
      <c r="E416" s="9">
        <f>getApertureEnd('RawData (GH)'!C416)</f>
        <v>2.8</v>
      </c>
      <c r="F416" s="2">
        <f>getFiltersizeAsDouble('RawData (GH)'!D416)</f>
        <v>72</v>
      </c>
      <c r="G416" s="35">
        <f>getMagnification('RawData (GH)'!E416)</f>
        <v>6.67</v>
      </c>
      <c r="H416" s="62">
        <f>getMinimalFocus('RawData (GH)'!F416)</f>
        <v>0</v>
      </c>
      <c r="I416" t="str">
        <f>getMount('RawData (GH)'!G416)</f>
        <v>Nikon F</v>
      </c>
      <c r="J416" t="str">
        <f>getSensorCompatibility('RawData (GH)'!H416)</f>
        <v>APS-C/ Kleinbild</v>
      </c>
      <c r="K416" s="45">
        <f>getWeightAsDouble('RawData (GH)'!I416)</f>
        <v>760</v>
      </c>
      <c r="L416" s="34">
        <f>getSizeDiameter('RawData (GH)'!J416)</f>
        <v>78.5</v>
      </c>
      <c r="M416" s="34">
        <f>getSizeLength('RawData (GH)'!J416)</f>
        <v>144</v>
      </c>
    </row>
    <row r="417" spans="1:13" x14ac:dyDescent="0.25">
      <c r="A417" t="str">
        <f>'RawData (GH)'!A417</f>
        <v>Nikon AF 18-35mm 3.5-4.5D ED schwarz</v>
      </c>
      <c r="B417" s="5">
        <f>getFocalLengthStart('RawData (GH)'!B417)</f>
        <v>18</v>
      </c>
      <c r="C417" s="5">
        <f>getFocalLengthEnd('RawData (GH)'!B417)</f>
        <v>35</v>
      </c>
      <c r="D417" s="9">
        <f>getApertureStart('RawData (GH)'!C417)</f>
        <v>3.5</v>
      </c>
      <c r="E417" s="9">
        <f>getApertureEnd('RawData (GH)'!C417)</f>
        <v>4.5</v>
      </c>
      <c r="F417" s="2">
        <f>getFiltersizeAsDouble('RawData (GH)'!D417)</f>
        <v>77</v>
      </c>
      <c r="G417" s="35">
        <f>getMagnification('RawData (GH)'!E417)</f>
        <v>6.67</v>
      </c>
      <c r="H417" s="62">
        <f>getMinimalFocus('RawData (GH)'!F417)</f>
        <v>0</v>
      </c>
      <c r="I417" t="str">
        <f>getMount('RawData (GH)'!G417)</f>
        <v>Nikon F</v>
      </c>
      <c r="J417" t="str">
        <f>getSensorCompatibility('RawData (GH)'!H417)</f>
        <v>APS-C/ Kleinbild</v>
      </c>
      <c r="K417" s="45">
        <f>getWeightAsDouble('RawData (GH)'!I417)</f>
        <v>370</v>
      </c>
      <c r="L417" s="34">
        <f>getSizeDiameter('RawData (GH)'!J417)</f>
        <v>82.5</v>
      </c>
      <c r="M417" s="34">
        <f>getSizeLength('RawData (GH)'!J417)</f>
        <v>82.7</v>
      </c>
    </row>
    <row r="418" spans="1:13" x14ac:dyDescent="0.25">
      <c r="A418" t="str">
        <f>'RawData (GH)'!A418</f>
        <v>Nikon AF 20mm 2.8D schwarz</v>
      </c>
      <c r="B418" s="5">
        <f>getFocalLengthStart('RawData (GH)'!B418)</f>
        <v>20</v>
      </c>
      <c r="C418" s="5">
        <f>getFocalLengthEnd('RawData (GH)'!B418)</f>
        <v>20</v>
      </c>
      <c r="D418" s="9">
        <f>getApertureStart('RawData (GH)'!C418)</f>
        <v>2.8</v>
      </c>
      <c r="E418" s="9">
        <f>getApertureEnd('RawData (GH)'!C418)</f>
        <v>2.8</v>
      </c>
      <c r="F418" s="2">
        <f>getFiltersizeAsDouble('RawData (GH)'!D418)</f>
        <v>62</v>
      </c>
      <c r="G418" s="35">
        <f>getMagnification('RawData (GH)'!E418)</f>
        <v>8.33</v>
      </c>
      <c r="H418" s="62">
        <f>getMinimalFocus('RawData (GH)'!F418)</f>
        <v>0</v>
      </c>
      <c r="I418" t="str">
        <f>getMount('RawData (GH)'!G418)</f>
        <v>Nikon F</v>
      </c>
      <c r="J418" t="str">
        <f>getSensorCompatibility('RawData (GH)'!H418)</f>
        <v>APS-C/ Kleinbild</v>
      </c>
      <c r="K418" s="45">
        <f>getWeightAsDouble('RawData (GH)'!I418)</f>
        <v>270</v>
      </c>
      <c r="L418" s="34">
        <f>getSizeDiameter('RawData (GH)'!J418)</f>
        <v>42.5</v>
      </c>
      <c r="M418" s="34">
        <f>getSizeLength('RawData (GH)'!J418)</f>
        <v>69</v>
      </c>
    </row>
    <row r="419" spans="1:13" x14ac:dyDescent="0.25">
      <c r="A419" t="str">
        <f>'RawData (GH)'!A419</f>
        <v>Nikon AF 24-85mm 2.8-4.0D schwarz</v>
      </c>
      <c r="B419" s="5">
        <f>getFocalLengthStart('RawData (GH)'!B419)</f>
        <v>24</v>
      </c>
      <c r="C419" s="5">
        <f>getFocalLengthEnd('RawData (GH)'!B419)</f>
        <v>85</v>
      </c>
      <c r="D419" s="9">
        <f>getApertureStart('RawData (GH)'!C419)</f>
        <v>2.8</v>
      </c>
      <c r="E419" s="9">
        <f>getApertureEnd('RawData (GH)'!C419)</f>
        <v>4</v>
      </c>
      <c r="F419" s="2">
        <f>getFiltersizeAsDouble('RawData (GH)'!D419)</f>
        <v>72</v>
      </c>
      <c r="G419" s="35">
        <f>getMagnification('RawData (GH)'!E419)</f>
        <v>2</v>
      </c>
      <c r="H419" s="62">
        <f>getMinimalFocus('RawData (GH)'!F419)</f>
        <v>0</v>
      </c>
      <c r="I419" t="str">
        <f>getMount('RawData (GH)'!G419)</f>
        <v>Nikon F</v>
      </c>
      <c r="J419" t="str">
        <f>getSensorCompatibility('RawData (GH)'!H419)</f>
        <v>APS-C/ Kleinbild</v>
      </c>
      <c r="K419" s="45">
        <f>getWeightAsDouble('RawData (GH)'!I419)</f>
        <v>545</v>
      </c>
      <c r="L419" s="34">
        <f>getSizeDiameter('RawData (GH)'!J419)</f>
        <v>78.5</v>
      </c>
      <c r="M419" s="34">
        <f>getSizeLength('RawData (GH)'!J419)</f>
        <v>82.5</v>
      </c>
    </row>
    <row r="420" spans="1:13" x14ac:dyDescent="0.25">
      <c r="A420" t="str">
        <f>'RawData (GH)'!A420</f>
        <v>Nikon AF 24mm 2.8D schwarz</v>
      </c>
      <c r="B420" s="5">
        <f>getFocalLengthStart('RawData (GH)'!B420)</f>
        <v>24</v>
      </c>
      <c r="C420" s="5">
        <f>getFocalLengthEnd('RawData (GH)'!B420)</f>
        <v>24</v>
      </c>
      <c r="D420" s="9">
        <f>getApertureStart('RawData (GH)'!C420)</f>
        <v>2.8</v>
      </c>
      <c r="E420" s="9">
        <f>getApertureEnd('RawData (GH)'!C420)</f>
        <v>2.8</v>
      </c>
      <c r="F420" s="2">
        <f>getFiltersizeAsDouble('RawData (GH)'!D420)</f>
        <v>52</v>
      </c>
      <c r="G420" s="35">
        <f>getMagnification('RawData (GH)'!E420)</f>
        <v>9.09</v>
      </c>
      <c r="H420" s="62">
        <f>getMinimalFocus('RawData (GH)'!F420)</f>
        <v>0</v>
      </c>
      <c r="I420" t="str">
        <f>getMount('RawData (GH)'!G420)</f>
        <v>Nikon F</v>
      </c>
      <c r="J420" t="str">
        <f>getSensorCompatibility('RawData (GH)'!H420)</f>
        <v>APS-C/ Kleinbild</v>
      </c>
      <c r="K420" s="45">
        <f>getWeightAsDouble('RawData (GH)'!I420)</f>
        <v>270</v>
      </c>
      <c r="L420" s="34">
        <f>getSizeDiameter('RawData (GH)'!J420)</f>
        <v>64.5</v>
      </c>
      <c r="M420" s="34">
        <f>getSizeLength('RawData (GH)'!J420)</f>
        <v>46</v>
      </c>
    </row>
    <row r="421" spans="1:13" x14ac:dyDescent="0.25">
      <c r="A421" t="str">
        <f>'RawData (GH)'!A421</f>
        <v>Nikon AF 28-100mm 3.5-5.6G schwarz</v>
      </c>
      <c r="B421" s="5">
        <f>getFocalLengthStart('RawData (GH)'!B421)</f>
        <v>28</v>
      </c>
      <c r="C421" s="5">
        <f>getFocalLengthEnd('RawData (GH)'!B421)</f>
        <v>100</v>
      </c>
      <c r="D421" s="9">
        <f>getApertureStart('RawData (GH)'!C421)</f>
        <v>3.5</v>
      </c>
      <c r="E421" s="9">
        <f>getApertureEnd('RawData (GH)'!C421)</f>
        <v>5.6</v>
      </c>
      <c r="F421" s="2">
        <f>getFiltersizeAsDouble('RawData (GH)'!D421)</f>
        <v>62</v>
      </c>
      <c r="G421" s="35">
        <f>getMagnification('RawData (GH)'!E421)</f>
        <v>5</v>
      </c>
      <c r="H421" s="62">
        <f>getMinimalFocus('RawData (GH)'!F421)</f>
        <v>0</v>
      </c>
      <c r="I421" t="str">
        <f>getMount('RawData (GH)'!G421)</f>
        <v>Unknown</v>
      </c>
      <c r="J421" t="str">
        <f>getSensorCompatibility('RawData (GH)'!H421)</f>
        <v>APS-C/ Kleinbild</v>
      </c>
      <c r="K421" s="45">
        <f>getWeightAsDouble('RawData (GH)'!I421)</f>
        <v>245</v>
      </c>
      <c r="L421" s="34">
        <f>getSizeDiameter('RawData (GH)'!J421)</f>
        <v>68</v>
      </c>
      <c r="M421" s="34">
        <f>getSizeLength('RawData (GH)'!J421)</f>
        <v>80</v>
      </c>
    </row>
    <row r="422" spans="1:13" x14ac:dyDescent="0.25">
      <c r="A422" t="str">
        <f>'RawData (GH)'!A422</f>
        <v>Nikon AF 28-80mm 3.3-5.6G schwarz</v>
      </c>
      <c r="B422" s="5">
        <f>getFocalLengthStart('RawData (GH)'!B422)</f>
        <v>28</v>
      </c>
      <c r="C422" s="5">
        <f>getFocalLengthEnd('RawData (GH)'!B422)</f>
        <v>80</v>
      </c>
      <c r="D422" s="9">
        <f>getApertureStart('RawData (GH)'!C422)</f>
        <v>3.3</v>
      </c>
      <c r="E422" s="9">
        <f>getApertureEnd('RawData (GH)'!C422)</f>
        <v>5.6</v>
      </c>
      <c r="F422" s="2">
        <f>getFiltersizeAsDouble('RawData (GH)'!D422)</f>
        <v>58</v>
      </c>
      <c r="G422" s="35">
        <f>getMagnification('RawData (GH)'!E422)</f>
        <v>0</v>
      </c>
      <c r="H422" s="62">
        <f>getMinimalFocus('RawData (GH)'!F422)</f>
        <v>0</v>
      </c>
      <c r="I422" t="str">
        <f>getMount('RawData (GH)'!G422)</f>
        <v>Unknown</v>
      </c>
      <c r="J422" t="str">
        <f>getSensorCompatibility('RawData (GH)'!H422)</f>
        <v>APS-C/ Kleinbild</v>
      </c>
      <c r="K422" s="45">
        <f>getWeightAsDouble('RawData (GH)'!I422)</f>
        <v>195</v>
      </c>
      <c r="L422" s="34">
        <f>getSizeDiameter('RawData (GH)'!J422)</f>
        <v>64</v>
      </c>
      <c r="M422" s="34">
        <f>getSizeLength('RawData (GH)'!J422)</f>
        <v>66.5</v>
      </c>
    </row>
    <row r="423" spans="1:13" x14ac:dyDescent="0.25">
      <c r="A423" t="str">
        <f>'RawData (GH)'!A423</f>
        <v>Nikon AF 28mm 2.8D schwarz</v>
      </c>
      <c r="B423" s="5">
        <f>getFocalLengthStart('RawData (GH)'!B423)</f>
        <v>28</v>
      </c>
      <c r="C423" s="5">
        <f>getFocalLengthEnd('RawData (GH)'!B423)</f>
        <v>28</v>
      </c>
      <c r="D423" s="9">
        <f>getApertureStart('RawData (GH)'!C423)</f>
        <v>2.8</v>
      </c>
      <c r="E423" s="9">
        <f>getApertureEnd('RawData (GH)'!C423)</f>
        <v>2.8</v>
      </c>
      <c r="F423" s="2">
        <f>getFiltersizeAsDouble('RawData (GH)'!D423)</f>
        <v>52</v>
      </c>
      <c r="G423" s="35">
        <f>getMagnification('RawData (GH)'!E423)</f>
        <v>4.76</v>
      </c>
      <c r="H423" s="62">
        <f>getMinimalFocus('RawData (GH)'!F423)</f>
        <v>0</v>
      </c>
      <c r="I423" t="str">
        <f>getMount('RawData (GH)'!G423)</f>
        <v>Nikon F</v>
      </c>
      <c r="J423" t="str">
        <f>getSensorCompatibility('RawData (GH)'!H423)</f>
        <v>APS-C/ Kleinbild</v>
      </c>
      <c r="K423" s="45">
        <f>getWeightAsDouble('RawData (GH)'!I423)</f>
        <v>205</v>
      </c>
      <c r="L423" s="34">
        <f>getSizeDiameter('RawData (GH)'!J423)</f>
        <v>65</v>
      </c>
      <c r="M423" s="34">
        <f>getSizeLength('RawData (GH)'!J423)</f>
        <v>44.5</v>
      </c>
    </row>
    <row r="424" spans="1:13" x14ac:dyDescent="0.25">
      <c r="A424" t="str">
        <f>'RawData (GH)'!A424</f>
        <v>Nikon AF 35mm 2.0D schwarz</v>
      </c>
      <c r="B424" s="5">
        <f>getFocalLengthStart('RawData (GH)'!B424)</f>
        <v>35</v>
      </c>
      <c r="C424" s="5">
        <f>getFocalLengthEnd('RawData (GH)'!B424)</f>
        <v>35</v>
      </c>
      <c r="D424" s="9">
        <f>getApertureStart('RawData (GH)'!C424)</f>
        <v>2</v>
      </c>
      <c r="E424" s="9">
        <f>getApertureEnd('RawData (GH)'!C424)</f>
        <v>2</v>
      </c>
      <c r="F424" s="2">
        <f>getFiltersizeAsDouble('RawData (GH)'!D424)</f>
        <v>52</v>
      </c>
      <c r="G424" s="35">
        <f>getMagnification('RawData (GH)'!E424)</f>
        <v>4.3499999999999996</v>
      </c>
      <c r="H424" s="62">
        <f>getMinimalFocus('RawData (GH)'!F424)</f>
        <v>0</v>
      </c>
      <c r="I424" t="str">
        <f>getMount('RawData (GH)'!G424)</f>
        <v>Nikon F</v>
      </c>
      <c r="J424" t="str">
        <f>getSensorCompatibility('RawData (GH)'!H424)</f>
        <v>APS-C/ Kleinbild</v>
      </c>
      <c r="K424" s="45">
        <f>getWeightAsDouble('RawData (GH)'!I424)</f>
        <v>205</v>
      </c>
      <c r="L424" s="34">
        <f>getSizeDiameter('RawData (GH)'!J424)</f>
        <v>64.5</v>
      </c>
      <c r="M424" s="34">
        <f>getSizeLength('RawData (GH)'!J424)</f>
        <v>43.5</v>
      </c>
    </row>
    <row r="425" spans="1:13" x14ac:dyDescent="0.25">
      <c r="A425" t="str">
        <f>'RawData (GH)'!A425</f>
        <v>Nikon AF 50mm 1.4D schwarz</v>
      </c>
      <c r="B425" s="5">
        <f>getFocalLengthStart('RawData (GH)'!B425)</f>
        <v>50</v>
      </c>
      <c r="C425" s="5">
        <f>getFocalLengthEnd('RawData (GH)'!B425)</f>
        <v>50</v>
      </c>
      <c r="D425" s="9">
        <f>getApertureStart('RawData (GH)'!C425)</f>
        <v>1.4</v>
      </c>
      <c r="E425" s="9">
        <f>getApertureEnd('RawData (GH)'!C425)</f>
        <v>1.4</v>
      </c>
      <c r="F425" s="2">
        <f>getFiltersizeAsDouble('RawData (GH)'!D425)</f>
        <v>52</v>
      </c>
      <c r="G425" s="35">
        <f>getMagnification('RawData (GH)'!E425)</f>
        <v>7.14</v>
      </c>
      <c r="H425" s="62">
        <f>getMinimalFocus('RawData (GH)'!F425)</f>
        <v>0</v>
      </c>
      <c r="I425" t="str">
        <f>getMount('RawData (GH)'!G425)</f>
        <v>Nikon F</v>
      </c>
      <c r="J425" t="str">
        <f>getSensorCompatibility('RawData (GH)'!H425)</f>
        <v>APS-C/ Kleinbild</v>
      </c>
      <c r="K425" s="45">
        <f>getWeightAsDouble('RawData (GH)'!I425)</f>
        <v>230</v>
      </c>
      <c r="L425" s="34">
        <f>getSizeDiameter('RawData (GH)'!J425)</f>
        <v>64.5</v>
      </c>
      <c r="M425" s="34">
        <f>getSizeLength('RawData (GH)'!J425)</f>
        <v>42.5</v>
      </c>
    </row>
    <row r="426" spans="1:13" x14ac:dyDescent="0.25">
      <c r="A426" t="str">
        <f>'RawData (GH)'!A426</f>
        <v>Nikon AF 50mm 1.8D schwarz</v>
      </c>
      <c r="B426" s="5">
        <f>getFocalLengthStart('RawData (GH)'!B426)</f>
        <v>50</v>
      </c>
      <c r="C426" s="5">
        <f>getFocalLengthEnd('RawData (GH)'!B426)</f>
        <v>50</v>
      </c>
      <c r="D426" s="9">
        <f>getApertureStart('RawData (GH)'!C426)</f>
        <v>1.8</v>
      </c>
      <c r="E426" s="9">
        <f>getApertureEnd('RawData (GH)'!C426)</f>
        <v>1.8</v>
      </c>
      <c r="F426" s="2">
        <f>getFiltersizeAsDouble('RawData (GH)'!D426)</f>
        <v>52</v>
      </c>
      <c r="G426" s="35">
        <f>getMagnification('RawData (GH)'!E426)</f>
        <v>7.14</v>
      </c>
      <c r="H426" s="62">
        <f>getMinimalFocus('RawData (GH)'!F426)</f>
        <v>0</v>
      </c>
      <c r="I426" t="str">
        <f>getMount('RawData (GH)'!G426)</f>
        <v>Nikon F</v>
      </c>
      <c r="J426" t="str">
        <f>getSensorCompatibility('RawData (GH)'!H426)</f>
        <v>APS-C/ Kleinbild</v>
      </c>
      <c r="K426" s="45">
        <f>getWeightAsDouble('RawData (GH)'!I426)</f>
        <v>160</v>
      </c>
      <c r="L426" s="34">
        <f>getSizeDiameter('RawData (GH)'!J426)</f>
        <v>63</v>
      </c>
      <c r="M426" s="34">
        <f>getSizeLength('RawData (GH)'!J426)</f>
        <v>39</v>
      </c>
    </row>
    <row r="427" spans="1:13" x14ac:dyDescent="0.25">
      <c r="A427" t="str">
        <f>'RawData (GH)'!A427</f>
        <v>Nikon AF 70-300mm 4.0-5.6G schwarz</v>
      </c>
      <c r="B427" s="5">
        <f>getFocalLengthStart('RawData (GH)'!B427)</f>
        <v>70</v>
      </c>
      <c r="C427" s="5">
        <f>getFocalLengthEnd('RawData (GH)'!B427)</f>
        <v>300</v>
      </c>
      <c r="D427" s="9">
        <f>getApertureStart('RawData (GH)'!C427)</f>
        <v>4</v>
      </c>
      <c r="E427" s="9">
        <f>getApertureEnd('RawData (GH)'!C427)</f>
        <v>5.6</v>
      </c>
      <c r="F427" s="2">
        <f>getFiltersizeAsDouble('RawData (GH)'!D427)</f>
        <v>62</v>
      </c>
      <c r="G427" s="35">
        <f>getMagnification('RawData (GH)'!E427)</f>
        <v>4</v>
      </c>
      <c r="H427" s="62">
        <f>getMinimalFocus('RawData (GH)'!F427)</f>
        <v>0</v>
      </c>
      <c r="I427" t="str">
        <f>getMount('RawData (GH)'!G427)</f>
        <v>Nikon F</v>
      </c>
      <c r="J427" t="str">
        <f>getSensorCompatibility('RawData (GH)'!H427)</f>
        <v>APS-C/ Kleinbild</v>
      </c>
      <c r="K427" s="45">
        <f>getWeightAsDouble('RawData (GH)'!I427)</f>
        <v>470</v>
      </c>
      <c r="L427" s="34">
        <f>getSizeDiameter('RawData (GH)'!J427)</f>
        <v>74</v>
      </c>
      <c r="M427" s="34">
        <f>getSizeLength('RawData (GH)'!J427)</f>
        <v>116.5</v>
      </c>
    </row>
    <row r="428" spans="1:13" x14ac:dyDescent="0.25">
      <c r="A428" t="str">
        <f>'RawData (GH)'!A428</f>
        <v>Nikon AF 85mm 1.8D schwarz</v>
      </c>
      <c r="B428" s="5">
        <f>getFocalLengthStart('RawData (GH)'!B428)</f>
        <v>85</v>
      </c>
      <c r="C428" s="5">
        <f>getFocalLengthEnd('RawData (GH)'!B428)</f>
        <v>85</v>
      </c>
      <c r="D428" s="9">
        <f>getApertureStart('RawData (GH)'!C428)</f>
        <v>1.8</v>
      </c>
      <c r="E428" s="9">
        <f>getApertureEnd('RawData (GH)'!C428)</f>
        <v>1.8</v>
      </c>
      <c r="F428" s="2">
        <f>getFiltersizeAsDouble('RawData (GH)'!D428)</f>
        <v>62</v>
      </c>
      <c r="G428" s="35">
        <f>getMagnification('RawData (GH)'!E428)</f>
        <v>10</v>
      </c>
      <c r="H428" s="62">
        <f>getMinimalFocus('RawData (GH)'!F428)</f>
        <v>0</v>
      </c>
      <c r="I428" t="str">
        <f>getMount('RawData (GH)'!G428)</f>
        <v>Nikon F</v>
      </c>
      <c r="J428" t="str">
        <f>getSensorCompatibility('RawData (GH)'!H428)</f>
        <v>APS-C/ Kleinbild</v>
      </c>
      <c r="K428" s="45">
        <f>getWeightAsDouble('RawData (GH)'!I428)</f>
        <v>380</v>
      </c>
      <c r="L428" s="34">
        <f>getSizeDiameter('RawData (GH)'!J428)</f>
        <v>71.5</v>
      </c>
      <c r="M428" s="34">
        <f>getSizeLength('RawData (GH)'!J428)</f>
        <v>58.5</v>
      </c>
    </row>
    <row r="429" spans="1:13" x14ac:dyDescent="0.25">
      <c r="A429" t="str">
        <f>'RawData (GH)'!A429</f>
        <v>Nikon AF DC 105mm 2.0D schwarz</v>
      </c>
      <c r="B429" s="5">
        <f>getFocalLengthStart('RawData (GH)'!B429)</f>
        <v>105</v>
      </c>
      <c r="C429" s="5">
        <f>getFocalLengthEnd('RawData (GH)'!B429)</f>
        <v>105</v>
      </c>
      <c r="D429" s="9">
        <f>getApertureStart('RawData (GH)'!C429)</f>
        <v>2</v>
      </c>
      <c r="E429" s="9">
        <f>getApertureEnd('RawData (GH)'!C429)</f>
        <v>2</v>
      </c>
      <c r="F429" s="2">
        <f>getFiltersizeAsDouble('RawData (GH)'!D429)</f>
        <v>72</v>
      </c>
      <c r="G429" s="35">
        <f>getMagnification('RawData (GH)'!E429)</f>
        <v>0</v>
      </c>
      <c r="H429" s="62">
        <f>getMinimalFocus('RawData (GH)'!F429)</f>
        <v>0</v>
      </c>
      <c r="I429" t="str">
        <f>getMount('RawData (GH)'!G429)</f>
        <v>Nikon F</v>
      </c>
      <c r="J429" t="str">
        <f>getSensorCompatibility('RawData (GH)'!H429)</f>
        <v>APS-C/ Kleinbild</v>
      </c>
      <c r="K429" s="45">
        <f>getWeightAsDouble('RawData (GH)'!I429)</f>
        <v>640</v>
      </c>
      <c r="L429" s="34">
        <f>getSizeDiameter('RawData (GH)'!J429)</f>
        <v>79</v>
      </c>
      <c r="M429" s="34">
        <f>getSizeLength('RawData (GH)'!J429)</f>
        <v>111</v>
      </c>
    </row>
    <row r="430" spans="1:13" x14ac:dyDescent="0.25">
      <c r="A430" t="str">
        <f>'RawData (GH)'!A430</f>
        <v>Nikon AF DC 135mm 2.0D schwarz</v>
      </c>
      <c r="B430" s="5">
        <f>getFocalLengthStart('RawData (GH)'!B430)</f>
        <v>135</v>
      </c>
      <c r="C430" s="5">
        <f>getFocalLengthEnd('RawData (GH)'!B430)</f>
        <v>135</v>
      </c>
      <c r="D430" s="9">
        <f>getApertureStart('RawData (GH)'!C430)</f>
        <v>2</v>
      </c>
      <c r="E430" s="9">
        <f>getApertureEnd('RawData (GH)'!C430)</f>
        <v>2</v>
      </c>
      <c r="F430" s="2">
        <f>getFiltersizeAsDouble('RawData (GH)'!D430)</f>
        <v>72</v>
      </c>
      <c r="G430" s="35">
        <f>getMagnification('RawData (GH)'!E430)</f>
        <v>0</v>
      </c>
      <c r="H430" s="62">
        <f>getMinimalFocus('RawData (GH)'!F430)</f>
        <v>0</v>
      </c>
      <c r="I430" t="str">
        <f>getMount('RawData (GH)'!G430)</f>
        <v>Nikon F</v>
      </c>
      <c r="J430" t="str">
        <f>getSensorCompatibility('RawData (GH)'!H430)</f>
        <v>APS-C/ Kleinbild</v>
      </c>
      <c r="K430" s="45">
        <f>getWeightAsDouble('RawData (GH)'!I430)</f>
        <v>815</v>
      </c>
      <c r="L430" s="34">
        <f>getSizeDiameter('RawData (GH)'!J430)</f>
        <v>79</v>
      </c>
      <c r="M430" s="34">
        <f>getSizeLength('RawData (GH)'!J430)</f>
        <v>120</v>
      </c>
    </row>
    <row r="431" spans="1:13" x14ac:dyDescent="0.25">
      <c r="A431" t="str">
        <f>'RawData (GH)'!A431</f>
        <v>Nikon AF DX 10.5mm 2.8G Fisheye schwarz</v>
      </c>
      <c r="B431" s="5">
        <f>getFocalLengthStart('RawData (GH)'!B431)</f>
        <v>10.5</v>
      </c>
      <c r="C431" s="5">
        <f>getFocalLengthEnd('RawData (GH)'!B431)</f>
        <v>10.5</v>
      </c>
      <c r="D431" s="9">
        <f>getApertureStart('RawData (GH)'!C431)</f>
        <v>2.8</v>
      </c>
      <c r="E431" s="9">
        <f>getApertureEnd('RawData (GH)'!C431)</f>
        <v>2.8</v>
      </c>
      <c r="F431" s="2">
        <f>getFiltersizeAsDouble('RawData (GH)'!D431)</f>
        <v>52</v>
      </c>
      <c r="G431" s="35">
        <f>getMagnification('RawData (GH)'!E431)</f>
        <v>5</v>
      </c>
      <c r="H431" s="62">
        <f>getMinimalFocus('RawData (GH)'!F431)</f>
        <v>0</v>
      </c>
      <c r="I431" t="str">
        <f>getMount('RawData (GH)'!G431)</f>
        <v>Nikon F</v>
      </c>
      <c r="J431" t="str">
        <f>getSensorCompatibility('RawData (GH)'!H431)</f>
        <v>APS-C</v>
      </c>
      <c r="K431" s="45">
        <f>getWeightAsDouble('RawData (GH)'!I431)</f>
        <v>300</v>
      </c>
      <c r="L431" s="34">
        <f>getSizeDiameter('RawData (GH)'!J431)</f>
        <v>63</v>
      </c>
      <c r="M431" s="34">
        <f>getSizeLength('RawData (GH)'!J431)</f>
        <v>62.5</v>
      </c>
    </row>
    <row r="432" spans="1:13" x14ac:dyDescent="0.25">
      <c r="A432" t="str">
        <f>'RawData (GH)'!A432</f>
        <v>Nikon AF Micro 200mm 4.0D IF-ED schwarz</v>
      </c>
      <c r="B432" s="5">
        <f>getFocalLengthStart('RawData (GH)'!B432)</f>
        <v>200</v>
      </c>
      <c r="C432" s="5">
        <f>getFocalLengthEnd('RawData (GH)'!B432)</f>
        <v>200</v>
      </c>
      <c r="D432" s="9">
        <f>getApertureStart('RawData (GH)'!C432)</f>
        <v>4</v>
      </c>
      <c r="E432" s="9">
        <f>getApertureEnd('RawData (GH)'!C432)</f>
        <v>4</v>
      </c>
      <c r="F432" s="2">
        <f>getFiltersizeAsDouble('RawData (GH)'!D432)</f>
        <v>62</v>
      </c>
      <c r="G432" s="35">
        <f>getMagnification('RawData (GH)'!E432)</f>
        <v>1</v>
      </c>
      <c r="H432" s="62">
        <f>getMinimalFocus('RawData (GH)'!F432)</f>
        <v>0</v>
      </c>
      <c r="I432" t="str">
        <f>getMount('RawData (GH)'!G432)</f>
        <v>Nikon F</v>
      </c>
      <c r="J432" t="str">
        <f>getSensorCompatibility('RawData (GH)'!H432)</f>
        <v>APS-C/ Kleinbild</v>
      </c>
      <c r="K432" s="45">
        <f>getWeightAsDouble('RawData (GH)'!I432)</f>
        <v>1190</v>
      </c>
      <c r="L432" s="34">
        <f>getSizeDiameter('RawData (GH)'!J432)</f>
        <v>76</v>
      </c>
      <c r="M432" s="34">
        <f>getSizeLength('RawData (GH)'!J432)</f>
        <v>193</v>
      </c>
    </row>
    <row r="433" spans="1:13" x14ac:dyDescent="0.25">
      <c r="A433" t="str">
        <f>'RawData (GH)'!A433</f>
        <v>Nikon AF Micro 60mm 2.8D schwarz</v>
      </c>
      <c r="B433" s="5">
        <f>getFocalLengthStart('RawData (GH)'!B433)</f>
        <v>60</v>
      </c>
      <c r="C433" s="5">
        <f>getFocalLengthEnd('RawData (GH)'!B433)</f>
        <v>60</v>
      </c>
      <c r="D433" s="9">
        <f>getApertureStart('RawData (GH)'!C433)</f>
        <v>2.8</v>
      </c>
      <c r="E433" s="9">
        <f>getApertureEnd('RawData (GH)'!C433)</f>
        <v>2.8</v>
      </c>
      <c r="F433" s="2">
        <f>getFiltersizeAsDouble('RawData (GH)'!D433)</f>
        <v>62</v>
      </c>
      <c r="G433" s="35">
        <f>getMagnification('RawData (GH)'!E433)</f>
        <v>1</v>
      </c>
      <c r="H433" s="62">
        <f>getMinimalFocus('RawData (GH)'!F433)</f>
        <v>0</v>
      </c>
      <c r="I433" t="str">
        <f>getMount('RawData (GH)'!G433)</f>
        <v>Nikon F</v>
      </c>
      <c r="J433" t="str">
        <f>getSensorCompatibility('RawData (GH)'!H433)</f>
        <v>APS-C/ Kleinbild</v>
      </c>
      <c r="K433" s="45">
        <f>getWeightAsDouble('RawData (GH)'!I433)</f>
        <v>440</v>
      </c>
      <c r="L433" s="34">
        <f>getSizeDiameter('RawData (GH)'!J433)</f>
        <v>70</v>
      </c>
      <c r="M433" s="34">
        <f>getSizeLength('RawData (GH)'!J433)</f>
        <v>74.5</v>
      </c>
    </row>
    <row r="434" spans="1:13" x14ac:dyDescent="0.25">
      <c r="A434" t="str">
        <f>'RawData (GH)'!A434</f>
        <v>Nikon AF-P DX 18-55mm 3.5-5.6G schwarz</v>
      </c>
      <c r="B434" s="5">
        <f>getFocalLengthStart('RawData (GH)'!B434)</f>
        <v>18</v>
      </c>
      <c r="C434" s="5">
        <f>getFocalLengthEnd('RawData (GH)'!B434)</f>
        <v>55</v>
      </c>
      <c r="D434" s="9">
        <f>getApertureStart('RawData (GH)'!C434)</f>
        <v>3.5</v>
      </c>
      <c r="E434" s="9">
        <f>getApertureEnd('RawData (GH)'!C434)</f>
        <v>5.6</v>
      </c>
      <c r="F434" s="2">
        <f>getFiltersizeAsDouble('RawData (GH)'!D434)</f>
        <v>55</v>
      </c>
      <c r="G434" s="35">
        <f>getMagnification('RawData (GH)'!E434)</f>
        <v>2.6</v>
      </c>
      <c r="H434" s="62">
        <f>getMinimalFocus('RawData (GH)'!F434)</f>
        <v>0</v>
      </c>
      <c r="I434" t="str">
        <f>getMount('RawData (GH)'!G434)</f>
        <v>Nikon F</v>
      </c>
      <c r="J434" t="str">
        <f>getSensorCompatibility('RawData (GH)'!H434)</f>
        <v>APS-C</v>
      </c>
      <c r="K434" s="45">
        <f>getWeightAsDouble('RawData (GH)'!I434)</f>
        <v>195</v>
      </c>
      <c r="L434" s="34">
        <f>getSizeDiameter('RawData (GH)'!J434)</f>
        <v>64.5</v>
      </c>
      <c r="M434" s="34">
        <f>getSizeLength('RawData (GH)'!J434)</f>
        <v>62.5</v>
      </c>
    </row>
    <row r="435" spans="1:13" x14ac:dyDescent="0.25">
      <c r="A435" t="str">
        <f>'RawData (GH)'!A435</f>
        <v>Nikon AF-P DX 70-300mm 4.5-6.3G ED schwarz</v>
      </c>
      <c r="B435" s="5">
        <f>getFocalLengthStart('RawData (GH)'!B435)</f>
        <v>70</v>
      </c>
      <c r="C435" s="5">
        <f>getFocalLengthEnd('RawData (GH)'!B435)</f>
        <v>300</v>
      </c>
      <c r="D435" s="9">
        <f>getApertureStart('RawData (GH)'!C435)</f>
        <v>4.5</v>
      </c>
      <c r="E435" s="9">
        <f>getApertureEnd('RawData (GH)'!C435)</f>
        <v>6.3</v>
      </c>
      <c r="F435" s="2">
        <f>getFiltersizeAsDouble('RawData (GH)'!D435)</f>
        <v>58</v>
      </c>
      <c r="G435" s="35">
        <f>getMagnification('RawData (GH)'!E435)</f>
        <v>4.5</v>
      </c>
      <c r="H435" s="62">
        <f>getMinimalFocus('RawData (GH)'!F435)</f>
        <v>0</v>
      </c>
      <c r="I435" t="str">
        <f>getMount('RawData (GH)'!G435)</f>
        <v>Nikon F</v>
      </c>
      <c r="J435" t="str">
        <f>getSensorCompatibility('RawData (GH)'!H435)</f>
        <v>APS-C</v>
      </c>
      <c r="K435" s="45">
        <f>getWeightAsDouble('RawData (GH)'!I435)</f>
        <v>400</v>
      </c>
      <c r="L435" s="34">
        <f>getSizeDiameter('RawData (GH)'!J435)</f>
        <v>72</v>
      </c>
      <c r="M435" s="34">
        <f>getSizeLength('RawData (GH)'!J435)</f>
        <v>125</v>
      </c>
    </row>
    <row r="436" spans="1:13" x14ac:dyDescent="0.25">
      <c r="A436" t="str">
        <f>'RawData (GH)'!A436</f>
        <v>Nikon AF-P VR 70-300mm 4.5-5.6E ED schwarz</v>
      </c>
      <c r="B436" s="5">
        <f>getFocalLengthStart('RawData (GH)'!B436)</f>
        <v>70</v>
      </c>
      <c r="C436" s="5">
        <f>getFocalLengthEnd('RawData (GH)'!B436)</f>
        <v>300</v>
      </c>
      <c r="D436" s="9">
        <f>getApertureStart('RawData (GH)'!C436)</f>
        <v>4.5</v>
      </c>
      <c r="E436" s="9">
        <f>getApertureEnd('RawData (GH)'!C436)</f>
        <v>5.6</v>
      </c>
      <c r="F436" s="2">
        <f>getFiltersizeAsDouble('RawData (GH)'!D436)</f>
        <v>67</v>
      </c>
      <c r="G436" s="35">
        <f>getMagnification('RawData (GH)'!E436)</f>
        <v>4</v>
      </c>
      <c r="H436" s="62">
        <f>getMinimalFocus('RawData (GH)'!F436)</f>
        <v>0</v>
      </c>
      <c r="I436" t="str">
        <f>getMount('RawData (GH)'!G436)</f>
        <v>Nikon F</v>
      </c>
      <c r="J436" t="str">
        <f>getSensorCompatibility('RawData (GH)'!H436)</f>
        <v>APS-C/ Kleinbild</v>
      </c>
      <c r="K436" s="45">
        <f>getWeightAsDouble('RawData (GH)'!I436)</f>
        <v>680</v>
      </c>
      <c r="L436" s="34">
        <f>getSizeDiameter('RawData (GH)'!J436)</f>
        <v>80.5</v>
      </c>
      <c r="M436" s="34">
        <f>getSizeLength('RawData (GH)'!J436)</f>
        <v>145</v>
      </c>
    </row>
    <row r="437" spans="1:13" x14ac:dyDescent="0.25">
      <c r="A437" t="str">
        <f>'RawData (GH)'!A437</f>
        <v>Nikon AF-P VR DX 10-20mm 4.5-5.6G schwarz</v>
      </c>
      <c r="B437" s="5">
        <f>getFocalLengthStart('RawData (GH)'!B437)</f>
        <v>10</v>
      </c>
      <c r="C437" s="5">
        <f>getFocalLengthEnd('RawData (GH)'!B437)</f>
        <v>20</v>
      </c>
      <c r="D437" s="9">
        <f>getApertureStart('RawData (GH)'!C437)</f>
        <v>4.5</v>
      </c>
      <c r="E437" s="9">
        <f>getApertureEnd('RawData (GH)'!C437)</f>
        <v>5.6</v>
      </c>
      <c r="F437" s="2">
        <f>getFiltersizeAsDouble('RawData (GH)'!D437)</f>
        <v>72</v>
      </c>
      <c r="G437" s="35">
        <f>getMagnification('RawData (GH)'!E437)</f>
        <v>5.88</v>
      </c>
      <c r="H437" s="62">
        <f>getMinimalFocus('RawData (GH)'!F437)</f>
        <v>0</v>
      </c>
      <c r="I437" t="str">
        <f>getMount('RawData (GH)'!G437)</f>
        <v>Nikon F</v>
      </c>
      <c r="J437" t="str">
        <f>getSensorCompatibility('RawData (GH)'!H437)</f>
        <v>APS-C</v>
      </c>
      <c r="K437" s="45">
        <f>getWeightAsDouble('RawData (GH)'!I437)</f>
        <v>230</v>
      </c>
      <c r="L437" s="34">
        <f>getSizeDiameter('RawData (GH)'!J437)</f>
        <v>77</v>
      </c>
      <c r="M437" s="34">
        <f>getSizeLength('RawData (GH)'!J437)</f>
        <v>73</v>
      </c>
    </row>
    <row r="438" spans="1:13" x14ac:dyDescent="0.25">
      <c r="A438" t="str">
        <f>'RawData (GH)'!A438</f>
        <v>Nikon AF-P VR DX 18-55mm 3.5-5.6G schwarz</v>
      </c>
      <c r="B438" s="5">
        <f>getFocalLengthStart('RawData (GH)'!B438)</f>
        <v>18</v>
      </c>
      <c r="C438" s="5">
        <f>getFocalLengthEnd('RawData (GH)'!B438)</f>
        <v>55</v>
      </c>
      <c r="D438" s="9">
        <f>getApertureStart('RawData (GH)'!C438)</f>
        <v>3.5</v>
      </c>
      <c r="E438" s="9">
        <f>getApertureEnd('RawData (GH)'!C438)</f>
        <v>5.6</v>
      </c>
      <c r="F438" s="2">
        <f>getFiltersizeAsDouble('RawData (GH)'!D438)</f>
        <v>55</v>
      </c>
      <c r="G438" s="35">
        <f>getMagnification('RawData (GH)'!E438)</f>
        <v>2.6</v>
      </c>
      <c r="H438" s="62">
        <f>getMinimalFocus('RawData (GH)'!F438)</f>
        <v>0</v>
      </c>
      <c r="I438" t="str">
        <f>getMount('RawData (GH)'!G438)</f>
        <v>Nikon F</v>
      </c>
      <c r="J438" t="str">
        <f>getSensorCompatibility('RawData (GH)'!H438)</f>
        <v>APS-C</v>
      </c>
      <c r="K438" s="45">
        <f>getWeightAsDouble('RawData (GH)'!I438)</f>
        <v>205</v>
      </c>
      <c r="L438" s="34">
        <f>getSizeDiameter('RawData (GH)'!J438)</f>
        <v>64.5</v>
      </c>
      <c r="M438" s="34">
        <f>getSizeLength('RawData (GH)'!J438)</f>
        <v>62.5</v>
      </c>
    </row>
    <row r="439" spans="1:13" x14ac:dyDescent="0.25">
      <c r="A439" t="str">
        <f>'RawData (GH)'!A439</f>
        <v>Nikon AF-P VR DX 70-300mm 4.5-6.3G ED schwarz</v>
      </c>
      <c r="B439" s="5">
        <f>getFocalLengthStart('RawData (GH)'!B439)</f>
        <v>70</v>
      </c>
      <c r="C439" s="5">
        <f>getFocalLengthEnd('RawData (GH)'!B439)</f>
        <v>300</v>
      </c>
      <c r="D439" s="9">
        <f>getApertureStart('RawData (GH)'!C439)</f>
        <v>4.5</v>
      </c>
      <c r="E439" s="9">
        <f>getApertureEnd('RawData (GH)'!C439)</f>
        <v>6.3</v>
      </c>
      <c r="F439" s="2">
        <f>getFiltersizeAsDouble('RawData (GH)'!D439)</f>
        <v>58</v>
      </c>
      <c r="G439" s="35">
        <f>getMagnification('RawData (GH)'!E439)</f>
        <v>4.5</v>
      </c>
      <c r="H439" s="62">
        <f>getMinimalFocus('RawData (GH)'!F439)</f>
        <v>0</v>
      </c>
      <c r="I439" t="str">
        <f>getMount('RawData (GH)'!G439)</f>
        <v>Nikon F</v>
      </c>
      <c r="J439" t="str">
        <f>getSensorCompatibility('RawData (GH)'!H439)</f>
        <v>APS-C</v>
      </c>
      <c r="K439" s="45">
        <f>getWeightAsDouble('RawData (GH)'!I439)</f>
        <v>415</v>
      </c>
      <c r="L439" s="34">
        <f>getSizeDiameter('RawData (GH)'!J439)</f>
        <v>72</v>
      </c>
      <c r="M439" s="34">
        <f>getSizeLength('RawData (GH)'!J439)</f>
        <v>125</v>
      </c>
    </row>
    <row r="440" spans="1:13" x14ac:dyDescent="0.25">
      <c r="A440" t="str">
        <f>'RawData (GH)'!A440</f>
        <v>Nikon AF-S 105mm 1.4E ED schwarz</v>
      </c>
      <c r="B440" s="5">
        <f>getFocalLengthStart('RawData (GH)'!B440)</f>
        <v>105</v>
      </c>
      <c r="C440" s="5">
        <f>getFocalLengthEnd('RawData (GH)'!B440)</f>
        <v>105</v>
      </c>
      <c r="D440" s="9">
        <f>getApertureStart('RawData (GH)'!C440)</f>
        <v>1.4</v>
      </c>
      <c r="E440" s="9">
        <f>getApertureEnd('RawData (GH)'!C440)</f>
        <v>1.4</v>
      </c>
      <c r="F440" s="2">
        <f>getFiltersizeAsDouble('RawData (GH)'!D440)</f>
        <v>82</v>
      </c>
      <c r="G440" s="35">
        <f>getMagnification('RawData (GH)'!E440)</f>
        <v>7.7</v>
      </c>
      <c r="H440" s="62">
        <f>getMinimalFocus('RawData (GH)'!F440)</f>
        <v>0</v>
      </c>
      <c r="I440" t="str">
        <f>getMount('RawData (GH)'!G440)</f>
        <v>Nikon F</v>
      </c>
      <c r="J440" t="str">
        <f>getSensorCompatibility('RawData (GH)'!H440)</f>
        <v>APS-C/ Kleinbild</v>
      </c>
      <c r="K440" s="45">
        <f>getWeightAsDouble('RawData (GH)'!I440)</f>
        <v>985</v>
      </c>
      <c r="L440" s="34">
        <f>getSizeDiameter('RawData (GH)'!J440)</f>
        <v>94.5</v>
      </c>
      <c r="M440" s="34">
        <f>getSizeLength('RawData (GH)'!J440)</f>
        <v>106</v>
      </c>
    </row>
    <row r="441" spans="1:13" x14ac:dyDescent="0.25">
      <c r="A441" t="str">
        <f>'RawData (GH)'!A441</f>
        <v>Nikon AF-S 14-24mm 2.8G ED schwarz</v>
      </c>
      <c r="B441" s="5">
        <f>getFocalLengthStart('RawData (GH)'!B441)</f>
        <v>14</v>
      </c>
      <c r="C441" s="5">
        <f>getFocalLengthEnd('RawData (GH)'!B441)</f>
        <v>24</v>
      </c>
      <c r="D441" s="9">
        <f>getApertureStart('RawData (GH)'!C441)</f>
        <v>2.8</v>
      </c>
      <c r="E441" s="9">
        <f>getApertureEnd('RawData (GH)'!C441)</f>
        <v>2.8</v>
      </c>
      <c r="F441" s="2">
        <f>getFiltersizeAsDouble('RawData (GH)'!D441)</f>
        <v>0</v>
      </c>
      <c r="G441" s="35">
        <f>getMagnification('RawData (GH)'!E441)</f>
        <v>6.7</v>
      </c>
      <c r="H441" s="62">
        <f>getMinimalFocus('RawData (GH)'!F441)</f>
        <v>0</v>
      </c>
      <c r="I441" t="str">
        <f>getMount('RawData (GH)'!G441)</f>
        <v>Nikon F</v>
      </c>
      <c r="J441" t="str">
        <f>getSensorCompatibility('RawData (GH)'!H441)</f>
        <v>APS-C/ Kleinbild</v>
      </c>
      <c r="K441" s="45">
        <f>getWeightAsDouble('RawData (GH)'!I441)</f>
        <v>1000</v>
      </c>
      <c r="L441" s="34">
        <f>getSizeDiameter('RawData (GH)'!J441)</f>
        <v>98</v>
      </c>
      <c r="M441" s="34">
        <f>getSizeLength('RawData (GH)'!J441)</f>
        <v>131.5</v>
      </c>
    </row>
    <row r="442" spans="1:13" x14ac:dyDescent="0.25">
      <c r="A442" t="str">
        <f>'RawData (GH)'!A442</f>
        <v>Nikon AF-S 17-35mm 2.8D IF-ED schwarz</v>
      </c>
      <c r="B442" s="5">
        <f>getFocalLengthStart('RawData (GH)'!B442)</f>
        <v>17</v>
      </c>
      <c r="C442" s="5">
        <f>getFocalLengthEnd('RawData (GH)'!B442)</f>
        <v>35</v>
      </c>
      <c r="D442" s="9">
        <f>getApertureStart('RawData (GH)'!C442)</f>
        <v>2.8</v>
      </c>
      <c r="E442" s="9">
        <f>getApertureEnd('RawData (GH)'!C442)</f>
        <v>2.8</v>
      </c>
      <c r="F442" s="2">
        <f>getFiltersizeAsDouble('RawData (GH)'!D442)</f>
        <v>77</v>
      </c>
      <c r="G442" s="35">
        <f>getMagnification('RawData (GH)'!E442)</f>
        <v>4.76</v>
      </c>
      <c r="H442" s="62">
        <f>getMinimalFocus('RawData (GH)'!F442)</f>
        <v>0</v>
      </c>
      <c r="I442" t="str">
        <f>getMount('RawData (GH)'!G442)</f>
        <v>Nikon F</v>
      </c>
      <c r="J442" t="str">
        <f>getSensorCompatibility('RawData (GH)'!H442)</f>
        <v>APS-C/ Kleinbild</v>
      </c>
      <c r="K442" s="45">
        <f>getWeightAsDouble('RawData (GH)'!I442)</f>
        <v>750</v>
      </c>
      <c r="L442" s="34">
        <f>getSizeDiameter('RawData (GH)'!J442)</f>
        <v>83</v>
      </c>
      <c r="M442" s="34">
        <f>getSizeLength('RawData (GH)'!J442)</f>
        <v>106</v>
      </c>
    </row>
    <row r="443" spans="1:13" x14ac:dyDescent="0.25">
      <c r="A443" t="str">
        <f>'RawData (GH)'!A443</f>
        <v>Nikon AF-S 18-35mm 3.5-4.5G ED schwarz</v>
      </c>
      <c r="B443" s="5">
        <f>getFocalLengthStart('RawData (GH)'!B443)</f>
        <v>18</v>
      </c>
      <c r="C443" s="5">
        <f>getFocalLengthEnd('RawData (GH)'!B443)</f>
        <v>35</v>
      </c>
      <c r="D443" s="9">
        <f>getApertureStart('RawData (GH)'!C443)</f>
        <v>3.5</v>
      </c>
      <c r="E443" s="9">
        <f>getApertureEnd('RawData (GH)'!C443)</f>
        <v>4.5</v>
      </c>
      <c r="F443" s="2">
        <f>getFiltersizeAsDouble('RawData (GH)'!D443)</f>
        <v>77</v>
      </c>
      <c r="G443" s="35">
        <f>getMagnification('RawData (GH)'!E443)</f>
        <v>5</v>
      </c>
      <c r="H443" s="62">
        <f>getMinimalFocus('RawData (GH)'!F443)</f>
        <v>0</v>
      </c>
      <c r="I443" t="str">
        <f>getMount('RawData (GH)'!G443)</f>
        <v>Nikon F</v>
      </c>
      <c r="J443" t="str">
        <f>getSensorCompatibility('RawData (GH)'!H443)</f>
        <v>APS-C/ Kleinbild</v>
      </c>
      <c r="K443" s="45">
        <f>getWeightAsDouble('RawData (GH)'!I443)</f>
        <v>385</v>
      </c>
      <c r="L443" s="34">
        <f>getSizeDiameter('RawData (GH)'!J443)</f>
        <v>83</v>
      </c>
      <c r="M443" s="34">
        <f>getSizeLength('RawData (GH)'!J443)</f>
        <v>95</v>
      </c>
    </row>
    <row r="444" spans="1:13" x14ac:dyDescent="0.25">
      <c r="A444" t="str">
        <f>'RawData (GH)'!A444</f>
        <v>Nikon AF-S 20mm 1.8G ED schwarz</v>
      </c>
      <c r="B444" s="5">
        <f>getFocalLengthStart('RawData (GH)'!B444)</f>
        <v>20</v>
      </c>
      <c r="C444" s="5">
        <f>getFocalLengthEnd('RawData (GH)'!B444)</f>
        <v>20</v>
      </c>
      <c r="D444" s="9">
        <f>getApertureStart('RawData (GH)'!C444)</f>
        <v>1.8</v>
      </c>
      <c r="E444" s="9">
        <f>getApertureEnd('RawData (GH)'!C444)</f>
        <v>1.8</v>
      </c>
      <c r="F444" s="2">
        <f>getFiltersizeAsDouble('RawData (GH)'!D444)</f>
        <v>77</v>
      </c>
      <c r="G444" s="35">
        <f>getMagnification('RawData (GH)'!E444)</f>
        <v>0</v>
      </c>
      <c r="H444" s="62">
        <f>getMinimalFocus('RawData (GH)'!F444)</f>
        <v>0</v>
      </c>
      <c r="I444" t="str">
        <f>getMount('RawData (GH)'!G444)</f>
        <v>Nikon F</v>
      </c>
      <c r="J444" t="str">
        <f>getSensorCompatibility('RawData (GH)'!H444)</f>
        <v>APS-C/ Kleinbild</v>
      </c>
      <c r="K444" s="45">
        <f>getWeightAsDouble('RawData (GH)'!I444)</f>
        <v>355</v>
      </c>
      <c r="L444" s="34">
        <f>getSizeDiameter('RawData (GH)'!J444)</f>
        <v>0</v>
      </c>
      <c r="M444" s="34">
        <f>getSizeLength('RawData (GH)'!J444)</f>
        <v>0</v>
      </c>
    </row>
    <row r="445" spans="1:13" x14ac:dyDescent="0.25">
      <c r="A445" t="str">
        <f>'RawData (GH)'!A445</f>
        <v>Nikon AF-S 24-70mm 2.8G ED schwarz</v>
      </c>
      <c r="B445" s="5">
        <f>getFocalLengthStart('RawData (GH)'!B445)</f>
        <v>24</v>
      </c>
      <c r="C445" s="5">
        <f>getFocalLengthEnd('RawData (GH)'!B445)</f>
        <v>70</v>
      </c>
      <c r="D445" s="9">
        <f>getApertureStart('RawData (GH)'!C445)</f>
        <v>2.8</v>
      </c>
      <c r="E445" s="9">
        <f>getApertureEnd('RawData (GH)'!C445)</f>
        <v>2.8</v>
      </c>
      <c r="F445" s="2">
        <f>getFiltersizeAsDouble('RawData (GH)'!D445)</f>
        <v>77</v>
      </c>
      <c r="G445" s="35">
        <f>getMagnification('RawData (GH)'!E445)</f>
        <v>3.7</v>
      </c>
      <c r="H445" s="62">
        <f>getMinimalFocus('RawData (GH)'!F445)</f>
        <v>0</v>
      </c>
      <c r="I445" t="str">
        <f>getMount('RawData (GH)'!G445)</f>
        <v>Nikon F</v>
      </c>
      <c r="J445" t="str">
        <f>getSensorCompatibility('RawData (GH)'!H445)</f>
        <v>APS-C/ Kleinbild</v>
      </c>
      <c r="K445" s="45">
        <f>getWeightAsDouble('RawData (GH)'!I445)</f>
        <v>900</v>
      </c>
      <c r="L445" s="34">
        <f>getSizeDiameter('RawData (GH)'!J445)</f>
        <v>83</v>
      </c>
      <c r="M445" s="34">
        <f>getSizeLength('RawData (GH)'!J445)</f>
        <v>133</v>
      </c>
    </row>
    <row r="446" spans="1:13" x14ac:dyDescent="0.25">
      <c r="A446" t="str">
        <f>'RawData (GH)'!A446</f>
        <v>Nikon AF-S 24mm 1.4G ED schwarz</v>
      </c>
      <c r="B446" s="5">
        <f>getFocalLengthStart('RawData (GH)'!B446)</f>
        <v>24</v>
      </c>
      <c r="C446" s="5">
        <f>getFocalLengthEnd('RawData (GH)'!B446)</f>
        <v>24</v>
      </c>
      <c r="D446" s="9">
        <f>getApertureStart('RawData (GH)'!C446)</f>
        <v>1.4</v>
      </c>
      <c r="E446" s="9">
        <f>getApertureEnd('RawData (GH)'!C446)</f>
        <v>1.4</v>
      </c>
      <c r="F446" s="2">
        <f>getFiltersizeAsDouble('RawData (GH)'!D446)</f>
        <v>77</v>
      </c>
      <c r="G446" s="35">
        <f>getMagnification('RawData (GH)'!E446)</f>
        <v>5.59</v>
      </c>
      <c r="H446" s="62">
        <f>getMinimalFocus('RawData (GH)'!F446)</f>
        <v>0</v>
      </c>
      <c r="I446" t="str">
        <f>getMount('RawData (GH)'!G446)</f>
        <v>Nikon F</v>
      </c>
      <c r="J446" t="str">
        <f>getSensorCompatibility('RawData (GH)'!H446)</f>
        <v>APS-C/ Kleinbild</v>
      </c>
      <c r="K446" s="45">
        <f>getWeightAsDouble('RawData (GH)'!I446)</f>
        <v>620</v>
      </c>
      <c r="L446" s="34">
        <f>getSizeDiameter('RawData (GH)'!J446)</f>
        <v>83</v>
      </c>
      <c r="M446" s="34">
        <f>getSizeLength('RawData (GH)'!J446)</f>
        <v>88.5</v>
      </c>
    </row>
    <row r="447" spans="1:13" x14ac:dyDescent="0.25">
      <c r="A447" t="str">
        <f>'RawData (GH)'!A447</f>
        <v>Nikon AF-S 24mm 1.8G ED schwarz</v>
      </c>
      <c r="B447" s="5">
        <f>getFocalLengthStart('RawData (GH)'!B447)</f>
        <v>24</v>
      </c>
      <c r="C447" s="5">
        <f>getFocalLengthEnd('RawData (GH)'!B447)</f>
        <v>24</v>
      </c>
      <c r="D447" s="9">
        <f>getApertureStart('RawData (GH)'!C447)</f>
        <v>1.8</v>
      </c>
      <c r="E447" s="9">
        <f>getApertureEnd('RawData (GH)'!C447)</f>
        <v>1.8</v>
      </c>
      <c r="F447" s="2">
        <f>getFiltersizeAsDouble('RawData (GH)'!D447)</f>
        <v>72</v>
      </c>
      <c r="G447" s="35">
        <f>getMagnification('RawData (GH)'!E447)</f>
        <v>5</v>
      </c>
      <c r="H447" s="62">
        <f>getMinimalFocus('RawData (GH)'!F447)</f>
        <v>0</v>
      </c>
      <c r="I447" t="str">
        <f>getMount('RawData (GH)'!G447)</f>
        <v>Nikon F</v>
      </c>
      <c r="J447" t="str">
        <f>getSensorCompatibility('RawData (GH)'!H447)</f>
        <v>APS-C/ Kleinbild</v>
      </c>
      <c r="K447" s="45">
        <f>getWeightAsDouble('RawData (GH)'!I447)</f>
        <v>355</v>
      </c>
      <c r="L447" s="34">
        <f>getSizeDiameter('RawData (GH)'!J447)</f>
        <v>77.5</v>
      </c>
      <c r="M447" s="34">
        <f>getSizeLength('RawData (GH)'!J447)</f>
        <v>83</v>
      </c>
    </row>
    <row r="448" spans="1:13" x14ac:dyDescent="0.25">
      <c r="A448" t="str">
        <f>'RawData (GH)'!A448</f>
        <v>Nikon AF-S 28mm 1.4E ED schwarz</v>
      </c>
      <c r="B448" s="5">
        <f>getFocalLengthStart('RawData (GH)'!B448)</f>
        <v>28</v>
      </c>
      <c r="C448" s="5">
        <f>getFocalLengthEnd('RawData (GH)'!B448)</f>
        <v>28</v>
      </c>
      <c r="D448" s="9">
        <f>getApertureStart('RawData (GH)'!C448)</f>
        <v>1.4</v>
      </c>
      <c r="E448" s="9">
        <f>getApertureEnd('RawData (GH)'!C448)</f>
        <v>1.4</v>
      </c>
      <c r="F448" s="2">
        <f>getFiltersizeAsDouble('RawData (GH)'!D448)</f>
        <v>77</v>
      </c>
      <c r="G448" s="35">
        <f>getMagnification('RawData (GH)'!E448)</f>
        <v>5.88</v>
      </c>
      <c r="H448" s="62">
        <f>getMinimalFocus('RawData (GH)'!F448)</f>
        <v>0</v>
      </c>
      <c r="I448" t="str">
        <f>getMount('RawData (GH)'!G448)</f>
        <v>Nikon F</v>
      </c>
      <c r="J448" t="str">
        <f>getSensorCompatibility('RawData (GH)'!H448)</f>
        <v>APS-C/ Kleinbild</v>
      </c>
      <c r="K448" s="45">
        <f>getWeightAsDouble('RawData (GH)'!I448)</f>
        <v>645</v>
      </c>
      <c r="L448" s="34">
        <f>getSizeDiameter('RawData (GH)'!J448)</f>
        <v>83</v>
      </c>
      <c r="M448" s="34">
        <f>getSizeLength('RawData (GH)'!J448)</f>
        <v>100.5</v>
      </c>
    </row>
    <row r="449" spans="1:13" x14ac:dyDescent="0.25">
      <c r="A449" t="str">
        <f>'RawData (GH)'!A449</f>
        <v>Nikon AF-S 28mm 1.8G schwarz</v>
      </c>
      <c r="B449" s="5">
        <f>getFocalLengthStart('RawData (GH)'!B449)</f>
        <v>28</v>
      </c>
      <c r="C449" s="5">
        <f>getFocalLengthEnd('RawData (GH)'!B449)</f>
        <v>28</v>
      </c>
      <c r="D449" s="9">
        <f>getApertureStart('RawData (GH)'!C449)</f>
        <v>1.8</v>
      </c>
      <c r="E449" s="9">
        <f>getApertureEnd('RawData (GH)'!C449)</f>
        <v>1.8</v>
      </c>
      <c r="F449" s="2">
        <f>getFiltersizeAsDouble('RawData (GH)'!D449)</f>
        <v>67</v>
      </c>
      <c r="G449" s="35">
        <f>getMagnification('RawData (GH)'!E449)</f>
        <v>4.55</v>
      </c>
      <c r="H449" s="62">
        <f>getMinimalFocus('RawData (GH)'!F449)</f>
        <v>0</v>
      </c>
      <c r="I449" t="str">
        <f>getMount('RawData (GH)'!G449)</f>
        <v>Nikon F</v>
      </c>
      <c r="J449" t="str">
        <f>getSensorCompatibility('RawData (GH)'!H449)</f>
        <v>APS-C/ Kleinbild</v>
      </c>
      <c r="K449" s="45">
        <f>getWeightAsDouble('RawData (GH)'!I449)</f>
        <v>330</v>
      </c>
      <c r="L449" s="34">
        <f>getSizeDiameter('RawData (GH)'!J449)</f>
        <v>73</v>
      </c>
      <c r="M449" s="34">
        <f>getSizeLength('RawData (GH)'!J449)</f>
        <v>80.5</v>
      </c>
    </row>
    <row r="450" spans="1:13" x14ac:dyDescent="0.25">
      <c r="A450" t="str">
        <f>'RawData (GH)'!A450</f>
        <v>Nikon AF-S 300mm 4.0D IF-ED schwarz</v>
      </c>
      <c r="B450" s="5">
        <f>getFocalLengthStart('RawData (GH)'!B450)</f>
        <v>300</v>
      </c>
      <c r="C450" s="5">
        <f>getFocalLengthEnd('RawData (GH)'!B450)</f>
        <v>300</v>
      </c>
      <c r="D450" s="9">
        <f>getApertureStart('RawData (GH)'!C450)</f>
        <v>4</v>
      </c>
      <c r="E450" s="9">
        <f>getApertureEnd('RawData (GH)'!C450)</f>
        <v>4</v>
      </c>
      <c r="F450" s="2">
        <f>getFiltersizeAsDouble('RawData (GH)'!D450)</f>
        <v>77</v>
      </c>
      <c r="G450" s="35">
        <f>getMagnification('RawData (GH)'!E450)</f>
        <v>3.7</v>
      </c>
      <c r="H450" s="62">
        <f>getMinimalFocus('RawData (GH)'!F450)</f>
        <v>0</v>
      </c>
      <c r="I450" t="str">
        <f>getMount('RawData (GH)'!G450)</f>
        <v>Nikon F</v>
      </c>
      <c r="J450" t="str">
        <f>getSensorCompatibility('RawData (GH)'!H450)</f>
        <v>APS-C/ Kleinbild</v>
      </c>
      <c r="K450" s="45">
        <f>getWeightAsDouble('RawData (GH)'!I450)</f>
        <v>1440</v>
      </c>
      <c r="L450" s="34">
        <f>getSizeDiameter('RawData (GH)'!J450)</f>
        <v>90</v>
      </c>
      <c r="M450" s="34">
        <f>getSizeLength('RawData (GH)'!J450)</f>
        <v>222.5</v>
      </c>
    </row>
    <row r="451" spans="1:13" x14ac:dyDescent="0.25">
      <c r="A451" t="str">
        <f>'RawData (GH)'!A451</f>
        <v>Nikon AF-S 35mm 1.4G schwarz</v>
      </c>
      <c r="B451" s="5">
        <f>getFocalLengthStart('RawData (GH)'!B451)</f>
        <v>35</v>
      </c>
      <c r="C451" s="5">
        <f>getFocalLengthEnd('RawData (GH)'!B451)</f>
        <v>35</v>
      </c>
      <c r="D451" s="9">
        <f>getApertureStart('RawData (GH)'!C451)</f>
        <v>1.4</v>
      </c>
      <c r="E451" s="9">
        <f>getApertureEnd('RawData (GH)'!C451)</f>
        <v>1.4</v>
      </c>
      <c r="F451" s="2">
        <f>getFiltersizeAsDouble('RawData (GH)'!D451)</f>
        <v>67</v>
      </c>
      <c r="G451" s="35">
        <f>getMagnification('RawData (GH)'!E451)</f>
        <v>5</v>
      </c>
      <c r="H451" s="62">
        <f>getMinimalFocus('RawData (GH)'!F451)</f>
        <v>0</v>
      </c>
      <c r="I451" t="str">
        <f>getMount('RawData (GH)'!G451)</f>
        <v>Nikon F</v>
      </c>
      <c r="J451" t="str">
        <f>getSensorCompatibility('RawData (GH)'!H451)</f>
        <v>APS-C/ Kleinbild</v>
      </c>
      <c r="K451" s="45">
        <f>getWeightAsDouble('RawData (GH)'!I451)</f>
        <v>600</v>
      </c>
      <c r="L451" s="34">
        <f>getSizeDiameter('RawData (GH)'!J451)</f>
        <v>83</v>
      </c>
      <c r="M451" s="34">
        <f>getSizeLength('RawData (GH)'!J451)</f>
        <v>89.5</v>
      </c>
    </row>
    <row r="452" spans="1:13" x14ac:dyDescent="0.25">
      <c r="A452" t="str">
        <f>'RawData (GH)'!A452</f>
        <v>Nikon AF-S 35mm 1.8G ED schwarz</v>
      </c>
      <c r="B452" s="5">
        <f>getFocalLengthStart('RawData (GH)'!B452)</f>
        <v>35</v>
      </c>
      <c r="C452" s="5">
        <f>getFocalLengthEnd('RawData (GH)'!B452)</f>
        <v>35</v>
      </c>
      <c r="D452" s="9">
        <f>getApertureStart('RawData (GH)'!C452)</f>
        <v>1.8</v>
      </c>
      <c r="E452" s="9">
        <f>getApertureEnd('RawData (GH)'!C452)</f>
        <v>1.8</v>
      </c>
      <c r="F452" s="2">
        <f>getFiltersizeAsDouble('RawData (GH)'!D452)</f>
        <v>58</v>
      </c>
      <c r="G452" s="35">
        <f>getMagnification('RawData (GH)'!E452)</f>
        <v>4.2</v>
      </c>
      <c r="H452" s="62">
        <f>getMinimalFocus('RawData (GH)'!F452)</f>
        <v>0</v>
      </c>
      <c r="I452" t="str">
        <f>getMount('RawData (GH)'!G452)</f>
        <v>Nikon F</v>
      </c>
      <c r="J452" t="str">
        <f>getSensorCompatibility('RawData (GH)'!H452)</f>
        <v>APS-C/ Kleinbild</v>
      </c>
      <c r="K452" s="45">
        <f>getWeightAsDouble('RawData (GH)'!I452)</f>
        <v>305</v>
      </c>
      <c r="L452" s="34">
        <f>getSizeDiameter('RawData (GH)'!J452)</f>
        <v>72</v>
      </c>
      <c r="M452" s="34">
        <f>getSizeLength('RawData (GH)'!J452)</f>
        <v>71.5</v>
      </c>
    </row>
    <row r="453" spans="1:13" x14ac:dyDescent="0.25">
      <c r="A453" t="str">
        <f>'RawData (GH)'!A453</f>
        <v>Nikon AF-S 50mm 1.4G schwarz</v>
      </c>
      <c r="B453" s="5">
        <f>getFocalLengthStart('RawData (GH)'!B453)</f>
        <v>50</v>
      </c>
      <c r="C453" s="5">
        <f>getFocalLengthEnd('RawData (GH)'!B453)</f>
        <v>50</v>
      </c>
      <c r="D453" s="9">
        <f>getApertureStart('RawData (GH)'!C453)</f>
        <v>1.4</v>
      </c>
      <c r="E453" s="9">
        <f>getApertureEnd('RawData (GH)'!C453)</f>
        <v>1.4</v>
      </c>
      <c r="F453" s="2">
        <f>getFiltersizeAsDouble('RawData (GH)'!D453)</f>
        <v>58</v>
      </c>
      <c r="G453" s="35">
        <f>getMagnification('RawData (GH)'!E453)</f>
        <v>6.7</v>
      </c>
      <c r="H453" s="62">
        <f>getMinimalFocus('RawData (GH)'!F453)</f>
        <v>0</v>
      </c>
      <c r="I453" t="str">
        <f>getMount('RawData (GH)'!G453)</f>
        <v>Nikon F</v>
      </c>
      <c r="J453" t="str">
        <f>getSensorCompatibility('RawData (GH)'!H453)</f>
        <v>APS-C/ Kleinbild</v>
      </c>
      <c r="K453" s="45">
        <f>getWeightAsDouble('RawData (GH)'!I453)</f>
        <v>280</v>
      </c>
      <c r="L453" s="34">
        <f>getSizeDiameter('RawData (GH)'!J453)</f>
        <v>73.5</v>
      </c>
      <c r="M453" s="34">
        <f>getSizeLength('RawData (GH)'!J453)</f>
        <v>54</v>
      </c>
    </row>
    <row r="454" spans="1:13" x14ac:dyDescent="0.25">
      <c r="A454" t="str">
        <f>'RawData (GH)'!A454</f>
        <v>Nikon AF-S 50mm 1.8G schwarz</v>
      </c>
      <c r="B454" s="5">
        <f>getFocalLengthStart('RawData (GH)'!B454)</f>
        <v>50</v>
      </c>
      <c r="C454" s="5">
        <f>getFocalLengthEnd('RawData (GH)'!B454)</f>
        <v>50</v>
      </c>
      <c r="D454" s="9">
        <f>getApertureStart('RawData (GH)'!C454)</f>
        <v>1.8</v>
      </c>
      <c r="E454" s="9">
        <f>getApertureEnd('RawData (GH)'!C454)</f>
        <v>1.8</v>
      </c>
      <c r="F454" s="2">
        <f>getFiltersizeAsDouble('RawData (GH)'!D454)</f>
        <v>58</v>
      </c>
      <c r="G454" s="35">
        <f>getMagnification('RawData (GH)'!E454)</f>
        <v>6.7</v>
      </c>
      <c r="H454" s="62">
        <f>getMinimalFocus('RawData (GH)'!F454)</f>
        <v>0</v>
      </c>
      <c r="I454" t="str">
        <f>getMount('RawData (GH)'!G454)</f>
        <v>Nikon F</v>
      </c>
      <c r="J454" t="str">
        <f>getSensorCompatibility('RawData (GH)'!H454)</f>
        <v>APS-C/ Kleinbild</v>
      </c>
      <c r="K454" s="45">
        <f>getWeightAsDouble('RawData (GH)'!I454)</f>
        <v>185</v>
      </c>
      <c r="L454" s="34">
        <f>getSizeDiameter('RawData (GH)'!J454)</f>
        <v>72</v>
      </c>
      <c r="M454" s="34">
        <f>getSizeLength('RawData (GH)'!J454)</f>
        <v>52.5</v>
      </c>
    </row>
    <row r="455" spans="1:13" x14ac:dyDescent="0.25">
      <c r="A455" t="str">
        <f>'RawData (GH)'!A455</f>
        <v>Nikon AF-S 50mm 1.8G SE schwarz</v>
      </c>
      <c r="B455" s="5">
        <f>getFocalLengthStart('RawData (GH)'!B455)</f>
        <v>50</v>
      </c>
      <c r="C455" s="5">
        <f>getFocalLengthEnd('RawData (GH)'!B455)</f>
        <v>50</v>
      </c>
      <c r="D455" s="9">
        <f>getApertureStart('RawData (GH)'!C455)</f>
        <v>1.8</v>
      </c>
      <c r="E455" s="9">
        <f>getApertureEnd('RawData (GH)'!C455)</f>
        <v>1.8</v>
      </c>
      <c r="F455" s="2">
        <f>getFiltersizeAsDouble('RawData (GH)'!D455)</f>
        <v>58</v>
      </c>
      <c r="G455" s="35">
        <f>getMagnification('RawData (GH)'!E455)</f>
        <v>6.7</v>
      </c>
      <c r="H455" s="62">
        <f>getMinimalFocus('RawData (GH)'!F455)</f>
        <v>0</v>
      </c>
      <c r="I455" t="str">
        <f>getMount('RawData (GH)'!G455)</f>
        <v>Nikon F</v>
      </c>
      <c r="J455" t="str">
        <f>getSensorCompatibility('RawData (GH)'!H455)</f>
        <v>APS-C/ Kleinbild</v>
      </c>
      <c r="K455" s="45">
        <f>getWeightAsDouble('RawData (GH)'!I455)</f>
        <v>190</v>
      </c>
      <c r="L455" s="34">
        <f>getSizeDiameter('RawData (GH)'!J455)</f>
        <v>73</v>
      </c>
      <c r="M455" s="34">
        <f>getSizeLength('RawData (GH)'!J455)</f>
        <v>52.5</v>
      </c>
    </row>
    <row r="456" spans="1:13" x14ac:dyDescent="0.25">
      <c r="A456" t="str">
        <f>'RawData (GH)'!A456</f>
        <v>Nikon AF-S 58mm 1.4G schwarz</v>
      </c>
      <c r="B456" s="5">
        <f>getFocalLengthStart('RawData (GH)'!B456)</f>
        <v>58</v>
      </c>
      <c r="C456" s="5">
        <f>getFocalLengthEnd('RawData (GH)'!B456)</f>
        <v>58</v>
      </c>
      <c r="D456" s="9">
        <f>getApertureStart('RawData (GH)'!C456)</f>
        <v>1.4</v>
      </c>
      <c r="E456" s="9">
        <f>getApertureEnd('RawData (GH)'!C456)</f>
        <v>1.4</v>
      </c>
      <c r="F456" s="2">
        <f>getFiltersizeAsDouble('RawData (GH)'!D456)</f>
        <v>72</v>
      </c>
      <c r="G456" s="35">
        <f>getMagnification('RawData (GH)'!E456)</f>
        <v>7.7</v>
      </c>
      <c r="H456" s="62">
        <f>getMinimalFocus('RawData (GH)'!F456)</f>
        <v>0</v>
      </c>
      <c r="I456" t="str">
        <f>getMount('RawData (GH)'!G456)</f>
        <v>Nikon F</v>
      </c>
      <c r="J456" t="str">
        <f>getSensorCompatibility('RawData (GH)'!H456)</f>
        <v>APS-C/ Kleinbild</v>
      </c>
      <c r="K456" s="45">
        <f>getWeightAsDouble('RawData (GH)'!I456)</f>
        <v>385</v>
      </c>
      <c r="L456" s="34">
        <f>getSizeDiameter('RawData (GH)'!J456)</f>
        <v>85</v>
      </c>
      <c r="M456" s="34">
        <f>getSizeLength('RawData (GH)'!J456)</f>
        <v>70</v>
      </c>
    </row>
    <row r="457" spans="1:13" x14ac:dyDescent="0.25">
      <c r="A457" t="str">
        <f>'RawData (GH)'!A457</f>
        <v>Nikon AF-S 8-15mm 3.5-4.5E ED schwarz</v>
      </c>
      <c r="B457" s="5">
        <f>getFocalLengthStart('RawData (GH)'!B457)</f>
        <v>8</v>
      </c>
      <c r="C457" s="5">
        <f>getFocalLengthEnd('RawData (GH)'!B457)</f>
        <v>15</v>
      </c>
      <c r="D457" s="9">
        <f>getApertureStart('RawData (GH)'!C457)</f>
        <v>3.5</v>
      </c>
      <c r="E457" s="9">
        <f>getApertureEnd('RawData (GH)'!C457)</f>
        <v>4.5</v>
      </c>
      <c r="F457" s="2">
        <f>getFiltersizeAsDouble('RawData (GH)'!D457)</f>
        <v>0</v>
      </c>
      <c r="G457" s="35">
        <f>getMagnification('RawData (GH)'!E457)</f>
        <v>2.94</v>
      </c>
      <c r="H457" s="62">
        <f>getMinimalFocus('RawData (GH)'!F457)</f>
        <v>0</v>
      </c>
      <c r="I457" t="str">
        <f>getMount('RawData (GH)'!G457)</f>
        <v>Nikon F</v>
      </c>
      <c r="J457" t="str">
        <f>getSensorCompatibility('RawData (GH)'!H457)</f>
        <v>APS-C/ Kleinbild</v>
      </c>
      <c r="K457" s="45">
        <f>getWeightAsDouble('RawData (GH)'!I457)</f>
        <v>485</v>
      </c>
      <c r="L457" s="34">
        <f>getSizeDiameter('RawData (GH)'!J457)</f>
        <v>77.5</v>
      </c>
      <c r="M457" s="34">
        <f>getSizeLength('RawData (GH)'!J457)</f>
        <v>83</v>
      </c>
    </row>
    <row r="458" spans="1:13" x14ac:dyDescent="0.25">
      <c r="A458" t="str">
        <f>'RawData (GH)'!A458</f>
        <v>Nikon AF-S 85mm 1.4G schwarz</v>
      </c>
      <c r="B458" s="5">
        <f>getFocalLengthStart('RawData (GH)'!B458)</f>
        <v>85</v>
      </c>
      <c r="C458" s="5">
        <f>getFocalLengthEnd('RawData (GH)'!B458)</f>
        <v>85</v>
      </c>
      <c r="D458" s="9">
        <f>getApertureStart('RawData (GH)'!C458)</f>
        <v>1.4</v>
      </c>
      <c r="E458" s="9">
        <f>getApertureEnd('RawData (GH)'!C458)</f>
        <v>1.4</v>
      </c>
      <c r="F458" s="2">
        <f>getFiltersizeAsDouble('RawData (GH)'!D458)</f>
        <v>77</v>
      </c>
      <c r="G458" s="35">
        <f>getMagnification('RawData (GH)'!E458)</f>
        <v>8.33</v>
      </c>
      <c r="H458" s="62">
        <f>getMinimalFocus('RawData (GH)'!F458)</f>
        <v>0</v>
      </c>
      <c r="I458" t="str">
        <f>getMount('RawData (GH)'!G458)</f>
        <v>Nikon F</v>
      </c>
      <c r="J458" t="str">
        <f>getSensorCompatibility('RawData (GH)'!H458)</f>
        <v>APS-C/ Kleinbild</v>
      </c>
      <c r="K458" s="45">
        <f>getWeightAsDouble('RawData (GH)'!I458)</f>
        <v>595</v>
      </c>
      <c r="L458" s="34">
        <f>getSizeDiameter('RawData (GH)'!J458)</f>
        <v>86.5</v>
      </c>
      <c r="M458" s="34">
        <f>getSizeLength('RawData (GH)'!J458)</f>
        <v>84</v>
      </c>
    </row>
    <row r="459" spans="1:13" x14ac:dyDescent="0.25">
      <c r="A459" t="str">
        <f>'RawData (GH)'!A459</f>
        <v>Nikon AF-S 85mm 1.8G schwarz</v>
      </c>
      <c r="B459" s="5">
        <f>getFocalLengthStart('RawData (GH)'!B459)</f>
        <v>85</v>
      </c>
      <c r="C459" s="5">
        <f>getFocalLengthEnd('RawData (GH)'!B459)</f>
        <v>85</v>
      </c>
      <c r="D459" s="9">
        <f>getApertureStart('RawData (GH)'!C459)</f>
        <v>1.8</v>
      </c>
      <c r="E459" s="9">
        <f>getApertureEnd('RawData (GH)'!C459)</f>
        <v>1.8</v>
      </c>
      <c r="F459" s="2">
        <f>getFiltersizeAsDouble('RawData (GH)'!D459)</f>
        <v>67</v>
      </c>
      <c r="G459" s="35">
        <f>getMagnification('RawData (GH)'!E459)</f>
        <v>8</v>
      </c>
      <c r="H459" s="62">
        <f>getMinimalFocus('RawData (GH)'!F459)</f>
        <v>0</v>
      </c>
      <c r="I459" t="str">
        <f>getMount('RawData (GH)'!G459)</f>
        <v>Nikon F</v>
      </c>
      <c r="J459" t="str">
        <f>getSensorCompatibility('RawData (GH)'!H459)</f>
        <v>APS-C/ Kleinbild</v>
      </c>
      <c r="K459" s="45">
        <f>getWeightAsDouble('RawData (GH)'!I459)</f>
        <v>350</v>
      </c>
      <c r="L459" s="34">
        <f>getSizeDiameter('RawData (GH)'!J459)</f>
        <v>80</v>
      </c>
      <c r="M459" s="34">
        <f>getSizeLength('RawData (GH)'!J459)</f>
        <v>73</v>
      </c>
    </row>
    <row r="460" spans="1:13" x14ac:dyDescent="0.25">
      <c r="A460" t="str">
        <f>'RawData (GH)'!A460</f>
        <v>Nikon AF-S DX 10-24mm 3.5-4.5G ED schwarz</v>
      </c>
      <c r="B460" s="5">
        <f>getFocalLengthStart('RawData (GH)'!B460)</f>
        <v>10</v>
      </c>
      <c r="C460" s="5">
        <f>getFocalLengthEnd('RawData (GH)'!B460)</f>
        <v>24</v>
      </c>
      <c r="D460" s="9">
        <f>getApertureStart('RawData (GH)'!C460)</f>
        <v>3.5</v>
      </c>
      <c r="E460" s="9">
        <f>getApertureEnd('RawData (GH)'!C460)</f>
        <v>4.5</v>
      </c>
      <c r="F460" s="2">
        <f>getFiltersizeAsDouble('RawData (GH)'!D460)</f>
        <v>77</v>
      </c>
      <c r="G460" s="35">
        <f>getMagnification('RawData (GH)'!E460)</f>
        <v>5</v>
      </c>
      <c r="H460" s="62">
        <f>getMinimalFocus('RawData (GH)'!F460)</f>
        <v>0</v>
      </c>
      <c r="I460" t="str">
        <f>getMount('RawData (GH)'!G460)</f>
        <v>Nikon F</v>
      </c>
      <c r="J460" t="str">
        <f>getSensorCompatibility('RawData (GH)'!H460)</f>
        <v>APS-C</v>
      </c>
      <c r="K460" s="45">
        <f>getWeightAsDouble('RawData (GH)'!I460)</f>
        <v>460</v>
      </c>
      <c r="L460" s="34">
        <f>getSizeDiameter('RawData (GH)'!J460)</f>
        <v>82.5</v>
      </c>
      <c r="M460" s="34">
        <f>getSizeLength('RawData (GH)'!J460)</f>
        <v>87</v>
      </c>
    </row>
    <row r="461" spans="1:13" x14ac:dyDescent="0.25">
      <c r="A461" t="str">
        <f>'RawData (GH)'!A461</f>
        <v>Nikon AF-S DX 12-24mm 4.0G IF-ED schwarz</v>
      </c>
      <c r="B461" s="5">
        <f>getFocalLengthStart('RawData (GH)'!B461)</f>
        <v>12</v>
      </c>
      <c r="C461" s="5">
        <f>getFocalLengthEnd('RawData (GH)'!B461)</f>
        <v>24</v>
      </c>
      <c r="D461" s="9">
        <f>getApertureStart('RawData (GH)'!C461)</f>
        <v>4</v>
      </c>
      <c r="E461" s="9">
        <f>getApertureEnd('RawData (GH)'!C461)</f>
        <v>4</v>
      </c>
      <c r="F461" s="2">
        <f>getFiltersizeAsDouble('RawData (GH)'!D461)</f>
        <v>77</v>
      </c>
      <c r="G461" s="35">
        <f>getMagnification('RawData (GH)'!E461)</f>
        <v>8.33</v>
      </c>
      <c r="H461" s="62">
        <f>getMinimalFocus('RawData (GH)'!F461)</f>
        <v>0</v>
      </c>
      <c r="I461" t="str">
        <f>getMount('RawData (GH)'!G461)</f>
        <v>Nikon F</v>
      </c>
      <c r="J461" t="str">
        <f>getSensorCompatibility('RawData (GH)'!H461)</f>
        <v>APS-C</v>
      </c>
      <c r="K461" s="45">
        <f>getWeightAsDouble('RawData (GH)'!I461)</f>
        <v>485</v>
      </c>
      <c r="L461" s="34">
        <f>getSizeDiameter('RawData (GH)'!J461)</f>
        <v>82.5</v>
      </c>
      <c r="M461" s="34">
        <f>getSizeLength('RawData (GH)'!J461)</f>
        <v>90</v>
      </c>
    </row>
    <row r="462" spans="1:13" x14ac:dyDescent="0.25">
      <c r="A462" t="str">
        <f>'RawData (GH)'!A462</f>
        <v>Nikon AF-S DX 17-55mm 2.8G IF-ED schwarz</v>
      </c>
      <c r="B462" s="5">
        <f>getFocalLengthStart('RawData (GH)'!B462)</f>
        <v>17</v>
      </c>
      <c r="C462" s="5">
        <f>getFocalLengthEnd('RawData (GH)'!B462)</f>
        <v>55</v>
      </c>
      <c r="D462" s="9">
        <f>getApertureStart('RawData (GH)'!C462)</f>
        <v>2.8</v>
      </c>
      <c r="E462" s="9">
        <f>getApertureEnd('RawData (GH)'!C462)</f>
        <v>2.8</v>
      </c>
      <c r="F462" s="2">
        <f>getFiltersizeAsDouble('RawData (GH)'!D462)</f>
        <v>77</v>
      </c>
      <c r="G462" s="35">
        <f>getMagnification('RawData (GH)'!E462)</f>
        <v>4.76</v>
      </c>
      <c r="H462" s="62">
        <f>getMinimalFocus('RawData (GH)'!F462)</f>
        <v>0</v>
      </c>
      <c r="I462" t="str">
        <f>getMount('RawData (GH)'!G462)</f>
        <v>Nikon F</v>
      </c>
      <c r="J462" t="str">
        <f>getSensorCompatibility('RawData (GH)'!H462)</f>
        <v>APS-C</v>
      </c>
      <c r="K462" s="45">
        <f>getWeightAsDouble('RawData (GH)'!I462)</f>
        <v>755</v>
      </c>
      <c r="L462" s="34">
        <f>getSizeDiameter('RawData (GH)'!J462)</f>
        <v>85.5</v>
      </c>
      <c r="M462" s="34">
        <f>getSizeLength('RawData (GH)'!J462)</f>
        <v>110.5</v>
      </c>
    </row>
    <row r="463" spans="1:13" x14ac:dyDescent="0.25">
      <c r="A463" t="str">
        <f>'RawData (GH)'!A463</f>
        <v>Nikon AF-S DX 18-135mm 3.5-5.6G IF-ED schwarz</v>
      </c>
      <c r="B463" s="5">
        <f>getFocalLengthStart('RawData (GH)'!B463)</f>
        <v>18</v>
      </c>
      <c r="C463" s="5">
        <f>getFocalLengthEnd('RawData (GH)'!B463)</f>
        <v>135</v>
      </c>
      <c r="D463" s="9">
        <f>getApertureStart('RawData (GH)'!C463)</f>
        <v>3.5</v>
      </c>
      <c r="E463" s="9">
        <f>getApertureEnd('RawData (GH)'!C463)</f>
        <v>5.6</v>
      </c>
      <c r="F463" s="2">
        <f>getFiltersizeAsDouble('RawData (GH)'!D463)</f>
        <v>67</v>
      </c>
      <c r="G463" s="35">
        <f>getMagnification('RawData (GH)'!E463)</f>
        <v>4.17</v>
      </c>
      <c r="H463" s="62">
        <f>getMinimalFocus('RawData (GH)'!F463)</f>
        <v>0</v>
      </c>
      <c r="I463" t="str">
        <f>getMount('RawData (GH)'!G463)</f>
        <v>Nikon F</v>
      </c>
      <c r="J463" t="str">
        <f>getSensorCompatibility('RawData (GH)'!H463)</f>
        <v>APS-C</v>
      </c>
      <c r="K463" s="45">
        <f>getWeightAsDouble('RawData (GH)'!I463)</f>
        <v>385</v>
      </c>
      <c r="L463" s="34">
        <f>getSizeDiameter('RawData (GH)'!J463)</f>
        <v>73.5</v>
      </c>
      <c r="M463" s="34">
        <f>getSizeLength('RawData (GH)'!J463)</f>
        <v>86.5</v>
      </c>
    </row>
    <row r="464" spans="1:13" x14ac:dyDescent="0.25">
      <c r="A464" t="str">
        <f>'RawData (GH)'!A464</f>
        <v>Nikon AF-S DX 18-55mm 3.5-5.6G ED II schwarz</v>
      </c>
      <c r="B464" s="5">
        <f>getFocalLengthStart('RawData (GH)'!B464)</f>
        <v>18</v>
      </c>
      <c r="C464" s="5">
        <f>getFocalLengthEnd('RawData (GH)'!B464)</f>
        <v>55</v>
      </c>
      <c r="D464" s="9">
        <f>getApertureStart('RawData (GH)'!C464)</f>
        <v>3.5</v>
      </c>
      <c r="E464" s="9">
        <f>getApertureEnd('RawData (GH)'!C464)</f>
        <v>5.6</v>
      </c>
      <c r="F464" s="2">
        <f>getFiltersizeAsDouble('RawData (GH)'!D464)</f>
        <v>52</v>
      </c>
      <c r="G464" s="35">
        <f>getMagnification('RawData (GH)'!E464)</f>
        <v>3.23</v>
      </c>
      <c r="H464" s="62">
        <f>getMinimalFocus('RawData (GH)'!F464)</f>
        <v>0</v>
      </c>
      <c r="I464" t="str">
        <f>getMount('RawData (GH)'!G464)</f>
        <v>Nikon F</v>
      </c>
      <c r="J464" t="str">
        <f>getSensorCompatibility('RawData (GH)'!H464)</f>
        <v>APS-C</v>
      </c>
      <c r="K464" s="45">
        <f>getWeightAsDouble('RawData (GH)'!I464)</f>
        <v>205</v>
      </c>
      <c r="L464" s="34">
        <f>getSizeDiameter('RawData (GH)'!J464)</f>
        <v>70.5</v>
      </c>
      <c r="M464" s="34">
        <f>getSizeLength('RawData (GH)'!J464)</f>
        <v>74</v>
      </c>
    </row>
    <row r="465" spans="1:13" x14ac:dyDescent="0.25">
      <c r="A465" t="str">
        <f>'RawData (GH)'!A465</f>
        <v>Nikon AF-S DX 35mm 1.8G schwarz</v>
      </c>
      <c r="B465" s="5">
        <f>getFocalLengthStart('RawData (GH)'!B465)</f>
        <v>35</v>
      </c>
      <c r="C465" s="5">
        <f>getFocalLengthEnd('RawData (GH)'!B465)</f>
        <v>35</v>
      </c>
      <c r="D465" s="9">
        <f>getApertureStart('RawData (GH)'!C465)</f>
        <v>1.8</v>
      </c>
      <c r="E465" s="9">
        <f>getApertureEnd('RawData (GH)'!C465)</f>
        <v>1.8</v>
      </c>
      <c r="F465" s="2">
        <f>getFiltersizeAsDouble('RawData (GH)'!D465)</f>
        <v>52</v>
      </c>
      <c r="G465" s="35">
        <f>getMagnification('RawData (GH)'!E465)</f>
        <v>0</v>
      </c>
      <c r="H465" s="62">
        <f>getMinimalFocus('RawData (GH)'!F465)</f>
        <v>0</v>
      </c>
      <c r="I465" t="str">
        <f>getMount('RawData (GH)'!G465)</f>
        <v>Nikon F</v>
      </c>
      <c r="J465" t="str">
        <f>getSensorCompatibility('RawData (GH)'!H465)</f>
        <v>APS-C</v>
      </c>
      <c r="K465" s="45">
        <f>getWeightAsDouble('RawData (GH)'!I465)</f>
        <v>210</v>
      </c>
      <c r="L465" s="34">
        <f>getSizeDiameter('RawData (GH)'!J465)</f>
        <v>70</v>
      </c>
      <c r="M465" s="34">
        <f>getSizeLength('RawData (GH)'!J465)</f>
        <v>52.5</v>
      </c>
    </row>
    <row r="466" spans="1:13" x14ac:dyDescent="0.25">
      <c r="A466" t="str">
        <f>'RawData (GH)'!A466</f>
        <v>Nikon AF-S DX 55-200mm 4.0-5.6G ED schwarz</v>
      </c>
      <c r="B466" s="5">
        <f>getFocalLengthStart('RawData (GH)'!B466)</f>
        <v>55</v>
      </c>
      <c r="C466" s="5">
        <f>getFocalLengthEnd('RawData (GH)'!B466)</f>
        <v>200</v>
      </c>
      <c r="D466" s="9">
        <f>getApertureStart('RawData (GH)'!C466)</f>
        <v>4</v>
      </c>
      <c r="E466" s="9">
        <f>getApertureEnd('RawData (GH)'!C466)</f>
        <v>5.6</v>
      </c>
      <c r="F466" s="2">
        <f>getFiltersizeAsDouble('RawData (GH)'!D466)</f>
        <v>52</v>
      </c>
      <c r="G466" s="35">
        <f>getMagnification('RawData (GH)'!E466)</f>
        <v>0</v>
      </c>
      <c r="H466" s="62">
        <f>getMinimalFocus('RawData (GH)'!F466)</f>
        <v>0</v>
      </c>
      <c r="I466" t="str">
        <f>getMount('RawData (GH)'!G466)</f>
        <v>Nikon F</v>
      </c>
      <c r="J466" t="str">
        <f>getSensorCompatibility('RawData (GH)'!H466)</f>
        <v>APS-C</v>
      </c>
      <c r="K466" s="45">
        <f>getWeightAsDouble('RawData (GH)'!I466)</f>
        <v>255</v>
      </c>
      <c r="L466" s="34">
        <f>getSizeDiameter('RawData (GH)'!J466)</f>
        <v>68</v>
      </c>
      <c r="M466" s="34">
        <f>getSizeLength('RawData (GH)'!J466)</f>
        <v>79</v>
      </c>
    </row>
    <row r="467" spans="1:13" x14ac:dyDescent="0.25">
      <c r="A467" t="str">
        <f>'RawData (GH)'!A467</f>
        <v>Nikon AF-S DX Micro 40mm 2.8G schwarz</v>
      </c>
      <c r="B467" s="5">
        <f>getFocalLengthStart('RawData (GH)'!B467)</f>
        <v>40</v>
      </c>
      <c r="C467" s="5">
        <f>getFocalLengthEnd('RawData (GH)'!B467)</f>
        <v>40</v>
      </c>
      <c r="D467" s="9">
        <f>getApertureStart('RawData (GH)'!C467)</f>
        <v>2.8</v>
      </c>
      <c r="E467" s="9">
        <f>getApertureEnd('RawData (GH)'!C467)</f>
        <v>2.8</v>
      </c>
      <c r="F467" s="2">
        <f>getFiltersizeAsDouble('RawData (GH)'!D467)</f>
        <v>52</v>
      </c>
      <c r="G467" s="35">
        <f>getMagnification('RawData (GH)'!E467)</f>
        <v>1</v>
      </c>
      <c r="H467" s="62">
        <f>getMinimalFocus('RawData (GH)'!F467)</f>
        <v>0</v>
      </c>
      <c r="I467" t="str">
        <f>getMount('RawData (GH)'!G467)</f>
        <v>Nikon F</v>
      </c>
      <c r="J467" t="str">
        <f>getSensorCompatibility('RawData (GH)'!H467)</f>
        <v>APS-C</v>
      </c>
      <c r="K467" s="45">
        <f>getWeightAsDouble('RawData (GH)'!I467)</f>
        <v>235</v>
      </c>
      <c r="L467" s="34">
        <f>getSizeDiameter('RawData (GH)'!J467)</f>
        <v>68.5</v>
      </c>
      <c r="M467" s="34">
        <f>getSizeLength('RawData (GH)'!J467)</f>
        <v>64.5</v>
      </c>
    </row>
    <row r="468" spans="1:13" x14ac:dyDescent="0.25">
      <c r="A468" t="str">
        <f>'RawData (GH)'!A468</f>
        <v>Nikon AF-S Micro 60mm 2.8G ED schwarz</v>
      </c>
      <c r="B468" s="5">
        <f>getFocalLengthStart('RawData (GH)'!B468)</f>
        <v>60</v>
      </c>
      <c r="C468" s="5">
        <f>getFocalLengthEnd('RawData (GH)'!B468)</f>
        <v>60</v>
      </c>
      <c r="D468" s="9">
        <f>getApertureStart('RawData (GH)'!C468)</f>
        <v>2.8</v>
      </c>
      <c r="E468" s="9">
        <f>getApertureEnd('RawData (GH)'!C468)</f>
        <v>2.8</v>
      </c>
      <c r="F468" s="2">
        <f>getFiltersizeAsDouble('RawData (GH)'!D468)</f>
        <v>62</v>
      </c>
      <c r="G468" s="35">
        <f>getMagnification('RawData (GH)'!E468)</f>
        <v>1</v>
      </c>
      <c r="H468" s="62">
        <f>getMinimalFocus('RawData (GH)'!F468)</f>
        <v>0</v>
      </c>
      <c r="I468" t="str">
        <f>getMount('RawData (GH)'!G468)</f>
        <v>Nikon F</v>
      </c>
      <c r="J468" t="str">
        <f>getSensorCompatibility('RawData (GH)'!H468)</f>
        <v>APS-C/ Kleinbild</v>
      </c>
      <c r="K468" s="45">
        <f>getWeightAsDouble('RawData (GH)'!I468)</f>
        <v>425</v>
      </c>
      <c r="L468" s="34">
        <f>getSizeDiameter('RawData (GH)'!J468)</f>
        <v>73</v>
      </c>
      <c r="M468" s="34">
        <f>getSizeLength('RawData (GH)'!J468)</f>
        <v>89</v>
      </c>
    </row>
    <row r="469" spans="1:13" x14ac:dyDescent="0.25">
      <c r="A469" t="str">
        <f>'RawData (GH)'!A469</f>
        <v>Nikon AF-S VR 16-35mm 4.0G ED schwarz</v>
      </c>
      <c r="B469" s="5">
        <f>getFocalLengthStart('RawData (GH)'!B469)</f>
        <v>16</v>
      </c>
      <c r="C469" s="5">
        <f>getFocalLengthEnd('RawData (GH)'!B469)</f>
        <v>35</v>
      </c>
      <c r="D469" s="9">
        <f>getApertureStart('RawData (GH)'!C469)</f>
        <v>4</v>
      </c>
      <c r="E469" s="9">
        <f>getApertureEnd('RawData (GH)'!C469)</f>
        <v>4</v>
      </c>
      <c r="F469" s="2">
        <f>getFiltersizeAsDouble('RawData (GH)'!D469)</f>
        <v>77</v>
      </c>
      <c r="G469" s="35">
        <f>getMagnification('RawData (GH)'!E469)</f>
        <v>4</v>
      </c>
      <c r="H469" s="62">
        <f>getMinimalFocus('RawData (GH)'!F469)</f>
        <v>0</v>
      </c>
      <c r="I469" t="str">
        <f>getMount('RawData (GH)'!G469)</f>
        <v>Nikon F</v>
      </c>
      <c r="J469" t="str">
        <f>getSensorCompatibility('RawData (GH)'!H469)</f>
        <v>APS-C/ Kleinbild</v>
      </c>
      <c r="K469" s="45">
        <f>getWeightAsDouble('RawData (GH)'!I469)</f>
        <v>685</v>
      </c>
      <c r="L469" s="34">
        <f>getSizeDiameter('RawData (GH)'!J469)</f>
        <v>82.5</v>
      </c>
      <c r="M469" s="34">
        <f>getSizeLength('RawData (GH)'!J469)</f>
        <v>125</v>
      </c>
    </row>
    <row r="470" spans="1:13" x14ac:dyDescent="0.25">
      <c r="A470" t="str">
        <f>'RawData (GH)'!A470</f>
        <v>Nikon AF-S VR 200-400mm 4.0G IF-ED II schwarz</v>
      </c>
      <c r="B470" s="5">
        <f>getFocalLengthStart('RawData (GH)'!B470)</f>
        <v>200</v>
      </c>
      <c r="C470" s="5">
        <f>getFocalLengthEnd('RawData (GH)'!B470)</f>
        <v>400</v>
      </c>
      <c r="D470" s="9">
        <f>getApertureStart('RawData (GH)'!C470)</f>
        <v>4</v>
      </c>
      <c r="E470" s="9">
        <f>getApertureEnd('RawData (GH)'!C470)</f>
        <v>4</v>
      </c>
      <c r="F470" s="2">
        <f>getFiltersizeAsDouble('RawData (GH)'!D470)</f>
        <v>52</v>
      </c>
      <c r="G470" s="35">
        <f>getMagnification('RawData (GH)'!E470)</f>
        <v>3.7</v>
      </c>
      <c r="H470" s="62">
        <f>getMinimalFocus('RawData (GH)'!F470)</f>
        <v>0</v>
      </c>
      <c r="I470" t="str">
        <f>getMount('RawData (GH)'!G470)</f>
        <v>Nikon F</v>
      </c>
      <c r="J470" t="str">
        <f>getSensorCompatibility('RawData (GH)'!H470)</f>
        <v>APS-C/ Kleinbild</v>
      </c>
      <c r="K470" s="45">
        <f>getWeightAsDouble('RawData (GH)'!I470)</f>
        <v>3360</v>
      </c>
      <c r="L470" s="34">
        <f>getSizeDiameter('RawData (GH)'!J470)</f>
        <v>124</v>
      </c>
      <c r="M470" s="34">
        <f>getSizeLength('RawData (GH)'!J470)</f>
        <v>365.5</v>
      </c>
    </row>
    <row r="471" spans="1:13" x14ac:dyDescent="0.25">
      <c r="A471" t="str">
        <f>'RawData (GH)'!A471</f>
        <v>Nikon AF-S VR 200-500mm 5.6E ED schwarz</v>
      </c>
      <c r="B471" s="5">
        <f>getFocalLengthStart('RawData (GH)'!B471)</f>
        <v>200</v>
      </c>
      <c r="C471" s="5">
        <f>getFocalLengthEnd('RawData (GH)'!B471)</f>
        <v>500</v>
      </c>
      <c r="D471" s="9">
        <f>getApertureStart('RawData (GH)'!C471)</f>
        <v>5.6</v>
      </c>
      <c r="E471" s="9">
        <f>getApertureEnd('RawData (GH)'!C471)</f>
        <v>5.6</v>
      </c>
      <c r="F471" s="2">
        <f>getFiltersizeAsDouble('RawData (GH)'!D471)</f>
        <v>95</v>
      </c>
      <c r="G471" s="35">
        <f>getMagnification('RawData (GH)'!E471)</f>
        <v>4.5</v>
      </c>
      <c r="H471" s="62">
        <f>getMinimalFocus('RawData (GH)'!F471)</f>
        <v>0</v>
      </c>
      <c r="I471" t="str">
        <f>getMount('RawData (GH)'!G471)</f>
        <v>Nikon F</v>
      </c>
      <c r="J471" t="str">
        <f>getSensorCompatibility('RawData (GH)'!H471)</f>
        <v>APS-C/ Kleinbild</v>
      </c>
      <c r="K471" s="45">
        <f>getWeightAsDouble('RawData (GH)'!I471)</f>
        <v>2300</v>
      </c>
      <c r="L471" s="34">
        <f>getSizeDiameter('RawData (GH)'!J471)</f>
        <v>108</v>
      </c>
      <c r="M471" s="34">
        <f>getSizeLength('RawData (GH)'!J471)</f>
        <v>267.5</v>
      </c>
    </row>
    <row r="472" spans="1:13" x14ac:dyDescent="0.25">
      <c r="A472" t="str">
        <f>'RawData (GH)'!A472</f>
        <v>Nikon AF-S VR 200mm 2.0G ED II schwarz</v>
      </c>
      <c r="B472" s="5">
        <f>getFocalLengthStart('RawData (GH)'!B472)</f>
        <v>200</v>
      </c>
      <c r="C472" s="5">
        <f>getFocalLengthEnd('RawData (GH)'!B472)</f>
        <v>200</v>
      </c>
      <c r="D472" s="9">
        <f>getApertureStart('RawData (GH)'!C472)</f>
        <v>2</v>
      </c>
      <c r="E472" s="9">
        <f>getApertureEnd('RawData (GH)'!C472)</f>
        <v>2</v>
      </c>
      <c r="F472" s="2">
        <f>getFiltersizeAsDouble('RawData (GH)'!D472)</f>
        <v>52</v>
      </c>
      <c r="G472" s="35">
        <f>getMagnification('RawData (GH)'!E472)</f>
        <v>8.33</v>
      </c>
      <c r="H472" s="62">
        <f>getMinimalFocus('RawData (GH)'!F472)</f>
        <v>0</v>
      </c>
      <c r="I472" t="str">
        <f>getMount('RawData (GH)'!G472)</f>
        <v>Nikon F</v>
      </c>
      <c r="J472" t="str">
        <f>getSensorCompatibility('RawData (GH)'!H472)</f>
        <v>APS-C/ Kleinbild</v>
      </c>
      <c r="K472" s="45">
        <f>getWeightAsDouble('RawData (GH)'!I472)</f>
        <v>2930</v>
      </c>
      <c r="L472" s="34">
        <f>getSizeDiameter('RawData (GH)'!J472)</f>
        <v>124</v>
      </c>
      <c r="M472" s="34">
        <f>getSizeLength('RawData (GH)'!J472)</f>
        <v>203.5</v>
      </c>
    </row>
    <row r="473" spans="1:13" x14ac:dyDescent="0.25">
      <c r="A473" t="str">
        <f>'RawData (GH)'!A473</f>
        <v>Nikon AF-S VR 24-120mm 4.0G ED schwarz</v>
      </c>
      <c r="B473" s="5">
        <f>getFocalLengthStart('RawData (GH)'!B473)</f>
        <v>24</v>
      </c>
      <c r="C473" s="5">
        <f>getFocalLengthEnd('RawData (GH)'!B473)</f>
        <v>120</v>
      </c>
      <c r="D473" s="9">
        <f>getApertureStart('RawData (GH)'!C473)</f>
        <v>4</v>
      </c>
      <c r="E473" s="9">
        <f>getApertureEnd('RawData (GH)'!C473)</f>
        <v>4</v>
      </c>
      <c r="F473" s="2">
        <f>getFiltersizeAsDouble('RawData (GH)'!D473)</f>
        <v>77</v>
      </c>
      <c r="G473" s="35">
        <f>getMagnification('RawData (GH)'!E473)</f>
        <v>4.17</v>
      </c>
      <c r="H473" s="62">
        <f>getMinimalFocus('RawData (GH)'!F473)</f>
        <v>0</v>
      </c>
      <c r="I473" t="str">
        <f>getMount('RawData (GH)'!G473)</f>
        <v>Nikon F</v>
      </c>
      <c r="J473" t="str">
        <f>getSensorCompatibility('RawData (GH)'!H473)</f>
        <v>APS-C/ Kleinbild</v>
      </c>
      <c r="K473" s="45">
        <f>getWeightAsDouble('RawData (GH)'!I473)</f>
        <v>710</v>
      </c>
      <c r="L473" s="34">
        <f>getSizeDiameter('RawData (GH)'!J473)</f>
        <v>84</v>
      </c>
      <c r="M473" s="34">
        <f>getSizeLength('RawData (GH)'!J473)</f>
        <v>103.5</v>
      </c>
    </row>
    <row r="474" spans="1:13" x14ac:dyDescent="0.25">
      <c r="A474" t="str">
        <f>'RawData (GH)'!A474</f>
        <v>Nikon AF-S VR 24-70mm 2.8E ED schwarz</v>
      </c>
      <c r="B474" s="5">
        <f>getFocalLengthStart('RawData (GH)'!B474)</f>
        <v>24</v>
      </c>
      <c r="C474" s="5">
        <f>getFocalLengthEnd('RawData (GH)'!B474)</f>
        <v>70</v>
      </c>
      <c r="D474" s="9">
        <f>getApertureStart('RawData (GH)'!C474)</f>
        <v>2.8</v>
      </c>
      <c r="E474" s="9">
        <f>getApertureEnd('RawData (GH)'!C474)</f>
        <v>2.8</v>
      </c>
      <c r="F474" s="2">
        <f>getFiltersizeAsDouble('RawData (GH)'!D474)</f>
        <v>82</v>
      </c>
      <c r="G474" s="35">
        <f>getMagnification('RawData (GH)'!E474)</f>
        <v>3.6</v>
      </c>
      <c r="H474" s="62">
        <f>getMinimalFocus('RawData (GH)'!F474)</f>
        <v>0</v>
      </c>
      <c r="I474" t="str">
        <f>getMount('RawData (GH)'!G474)</f>
        <v>Nikon F</v>
      </c>
      <c r="J474" t="str">
        <f>getSensorCompatibility('RawData (GH)'!H474)</f>
        <v>APS-C/ Kleinbild</v>
      </c>
      <c r="K474" s="45">
        <f>getWeightAsDouble('RawData (GH)'!I474)</f>
        <v>1070</v>
      </c>
      <c r="L474" s="34">
        <f>getSizeDiameter('RawData (GH)'!J474)</f>
        <v>88</v>
      </c>
      <c r="M474" s="34">
        <f>getSizeLength('RawData (GH)'!J474)</f>
        <v>154.5</v>
      </c>
    </row>
    <row r="475" spans="1:13" x14ac:dyDescent="0.25">
      <c r="A475" t="str">
        <f>'RawData (GH)'!A475</f>
        <v>Nikon AF-S VR 24-85mm 3.5-4.5G ED schwarz</v>
      </c>
      <c r="B475" s="5">
        <f>getFocalLengthStart('RawData (GH)'!B475)</f>
        <v>24</v>
      </c>
      <c r="C475" s="5">
        <f>getFocalLengthEnd('RawData (GH)'!B475)</f>
        <v>85</v>
      </c>
      <c r="D475" s="9">
        <f>getApertureStart('RawData (GH)'!C475)</f>
        <v>3.5</v>
      </c>
      <c r="E475" s="9">
        <f>getApertureEnd('RawData (GH)'!C475)</f>
        <v>4.5</v>
      </c>
      <c r="F475" s="2">
        <f>getFiltersizeAsDouble('RawData (GH)'!D475)</f>
        <v>72</v>
      </c>
      <c r="G475" s="35">
        <f>getMagnification('RawData (GH)'!E475)</f>
        <v>4.5</v>
      </c>
      <c r="H475" s="62">
        <f>getMinimalFocus('RawData (GH)'!F475)</f>
        <v>0</v>
      </c>
      <c r="I475" t="str">
        <f>getMount('RawData (GH)'!G475)</f>
        <v>Nikon F</v>
      </c>
      <c r="J475" t="str">
        <f>getSensorCompatibility('RawData (GH)'!H475)</f>
        <v>APS-C/ Kleinbild</v>
      </c>
      <c r="K475" s="45">
        <f>getWeightAsDouble('RawData (GH)'!I475)</f>
        <v>465</v>
      </c>
      <c r="L475" s="34">
        <f>getSizeDiameter('RawData (GH)'!J475)</f>
        <v>78</v>
      </c>
      <c r="M475" s="34">
        <f>getSizeLength('RawData (GH)'!J475)</f>
        <v>82</v>
      </c>
    </row>
    <row r="476" spans="1:13" x14ac:dyDescent="0.25">
      <c r="A476" t="str">
        <f>'RawData (GH)'!A476</f>
        <v>Nikon AF-S VR 28-300mm 3.5-5.6G ED schwarz</v>
      </c>
      <c r="B476" s="5">
        <f>getFocalLengthStart('RawData (GH)'!B476)</f>
        <v>28</v>
      </c>
      <c r="C476" s="5">
        <f>getFocalLengthEnd('RawData (GH)'!B476)</f>
        <v>300</v>
      </c>
      <c r="D476" s="9">
        <f>getApertureStart('RawData (GH)'!C476)</f>
        <v>3.5</v>
      </c>
      <c r="E476" s="9">
        <f>getApertureEnd('RawData (GH)'!C476)</f>
        <v>5.6</v>
      </c>
      <c r="F476" s="2">
        <f>getFiltersizeAsDouble('RawData (GH)'!D476)</f>
        <v>77</v>
      </c>
      <c r="G476" s="35">
        <f>getMagnification('RawData (GH)'!E476)</f>
        <v>3.13</v>
      </c>
      <c r="H476" s="62">
        <f>getMinimalFocus('RawData (GH)'!F476)</f>
        <v>0</v>
      </c>
      <c r="I476" t="str">
        <f>getMount('RawData (GH)'!G476)</f>
        <v>Nikon F</v>
      </c>
      <c r="J476" t="str">
        <f>getSensorCompatibility('RawData (GH)'!H476)</f>
        <v>APS-C/ Kleinbild</v>
      </c>
      <c r="K476" s="45">
        <f>getWeightAsDouble('RawData (GH)'!I476)</f>
        <v>800</v>
      </c>
      <c r="L476" s="34">
        <f>getSizeDiameter('RawData (GH)'!J476)</f>
        <v>83</v>
      </c>
      <c r="M476" s="34">
        <f>getSizeLength('RawData (GH)'!J476)</f>
        <v>114.5</v>
      </c>
    </row>
    <row r="477" spans="1:13" x14ac:dyDescent="0.25">
      <c r="A477" t="str">
        <f>'RawData (GH)'!A477</f>
        <v>Nikon AF-S VR 300mm 2.8G IF-ED II schwarz</v>
      </c>
      <c r="B477" s="5">
        <f>getFocalLengthStart('RawData (GH)'!B477)</f>
        <v>300</v>
      </c>
      <c r="C477" s="5">
        <f>getFocalLengthEnd('RawData (GH)'!B477)</f>
        <v>300</v>
      </c>
      <c r="D477" s="9">
        <f>getApertureStart('RawData (GH)'!C477)</f>
        <v>2.8</v>
      </c>
      <c r="E477" s="9">
        <f>getApertureEnd('RawData (GH)'!C477)</f>
        <v>2.8</v>
      </c>
      <c r="F477" s="2">
        <f>getFiltersizeAsDouble('RawData (GH)'!D477)</f>
        <v>52</v>
      </c>
      <c r="G477" s="35">
        <f>getMagnification('RawData (GH)'!E477)</f>
        <v>6.25</v>
      </c>
      <c r="H477" s="62">
        <f>getMinimalFocus('RawData (GH)'!F477)</f>
        <v>0</v>
      </c>
      <c r="I477" t="str">
        <f>getMount('RawData (GH)'!G477)</f>
        <v>Nikon F</v>
      </c>
      <c r="J477" t="str">
        <f>getSensorCompatibility('RawData (GH)'!H477)</f>
        <v>APS-C/ Kleinbild</v>
      </c>
      <c r="K477" s="45">
        <f>getWeightAsDouble('RawData (GH)'!I477)</f>
        <v>2900</v>
      </c>
      <c r="L477" s="34">
        <f>getSizeDiameter('RawData (GH)'!J477)</f>
        <v>124</v>
      </c>
      <c r="M477" s="34">
        <f>getSizeLength('RawData (GH)'!J477)</f>
        <v>267.5</v>
      </c>
    </row>
    <row r="478" spans="1:13" x14ac:dyDescent="0.25">
      <c r="A478" t="str">
        <f>'RawData (GH)'!A478</f>
        <v>Nikon AF-S VR 300mm 4.0E PF ED schwarz</v>
      </c>
      <c r="B478" s="5">
        <f>getFocalLengthStart('RawData (GH)'!B478)</f>
        <v>300</v>
      </c>
      <c r="C478" s="5">
        <f>getFocalLengthEnd('RawData (GH)'!B478)</f>
        <v>300</v>
      </c>
      <c r="D478" s="9">
        <f>getApertureStart('RawData (GH)'!C478)</f>
        <v>4</v>
      </c>
      <c r="E478" s="9">
        <f>getApertureEnd('RawData (GH)'!C478)</f>
        <v>4</v>
      </c>
      <c r="F478" s="2">
        <f>getFiltersizeAsDouble('RawData (GH)'!D478)</f>
        <v>77</v>
      </c>
      <c r="G478" s="35">
        <f>getMagnification('RawData (GH)'!E478)</f>
        <v>4.2</v>
      </c>
      <c r="H478" s="62">
        <f>getMinimalFocus('RawData (GH)'!F478)</f>
        <v>0</v>
      </c>
      <c r="I478" t="str">
        <f>getMount('RawData (GH)'!G478)</f>
        <v>Nikon F</v>
      </c>
      <c r="J478" t="str">
        <f>getSensorCompatibility('RawData (GH)'!H478)</f>
        <v>APS-C/ Kleinbild</v>
      </c>
      <c r="K478" s="45">
        <f>getWeightAsDouble('RawData (GH)'!I478)</f>
        <v>755</v>
      </c>
      <c r="L478" s="34">
        <f>getSizeDiameter('RawData (GH)'!J478)</f>
        <v>89</v>
      </c>
      <c r="M478" s="34">
        <f>getSizeLength('RawData (GH)'!J478)</f>
        <v>147.5</v>
      </c>
    </row>
    <row r="479" spans="1:13" x14ac:dyDescent="0.25">
      <c r="A479" t="str">
        <f>'RawData (GH)'!A479</f>
        <v>Nikon AF-S VR 400mm 2.8E FL ED schwarz</v>
      </c>
      <c r="B479" s="5">
        <f>getFocalLengthStart('RawData (GH)'!B479)</f>
        <v>400</v>
      </c>
      <c r="C479" s="5">
        <f>getFocalLengthEnd('RawData (GH)'!B479)</f>
        <v>400</v>
      </c>
      <c r="D479" s="9">
        <f>getApertureStart('RawData (GH)'!C479)</f>
        <v>2.8</v>
      </c>
      <c r="E479" s="9">
        <f>getApertureEnd('RawData (GH)'!C479)</f>
        <v>2.8</v>
      </c>
      <c r="F479" s="2">
        <f>getFiltersizeAsDouble('RawData (GH)'!D479)</f>
        <v>40.5</v>
      </c>
      <c r="G479" s="35">
        <f>getMagnification('RawData (GH)'!E479)</f>
        <v>6.3</v>
      </c>
      <c r="H479" s="62">
        <f>getMinimalFocus('RawData (GH)'!F479)</f>
        <v>0</v>
      </c>
      <c r="I479" t="str">
        <f>getMount('RawData (GH)'!G479)</f>
        <v>Nikon F</v>
      </c>
      <c r="J479" t="str">
        <f>getSensorCompatibility('RawData (GH)'!H479)</f>
        <v>APS-C/ Kleinbild</v>
      </c>
      <c r="K479" s="45">
        <f>getWeightAsDouble('RawData (GH)'!I479)</f>
        <v>3800</v>
      </c>
      <c r="L479" s="34">
        <f>getSizeDiameter('RawData (GH)'!J479)</f>
        <v>159.5</v>
      </c>
      <c r="M479" s="34">
        <f>getSizeLength('RawData (GH)'!J479)</f>
        <v>358</v>
      </c>
    </row>
    <row r="480" spans="1:13" x14ac:dyDescent="0.25">
      <c r="A480" t="str">
        <f>'RawData (GH)'!A480</f>
        <v>Nikon AF-S VR 400mm 2.8G ED schwarz</v>
      </c>
      <c r="B480" s="5">
        <f>getFocalLengthStart('RawData (GH)'!B480)</f>
        <v>400</v>
      </c>
      <c r="C480" s="5">
        <f>getFocalLengthEnd('RawData (GH)'!B480)</f>
        <v>400</v>
      </c>
      <c r="D480" s="9">
        <f>getApertureStart('RawData (GH)'!C480)</f>
        <v>2.8</v>
      </c>
      <c r="E480" s="9">
        <f>getApertureEnd('RawData (GH)'!C480)</f>
        <v>2.8</v>
      </c>
      <c r="F480" s="2">
        <f>getFiltersizeAsDouble('RawData (GH)'!D480)</f>
        <v>52</v>
      </c>
      <c r="G480" s="35">
        <f>getMagnification('RawData (GH)'!E480)</f>
        <v>6.3</v>
      </c>
      <c r="H480" s="62">
        <f>getMinimalFocus('RawData (GH)'!F480)</f>
        <v>0</v>
      </c>
      <c r="I480" t="str">
        <f>getMount('RawData (GH)'!G480)</f>
        <v>Nikon F</v>
      </c>
      <c r="J480" t="str">
        <f>getSensorCompatibility('RawData (GH)'!H480)</f>
        <v>APS-C/ Kleinbild</v>
      </c>
      <c r="K480" s="45">
        <f>getWeightAsDouble('RawData (GH)'!I480)</f>
        <v>4620</v>
      </c>
      <c r="L480" s="34">
        <f>getSizeDiameter('RawData (GH)'!J480)</f>
        <v>159.5</v>
      </c>
      <c r="M480" s="34">
        <f>getSizeLength('RawData (GH)'!J480)</f>
        <v>368</v>
      </c>
    </row>
    <row r="481" spans="1:13" x14ac:dyDescent="0.25">
      <c r="A481" t="str">
        <f>'RawData (GH)'!A481</f>
        <v>Nikon AF-S VR 500mm 4.0E FL ED schwarz</v>
      </c>
      <c r="B481" s="5">
        <f>getFocalLengthStart('RawData (GH)'!B481)</f>
        <v>500</v>
      </c>
      <c r="C481" s="5">
        <f>getFocalLengthEnd('RawData (GH)'!B481)</f>
        <v>500</v>
      </c>
      <c r="D481" s="9">
        <f>getApertureStart('RawData (GH)'!C481)</f>
        <v>4</v>
      </c>
      <c r="E481" s="9">
        <f>getApertureEnd('RawData (GH)'!C481)</f>
        <v>4</v>
      </c>
      <c r="F481" s="2">
        <f>getFiltersizeAsDouble('RawData (GH)'!D481)</f>
        <v>40.5</v>
      </c>
      <c r="G481" s="35">
        <f>getMagnification('RawData (GH)'!E481)</f>
        <v>6.7</v>
      </c>
      <c r="H481" s="62">
        <f>getMinimalFocus('RawData (GH)'!F481)</f>
        <v>0</v>
      </c>
      <c r="I481" t="str">
        <f>getMount('RawData (GH)'!G481)</f>
        <v>Nikon F</v>
      </c>
      <c r="J481" t="str">
        <f>getSensorCompatibility('RawData (GH)'!H481)</f>
        <v>APS-C/ Kleinbild</v>
      </c>
      <c r="K481" s="45">
        <f>getWeightAsDouble('RawData (GH)'!I481)</f>
        <v>3090</v>
      </c>
      <c r="L481" s="34">
        <f>getSizeDiameter('RawData (GH)'!J481)</f>
        <v>140</v>
      </c>
      <c r="M481" s="34">
        <f>getSizeLength('RawData (GH)'!J481)</f>
        <v>387</v>
      </c>
    </row>
    <row r="482" spans="1:13" x14ac:dyDescent="0.25">
      <c r="A482" t="str">
        <f>'RawData (GH)'!A482</f>
        <v>Nikon AF-S VR 500mm 4.0G ED schwarz</v>
      </c>
      <c r="B482" s="5">
        <f>getFocalLengthStart('RawData (GH)'!B482)</f>
        <v>500</v>
      </c>
      <c r="C482" s="5">
        <f>getFocalLengthEnd('RawData (GH)'!B482)</f>
        <v>500</v>
      </c>
      <c r="D482" s="9">
        <f>getApertureStart('RawData (GH)'!C482)</f>
        <v>4</v>
      </c>
      <c r="E482" s="9">
        <f>getApertureEnd('RawData (GH)'!C482)</f>
        <v>4</v>
      </c>
      <c r="F482" s="2">
        <f>getFiltersizeAsDouble('RawData (GH)'!D482)</f>
        <v>52</v>
      </c>
      <c r="G482" s="35">
        <f>getMagnification('RawData (GH)'!E482)</f>
        <v>6.9</v>
      </c>
      <c r="H482" s="62">
        <f>getMinimalFocus('RawData (GH)'!F482)</f>
        <v>0</v>
      </c>
      <c r="I482" t="str">
        <f>getMount('RawData (GH)'!G482)</f>
        <v>Nikon F</v>
      </c>
      <c r="J482" t="str">
        <f>getSensorCompatibility('RawData (GH)'!H482)</f>
        <v>APS-C/ Kleinbild</v>
      </c>
      <c r="K482" s="45">
        <f>getWeightAsDouble('RawData (GH)'!I482)</f>
        <v>3880</v>
      </c>
      <c r="L482" s="34">
        <f>getSizeDiameter('RawData (GH)'!J482)</f>
        <v>139.5</v>
      </c>
      <c r="M482" s="34">
        <f>getSizeLength('RawData (GH)'!J482)</f>
        <v>391</v>
      </c>
    </row>
    <row r="483" spans="1:13" x14ac:dyDescent="0.25">
      <c r="A483" t="str">
        <f>'RawData (GH)'!A483</f>
        <v>Nikon AF-S VR 600mm 4.0E FL ED schwarz</v>
      </c>
      <c r="B483" s="5">
        <f>getFocalLengthStart('RawData (GH)'!B483)</f>
        <v>600</v>
      </c>
      <c r="C483" s="5">
        <f>getFocalLengthEnd('RawData (GH)'!B483)</f>
        <v>600</v>
      </c>
      <c r="D483" s="9">
        <f>getApertureStart('RawData (GH)'!C483)</f>
        <v>4</v>
      </c>
      <c r="E483" s="9">
        <f>getApertureEnd('RawData (GH)'!C483)</f>
        <v>4</v>
      </c>
      <c r="F483" s="2">
        <f>getFiltersizeAsDouble('RawData (GH)'!D483)</f>
        <v>40.5</v>
      </c>
      <c r="G483" s="35">
        <f>getMagnification('RawData (GH)'!E483)</f>
        <v>7.1</v>
      </c>
      <c r="H483" s="62">
        <f>getMinimalFocus('RawData (GH)'!F483)</f>
        <v>0</v>
      </c>
      <c r="I483" t="str">
        <f>getMount('RawData (GH)'!G483)</f>
        <v>Nikon F</v>
      </c>
      <c r="J483" t="str">
        <f>getSensorCompatibility('RawData (GH)'!H483)</f>
        <v>APS-C/ Kleinbild</v>
      </c>
      <c r="K483" s="45">
        <f>getWeightAsDouble('RawData (GH)'!I483)</f>
        <v>3810</v>
      </c>
      <c r="L483" s="34">
        <f>getSizeDiameter('RawData (GH)'!J483)</f>
        <v>166</v>
      </c>
      <c r="M483" s="34">
        <f>getSizeLength('RawData (GH)'!J483)</f>
        <v>432</v>
      </c>
    </row>
    <row r="484" spans="1:13" x14ac:dyDescent="0.25">
      <c r="A484" t="str">
        <f>'RawData (GH)'!A484</f>
        <v>Nikon AF-S VR 600mm 4.0G ED schwarz</v>
      </c>
      <c r="B484" s="5">
        <f>getFocalLengthStart('RawData (GH)'!B484)</f>
        <v>600</v>
      </c>
      <c r="C484" s="5">
        <f>getFocalLengthEnd('RawData (GH)'!B484)</f>
        <v>600</v>
      </c>
      <c r="D484" s="9">
        <f>getApertureStart('RawData (GH)'!C484)</f>
        <v>4</v>
      </c>
      <c r="E484" s="9">
        <f>getApertureEnd('RawData (GH)'!C484)</f>
        <v>4</v>
      </c>
      <c r="F484" s="2">
        <f>getFiltersizeAsDouble('RawData (GH)'!D484)</f>
        <v>52</v>
      </c>
      <c r="G484" s="35">
        <f>getMagnification('RawData (GH)'!E484)</f>
        <v>7.4</v>
      </c>
      <c r="H484" s="62">
        <f>getMinimalFocus('RawData (GH)'!F484)</f>
        <v>0</v>
      </c>
      <c r="I484" t="str">
        <f>getMount('RawData (GH)'!G484)</f>
        <v>Nikon F</v>
      </c>
      <c r="J484" t="str">
        <f>getSensorCompatibility('RawData (GH)'!H484)</f>
        <v>APS-C/ Kleinbild</v>
      </c>
      <c r="K484" s="45">
        <f>getWeightAsDouble('RawData (GH)'!I484)</f>
        <v>5060</v>
      </c>
      <c r="L484" s="34">
        <f>getSizeDiameter('RawData (GH)'!J484)</f>
        <v>166</v>
      </c>
      <c r="M484" s="34">
        <f>getSizeLength('RawData (GH)'!J484)</f>
        <v>445</v>
      </c>
    </row>
    <row r="485" spans="1:13" x14ac:dyDescent="0.25">
      <c r="A485" t="str">
        <f>'RawData (GH)'!A485</f>
        <v>Nikon AF-S VR 70-200mm 2.8E FL ED grau 100 Jahre Jubiläumsedition</v>
      </c>
      <c r="B485" s="5">
        <f>getFocalLengthStart('RawData (GH)'!B485)</f>
        <v>70</v>
      </c>
      <c r="C485" s="5">
        <f>getFocalLengthEnd('RawData (GH)'!B485)</f>
        <v>200</v>
      </c>
      <c r="D485" s="9">
        <f>getApertureStart('RawData (GH)'!C485)</f>
        <v>2.8</v>
      </c>
      <c r="E485" s="9">
        <f>getApertureEnd('RawData (GH)'!C485)</f>
        <v>2.8</v>
      </c>
      <c r="F485" s="2">
        <f>getFiltersizeAsDouble('RawData (GH)'!D485)</f>
        <v>77</v>
      </c>
      <c r="G485" s="35">
        <f>getMagnification('RawData (GH)'!E485)</f>
        <v>4.8</v>
      </c>
      <c r="H485" s="62">
        <f>getMinimalFocus('RawData (GH)'!F485)</f>
        <v>0</v>
      </c>
      <c r="I485" t="str">
        <f>getMount('RawData (GH)'!G485)</f>
        <v>Nikon F</v>
      </c>
      <c r="J485" t="str">
        <f>getSensorCompatibility('RawData (GH)'!H485)</f>
        <v>APS-C/ Kleinbild</v>
      </c>
      <c r="K485" s="45">
        <f>getWeightAsDouble('RawData (GH)'!I485)</f>
        <v>1430</v>
      </c>
      <c r="L485" s="34">
        <f>getSizeDiameter('RawData (GH)'!J485)</f>
        <v>88.5</v>
      </c>
      <c r="M485" s="34">
        <f>getSizeLength('RawData (GH)'!J485)</f>
        <v>202.5</v>
      </c>
    </row>
    <row r="486" spans="1:13" x14ac:dyDescent="0.25">
      <c r="A486" t="str">
        <f>'RawData (GH)'!A486</f>
        <v>Nikon AF-S VR 70-200mm 2.8E FL ED schwarz</v>
      </c>
      <c r="B486" s="5">
        <f>getFocalLengthStart('RawData (GH)'!B486)</f>
        <v>70</v>
      </c>
      <c r="C486" s="5">
        <f>getFocalLengthEnd('RawData (GH)'!B486)</f>
        <v>200</v>
      </c>
      <c r="D486" s="9">
        <f>getApertureStart('RawData (GH)'!C486)</f>
        <v>2.8</v>
      </c>
      <c r="E486" s="9">
        <f>getApertureEnd('RawData (GH)'!C486)</f>
        <v>2.8</v>
      </c>
      <c r="F486" s="2">
        <f>getFiltersizeAsDouble('RawData (GH)'!D486)</f>
        <v>77</v>
      </c>
      <c r="G486" s="35">
        <f>getMagnification('RawData (GH)'!E486)</f>
        <v>4.8</v>
      </c>
      <c r="H486" s="62">
        <f>getMinimalFocus('RawData (GH)'!F486)</f>
        <v>0</v>
      </c>
      <c r="I486" t="str">
        <f>getMount('RawData (GH)'!G486)</f>
        <v>Nikon F</v>
      </c>
      <c r="J486" t="str">
        <f>getSensorCompatibility('RawData (GH)'!H486)</f>
        <v>APS-C/ Kleinbild</v>
      </c>
      <c r="K486" s="45">
        <f>getWeightAsDouble('RawData (GH)'!I486)</f>
        <v>1430</v>
      </c>
      <c r="L486" s="34">
        <f>getSizeDiameter('RawData (GH)'!J486)</f>
        <v>88.5</v>
      </c>
      <c r="M486" s="34">
        <f>getSizeLength('RawData (GH)'!J486)</f>
        <v>202.5</v>
      </c>
    </row>
    <row r="487" spans="1:13" x14ac:dyDescent="0.25">
      <c r="A487" t="str">
        <f>'RawData (GH)'!A487</f>
        <v>Nikon AF-S VR 70-200mm 2.8G ED II schwarz</v>
      </c>
      <c r="B487" s="5">
        <f>getFocalLengthStart('RawData (GH)'!B487)</f>
        <v>70</v>
      </c>
      <c r="C487" s="5">
        <f>getFocalLengthEnd('RawData (GH)'!B487)</f>
        <v>200</v>
      </c>
      <c r="D487" s="9">
        <f>getApertureStart('RawData (GH)'!C487)</f>
        <v>2.8</v>
      </c>
      <c r="E487" s="9">
        <f>getApertureEnd('RawData (GH)'!C487)</f>
        <v>2.8</v>
      </c>
      <c r="F487" s="2">
        <f>getFiltersizeAsDouble('RawData (GH)'!D487)</f>
        <v>77</v>
      </c>
      <c r="G487" s="35">
        <f>getMagnification('RawData (GH)'!E487)</f>
        <v>0</v>
      </c>
      <c r="H487" s="62">
        <f>getMinimalFocus('RawData (GH)'!F487)</f>
        <v>0</v>
      </c>
      <c r="I487" t="str">
        <f>getMount('RawData (GH)'!G487)</f>
        <v>Nikon F</v>
      </c>
      <c r="J487" t="str">
        <f>getSensorCompatibility('RawData (GH)'!H487)</f>
        <v>APS-C/ Kleinbild</v>
      </c>
      <c r="K487" s="45">
        <f>getWeightAsDouble('RawData (GH)'!I487)</f>
        <v>1540</v>
      </c>
      <c r="L487" s="34">
        <f>getSizeDiameter('RawData (GH)'!J487)</f>
        <v>87</v>
      </c>
      <c r="M487" s="34">
        <f>getSizeLength('RawData (GH)'!J487)</f>
        <v>209</v>
      </c>
    </row>
    <row r="488" spans="1:13" x14ac:dyDescent="0.25">
      <c r="A488" t="str">
        <f>'RawData (GH)'!A488</f>
        <v>Nikon AF-S VR 70-200mm 4.0G ED schwarz</v>
      </c>
      <c r="B488" s="5">
        <f>getFocalLengthStart('RawData (GH)'!B488)</f>
        <v>70</v>
      </c>
      <c r="C488" s="5">
        <f>getFocalLengthEnd('RawData (GH)'!B488)</f>
        <v>200</v>
      </c>
      <c r="D488" s="9">
        <f>getApertureStart('RawData (GH)'!C488)</f>
        <v>4</v>
      </c>
      <c r="E488" s="9">
        <f>getApertureEnd('RawData (GH)'!C488)</f>
        <v>4</v>
      </c>
      <c r="F488" s="2">
        <f>getFiltersizeAsDouble('RawData (GH)'!D488)</f>
        <v>67</v>
      </c>
      <c r="G488" s="35">
        <f>getMagnification('RawData (GH)'!E488)</f>
        <v>3.65</v>
      </c>
      <c r="H488" s="62">
        <f>getMinimalFocus('RawData (GH)'!F488)</f>
        <v>0</v>
      </c>
      <c r="I488" t="str">
        <f>getMount('RawData (GH)'!G488)</f>
        <v>Nikon F</v>
      </c>
      <c r="J488" t="str">
        <f>getSensorCompatibility('RawData (GH)'!H488)</f>
        <v>APS-C/ Kleinbild</v>
      </c>
      <c r="K488" s="45">
        <f>getWeightAsDouble('RawData (GH)'!I488)</f>
        <v>850</v>
      </c>
      <c r="L488" s="34">
        <f>getSizeDiameter('RawData (GH)'!J488)</f>
        <v>78</v>
      </c>
      <c r="M488" s="34">
        <f>getSizeLength('RawData (GH)'!J488)</f>
        <v>179</v>
      </c>
    </row>
    <row r="489" spans="1:13" x14ac:dyDescent="0.25">
      <c r="A489" t="str">
        <f>'RawData (GH)'!A489</f>
        <v>Nikon AF-S VR 70-300mm 4.5-5.6G IF-ED schwarz</v>
      </c>
      <c r="B489" s="5">
        <f>getFocalLengthStart('RawData (GH)'!B489)</f>
        <v>70</v>
      </c>
      <c r="C489" s="5">
        <f>getFocalLengthEnd('RawData (GH)'!B489)</f>
        <v>300</v>
      </c>
      <c r="D489" s="9">
        <f>getApertureStart('RawData (GH)'!C489)</f>
        <v>4.5</v>
      </c>
      <c r="E489" s="9">
        <f>getApertureEnd('RawData (GH)'!C489)</f>
        <v>5.6</v>
      </c>
      <c r="F489" s="2">
        <f>getFiltersizeAsDouble('RawData (GH)'!D489)</f>
        <v>67</v>
      </c>
      <c r="G489" s="35">
        <f>getMagnification('RawData (GH)'!E489)</f>
        <v>4</v>
      </c>
      <c r="H489" s="62">
        <f>getMinimalFocus('RawData (GH)'!F489)</f>
        <v>0</v>
      </c>
      <c r="I489" t="str">
        <f>getMount('RawData (GH)'!G489)</f>
        <v>Nikon F</v>
      </c>
      <c r="J489" t="str">
        <f>getSensorCompatibility('RawData (GH)'!H489)</f>
        <v>APS-C/ Kleinbild</v>
      </c>
      <c r="K489" s="45">
        <f>getWeightAsDouble('RawData (GH)'!I489)</f>
        <v>745</v>
      </c>
      <c r="L489" s="34">
        <f>getSizeDiameter('RawData (GH)'!J489)</f>
        <v>80</v>
      </c>
      <c r="M489" s="34">
        <f>getSizeLength('RawData (GH)'!J489)</f>
        <v>143.5</v>
      </c>
    </row>
    <row r="490" spans="1:13" x14ac:dyDescent="0.25">
      <c r="A490" t="str">
        <f>'RawData (GH)'!A490</f>
        <v>Nikon AF-S VR 800mm 5.6 FL ED schwarz</v>
      </c>
      <c r="B490" s="5">
        <f>getFocalLengthStart('RawData (GH)'!B490)</f>
        <v>800</v>
      </c>
      <c r="C490" s="5">
        <f>getFocalLengthEnd('RawData (GH)'!B490)</f>
        <v>800</v>
      </c>
      <c r="D490" s="9">
        <f>getApertureStart('RawData (GH)'!C490)</f>
        <v>5.6</v>
      </c>
      <c r="E490" s="9">
        <f>getApertureEnd('RawData (GH)'!C490)</f>
        <v>5.6</v>
      </c>
      <c r="F490" s="2">
        <f>getFiltersizeAsDouble('RawData (GH)'!D490)</f>
        <v>52</v>
      </c>
      <c r="G490" s="35">
        <f>getMagnification('RawData (GH)'!E490)</f>
        <v>6.7</v>
      </c>
      <c r="H490" s="62">
        <f>getMinimalFocus('RawData (GH)'!F490)</f>
        <v>0</v>
      </c>
      <c r="I490" t="str">
        <f>getMount('RawData (GH)'!G490)</f>
        <v>Nikon F</v>
      </c>
      <c r="J490" t="str">
        <f>getSensorCompatibility('RawData (GH)'!H490)</f>
        <v>APS-C/ Kleinbild</v>
      </c>
      <c r="K490" s="45">
        <f>getWeightAsDouble('RawData (GH)'!I490)</f>
        <v>4590</v>
      </c>
      <c r="L490" s="34">
        <f>getSizeDiameter('RawData (GH)'!J490)</f>
        <v>160</v>
      </c>
      <c r="M490" s="34">
        <f>getSizeLength('RawData (GH)'!J490)</f>
        <v>461</v>
      </c>
    </row>
    <row r="491" spans="1:13" x14ac:dyDescent="0.25">
      <c r="A491" t="str">
        <f>'RawData (GH)'!A491</f>
        <v>Nikon AF-S VR 80-400mm 4.5-5.6G ED schwarz</v>
      </c>
      <c r="B491" s="5">
        <f>getFocalLengthStart('RawData (GH)'!B491)</f>
        <v>80</v>
      </c>
      <c r="C491" s="5">
        <f>getFocalLengthEnd('RawData (GH)'!B491)</f>
        <v>400</v>
      </c>
      <c r="D491" s="9">
        <f>getApertureStart('RawData (GH)'!C491)</f>
        <v>4.5</v>
      </c>
      <c r="E491" s="9">
        <f>getApertureEnd('RawData (GH)'!C491)</f>
        <v>5.6</v>
      </c>
      <c r="F491" s="2">
        <f>getFiltersizeAsDouble('RawData (GH)'!D491)</f>
        <v>77</v>
      </c>
      <c r="G491" s="35">
        <f>getMagnification('RawData (GH)'!E491)</f>
        <v>5</v>
      </c>
      <c r="H491" s="62">
        <f>getMinimalFocus('RawData (GH)'!F491)</f>
        <v>0</v>
      </c>
      <c r="I491" t="str">
        <f>getMount('RawData (GH)'!G491)</f>
        <v>Nikon F</v>
      </c>
      <c r="J491" t="str">
        <f>getSensorCompatibility('RawData (GH)'!H491)</f>
        <v>APS-C/ Kleinbild</v>
      </c>
      <c r="K491" s="45">
        <f>getWeightAsDouble('RawData (GH)'!I491)</f>
        <v>1570</v>
      </c>
      <c r="L491" s="34">
        <f>getSizeDiameter('RawData (GH)'!J491)</f>
        <v>95.5</v>
      </c>
      <c r="M491" s="34">
        <f>getSizeLength('RawData (GH)'!J491)</f>
        <v>203</v>
      </c>
    </row>
    <row r="492" spans="1:13" x14ac:dyDescent="0.25">
      <c r="A492" t="str">
        <f>'RawData (GH)'!A492</f>
        <v>Nikon AF-S VR DX 16-80mm 2.8-4.0E ED schwarz</v>
      </c>
      <c r="B492" s="5">
        <f>getFocalLengthStart('RawData (GH)'!B492)</f>
        <v>16</v>
      </c>
      <c r="C492" s="5">
        <f>getFocalLengthEnd('RawData (GH)'!B492)</f>
        <v>80</v>
      </c>
      <c r="D492" s="9">
        <f>getApertureStart('RawData (GH)'!C492)</f>
        <v>2.8</v>
      </c>
      <c r="E492" s="9">
        <f>getApertureEnd('RawData (GH)'!C492)</f>
        <v>4</v>
      </c>
      <c r="F492" s="2">
        <f>getFiltersizeAsDouble('RawData (GH)'!D492)</f>
        <v>72</v>
      </c>
      <c r="G492" s="35">
        <f>getMagnification('RawData (GH)'!E492)</f>
        <v>4.5</v>
      </c>
      <c r="H492" s="62">
        <f>getMinimalFocus('RawData (GH)'!F492)</f>
        <v>0</v>
      </c>
      <c r="I492" t="str">
        <f>getMount('RawData (GH)'!G492)</f>
        <v>Nikon F</v>
      </c>
      <c r="J492" t="str">
        <f>getSensorCompatibility('RawData (GH)'!H492)</f>
        <v>APS-C</v>
      </c>
      <c r="K492" s="45">
        <f>getWeightAsDouble('RawData (GH)'!I492)</f>
        <v>480</v>
      </c>
      <c r="L492" s="34">
        <f>getSizeDiameter('RawData (GH)'!J492)</f>
        <v>80</v>
      </c>
      <c r="M492" s="34">
        <f>getSizeLength('RawData (GH)'!J492)</f>
        <v>85.5</v>
      </c>
    </row>
    <row r="493" spans="1:13" x14ac:dyDescent="0.25">
      <c r="A493" t="str">
        <f>'RawData (GH)'!A493</f>
        <v>Nikon AF-S VR DX 16-85mm 3.5-5.6G ED schwarz</v>
      </c>
      <c r="B493" s="5">
        <f>getFocalLengthStart('RawData (GH)'!B493)</f>
        <v>16</v>
      </c>
      <c r="C493" s="5">
        <f>getFocalLengthEnd('RawData (GH)'!B493)</f>
        <v>85</v>
      </c>
      <c r="D493" s="9">
        <f>getApertureStart('RawData (GH)'!C493)</f>
        <v>3.5</v>
      </c>
      <c r="E493" s="9">
        <f>getApertureEnd('RawData (GH)'!C493)</f>
        <v>5.6</v>
      </c>
      <c r="F493" s="2">
        <f>getFiltersizeAsDouble('RawData (GH)'!D493)</f>
        <v>67</v>
      </c>
      <c r="G493" s="35">
        <f>getMagnification('RawData (GH)'!E493)</f>
        <v>4.5999999999999996</v>
      </c>
      <c r="H493" s="62">
        <f>getMinimalFocus('RawData (GH)'!F493)</f>
        <v>0</v>
      </c>
      <c r="I493" t="str">
        <f>getMount('RawData (GH)'!G493)</f>
        <v>Nikon F</v>
      </c>
      <c r="J493" t="str">
        <f>getSensorCompatibility('RawData (GH)'!H493)</f>
        <v>APS-C</v>
      </c>
      <c r="K493" s="45">
        <f>getWeightAsDouble('RawData (GH)'!I493)</f>
        <v>485</v>
      </c>
      <c r="L493" s="34">
        <f>getSizeDiameter('RawData (GH)'!J493)</f>
        <v>72</v>
      </c>
      <c r="M493" s="34">
        <f>getSizeLength('RawData (GH)'!J493)</f>
        <v>85</v>
      </c>
    </row>
    <row r="494" spans="1:13" x14ac:dyDescent="0.25">
      <c r="A494" t="str">
        <f>'RawData (GH)'!A494</f>
        <v>Nikon AF-S VR DX 18-105mm 3.5-5.6G ED schwarz</v>
      </c>
      <c r="B494" s="5">
        <f>getFocalLengthStart('RawData (GH)'!B494)</f>
        <v>18</v>
      </c>
      <c r="C494" s="5">
        <f>getFocalLengthEnd('RawData (GH)'!B494)</f>
        <v>105</v>
      </c>
      <c r="D494" s="9">
        <f>getApertureStart('RawData (GH)'!C494)</f>
        <v>3.5</v>
      </c>
      <c r="E494" s="9">
        <f>getApertureEnd('RawData (GH)'!C494)</f>
        <v>5.6</v>
      </c>
      <c r="F494" s="2">
        <f>getFiltersizeAsDouble('RawData (GH)'!D494)</f>
        <v>67</v>
      </c>
      <c r="G494" s="35">
        <f>getMagnification('RawData (GH)'!E494)</f>
        <v>5</v>
      </c>
      <c r="H494" s="62">
        <f>getMinimalFocus('RawData (GH)'!F494)</f>
        <v>0</v>
      </c>
      <c r="I494" t="str">
        <f>getMount('RawData (GH)'!G494)</f>
        <v>Nikon F</v>
      </c>
      <c r="J494" t="str">
        <f>getSensorCompatibility('RawData (GH)'!H494)</f>
        <v>APS-C</v>
      </c>
      <c r="K494" s="45">
        <f>getWeightAsDouble('RawData (GH)'!I494)</f>
        <v>420</v>
      </c>
      <c r="L494" s="34">
        <f>getSizeDiameter('RawData (GH)'!J494)</f>
        <v>76</v>
      </c>
      <c r="M494" s="34">
        <f>getSizeLength('RawData (GH)'!J494)</f>
        <v>89</v>
      </c>
    </row>
    <row r="495" spans="1:13" x14ac:dyDescent="0.25">
      <c r="A495" t="str">
        <f>'RawData (GH)'!A495</f>
        <v>Nikon AF-S VR DX 18-140mm 3.5-5.6G ED schwarz</v>
      </c>
      <c r="B495" s="5">
        <f>getFocalLengthStart('RawData (GH)'!B495)</f>
        <v>18</v>
      </c>
      <c r="C495" s="5">
        <f>getFocalLengthEnd('RawData (GH)'!B495)</f>
        <v>140</v>
      </c>
      <c r="D495" s="9">
        <f>getApertureStart('RawData (GH)'!C495)</f>
        <v>3.5</v>
      </c>
      <c r="E495" s="9">
        <f>getApertureEnd('RawData (GH)'!C495)</f>
        <v>5.6</v>
      </c>
      <c r="F495" s="2">
        <f>getFiltersizeAsDouble('RawData (GH)'!D495)</f>
        <v>67</v>
      </c>
      <c r="G495" s="35">
        <f>getMagnification('RawData (GH)'!E495)</f>
        <v>4.3</v>
      </c>
      <c r="H495" s="62">
        <f>getMinimalFocus('RawData (GH)'!F495)</f>
        <v>0</v>
      </c>
      <c r="I495" t="str">
        <f>getMount('RawData (GH)'!G495)</f>
        <v>Nikon F</v>
      </c>
      <c r="J495" t="str">
        <f>getSensorCompatibility('RawData (GH)'!H495)</f>
        <v>APS-C</v>
      </c>
      <c r="K495" s="45">
        <f>getWeightAsDouble('RawData (GH)'!I495)</f>
        <v>490</v>
      </c>
      <c r="L495" s="34">
        <f>getSizeDiameter('RawData (GH)'!J495)</f>
        <v>78</v>
      </c>
      <c r="M495" s="34">
        <f>getSizeLength('RawData (GH)'!J495)</f>
        <v>97</v>
      </c>
    </row>
    <row r="496" spans="1:13" x14ac:dyDescent="0.25">
      <c r="A496" t="str">
        <f>'RawData (GH)'!A496</f>
        <v>Nikon AF-S VR DX 18-200mm 3.5-5.6G ED II schwarz</v>
      </c>
      <c r="B496" s="5">
        <f>getFocalLengthStart('RawData (GH)'!B496)</f>
        <v>18</v>
      </c>
      <c r="C496" s="5">
        <f>getFocalLengthEnd('RawData (GH)'!B496)</f>
        <v>200</v>
      </c>
      <c r="D496" s="9">
        <f>getApertureStart('RawData (GH)'!C496)</f>
        <v>3.5</v>
      </c>
      <c r="E496" s="9">
        <f>getApertureEnd('RawData (GH)'!C496)</f>
        <v>5.6</v>
      </c>
      <c r="F496" s="2">
        <f>getFiltersizeAsDouble('RawData (GH)'!D496)</f>
        <v>72</v>
      </c>
      <c r="G496" s="35">
        <f>getMagnification('RawData (GH)'!E496)</f>
        <v>4.55</v>
      </c>
      <c r="H496" s="62">
        <f>getMinimalFocus('RawData (GH)'!F496)</f>
        <v>0</v>
      </c>
      <c r="I496" t="str">
        <f>getMount('RawData (GH)'!G496)</f>
        <v>Nikon F</v>
      </c>
      <c r="J496" t="str">
        <f>getSensorCompatibility('RawData (GH)'!H496)</f>
        <v>APS-C</v>
      </c>
      <c r="K496" s="45">
        <f>getWeightAsDouble('RawData (GH)'!I496)</f>
        <v>565</v>
      </c>
      <c r="L496" s="34">
        <f>getSizeDiameter('RawData (GH)'!J496)</f>
        <v>77</v>
      </c>
      <c r="M496" s="34">
        <f>getSizeLength('RawData (GH)'!J496)</f>
        <v>96.5</v>
      </c>
    </row>
    <row r="497" spans="1:13" x14ac:dyDescent="0.25">
      <c r="A497" t="str">
        <f>'RawData (GH)'!A497</f>
        <v>Nikon AF-S VR DX 18-200mm 3.5-5.6G IF-ED schwarz</v>
      </c>
      <c r="B497" s="5">
        <f>getFocalLengthStart('RawData (GH)'!B497)</f>
        <v>18</v>
      </c>
      <c r="C497" s="5">
        <f>getFocalLengthEnd('RawData (GH)'!B497)</f>
        <v>200</v>
      </c>
      <c r="D497" s="9">
        <f>getApertureStart('RawData (GH)'!C497)</f>
        <v>3.5</v>
      </c>
      <c r="E497" s="9">
        <f>getApertureEnd('RawData (GH)'!C497)</f>
        <v>5.6</v>
      </c>
      <c r="F497" s="2">
        <f>getFiltersizeAsDouble('RawData (GH)'!D497)</f>
        <v>72</v>
      </c>
      <c r="G497" s="35">
        <f>getMagnification('RawData (GH)'!E497)</f>
        <v>4.55</v>
      </c>
      <c r="H497" s="62">
        <f>getMinimalFocus('RawData (GH)'!F497)</f>
        <v>0</v>
      </c>
      <c r="I497" t="str">
        <f>getMount('RawData (GH)'!G497)</f>
        <v>Nikon F</v>
      </c>
      <c r="J497" t="str">
        <f>getSensorCompatibility('RawData (GH)'!H497)</f>
        <v>APS-C</v>
      </c>
      <c r="K497" s="45">
        <f>getWeightAsDouble('RawData (GH)'!I497)</f>
        <v>560</v>
      </c>
      <c r="L497" s="34">
        <f>getSizeDiameter('RawData (GH)'!J497)</f>
        <v>77</v>
      </c>
      <c r="M497" s="34">
        <f>getSizeLength('RawData (GH)'!J497)</f>
        <v>96.5</v>
      </c>
    </row>
    <row r="498" spans="1:13" x14ac:dyDescent="0.25">
      <c r="A498" t="str">
        <f>'RawData (GH)'!A498</f>
        <v>Nikon AF-S VR DX 18-300mm 3.5-5.6G ED schwarz</v>
      </c>
      <c r="B498" s="5">
        <f>getFocalLengthStart('RawData (GH)'!B498)</f>
        <v>18</v>
      </c>
      <c r="C498" s="5">
        <f>getFocalLengthEnd('RawData (GH)'!B498)</f>
        <v>300</v>
      </c>
      <c r="D498" s="9">
        <f>getApertureStart('RawData (GH)'!C498)</f>
        <v>3.5</v>
      </c>
      <c r="E498" s="9">
        <f>getApertureEnd('RawData (GH)'!C498)</f>
        <v>5.6</v>
      </c>
      <c r="F498" s="2">
        <f>getFiltersizeAsDouble('RawData (GH)'!D498)</f>
        <v>77</v>
      </c>
      <c r="G498" s="35">
        <f>getMagnification('RawData (GH)'!E498)</f>
        <v>3.2</v>
      </c>
      <c r="H498" s="62">
        <f>getMinimalFocus('RawData (GH)'!F498)</f>
        <v>0</v>
      </c>
      <c r="I498" t="str">
        <f>getMount('RawData (GH)'!G498)</f>
        <v>Nikon F</v>
      </c>
      <c r="J498" t="str">
        <f>getSensorCompatibility('RawData (GH)'!H498)</f>
        <v>APS-C</v>
      </c>
      <c r="K498" s="45">
        <f>getWeightAsDouble('RawData (GH)'!I498)</f>
        <v>830</v>
      </c>
      <c r="L498" s="34">
        <f>getSizeDiameter('RawData (GH)'!J498)</f>
        <v>83</v>
      </c>
      <c r="M498" s="34">
        <f>getSizeLength('RawData (GH)'!J498)</f>
        <v>120</v>
      </c>
    </row>
    <row r="499" spans="1:13" x14ac:dyDescent="0.25">
      <c r="A499" t="str">
        <f>'RawData (GH)'!A499</f>
        <v>Nikon AF-S VR DX 18-300mm 3.5-6.3G ED schwarz</v>
      </c>
      <c r="B499" s="5">
        <f>getFocalLengthStart('RawData (GH)'!B499)</f>
        <v>18</v>
      </c>
      <c r="C499" s="5">
        <f>getFocalLengthEnd('RawData (GH)'!B499)</f>
        <v>300</v>
      </c>
      <c r="D499" s="9">
        <f>getApertureStart('RawData (GH)'!C499)</f>
        <v>3.5</v>
      </c>
      <c r="E499" s="9">
        <f>getApertureEnd('RawData (GH)'!C499)</f>
        <v>6.3</v>
      </c>
      <c r="F499" s="2">
        <f>getFiltersizeAsDouble('RawData (GH)'!D499)</f>
        <v>67</v>
      </c>
      <c r="G499" s="35">
        <f>getMagnification('RawData (GH)'!E499)</f>
        <v>0</v>
      </c>
      <c r="H499" s="62">
        <f>getMinimalFocus('RawData (GH)'!F499)</f>
        <v>0</v>
      </c>
      <c r="I499" t="str">
        <f>getMount('RawData (GH)'!G499)</f>
        <v>Nikon F</v>
      </c>
      <c r="J499" t="str">
        <f>getSensorCompatibility('RawData (GH)'!H499)</f>
        <v>APS-C</v>
      </c>
      <c r="K499" s="45">
        <f>getWeightAsDouble('RawData (GH)'!I499)</f>
        <v>550</v>
      </c>
      <c r="L499" s="34">
        <f>getSizeDiameter('RawData (GH)'!J499)</f>
        <v>79</v>
      </c>
      <c r="M499" s="34">
        <f>getSizeLength('RawData (GH)'!J499)</f>
        <v>99</v>
      </c>
    </row>
    <row r="500" spans="1:13" x14ac:dyDescent="0.25">
      <c r="A500" t="str">
        <f>'RawData (GH)'!A500</f>
        <v>Nikon AF-S VR DX 18-55mm 3.5-5.6G II schwarz</v>
      </c>
      <c r="B500" s="5">
        <f>getFocalLengthStart('RawData (GH)'!B500)</f>
        <v>18</v>
      </c>
      <c r="C500" s="5">
        <f>getFocalLengthEnd('RawData (GH)'!B500)</f>
        <v>55</v>
      </c>
      <c r="D500" s="9">
        <f>getApertureStart('RawData (GH)'!C500)</f>
        <v>3.5</v>
      </c>
      <c r="E500" s="9">
        <f>getApertureEnd('RawData (GH)'!C500)</f>
        <v>5.6</v>
      </c>
      <c r="F500" s="2">
        <f>getFiltersizeAsDouble('RawData (GH)'!D500)</f>
        <v>52</v>
      </c>
      <c r="G500" s="35">
        <f>getMagnification('RawData (GH)'!E500)</f>
        <v>3.2</v>
      </c>
      <c r="H500" s="62">
        <f>getMinimalFocus('RawData (GH)'!F500)</f>
        <v>0</v>
      </c>
      <c r="I500" t="str">
        <f>getMount('RawData (GH)'!G500)</f>
        <v>Nikon F</v>
      </c>
      <c r="J500" t="str">
        <f>getSensorCompatibility('RawData (GH)'!H500)</f>
        <v>APS-C</v>
      </c>
      <c r="K500" s="45">
        <f>getWeightAsDouble('RawData (GH)'!I500)</f>
        <v>195</v>
      </c>
      <c r="L500" s="34">
        <f>getSizeDiameter('RawData (GH)'!J500)</f>
        <v>66</v>
      </c>
      <c r="M500" s="34">
        <f>getSizeLength('RawData (GH)'!J500)</f>
        <v>59.5</v>
      </c>
    </row>
    <row r="501" spans="1:13" x14ac:dyDescent="0.25">
      <c r="A501" t="str">
        <f>'RawData (GH)'!A501</f>
        <v>Nikon AF-S VR DX 18-55mm 3.5-5.6G schwarz</v>
      </c>
      <c r="B501" s="5">
        <f>getFocalLengthStart('RawData (GH)'!B501)</f>
        <v>18</v>
      </c>
      <c r="C501" s="5">
        <f>getFocalLengthEnd('RawData (GH)'!B501)</f>
        <v>55</v>
      </c>
      <c r="D501" s="9">
        <f>getApertureStart('RawData (GH)'!C501)</f>
        <v>3.5</v>
      </c>
      <c r="E501" s="9">
        <f>getApertureEnd('RawData (GH)'!C501)</f>
        <v>5.6</v>
      </c>
      <c r="F501" s="2">
        <f>getFiltersizeAsDouble('RawData (GH)'!D501)</f>
        <v>52</v>
      </c>
      <c r="G501" s="35">
        <f>getMagnification('RawData (GH)'!E501)</f>
        <v>0</v>
      </c>
      <c r="H501" s="62">
        <f>getMinimalFocus('RawData (GH)'!F501)</f>
        <v>0</v>
      </c>
      <c r="I501" t="str">
        <f>getMount('RawData (GH)'!G501)</f>
        <v>Nikon F</v>
      </c>
      <c r="J501" t="str">
        <f>getSensorCompatibility('RawData (GH)'!H501)</f>
        <v>APS-C</v>
      </c>
      <c r="K501" s="45">
        <f>getWeightAsDouble('RawData (GH)'!I501)</f>
        <v>265</v>
      </c>
      <c r="L501" s="34">
        <f>getSizeDiameter('RawData (GH)'!J501)</f>
        <v>73</v>
      </c>
      <c r="M501" s="34">
        <f>getSizeLength('RawData (GH)'!J501)</f>
        <v>79.5</v>
      </c>
    </row>
    <row r="502" spans="1:13" x14ac:dyDescent="0.25">
      <c r="A502" t="str">
        <f>'RawData (GH)'!A502</f>
        <v>Nikon AF-S VR DX 55-200mm 4.0-5.6G ED II schwarz</v>
      </c>
      <c r="B502" s="5">
        <f>getFocalLengthStart('RawData (GH)'!B502)</f>
        <v>55</v>
      </c>
      <c r="C502" s="5">
        <f>getFocalLengthEnd('RawData (GH)'!B502)</f>
        <v>200</v>
      </c>
      <c r="D502" s="9">
        <f>getApertureStart('RawData (GH)'!C502)</f>
        <v>4</v>
      </c>
      <c r="E502" s="9">
        <f>getApertureEnd('RawData (GH)'!C502)</f>
        <v>5.6</v>
      </c>
      <c r="F502" s="2">
        <f>getFiltersizeAsDouble('RawData (GH)'!D502)</f>
        <v>52</v>
      </c>
      <c r="G502" s="35">
        <f>getMagnification('RawData (GH)'!E502)</f>
        <v>0</v>
      </c>
      <c r="H502" s="62">
        <f>getMinimalFocus('RawData (GH)'!F502)</f>
        <v>0</v>
      </c>
      <c r="I502" t="str">
        <f>getMount('RawData (GH)'!G502)</f>
        <v>Nikon F</v>
      </c>
      <c r="J502" t="str">
        <f>getSensorCompatibility('RawData (GH)'!H502)</f>
        <v>APS-C</v>
      </c>
      <c r="K502" s="45">
        <f>getWeightAsDouble('RawData (GH)'!I502)</f>
        <v>300</v>
      </c>
      <c r="L502" s="34">
        <f>getSizeDiameter('RawData (GH)'!J502)</f>
        <v>70.5</v>
      </c>
      <c r="M502" s="34">
        <f>getSizeLength('RawData (GH)'!J502)</f>
        <v>83</v>
      </c>
    </row>
    <row r="503" spans="1:13" x14ac:dyDescent="0.25">
      <c r="A503" t="str">
        <f>'RawData (GH)'!A503</f>
        <v>Nikon AF-S VR DX 55-200mm 4.0-5.6G IF-ED schwarz</v>
      </c>
      <c r="B503" s="5">
        <f>getFocalLengthStart('RawData (GH)'!B503)</f>
        <v>55</v>
      </c>
      <c r="C503" s="5">
        <f>getFocalLengthEnd('RawData (GH)'!B503)</f>
        <v>200</v>
      </c>
      <c r="D503" s="9">
        <f>getApertureStart('RawData (GH)'!C503)</f>
        <v>4</v>
      </c>
      <c r="E503" s="9">
        <f>getApertureEnd('RawData (GH)'!C503)</f>
        <v>5.6</v>
      </c>
      <c r="F503" s="2">
        <f>getFiltersizeAsDouble('RawData (GH)'!D503)</f>
        <v>52</v>
      </c>
      <c r="G503" s="35">
        <f>getMagnification('RawData (GH)'!E503)</f>
        <v>0</v>
      </c>
      <c r="H503" s="62">
        <f>getMinimalFocus('RawData (GH)'!F503)</f>
        <v>0</v>
      </c>
      <c r="I503" t="str">
        <f>getMount('RawData (GH)'!G503)</f>
        <v>Nikon F</v>
      </c>
      <c r="J503" t="str">
        <f>getSensorCompatibility('RawData (GH)'!H503)</f>
        <v>APS-C</v>
      </c>
      <c r="K503" s="45">
        <f>getWeightAsDouble('RawData (GH)'!I503)</f>
        <v>335</v>
      </c>
      <c r="L503" s="34">
        <f>getSizeDiameter('RawData (GH)'!J503)</f>
        <v>73</v>
      </c>
      <c r="M503" s="34">
        <f>getSizeLength('RawData (GH)'!J503)</f>
        <v>99.5</v>
      </c>
    </row>
    <row r="504" spans="1:13" x14ac:dyDescent="0.25">
      <c r="A504" t="str">
        <f>'RawData (GH)'!A504</f>
        <v>Nikon AF-S VR DX 55-300mm 4.5-5.6G ED schwarz</v>
      </c>
      <c r="B504" s="5">
        <f>getFocalLengthStart('RawData (GH)'!B504)</f>
        <v>55</v>
      </c>
      <c r="C504" s="5">
        <f>getFocalLengthEnd('RawData (GH)'!B504)</f>
        <v>300</v>
      </c>
      <c r="D504" s="9">
        <f>getApertureStart('RawData (GH)'!C504)</f>
        <v>4.5</v>
      </c>
      <c r="E504" s="9">
        <f>getApertureEnd('RawData (GH)'!C504)</f>
        <v>5.6</v>
      </c>
      <c r="F504" s="2">
        <f>getFiltersizeAsDouble('RawData (GH)'!D504)</f>
        <v>58</v>
      </c>
      <c r="G504" s="35">
        <f>getMagnification('RawData (GH)'!E504)</f>
        <v>3.57</v>
      </c>
      <c r="H504" s="62">
        <f>getMinimalFocus('RawData (GH)'!F504)</f>
        <v>0</v>
      </c>
      <c r="I504" t="str">
        <f>getMount('RawData (GH)'!G504)</f>
        <v>Nikon F</v>
      </c>
      <c r="J504" t="str">
        <f>getSensorCompatibility('RawData (GH)'!H504)</f>
        <v>APS-C</v>
      </c>
      <c r="K504" s="45">
        <f>getWeightAsDouble('RawData (GH)'!I504)</f>
        <v>530</v>
      </c>
      <c r="L504" s="34">
        <f>getSizeDiameter('RawData (GH)'!J504)</f>
        <v>76.5</v>
      </c>
      <c r="M504" s="34">
        <f>getSizeLength('RawData (GH)'!J504)</f>
        <v>123</v>
      </c>
    </row>
    <row r="505" spans="1:13" x14ac:dyDescent="0.25">
      <c r="A505" t="str">
        <f>'RawData (GH)'!A505</f>
        <v>Nikon AF-S VR DX Micro 85mm 3.5G IF-ED schwarz</v>
      </c>
      <c r="B505" s="5">
        <f>getFocalLengthStart('RawData (GH)'!B505)</f>
        <v>85</v>
      </c>
      <c r="C505" s="5">
        <f>getFocalLengthEnd('RawData (GH)'!B505)</f>
        <v>85</v>
      </c>
      <c r="D505" s="9">
        <f>getApertureStart('RawData (GH)'!C505)</f>
        <v>3.5</v>
      </c>
      <c r="E505" s="9">
        <f>getApertureEnd('RawData (GH)'!C505)</f>
        <v>3.5</v>
      </c>
      <c r="F505" s="2">
        <f>getFiltersizeAsDouble('RawData (GH)'!D505)</f>
        <v>52</v>
      </c>
      <c r="G505" s="35">
        <f>getMagnification('RawData (GH)'!E505)</f>
        <v>1</v>
      </c>
      <c r="H505" s="62">
        <f>getMinimalFocus('RawData (GH)'!F505)</f>
        <v>0</v>
      </c>
      <c r="I505" t="str">
        <f>getMount('RawData (GH)'!G505)</f>
        <v>Nikon F</v>
      </c>
      <c r="J505" t="str">
        <f>getSensorCompatibility('RawData (GH)'!H505)</f>
        <v>APS-C</v>
      </c>
      <c r="K505" s="45">
        <f>getWeightAsDouble('RawData (GH)'!I505)</f>
        <v>355</v>
      </c>
      <c r="L505" s="34">
        <f>getSizeDiameter('RawData (GH)'!J505)</f>
        <v>73</v>
      </c>
      <c r="M505" s="34">
        <f>getSizeLength('RawData (GH)'!J505)</f>
        <v>98.5</v>
      </c>
    </row>
    <row r="506" spans="1:13" x14ac:dyDescent="0.25">
      <c r="A506" t="str">
        <f>'RawData (GH)'!A506</f>
        <v>Nikon AF-S VR Micro 105mm 2.8G IF-ED schwarz</v>
      </c>
      <c r="B506" s="5">
        <f>getFocalLengthStart('RawData (GH)'!B506)</f>
        <v>105</v>
      </c>
      <c r="C506" s="5">
        <f>getFocalLengthEnd('RawData (GH)'!B506)</f>
        <v>105</v>
      </c>
      <c r="D506" s="9">
        <f>getApertureStart('RawData (GH)'!C506)</f>
        <v>2.8</v>
      </c>
      <c r="E506" s="9">
        <f>getApertureEnd('RawData (GH)'!C506)</f>
        <v>2.8</v>
      </c>
      <c r="F506" s="2">
        <f>getFiltersizeAsDouble('RawData (GH)'!D506)</f>
        <v>62</v>
      </c>
      <c r="G506" s="35">
        <f>getMagnification('RawData (GH)'!E506)</f>
        <v>1</v>
      </c>
      <c r="H506" s="62">
        <f>getMinimalFocus('RawData (GH)'!F506)</f>
        <v>0</v>
      </c>
      <c r="I506" t="str">
        <f>getMount('RawData (GH)'!G506)</f>
        <v>Nikon F</v>
      </c>
      <c r="J506" t="str">
        <f>getSensorCompatibility('RawData (GH)'!H506)</f>
        <v>APS-C/ Kleinbild</v>
      </c>
      <c r="K506" s="45">
        <f>getWeightAsDouble('RawData (GH)'!I506)</f>
        <v>750</v>
      </c>
      <c r="L506" s="34">
        <f>getSizeDiameter('RawData (GH)'!J506)</f>
        <v>83</v>
      </c>
      <c r="M506" s="34">
        <f>getSizeLength('RawData (GH)'!J506)</f>
        <v>116</v>
      </c>
    </row>
    <row r="507" spans="1:13" x14ac:dyDescent="0.25">
      <c r="A507" t="str">
        <f>'RawData (GH)'!A507</f>
        <v>Nikon MF 28mm 2.8 schwarz</v>
      </c>
      <c r="B507" s="5">
        <f>getFocalLengthStart('RawData (GH)'!B507)</f>
        <v>28</v>
      </c>
      <c r="C507" s="5">
        <f>getFocalLengthEnd('RawData (GH)'!B507)</f>
        <v>28</v>
      </c>
      <c r="D507" s="9">
        <f>getApertureStart('RawData (GH)'!C507)</f>
        <v>2.8</v>
      </c>
      <c r="E507" s="9">
        <f>getApertureEnd('RawData (GH)'!C507)</f>
        <v>2.8</v>
      </c>
      <c r="F507" s="2">
        <f>getFiltersizeAsDouble('RawData (GH)'!D507)</f>
        <v>52</v>
      </c>
      <c r="G507" s="35">
        <f>getMagnification('RawData (GH)'!E507)</f>
        <v>0</v>
      </c>
      <c r="H507" s="62">
        <f>getMinimalFocus('RawData (GH)'!F507)</f>
        <v>0</v>
      </c>
      <c r="I507" t="str">
        <f>getMount('RawData (GH)'!G507)</f>
        <v>Nikon F</v>
      </c>
      <c r="J507" t="str">
        <f>getSensorCompatibility('RawData (GH)'!H507)</f>
        <v>APS-C/ Kleinbild</v>
      </c>
      <c r="K507" s="45">
        <f>getWeightAsDouble('RawData (GH)'!I507)</f>
        <v>250</v>
      </c>
      <c r="L507" s="34">
        <f>getSizeDiameter('RawData (GH)'!J507)</f>
        <v>63</v>
      </c>
      <c r="M507" s="34">
        <f>getSizeLength('RawData (GH)'!J507)</f>
        <v>44.5</v>
      </c>
    </row>
    <row r="508" spans="1:13" x14ac:dyDescent="0.25">
      <c r="A508" t="str">
        <f>'RawData (GH)'!A508</f>
        <v>Nikon Micro 55mm 2.8 schwarz</v>
      </c>
      <c r="B508" s="5">
        <f>getFocalLengthStart('RawData (GH)'!B508)</f>
        <v>55</v>
      </c>
      <c r="C508" s="5">
        <f>getFocalLengthEnd('RawData (GH)'!B508)</f>
        <v>55</v>
      </c>
      <c r="D508" s="9">
        <f>getApertureStart('RawData (GH)'!C508)</f>
        <v>2.8</v>
      </c>
      <c r="E508" s="9">
        <f>getApertureEnd('RawData (GH)'!C508)</f>
        <v>2.8</v>
      </c>
      <c r="F508" s="2">
        <f>getFiltersizeAsDouble('RawData (GH)'!D508)</f>
        <v>52</v>
      </c>
      <c r="G508" s="35">
        <f>getMagnification('RawData (GH)'!E508)</f>
        <v>0</v>
      </c>
      <c r="H508" s="62">
        <f>getMinimalFocus('RawData (GH)'!F508)</f>
        <v>0</v>
      </c>
      <c r="I508" t="str">
        <f>getMount('RawData (GH)'!G508)</f>
        <v>Nikon F</v>
      </c>
      <c r="J508" t="str">
        <f>getSensorCompatibility('RawData (GH)'!H508)</f>
        <v>APS-C/ Kleinbild</v>
      </c>
      <c r="K508" s="45">
        <f>getWeightAsDouble('RawData (GH)'!I508)</f>
        <v>210</v>
      </c>
      <c r="L508" s="34">
        <f>getSizeDiameter('RawData (GH)'!J508)</f>
        <v>62</v>
      </c>
      <c r="M508" s="34">
        <f>getSizeLength('RawData (GH)'!J508)</f>
        <v>63.5</v>
      </c>
    </row>
    <row r="509" spans="1:13" x14ac:dyDescent="0.25">
      <c r="A509" t="str">
        <f>'RawData (GH)'!A509</f>
        <v>Nikon PC 19mm 4.0E ED schwarz</v>
      </c>
      <c r="B509" s="5">
        <f>getFocalLengthStart('RawData (GH)'!B509)</f>
        <v>19</v>
      </c>
      <c r="C509" s="5">
        <f>getFocalLengthEnd('RawData (GH)'!B509)</f>
        <v>19</v>
      </c>
      <c r="D509" s="9">
        <f>getApertureStart('RawData (GH)'!C509)</f>
        <v>4</v>
      </c>
      <c r="E509" s="9">
        <f>getApertureEnd('RawData (GH)'!C509)</f>
        <v>4</v>
      </c>
      <c r="F509" s="2">
        <f>getFiltersizeAsDouble('RawData (GH)'!D509)</f>
        <v>0</v>
      </c>
      <c r="G509" s="35">
        <f>getMagnification('RawData (GH)'!E509)</f>
        <v>5.6</v>
      </c>
      <c r="H509" s="62">
        <f>getMinimalFocus('RawData (GH)'!F509)</f>
        <v>0</v>
      </c>
      <c r="I509" t="str">
        <f>getMount('RawData (GH)'!G509)</f>
        <v>Nikon F</v>
      </c>
      <c r="J509" t="str">
        <f>getSensorCompatibility('RawData (GH)'!H509)</f>
        <v>APS-C/ Kleinbild</v>
      </c>
      <c r="K509" s="45">
        <f>getWeightAsDouble('RawData (GH)'!I509)</f>
        <v>885</v>
      </c>
      <c r="L509" s="34">
        <f>getSizeDiameter('RawData (GH)'!J509)</f>
        <v>89</v>
      </c>
      <c r="M509" s="34">
        <f>getSizeLength('RawData (GH)'!J509)</f>
        <v>124</v>
      </c>
    </row>
    <row r="510" spans="1:13" x14ac:dyDescent="0.25">
      <c r="A510" t="str">
        <f>'RawData (GH)'!A510</f>
        <v>Nikon PC-E 24mm 3.5D ED Tilt/Shift schwarz</v>
      </c>
      <c r="B510" s="5">
        <f>getFocalLengthStart('RawData (GH)'!B510)</f>
        <v>24</v>
      </c>
      <c r="C510" s="5">
        <f>getFocalLengthEnd('RawData (GH)'!B510)</f>
        <v>24</v>
      </c>
      <c r="D510" s="9">
        <f>getApertureStart('RawData (GH)'!C510)</f>
        <v>3.5</v>
      </c>
      <c r="E510" s="9">
        <f>getApertureEnd('RawData (GH)'!C510)</f>
        <v>3.5</v>
      </c>
      <c r="F510" s="2">
        <f>getFiltersizeAsDouble('RawData (GH)'!D510)</f>
        <v>77</v>
      </c>
      <c r="G510" s="35">
        <f>getMagnification('RawData (GH)'!E510)</f>
        <v>2.7</v>
      </c>
      <c r="H510" s="62">
        <f>getMinimalFocus('RawData (GH)'!F510)</f>
        <v>0</v>
      </c>
      <c r="I510" t="str">
        <f>getMount('RawData (GH)'!G510)</f>
        <v>Nikon F</v>
      </c>
      <c r="J510" t="str">
        <f>getSensorCompatibility('RawData (GH)'!H510)</f>
        <v>APS-C/ Kleinbild</v>
      </c>
      <c r="K510" s="45">
        <f>getWeightAsDouble('RawData (GH)'!I510)</f>
        <v>730</v>
      </c>
      <c r="L510" s="34">
        <f>getSizeDiameter('RawData (GH)'!J510)</f>
        <v>82.5</v>
      </c>
      <c r="M510" s="34">
        <f>getSizeLength('RawData (GH)'!J510)</f>
        <v>108</v>
      </c>
    </row>
    <row r="511" spans="1:13" x14ac:dyDescent="0.25">
      <c r="A511" t="str">
        <f>'RawData (GH)'!A511</f>
        <v>Nikon PC-E 45mm 2.8D ED Tilt/Shift schwarz</v>
      </c>
      <c r="B511" s="5">
        <f>getFocalLengthStart('RawData (GH)'!B511)</f>
        <v>45</v>
      </c>
      <c r="C511" s="5">
        <f>getFocalLengthEnd('RawData (GH)'!B511)</f>
        <v>45</v>
      </c>
      <c r="D511" s="9">
        <f>getApertureStart('RawData (GH)'!C511)</f>
        <v>2.8</v>
      </c>
      <c r="E511" s="9">
        <f>getApertureEnd('RawData (GH)'!C511)</f>
        <v>2.8</v>
      </c>
      <c r="F511" s="2">
        <f>getFiltersizeAsDouble('RawData (GH)'!D511)</f>
        <v>77</v>
      </c>
      <c r="G511" s="35">
        <f>getMagnification('RawData (GH)'!E511)</f>
        <v>2</v>
      </c>
      <c r="H511" s="62">
        <f>getMinimalFocus('RawData (GH)'!F511)</f>
        <v>0</v>
      </c>
      <c r="I511" t="str">
        <f>getMount('RawData (GH)'!G511)</f>
        <v>Nikon F</v>
      </c>
      <c r="J511" t="str">
        <f>getSensorCompatibility('RawData (GH)'!H511)</f>
        <v>APS-C/ Kleinbild</v>
      </c>
      <c r="K511" s="45">
        <f>getWeightAsDouble('RawData (GH)'!I511)</f>
        <v>780</v>
      </c>
      <c r="L511" s="34">
        <f>getSizeDiameter('RawData (GH)'!J511)</f>
        <v>83.5</v>
      </c>
      <c r="M511" s="34">
        <f>getSizeLength('RawData (GH)'!J511)</f>
        <v>112</v>
      </c>
    </row>
    <row r="512" spans="1:13" x14ac:dyDescent="0.25">
      <c r="A512" t="str">
        <f>'RawData (GH)'!A512</f>
        <v>Nikon PC-E 85mm 2.8D ED Tilt/Shift schwarz</v>
      </c>
      <c r="B512" s="5">
        <f>getFocalLengthStart('RawData (GH)'!B512)</f>
        <v>85</v>
      </c>
      <c r="C512" s="5">
        <f>getFocalLengthEnd('RawData (GH)'!B512)</f>
        <v>85</v>
      </c>
      <c r="D512" s="9">
        <f>getApertureStart('RawData (GH)'!C512)</f>
        <v>2.8</v>
      </c>
      <c r="E512" s="9">
        <f>getApertureEnd('RawData (GH)'!C512)</f>
        <v>2.8</v>
      </c>
      <c r="F512" s="2">
        <f>getFiltersizeAsDouble('RawData (GH)'!D512)</f>
        <v>77</v>
      </c>
      <c r="G512" s="35">
        <f>getMagnification('RawData (GH)'!E512)</f>
        <v>2</v>
      </c>
      <c r="H512" s="62">
        <f>getMinimalFocus('RawData (GH)'!F512)</f>
        <v>0</v>
      </c>
      <c r="I512" t="str">
        <f>getMount('RawData (GH)'!G512)</f>
        <v>Nikon F</v>
      </c>
      <c r="J512" t="str">
        <f>getSensorCompatibility('RawData (GH)'!H512)</f>
        <v>APS-C/ Kleinbild</v>
      </c>
      <c r="K512" s="45">
        <f>getWeightAsDouble('RawData (GH)'!I512)</f>
        <v>650</v>
      </c>
      <c r="L512" s="34">
        <f>getSizeDiameter('RawData (GH)'!J512)</f>
        <v>82.7</v>
      </c>
      <c r="M512" s="34">
        <f>getSizeLength('RawData (GH)'!J512)</f>
        <v>107</v>
      </c>
    </row>
    <row r="513" spans="1:13" x14ac:dyDescent="0.25">
      <c r="A513" t="str">
        <f>'RawData (GH)'!A513</f>
        <v>Olympus M.Zuiko digital 14-42mm 3.5-5.6 II schwarz</v>
      </c>
      <c r="B513" s="5">
        <f>getFocalLengthStart('RawData (GH)'!B513)</f>
        <v>14</v>
      </c>
      <c r="C513" s="5">
        <f>getFocalLengthEnd('RawData (GH)'!B513)</f>
        <v>42</v>
      </c>
      <c r="D513" s="9">
        <f>getApertureStart('RawData (GH)'!C513)</f>
        <v>3.5</v>
      </c>
      <c r="E513" s="9">
        <f>getApertureEnd('RawData (GH)'!C513)</f>
        <v>5.6</v>
      </c>
      <c r="F513" s="2">
        <f>getFiltersizeAsDouble('RawData (GH)'!D513)</f>
        <v>37</v>
      </c>
      <c r="G513" s="35">
        <f>getMagnification('RawData (GH)'!E513)</f>
        <v>5.26</v>
      </c>
      <c r="H513" s="62">
        <f>getMinimalFocus('RawData (GH)'!F513)</f>
        <v>0</v>
      </c>
      <c r="I513" t="str">
        <f>getMount('RawData (GH)'!G513)</f>
        <v>Micro-Four-Thirds</v>
      </c>
      <c r="J513" t="str">
        <f>getSensorCompatibility('RawData (GH)'!H513)</f>
        <v>Four-Thirds</v>
      </c>
      <c r="K513" s="45">
        <f>getWeightAsDouble('RawData (GH)'!I513)</f>
        <v>112</v>
      </c>
      <c r="L513" s="34">
        <f>getSizeDiameter('RawData (GH)'!J513)</f>
        <v>56.5</v>
      </c>
      <c r="M513" s="34">
        <f>getSizeLength('RawData (GH)'!J513)</f>
        <v>50</v>
      </c>
    </row>
    <row r="514" spans="1:13" x14ac:dyDescent="0.25">
      <c r="A514" t="str">
        <f>'RawData (GH)'!A514</f>
        <v>Olympus M.Zuiko digital 14-42mm 3.5-5.6 II silber</v>
      </c>
      <c r="B514" s="5">
        <f>getFocalLengthStart('RawData (GH)'!B514)</f>
        <v>14</v>
      </c>
      <c r="C514" s="5">
        <f>getFocalLengthEnd('RawData (GH)'!B514)</f>
        <v>42</v>
      </c>
      <c r="D514" s="9">
        <f>getApertureStart('RawData (GH)'!C514)</f>
        <v>3.5</v>
      </c>
      <c r="E514" s="9">
        <f>getApertureEnd('RawData (GH)'!C514)</f>
        <v>5.6</v>
      </c>
      <c r="F514" s="2">
        <f>getFiltersizeAsDouble('RawData (GH)'!D514)</f>
        <v>37</v>
      </c>
      <c r="G514" s="35">
        <f>getMagnification('RawData (GH)'!E514)</f>
        <v>5.26</v>
      </c>
      <c r="H514" s="62">
        <f>getMinimalFocus('RawData (GH)'!F514)</f>
        <v>0</v>
      </c>
      <c r="I514" t="str">
        <f>getMount('RawData (GH)'!G514)</f>
        <v>Micro-Four-Thirds</v>
      </c>
      <c r="J514" t="str">
        <f>getSensorCompatibility('RawData (GH)'!H514)</f>
        <v>Four-Thirds</v>
      </c>
      <c r="K514" s="45">
        <f>getWeightAsDouble('RawData (GH)'!I514)</f>
        <v>112</v>
      </c>
      <c r="L514" s="34">
        <f>getSizeDiameter('RawData (GH)'!J514)</f>
        <v>56.5</v>
      </c>
      <c r="M514" s="34">
        <f>getSizeLength('RawData (GH)'!J514)</f>
        <v>50</v>
      </c>
    </row>
    <row r="515" spans="1:13" x14ac:dyDescent="0.25">
      <c r="A515" t="str">
        <f>'RawData (GH)'!A515</f>
        <v>Olympus M.Zuiko digital 15mm 8.0 Body Cap Lens rot</v>
      </c>
      <c r="B515" s="5">
        <f>getFocalLengthStart('RawData (GH)'!B515)</f>
        <v>15</v>
      </c>
      <c r="C515" s="5">
        <f>getFocalLengthEnd('RawData (GH)'!B515)</f>
        <v>15</v>
      </c>
      <c r="D515" s="9">
        <f>getApertureStart('RawData (GH)'!C515)</f>
        <v>8</v>
      </c>
      <c r="E515" s="9">
        <f>getApertureEnd('RawData (GH)'!C515)</f>
        <v>8</v>
      </c>
      <c r="F515" s="2">
        <f>getFiltersizeAsDouble('RawData (GH)'!D515)</f>
        <v>0</v>
      </c>
      <c r="G515" s="35">
        <f>getMagnification('RawData (GH)'!E515)</f>
        <v>16.670000000000002</v>
      </c>
      <c r="H515" s="62">
        <f>getMinimalFocus('RawData (GH)'!F515)</f>
        <v>0</v>
      </c>
      <c r="I515" t="str">
        <f>getMount('RawData (GH)'!G515)</f>
        <v>Micro-Four-Thirds</v>
      </c>
      <c r="J515" t="str">
        <f>getSensorCompatibility('RawData (GH)'!H515)</f>
        <v>Four-Thirds</v>
      </c>
      <c r="K515" s="45">
        <f>getWeightAsDouble('RawData (GH)'!I515)</f>
        <v>22</v>
      </c>
      <c r="L515" s="34">
        <f>getSizeDiameter('RawData (GH)'!J515)</f>
        <v>56</v>
      </c>
      <c r="M515" s="34">
        <f>getSizeLength('RawData (GH)'!J515)</f>
        <v>9</v>
      </c>
    </row>
    <row r="516" spans="1:13" x14ac:dyDescent="0.25">
      <c r="A516" t="str">
        <f>'RawData (GH)'!A516</f>
        <v>Olympus M.Zuiko digital 15mm 8.0 Body Cap Lens schwarz</v>
      </c>
      <c r="B516" s="5">
        <f>getFocalLengthStart('RawData (GH)'!B516)</f>
        <v>15</v>
      </c>
      <c r="C516" s="5">
        <f>getFocalLengthEnd('RawData (GH)'!B516)</f>
        <v>15</v>
      </c>
      <c r="D516" s="9">
        <f>getApertureStart('RawData (GH)'!C516)</f>
        <v>8</v>
      </c>
      <c r="E516" s="9">
        <f>getApertureEnd('RawData (GH)'!C516)</f>
        <v>8</v>
      </c>
      <c r="F516" s="2">
        <f>getFiltersizeAsDouble('RawData (GH)'!D516)</f>
        <v>0</v>
      </c>
      <c r="G516" s="35">
        <f>getMagnification('RawData (GH)'!E516)</f>
        <v>16.670000000000002</v>
      </c>
      <c r="H516" s="62">
        <f>getMinimalFocus('RawData (GH)'!F516)</f>
        <v>0</v>
      </c>
      <c r="I516" t="str">
        <f>getMount('RawData (GH)'!G516)</f>
        <v>Micro-Four-Thirds</v>
      </c>
      <c r="J516" t="str">
        <f>getSensorCompatibility('RawData (GH)'!H516)</f>
        <v>Four-Thirds</v>
      </c>
      <c r="K516" s="45">
        <f>getWeightAsDouble('RawData (GH)'!I516)</f>
        <v>22</v>
      </c>
      <c r="L516" s="34">
        <f>getSizeDiameter('RawData (GH)'!J516)</f>
        <v>56</v>
      </c>
      <c r="M516" s="34">
        <f>getSizeLength('RawData (GH)'!J516)</f>
        <v>9</v>
      </c>
    </row>
    <row r="517" spans="1:13" x14ac:dyDescent="0.25">
      <c r="A517" t="str">
        <f>'RawData (GH)'!A517</f>
        <v>Olympus M.Zuiko digital 15mm 8.0 Body Cap Lens silber</v>
      </c>
      <c r="B517" s="5">
        <f>getFocalLengthStart('RawData (GH)'!B517)</f>
        <v>15</v>
      </c>
      <c r="C517" s="5">
        <f>getFocalLengthEnd('RawData (GH)'!B517)</f>
        <v>15</v>
      </c>
      <c r="D517" s="9">
        <f>getApertureStart('RawData (GH)'!C517)</f>
        <v>8</v>
      </c>
      <c r="E517" s="9">
        <f>getApertureEnd('RawData (GH)'!C517)</f>
        <v>8</v>
      </c>
      <c r="F517" s="2">
        <f>getFiltersizeAsDouble('RawData (GH)'!D517)</f>
        <v>0</v>
      </c>
      <c r="G517" s="35">
        <f>getMagnification('RawData (GH)'!E517)</f>
        <v>16.670000000000002</v>
      </c>
      <c r="H517" s="62">
        <f>getMinimalFocus('RawData (GH)'!F517)</f>
        <v>0</v>
      </c>
      <c r="I517" t="str">
        <f>getMount('RawData (GH)'!G517)</f>
        <v>Micro-Four-Thirds</v>
      </c>
      <c r="J517" t="str">
        <f>getSensorCompatibility('RawData (GH)'!H517)</f>
        <v>Four-Thirds</v>
      </c>
      <c r="K517" s="45">
        <f>getWeightAsDouble('RawData (GH)'!I517)</f>
        <v>22</v>
      </c>
      <c r="L517" s="34">
        <f>getSizeDiameter('RawData (GH)'!J517)</f>
        <v>56</v>
      </c>
      <c r="M517" s="34">
        <f>getSizeLength('RawData (GH)'!J517)</f>
        <v>9</v>
      </c>
    </row>
    <row r="518" spans="1:13" x14ac:dyDescent="0.25">
      <c r="A518" t="str">
        <f>'RawData (GH)'!A518</f>
        <v>Olympus M.Zuiko digital 15mm 8.0 Body Cap Lens weiß</v>
      </c>
      <c r="B518" s="5">
        <f>getFocalLengthStart('RawData (GH)'!B518)</f>
        <v>15</v>
      </c>
      <c r="C518" s="5">
        <f>getFocalLengthEnd('RawData (GH)'!B518)</f>
        <v>15</v>
      </c>
      <c r="D518" s="9">
        <f>getApertureStart('RawData (GH)'!C518)</f>
        <v>8</v>
      </c>
      <c r="E518" s="9">
        <f>getApertureEnd('RawData (GH)'!C518)</f>
        <v>8</v>
      </c>
      <c r="F518" s="2">
        <f>getFiltersizeAsDouble('RawData (GH)'!D518)</f>
        <v>0</v>
      </c>
      <c r="G518" s="35">
        <f>getMagnification('RawData (GH)'!E518)</f>
        <v>16.670000000000002</v>
      </c>
      <c r="H518" s="62">
        <f>getMinimalFocus('RawData (GH)'!F518)</f>
        <v>0</v>
      </c>
      <c r="I518" t="str">
        <f>getMount('RawData (GH)'!G518)</f>
        <v>Micro-Four-Thirds</v>
      </c>
      <c r="J518" t="str">
        <f>getSensorCompatibility('RawData (GH)'!H518)</f>
        <v>Four-Thirds</v>
      </c>
      <c r="K518" s="45">
        <f>getWeightAsDouble('RawData (GH)'!I518)</f>
        <v>22</v>
      </c>
      <c r="L518" s="34">
        <f>getSizeDiameter('RawData (GH)'!J518)</f>
        <v>56</v>
      </c>
      <c r="M518" s="34">
        <f>getSizeLength('RawData (GH)'!J518)</f>
        <v>9</v>
      </c>
    </row>
    <row r="519" spans="1:13" x14ac:dyDescent="0.25">
      <c r="A519" t="str">
        <f>'RawData (GH)'!A519</f>
        <v>Olympus M.Zuiko digital 17mm 1.8 schwarz</v>
      </c>
      <c r="B519" s="5">
        <f>getFocalLengthStart('RawData (GH)'!B519)</f>
        <v>17</v>
      </c>
      <c r="C519" s="5">
        <f>getFocalLengthEnd('RawData (GH)'!B519)</f>
        <v>17</v>
      </c>
      <c r="D519" s="9">
        <f>getApertureStart('RawData (GH)'!C519)</f>
        <v>1.8</v>
      </c>
      <c r="E519" s="9">
        <f>getApertureEnd('RawData (GH)'!C519)</f>
        <v>1.8</v>
      </c>
      <c r="F519" s="2">
        <f>getFiltersizeAsDouble('RawData (GH)'!D519)</f>
        <v>46</v>
      </c>
      <c r="G519" s="35">
        <f>getMagnification('RawData (GH)'!E519)</f>
        <v>12.5</v>
      </c>
      <c r="H519" s="62">
        <f>getMinimalFocus('RawData (GH)'!F519)</f>
        <v>0</v>
      </c>
      <c r="I519" t="str">
        <f>getMount('RawData (GH)'!G519)</f>
        <v>Micro-Four-Thirds</v>
      </c>
      <c r="J519" t="str">
        <f>getSensorCompatibility('RawData (GH)'!H519)</f>
        <v>Four-Thirds</v>
      </c>
      <c r="K519" s="45">
        <f>getWeightAsDouble('RawData (GH)'!I519)</f>
        <v>120</v>
      </c>
      <c r="L519" s="34">
        <f>getSizeDiameter('RawData (GH)'!J519)</f>
        <v>58</v>
      </c>
      <c r="M519" s="34">
        <f>getSizeLength('RawData (GH)'!J519)</f>
        <v>36</v>
      </c>
    </row>
    <row r="520" spans="1:13" x14ac:dyDescent="0.25">
      <c r="A520" t="str">
        <f>'RawData (GH)'!A520</f>
        <v>Olympus M.Zuiko digital 17mm 1.8 silber</v>
      </c>
      <c r="B520" s="5">
        <f>getFocalLengthStart('RawData (GH)'!B520)</f>
        <v>17</v>
      </c>
      <c r="C520" s="5">
        <f>getFocalLengthEnd('RawData (GH)'!B520)</f>
        <v>17</v>
      </c>
      <c r="D520" s="9">
        <f>getApertureStart('RawData (GH)'!C520)</f>
        <v>1.8</v>
      </c>
      <c r="E520" s="9">
        <f>getApertureEnd('RawData (GH)'!C520)</f>
        <v>1.8</v>
      </c>
      <c r="F520" s="2">
        <f>getFiltersizeAsDouble('RawData (GH)'!D520)</f>
        <v>46</v>
      </c>
      <c r="G520" s="35">
        <f>getMagnification('RawData (GH)'!E520)</f>
        <v>12.5</v>
      </c>
      <c r="H520" s="62">
        <f>getMinimalFocus('RawData (GH)'!F520)</f>
        <v>0</v>
      </c>
      <c r="I520" t="str">
        <f>getMount('RawData (GH)'!G520)</f>
        <v>Micro-Four-Thirds</v>
      </c>
      <c r="J520" t="str">
        <f>getSensorCompatibility('RawData (GH)'!H520)</f>
        <v>Four-Thirds</v>
      </c>
      <c r="K520" s="45">
        <f>getWeightAsDouble('RawData (GH)'!I520)</f>
        <v>120</v>
      </c>
      <c r="L520" s="34">
        <f>getSizeDiameter('RawData (GH)'!J520)</f>
        <v>58</v>
      </c>
      <c r="M520" s="34">
        <f>getSizeLength('RawData (GH)'!J520)</f>
        <v>36</v>
      </c>
    </row>
    <row r="521" spans="1:13" x14ac:dyDescent="0.25">
      <c r="A521" t="str">
        <f>'RawData (GH)'!A521</f>
        <v>Olympus M.Zuiko digital 17mm 2.8 Pancake schwarz</v>
      </c>
      <c r="B521" s="5">
        <f>getFocalLengthStart('RawData (GH)'!B521)</f>
        <v>17</v>
      </c>
      <c r="C521" s="5">
        <f>getFocalLengthEnd('RawData (GH)'!B521)</f>
        <v>17</v>
      </c>
      <c r="D521" s="9">
        <f>getApertureStart('RawData (GH)'!C521)</f>
        <v>2.8</v>
      </c>
      <c r="E521" s="9">
        <f>getApertureEnd('RawData (GH)'!C521)</f>
        <v>2.8</v>
      </c>
      <c r="F521" s="2">
        <f>getFiltersizeAsDouble('RawData (GH)'!D521)</f>
        <v>37</v>
      </c>
      <c r="G521" s="35">
        <f>getMagnification('RawData (GH)'!E521)</f>
        <v>9.09</v>
      </c>
      <c r="H521" s="62">
        <f>getMinimalFocus('RawData (GH)'!F521)</f>
        <v>0</v>
      </c>
      <c r="I521" t="str">
        <f>getMount('RawData (GH)'!G521)</f>
        <v>Micro-Four-Thirds</v>
      </c>
      <c r="J521" t="str">
        <f>getSensorCompatibility('RawData (GH)'!H521)</f>
        <v>Four-Thirds</v>
      </c>
      <c r="K521" s="45">
        <f>getWeightAsDouble('RawData (GH)'!I521)</f>
        <v>71</v>
      </c>
      <c r="L521" s="34">
        <f>getSizeDiameter('RawData (GH)'!J521)</f>
        <v>57</v>
      </c>
      <c r="M521" s="34">
        <f>getSizeLength('RawData (GH)'!J521)</f>
        <v>22</v>
      </c>
    </row>
    <row r="522" spans="1:13" x14ac:dyDescent="0.25">
      <c r="A522" t="str">
        <f>'RawData (GH)'!A522</f>
        <v>Olympus M.Zuiko digital 17mm 2.8 Pancake silber</v>
      </c>
      <c r="B522" s="5">
        <f>getFocalLengthStart('RawData (GH)'!B522)</f>
        <v>17</v>
      </c>
      <c r="C522" s="5">
        <f>getFocalLengthEnd('RawData (GH)'!B522)</f>
        <v>17</v>
      </c>
      <c r="D522" s="9">
        <f>getApertureStart('RawData (GH)'!C522)</f>
        <v>2.8</v>
      </c>
      <c r="E522" s="9">
        <f>getApertureEnd('RawData (GH)'!C522)</f>
        <v>2.8</v>
      </c>
      <c r="F522" s="2">
        <f>getFiltersizeAsDouble('RawData (GH)'!D522)</f>
        <v>37</v>
      </c>
      <c r="G522" s="35">
        <f>getMagnification('RawData (GH)'!E522)</f>
        <v>9.09</v>
      </c>
      <c r="H522" s="62">
        <f>getMinimalFocus('RawData (GH)'!F522)</f>
        <v>0</v>
      </c>
      <c r="I522" t="str">
        <f>getMount('RawData (GH)'!G522)</f>
        <v>Micro-Four-Thirds</v>
      </c>
      <c r="J522" t="str">
        <f>getSensorCompatibility('RawData (GH)'!H522)</f>
        <v>Four-Thirds</v>
      </c>
      <c r="K522" s="45">
        <f>getWeightAsDouble('RawData (GH)'!I522)</f>
        <v>71</v>
      </c>
      <c r="L522" s="34">
        <f>getSizeDiameter('RawData (GH)'!J522)</f>
        <v>57</v>
      </c>
      <c r="M522" s="34">
        <f>getSizeLength('RawData (GH)'!J522)</f>
        <v>22</v>
      </c>
    </row>
    <row r="523" spans="1:13" x14ac:dyDescent="0.25">
      <c r="A523" t="str">
        <f>'RawData (GH)'!A523</f>
        <v>Olympus M.Zuiko digital 25mm 1.8 schwarz</v>
      </c>
      <c r="B523" s="5">
        <f>getFocalLengthStart('RawData (GH)'!B523)</f>
        <v>25</v>
      </c>
      <c r="C523" s="5">
        <f>getFocalLengthEnd('RawData (GH)'!B523)</f>
        <v>25</v>
      </c>
      <c r="D523" s="9">
        <f>getApertureStart('RawData (GH)'!C523)</f>
        <v>1.8</v>
      </c>
      <c r="E523" s="9">
        <f>getApertureEnd('RawData (GH)'!C523)</f>
        <v>1.8</v>
      </c>
      <c r="F523" s="2">
        <f>getFiltersizeAsDouble('RawData (GH)'!D523)</f>
        <v>46</v>
      </c>
      <c r="G523" s="35">
        <f>getMagnification('RawData (GH)'!E523)</f>
        <v>4.17</v>
      </c>
      <c r="H523" s="62">
        <f>getMinimalFocus('RawData (GH)'!F523)</f>
        <v>0</v>
      </c>
      <c r="I523" t="str">
        <f>getMount('RawData (GH)'!G523)</f>
        <v>Micro-Four-Thirds</v>
      </c>
      <c r="J523" t="str">
        <f>getSensorCompatibility('RawData (GH)'!H523)</f>
        <v>Four-Thirds</v>
      </c>
      <c r="K523" s="45">
        <f>getWeightAsDouble('RawData (GH)'!I523)</f>
        <v>137</v>
      </c>
      <c r="L523" s="34">
        <f>getSizeDiameter('RawData (GH)'!J523)</f>
        <v>58</v>
      </c>
      <c r="M523" s="34">
        <f>getSizeLength('RawData (GH)'!J523)</f>
        <v>42</v>
      </c>
    </row>
    <row r="524" spans="1:13" x14ac:dyDescent="0.25">
      <c r="A524" t="str">
        <f>'RawData (GH)'!A524</f>
        <v>Olympus M.Zuiko digital 25mm 1.8 silber</v>
      </c>
      <c r="B524" s="5">
        <f>getFocalLengthStart('RawData (GH)'!B524)</f>
        <v>25</v>
      </c>
      <c r="C524" s="5">
        <f>getFocalLengthEnd('RawData (GH)'!B524)</f>
        <v>25</v>
      </c>
      <c r="D524" s="9">
        <f>getApertureStart('RawData (GH)'!C524)</f>
        <v>1.8</v>
      </c>
      <c r="E524" s="9">
        <f>getApertureEnd('RawData (GH)'!C524)</f>
        <v>1.8</v>
      </c>
      <c r="F524" s="2">
        <f>getFiltersizeAsDouble('RawData (GH)'!D524)</f>
        <v>46</v>
      </c>
      <c r="G524" s="35">
        <f>getMagnification('RawData (GH)'!E524)</f>
        <v>4.17</v>
      </c>
      <c r="H524" s="62">
        <f>getMinimalFocus('RawData (GH)'!F524)</f>
        <v>0</v>
      </c>
      <c r="I524" t="str">
        <f>getMount('RawData (GH)'!G524)</f>
        <v>Micro-Four-Thirds</v>
      </c>
      <c r="J524" t="str">
        <f>getSensorCompatibility('RawData (GH)'!H524)</f>
        <v>Four-Thirds</v>
      </c>
      <c r="K524" s="45">
        <f>getWeightAsDouble('RawData (GH)'!I524)</f>
        <v>137</v>
      </c>
      <c r="L524" s="34">
        <f>getSizeDiameter('RawData (GH)'!J524)</f>
        <v>58</v>
      </c>
      <c r="M524" s="34">
        <f>getSizeLength('RawData (GH)'!J524)</f>
        <v>42</v>
      </c>
    </row>
    <row r="525" spans="1:13" x14ac:dyDescent="0.25">
      <c r="A525" t="str">
        <f>'RawData (GH)'!A525</f>
        <v>Olympus M.Zuiko digital 45mm 1.8 schwarz</v>
      </c>
      <c r="B525" s="5">
        <f>getFocalLengthStart('RawData (GH)'!B525)</f>
        <v>45</v>
      </c>
      <c r="C525" s="5">
        <f>getFocalLengthEnd('RawData (GH)'!B525)</f>
        <v>45</v>
      </c>
      <c r="D525" s="9">
        <f>getApertureStart('RawData (GH)'!C525)</f>
        <v>1.8</v>
      </c>
      <c r="E525" s="9">
        <f>getApertureEnd('RawData (GH)'!C525)</f>
        <v>1.8</v>
      </c>
      <c r="F525" s="2">
        <f>getFiltersizeAsDouble('RawData (GH)'!D525)</f>
        <v>37</v>
      </c>
      <c r="G525" s="35">
        <f>getMagnification('RawData (GH)'!E525)</f>
        <v>9.09</v>
      </c>
      <c r="H525" s="62">
        <f>getMinimalFocus('RawData (GH)'!F525)</f>
        <v>0</v>
      </c>
      <c r="I525" t="str">
        <f>getMount('RawData (GH)'!G525)</f>
        <v>Micro-Four-Thirds</v>
      </c>
      <c r="J525" t="str">
        <f>getSensorCompatibility('RawData (GH)'!H525)</f>
        <v>Four-Thirds</v>
      </c>
      <c r="K525" s="45">
        <f>getWeightAsDouble('RawData (GH)'!I525)</f>
        <v>116</v>
      </c>
      <c r="L525" s="34">
        <f>getSizeDiameter('RawData (GH)'!J525)</f>
        <v>56</v>
      </c>
      <c r="M525" s="34">
        <f>getSizeLength('RawData (GH)'!J525)</f>
        <v>46</v>
      </c>
    </row>
    <row r="526" spans="1:13" x14ac:dyDescent="0.25">
      <c r="A526" t="str">
        <f>'RawData (GH)'!A526</f>
        <v>Olympus M.Zuiko digital 45mm 1.8 silber</v>
      </c>
      <c r="B526" s="5">
        <f>getFocalLengthStart('RawData (GH)'!B526)</f>
        <v>45</v>
      </c>
      <c r="C526" s="5">
        <f>getFocalLengthEnd('RawData (GH)'!B526)</f>
        <v>45</v>
      </c>
      <c r="D526" s="9">
        <f>getApertureStart('RawData (GH)'!C526)</f>
        <v>1.8</v>
      </c>
      <c r="E526" s="9">
        <f>getApertureEnd('RawData (GH)'!C526)</f>
        <v>1.8</v>
      </c>
      <c r="F526" s="2">
        <f>getFiltersizeAsDouble('RawData (GH)'!D526)</f>
        <v>37</v>
      </c>
      <c r="G526" s="35">
        <f>getMagnification('RawData (GH)'!E526)</f>
        <v>9.09</v>
      </c>
      <c r="H526" s="62">
        <f>getMinimalFocus('RawData (GH)'!F526)</f>
        <v>0</v>
      </c>
      <c r="I526" t="str">
        <f>getMount('RawData (GH)'!G526)</f>
        <v>Micro-Four-Thirds</v>
      </c>
      <c r="J526" t="str">
        <f>getSensorCompatibility('RawData (GH)'!H526)</f>
        <v>Four-Thirds</v>
      </c>
      <c r="K526" s="45">
        <f>getWeightAsDouble('RawData (GH)'!I526)</f>
        <v>116</v>
      </c>
      <c r="L526" s="34">
        <f>getSizeDiameter('RawData (GH)'!J526)</f>
        <v>56</v>
      </c>
      <c r="M526" s="34">
        <f>getSizeLength('RawData (GH)'!J526)</f>
        <v>46</v>
      </c>
    </row>
    <row r="527" spans="1:13" x14ac:dyDescent="0.25">
      <c r="A527" t="str">
        <f>'RawData (GH)'!A527</f>
        <v>Olympus M.Zuiko digital 9mm 8.0 Body Cap Lens schwarz</v>
      </c>
      <c r="B527" s="5">
        <f>getFocalLengthStart('RawData (GH)'!B527)</f>
        <v>9</v>
      </c>
      <c r="C527" s="5">
        <f>getFocalLengthEnd('RawData (GH)'!B527)</f>
        <v>9</v>
      </c>
      <c r="D527" s="9">
        <f>getApertureStart('RawData (GH)'!C527)</f>
        <v>8</v>
      </c>
      <c r="E527" s="9">
        <f>getApertureEnd('RawData (GH)'!C527)</f>
        <v>8</v>
      </c>
      <c r="F527" s="2">
        <f>getFiltersizeAsDouble('RawData (GH)'!D527)</f>
        <v>0</v>
      </c>
      <c r="G527" s="35">
        <f>getMagnification('RawData (GH)'!E527)</f>
        <v>21.74</v>
      </c>
      <c r="H527" s="62">
        <f>getMinimalFocus('RawData (GH)'!F527)</f>
        <v>0</v>
      </c>
      <c r="I527" t="str">
        <f>getMount('RawData (GH)'!G527)</f>
        <v>Micro-Four-Thirds</v>
      </c>
      <c r="J527" t="str">
        <f>getSensorCompatibility('RawData (GH)'!H527)</f>
        <v>Four-Thirds</v>
      </c>
      <c r="K527" s="45">
        <f>getWeightAsDouble('RawData (GH)'!I527)</f>
        <v>30</v>
      </c>
      <c r="L527" s="34">
        <f>getSizeDiameter('RawData (GH)'!J527)</f>
        <v>56</v>
      </c>
      <c r="M527" s="34">
        <f>getSizeLength('RawData (GH)'!J527)</f>
        <v>12.8</v>
      </c>
    </row>
    <row r="528" spans="1:13" x14ac:dyDescent="0.25">
      <c r="A528" t="str">
        <f>'RawData (GH)'!A528</f>
        <v>Olympus M.Zuiko digital 9mm 8.0 Body Cap Lens weiß</v>
      </c>
      <c r="B528" s="5">
        <f>getFocalLengthStart('RawData (GH)'!B528)</f>
        <v>9</v>
      </c>
      <c r="C528" s="5">
        <f>getFocalLengthEnd('RawData (GH)'!B528)</f>
        <v>9</v>
      </c>
      <c r="D528" s="9">
        <f>getApertureStart('RawData (GH)'!C528)</f>
        <v>8</v>
      </c>
      <c r="E528" s="9">
        <f>getApertureEnd('RawData (GH)'!C528)</f>
        <v>8</v>
      </c>
      <c r="F528" s="2">
        <f>getFiltersizeAsDouble('RawData (GH)'!D528)</f>
        <v>0</v>
      </c>
      <c r="G528" s="35">
        <f>getMagnification('RawData (GH)'!E528)</f>
        <v>21.74</v>
      </c>
      <c r="H528" s="62">
        <f>getMinimalFocus('RawData (GH)'!F528)</f>
        <v>0</v>
      </c>
      <c r="I528" t="str">
        <f>getMount('RawData (GH)'!G528)</f>
        <v>Micro-Four-Thirds</v>
      </c>
      <c r="J528" t="str">
        <f>getSensorCompatibility('RawData (GH)'!H528)</f>
        <v>Four-Thirds</v>
      </c>
      <c r="K528" s="45">
        <f>getWeightAsDouble('RawData (GH)'!I528)</f>
        <v>30</v>
      </c>
      <c r="L528" s="34">
        <f>getSizeDiameter('RawData (GH)'!J528)</f>
        <v>56</v>
      </c>
      <c r="M528" s="34">
        <f>getSizeLength('RawData (GH)'!J528)</f>
        <v>12.8</v>
      </c>
    </row>
    <row r="529" spans="1:13" x14ac:dyDescent="0.25">
      <c r="A529" t="str">
        <f>'RawData (GH)'!A529</f>
        <v>Olympus M.Zuiko digital ED 12-100mm 4.0 IS PRO schwarz</v>
      </c>
      <c r="B529" s="5">
        <f>getFocalLengthStart('RawData (GH)'!B529)</f>
        <v>12</v>
      </c>
      <c r="C529" s="5">
        <f>getFocalLengthEnd('RawData (GH)'!B529)</f>
        <v>100</v>
      </c>
      <c r="D529" s="9">
        <f>getApertureStart('RawData (GH)'!C529)</f>
        <v>4</v>
      </c>
      <c r="E529" s="9">
        <f>getApertureEnd('RawData (GH)'!C529)</f>
        <v>4</v>
      </c>
      <c r="F529" s="2">
        <f>getFiltersizeAsDouble('RawData (GH)'!D529)</f>
        <v>72</v>
      </c>
      <c r="G529" s="35">
        <f>getMagnification('RawData (GH)'!E529)</f>
        <v>3.33</v>
      </c>
      <c r="H529" s="62">
        <f>getMinimalFocus('RawData (GH)'!F529)</f>
        <v>0</v>
      </c>
      <c r="I529" t="str">
        <f>getMount('RawData (GH)'!G529)</f>
        <v>Micro-Four-Thirds</v>
      </c>
      <c r="J529" t="str">
        <f>getSensorCompatibility('RawData (GH)'!H529)</f>
        <v>Four-Thirds</v>
      </c>
      <c r="K529" s="45">
        <f>getWeightAsDouble('RawData (GH)'!I529)</f>
        <v>561</v>
      </c>
      <c r="L529" s="34">
        <f>getSizeDiameter('RawData (GH)'!J529)</f>
        <v>77.5</v>
      </c>
      <c r="M529" s="34">
        <f>getSizeLength('RawData (GH)'!J529)</f>
        <v>116.5</v>
      </c>
    </row>
    <row r="530" spans="1:13" x14ac:dyDescent="0.25">
      <c r="A530" t="str">
        <f>'RawData (GH)'!A530</f>
        <v>Olympus M.Zuiko digital ED 12-40mm 2.8 PRO schwarz</v>
      </c>
      <c r="B530" s="5">
        <f>getFocalLengthStart('RawData (GH)'!B530)</f>
        <v>12</v>
      </c>
      <c r="C530" s="5">
        <f>getFocalLengthEnd('RawData (GH)'!B530)</f>
        <v>40</v>
      </c>
      <c r="D530" s="9">
        <f>getApertureStart('RawData (GH)'!C530)</f>
        <v>2.8</v>
      </c>
      <c r="E530" s="9">
        <f>getApertureEnd('RawData (GH)'!C530)</f>
        <v>2.8</v>
      </c>
      <c r="F530" s="2">
        <f>getFiltersizeAsDouble('RawData (GH)'!D530)</f>
        <v>62</v>
      </c>
      <c r="G530" s="35">
        <f>getMagnification('RawData (GH)'!E530)</f>
        <v>3.33</v>
      </c>
      <c r="H530" s="62">
        <f>getMinimalFocus('RawData (GH)'!F530)</f>
        <v>0</v>
      </c>
      <c r="I530" t="str">
        <f>getMount('RawData (GH)'!G530)</f>
        <v>Micro-Four-Thirds</v>
      </c>
      <c r="J530" t="str">
        <f>getSensorCompatibility('RawData (GH)'!H530)</f>
        <v>Four-Thirds</v>
      </c>
      <c r="K530" s="45">
        <f>getWeightAsDouble('RawData (GH)'!I530)</f>
        <v>382</v>
      </c>
      <c r="L530" s="34">
        <f>getSizeDiameter('RawData (GH)'!J530)</f>
        <v>70</v>
      </c>
      <c r="M530" s="34">
        <f>getSizeLength('RawData (GH)'!J530)</f>
        <v>84</v>
      </c>
    </row>
    <row r="531" spans="1:13" x14ac:dyDescent="0.25">
      <c r="A531" t="str">
        <f>'RawData (GH)'!A531</f>
        <v>Olympus M.Zuiko digital ED 12-50mm 3.5-6.3 EZ schwarz</v>
      </c>
      <c r="B531" s="5">
        <f>getFocalLengthStart('RawData (GH)'!B531)</f>
        <v>12</v>
      </c>
      <c r="C531" s="5">
        <f>getFocalLengthEnd('RawData (GH)'!B531)</f>
        <v>50</v>
      </c>
      <c r="D531" s="9">
        <f>getApertureStart('RawData (GH)'!C531)</f>
        <v>3.5</v>
      </c>
      <c r="E531" s="9">
        <f>getApertureEnd('RawData (GH)'!C531)</f>
        <v>6.3</v>
      </c>
      <c r="F531" s="2">
        <f>getFiltersizeAsDouble('RawData (GH)'!D531)</f>
        <v>52</v>
      </c>
      <c r="G531" s="35">
        <f>getMagnification('RawData (GH)'!E531)</f>
        <v>2.78</v>
      </c>
      <c r="H531" s="62">
        <f>getMinimalFocus('RawData (GH)'!F531)</f>
        <v>0</v>
      </c>
      <c r="I531" t="str">
        <f>getMount('RawData (GH)'!G531)</f>
        <v>Micro-Four-Thirds</v>
      </c>
      <c r="J531" t="str">
        <f>getSensorCompatibility('RawData (GH)'!H531)</f>
        <v>Four-Thirds</v>
      </c>
      <c r="K531" s="45">
        <f>getWeightAsDouble('RawData (GH)'!I531)</f>
        <v>211</v>
      </c>
      <c r="L531" s="34">
        <f>getSizeDiameter('RawData (GH)'!J531)</f>
        <v>57</v>
      </c>
      <c r="M531" s="34">
        <f>getSizeLength('RawData (GH)'!J531)</f>
        <v>83</v>
      </c>
    </row>
    <row r="532" spans="1:13" x14ac:dyDescent="0.25">
      <c r="A532" t="str">
        <f>'RawData (GH)'!A532</f>
        <v>Olympus M.Zuiko digital ED 12-50mm 3.5-6.3 EZ silber</v>
      </c>
      <c r="B532" s="5">
        <f>getFocalLengthStart('RawData (GH)'!B532)</f>
        <v>12</v>
      </c>
      <c r="C532" s="5">
        <f>getFocalLengthEnd('RawData (GH)'!B532)</f>
        <v>50</v>
      </c>
      <c r="D532" s="9">
        <f>getApertureStart('RawData (GH)'!C532)</f>
        <v>3.5</v>
      </c>
      <c r="E532" s="9">
        <f>getApertureEnd('RawData (GH)'!C532)</f>
        <v>6.3</v>
      </c>
      <c r="F532" s="2">
        <f>getFiltersizeAsDouble('RawData (GH)'!D532)</f>
        <v>52</v>
      </c>
      <c r="G532" s="35">
        <f>getMagnification('RawData (GH)'!E532)</f>
        <v>2.78</v>
      </c>
      <c r="H532" s="62">
        <f>getMinimalFocus('RawData (GH)'!F532)</f>
        <v>0</v>
      </c>
      <c r="I532" t="str">
        <f>getMount('RawData (GH)'!G532)</f>
        <v>Micro-Four-Thirds</v>
      </c>
      <c r="J532" t="str">
        <f>getSensorCompatibility('RawData (GH)'!H532)</f>
        <v>Four-Thirds</v>
      </c>
      <c r="K532" s="45">
        <f>getWeightAsDouble('RawData (GH)'!I532)</f>
        <v>211</v>
      </c>
      <c r="L532" s="34">
        <f>getSizeDiameter('RawData (GH)'!J532)</f>
        <v>57</v>
      </c>
      <c r="M532" s="34">
        <f>getSizeLength('RawData (GH)'!J532)</f>
        <v>83</v>
      </c>
    </row>
    <row r="533" spans="1:13" x14ac:dyDescent="0.25">
      <c r="A533" t="str">
        <f>'RawData (GH)'!A533</f>
        <v>Olympus M.Zuiko digital ED 12mm 2.0 Limited Edition schwarz</v>
      </c>
      <c r="B533" s="5">
        <f>getFocalLengthStart('RawData (GH)'!B533)</f>
        <v>12</v>
      </c>
      <c r="C533" s="5">
        <f>getFocalLengthEnd('RawData (GH)'!B533)</f>
        <v>12</v>
      </c>
      <c r="D533" s="9">
        <f>getApertureStart('RawData (GH)'!C533)</f>
        <v>2</v>
      </c>
      <c r="E533" s="9">
        <f>getApertureEnd('RawData (GH)'!C533)</f>
        <v>2</v>
      </c>
      <c r="F533" s="2">
        <f>getFiltersizeAsDouble('RawData (GH)'!D533)</f>
        <v>46</v>
      </c>
      <c r="G533" s="35">
        <f>getMagnification('RawData (GH)'!E533)</f>
        <v>12.5</v>
      </c>
      <c r="H533" s="62">
        <f>getMinimalFocus('RawData (GH)'!F533)</f>
        <v>0</v>
      </c>
      <c r="I533" t="str">
        <f>getMount('RawData (GH)'!G533)</f>
        <v>Micro-Four-Thirds</v>
      </c>
      <c r="J533" t="str">
        <f>getSensorCompatibility('RawData (GH)'!H533)</f>
        <v>Four-Thirds</v>
      </c>
      <c r="K533" s="45">
        <f>getWeightAsDouble('RawData (GH)'!I533)</f>
        <v>130</v>
      </c>
      <c r="L533" s="34">
        <f>getSizeDiameter('RawData (GH)'!J533)</f>
        <v>56</v>
      </c>
      <c r="M533" s="34">
        <f>getSizeLength('RawData (GH)'!J533)</f>
        <v>43</v>
      </c>
    </row>
    <row r="534" spans="1:13" x14ac:dyDescent="0.25">
      <c r="A534" t="str">
        <f>'RawData (GH)'!A534</f>
        <v>Olympus M.Zuiko digital ED 12mm 2.0 silber</v>
      </c>
      <c r="B534" s="5">
        <f>getFocalLengthStart('RawData (GH)'!B534)</f>
        <v>12</v>
      </c>
      <c r="C534" s="5">
        <f>getFocalLengthEnd('RawData (GH)'!B534)</f>
        <v>12</v>
      </c>
      <c r="D534" s="9">
        <f>getApertureStart('RawData (GH)'!C534)</f>
        <v>2</v>
      </c>
      <c r="E534" s="9">
        <f>getApertureEnd('RawData (GH)'!C534)</f>
        <v>2</v>
      </c>
      <c r="F534" s="2">
        <f>getFiltersizeAsDouble('RawData (GH)'!D534)</f>
        <v>46</v>
      </c>
      <c r="G534" s="35">
        <f>getMagnification('RawData (GH)'!E534)</f>
        <v>12.5</v>
      </c>
      <c r="H534" s="62">
        <f>getMinimalFocus('RawData (GH)'!F534)</f>
        <v>0</v>
      </c>
      <c r="I534" t="str">
        <f>getMount('RawData (GH)'!G534)</f>
        <v>Micro-Four-Thirds</v>
      </c>
      <c r="J534" t="str">
        <f>getSensorCompatibility('RawData (GH)'!H534)</f>
        <v>Four-Thirds</v>
      </c>
      <c r="K534" s="45">
        <f>getWeightAsDouble('RawData (GH)'!I534)</f>
        <v>130</v>
      </c>
      <c r="L534" s="34">
        <f>getSizeDiameter('RawData (GH)'!J534)</f>
        <v>56</v>
      </c>
      <c r="M534" s="34">
        <f>getSizeLength('RawData (GH)'!J534)</f>
        <v>43</v>
      </c>
    </row>
    <row r="535" spans="1:13" x14ac:dyDescent="0.25">
      <c r="A535" t="str">
        <f>'RawData (GH)'!A535</f>
        <v>Olympus M.Zuiko digital ED 14-150mm 4.0-5.6 II schwarz</v>
      </c>
      <c r="B535" s="5">
        <f>getFocalLengthStart('RawData (GH)'!B535)</f>
        <v>14</v>
      </c>
      <c r="C535" s="5">
        <f>getFocalLengthEnd('RawData (GH)'!B535)</f>
        <v>150</v>
      </c>
      <c r="D535" s="9">
        <f>getApertureStart('RawData (GH)'!C535)</f>
        <v>4</v>
      </c>
      <c r="E535" s="9">
        <f>getApertureEnd('RawData (GH)'!C535)</f>
        <v>5.6</v>
      </c>
      <c r="F535" s="2">
        <f>getFiltersizeAsDouble('RawData (GH)'!D535)</f>
        <v>58</v>
      </c>
      <c r="G535" s="35">
        <f>getMagnification('RawData (GH)'!E535)</f>
        <v>4.17</v>
      </c>
      <c r="H535" s="62">
        <f>getMinimalFocus('RawData (GH)'!F535)</f>
        <v>0</v>
      </c>
      <c r="I535" t="str">
        <f>getMount('RawData (GH)'!G535)</f>
        <v>Micro-Four-Thirds</v>
      </c>
      <c r="J535" t="str">
        <f>getSensorCompatibility('RawData (GH)'!H535)</f>
        <v>Four-Thirds</v>
      </c>
      <c r="K535" s="45">
        <f>getWeightAsDouble('RawData (GH)'!I535)</f>
        <v>285</v>
      </c>
      <c r="L535" s="34">
        <f>getSizeDiameter('RawData (GH)'!J535)</f>
        <v>63.5</v>
      </c>
      <c r="M535" s="34">
        <f>getSizeLength('RawData (GH)'!J535)</f>
        <v>83</v>
      </c>
    </row>
    <row r="536" spans="1:13" x14ac:dyDescent="0.25">
      <c r="A536" t="str">
        <f>'RawData (GH)'!A536</f>
        <v>Olympus M.Zuiko digital ED 14-42mm 3.5-5.6 EZ schwarz</v>
      </c>
      <c r="B536" s="5">
        <f>getFocalLengthStart('RawData (GH)'!B536)</f>
        <v>14</v>
      </c>
      <c r="C536" s="5">
        <f>getFocalLengthEnd('RawData (GH)'!B536)</f>
        <v>42</v>
      </c>
      <c r="D536" s="9">
        <f>getApertureStart('RawData (GH)'!C536)</f>
        <v>3.5</v>
      </c>
      <c r="E536" s="9">
        <f>getApertureEnd('RawData (GH)'!C536)</f>
        <v>5.6</v>
      </c>
      <c r="F536" s="2">
        <f>getFiltersizeAsDouble('RawData (GH)'!D536)</f>
        <v>37</v>
      </c>
      <c r="G536" s="35">
        <f>getMagnification('RawData (GH)'!E536)</f>
        <v>4.3499999999999996</v>
      </c>
      <c r="H536" s="62">
        <f>getMinimalFocus('RawData (GH)'!F536)</f>
        <v>0</v>
      </c>
      <c r="I536" t="str">
        <f>getMount('RawData (GH)'!G536)</f>
        <v>Micro-Four-Thirds</v>
      </c>
      <c r="J536" t="str">
        <f>getSensorCompatibility('RawData (GH)'!H536)</f>
        <v>Four-Thirds</v>
      </c>
      <c r="K536" s="45">
        <f>getWeightAsDouble('RawData (GH)'!I536)</f>
        <v>93</v>
      </c>
      <c r="L536" s="34">
        <f>getSizeDiameter('RawData (GH)'!J536)</f>
        <v>60.6</v>
      </c>
      <c r="M536" s="34">
        <f>getSizeLength('RawData (GH)'!J536)</f>
        <v>22.5</v>
      </c>
    </row>
    <row r="537" spans="1:13" x14ac:dyDescent="0.25">
      <c r="A537" t="str">
        <f>'RawData (GH)'!A537</f>
        <v>Olympus M.Zuiko digital ED 14-42mm 3.5-5.6 EZ silber</v>
      </c>
      <c r="B537" s="5">
        <f>getFocalLengthStart('RawData (GH)'!B537)</f>
        <v>14</v>
      </c>
      <c r="C537" s="5">
        <f>getFocalLengthEnd('RawData (GH)'!B537)</f>
        <v>42</v>
      </c>
      <c r="D537" s="9">
        <f>getApertureStart('RawData (GH)'!C537)</f>
        <v>3.5</v>
      </c>
      <c r="E537" s="9">
        <f>getApertureEnd('RawData (GH)'!C537)</f>
        <v>5.6</v>
      </c>
      <c r="F537" s="2">
        <f>getFiltersizeAsDouble('RawData (GH)'!D537)</f>
        <v>37</v>
      </c>
      <c r="G537" s="35">
        <f>getMagnification('RawData (GH)'!E537)</f>
        <v>4.3499999999999996</v>
      </c>
      <c r="H537" s="62">
        <f>getMinimalFocus('RawData (GH)'!F537)</f>
        <v>0</v>
      </c>
      <c r="I537" t="str">
        <f>getMount('RawData (GH)'!G537)</f>
        <v>Micro-Four-Thirds</v>
      </c>
      <c r="J537" t="str">
        <f>getSensorCompatibility('RawData (GH)'!H537)</f>
        <v>Four-Thirds</v>
      </c>
      <c r="K537" s="45">
        <f>getWeightAsDouble('RawData (GH)'!I537)</f>
        <v>93</v>
      </c>
      <c r="L537" s="34">
        <f>getSizeDiameter('RawData (GH)'!J537)</f>
        <v>60.6</v>
      </c>
      <c r="M537" s="34">
        <f>getSizeLength('RawData (GH)'!J537)</f>
        <v>22.5</v>
      </c>
    </row>
    <row r="538" spans="1:13" x14ac:dyDescent="0.25">
      <c r="A538" t="str">
        <f>'RawData (GH)'!A538</f>
        <v>Olympus M.Zuiko digital ED 17mm 1.2 PRO schwarz</v>
      </c>
      <c r="B538" s="5">
        <f>getFocalLengthStart('RawData (GH)'!B538)</f>
        <v>17</v>
      </c>
      <c r="C538" s="5">
        <f>getFocalLengthEnd('RawData (GH)'!B538)</f>
        <v>17</v>
      </c>
      <c r="D538" s="9">
        <f>getApertureStart('RawData (GH)'!C538)</f>
        <v>1.2</v>
      </c>
      <c r="E538" s="9">
        <f>getApertureEnd('RawData (GH)'!C538)</f>
        <v>1.2</v>
      </c>
      <c r="F538" s="2">
        <f>getFiltersizeAsDouble('RawData (GH)'!D538)</f>
        <v>62</v>
      </c>
      <c r="G538" s="35">
        <f>getMagnification('RawData (GH)'!E538)</f>
        <v>6.67</v>
      </c>
      <c r="H538" s="62">
        <f>getMinimalFocus('RawData (GH)'!F538)</f>
        <v>0</v>
      </c>
      <c r="I538" t="str">
        <f>getMount('RawData (GH)'!G538)</f>
        <v>Micro-Four-Thirds</v>
      </c>
      <c r="J538" t="str">
        <f>getSensorCompatibility('RawData (GH)'!H538)</f>
        <v>Four-Thirds</v>
      </c>
      <c r="K538" s="45">
        <f>getWeightAsDouble('RawData (GH)'!I538)</f>
        <v>390</v>
      </c>
      <c r="L538" s="34">
        <f>getSizeDiameter('RawData (GH)'!J538)</f>
        <v>68.2</v>
      </c>
      <c r="M538" s="34">
        <f>getSizeLength('RawData (GH)'!J538)</f>
        <v>87</v>
      </c>
    </row>
    <row r="539" spans="1:13" x14ac:dyDescent="0.25">
      <c r="A539" t="str">
        <f>'RawData (GH)'!A539</f>
        <v>Olympus M.Zuiko digital ED 25mm 1.2 PRO schwarz</v>
      </c>
      <c r="B539" s="5">
        <f>getFocalLengthStart('RawData (GH)'!B539)</f>
        <v>25</v>
      </c>
      <c r="C539" s="5">
        <f>getFocalLengthEnd('RawData (GH)'!B539)</f>
        <v>25</v>
      </c>
      <c r="D539" s="9">
        <f>getApertureStart('RawData (GH)'!C539)</f>
        <v>1.2</v>
      </c>
      <c r="E539" s="9">
        <f>getApertureEnd('RawData (GH)'!C539)</f>
        <v>1.2</v>
      </c>
      <c r="F539" s="2">
        <f>getFiltersizeAsDouble('RawData (GH)'!D539)</f>
        <v>62</v>
      </c>
      <c r="G539" s="35">
        <f>getMagnification('RawData (GH)'!E539)</f>
        <v>9.09</v>
      </c>
      <c r="H539" s="62">
        <f>getMinimalFocus('RawData (GH)'!F539)</f>
        <v>0</v>
      </c>
      <c r="I539" t="str">
        <f>getMount('RawData (GH)'!G539)</f>
        <v>Micro-Four-Thirds</v>
      </c>
      <c r="J539" t="str">
        <f>getSensorCompatibility('RawData (GH)'!H539)</f>
        <v>Four-Thirds</v>
      </c>
      <c r="K539" s="45">
        <f>getWeightAsDouble('RawData (GH)'!I539)</f>
        <v>410</v>
      </c>
      <c r="L539" s="34">
        <f>getSizeDiameter('RawData (GH)'!J539)</f>
        <v>70</v>
      </c>
      <c r="M539" s="34">
        <f>getSizeLength('RawData (GH)'!J539)</f>
        <v>87</v>
      </c>
    </row>
    <row r="540" spans="1:13" x14ac:dyDescent="0.25">
      <c r="A540" t="str">
        <f>'RawData (GH)'!A540</f>
        <v>Olympus M.Zuiko digital ED 300mm 4.0 IS PRO schwarz</v>
      </c>
      <c r="B540" s="5">
        <f>getFocalLengthStart('RawData (GH)'!B540)</f>
        <v>300</v>
      </c>
      <c r="C540" s="5">
        <f>getFocalLengthEnd('RawData (GH)'!B540)</f>
        <v>300</v>
      </c>
      <c r="D540" s="9">
        <f>getApertureStart('RawData (GH)'!C540)</f>
        <v>4</v>
      </c>
      <c r="E540" s="9">
        <f>getApertureEnd('RawData (GH)'!C540)</f>
        <v>4</v>
      </c>
      <c r="F540" s="2">
        <f>getFiltersizeAsDouble('RawData (GH)'!D540)</f>
        <v>77</v>
      </c>
      <c r="G540" s="35">
        <f>getMagnification('RawData (GH)'!E540)</f>
        <v>2.08</v>
      </c>
      <c r="H540" s="62">
        <f>getMinimalFocus('RawData (GH)'!F540)</f>
        <v>0</v>
      </c>
      <c r="I540" t="str">
        <f>getMount('RawData (GH)'!G540)</f>
        <v>Micro-Four-Thirds</v>
      </c>
      <c r="J540" t="str">
        <f>getSensorCompatibility('RawData (GH)'!H540)</f>
        <v>Four-Thirds</v>
      </c>
      <c r="K540" s="45">
        <f>getWeightAsDouble('RawData (GH)'!I540)</f>
        <v>1270</v>
      </c>
      <c r="L540" s="34">
        <f>getSizeDiameter('RawData (GH)'!J540)</f>
        <v>92.5</v>
      </c>
      <c r="M540" s="34">
        <f>getSizeLength('RawData (GH)'!J540)</f>
        <v>227</v>
      </c>
    </row>
    <row r="541" spans="1:13" x14ac:dyDescent="0.25">
      <c r="A541" t="str">
        <f>'RawData (GH)'!A541</f>
        <v>Olympus M.Zuiko digital ED 30mm 3.5 Macro schwarz</v>
      </c>
      <c r="B541" s="5">
        <f>getFocalLengthStart('RawData (GH)'!B541)</f>
        <v>30</v>
      </c>
      <c r="C541" s="5">
        <f>getFocalLengthEnd('RawData (GH)'!B541)</f>
        <v>30</v>
      </c>
      <c r="D541" s="9">
        <f>getApertureStart('RawData (GH)'!C541)</f>
        <v>3.5</v>
      </c>
      <c r="E541" s="9">
        <f>getApertureEnd('RawData (GH)'!C541)</f>
        <v>3.5</v>
      </c>
      <c r="F541" s="2">
        <f>getFiltersizeAsDouble('RawData (GH)'!D541)</f>
        <v>46</v>
      </c>
      <c r="G541" s="35">
        <f>getMagnification('RawData (GH)'!E541)</f>
        <v>0.8</v>
      </c>
      <c r="H541" s="62">
        <f>getMinimalFocus('RawData (GH)'!F541)</f>
        <v>0</v>
      </c>
      <c r="I541" t="str">
        <f>getMount('RawData (GH)'!G541)</f>
        <v>Micro-Four-Thirds</v>
      </c>
      <c r="J541" t="str">
        <f>getSensorCompatibility('RawData (GH)'!H541)</f>
        <v>Four-Thirds</v>
      </c>
      <c r="K541" s="45">
        <f>getWeightAsDouble('RawData (GH)'!I541)</f>
        <v>128</v>
      </c>
      <c r="L541" s="34">
        <f>getSizeDiameter('RawData (GH)'!J541)</f>
        <v>57</v>
      </c>
      <c r="M541" s="34">
        <f>getSizeLength('RawData (GH)'!J541)</f>
        <v>60</v>
      </c>
    </row>
    <row r="542" spans="1:13" x14ac:dyDescent="0.25">
      <c r="A542" t="str">
        <f>'RawData (GH)'!A542</f>
        <v>Olympus M.Zuiko digital ED 40-150mm 2.8 PRO schwarz</v>
      </c>
      <c r="B542" s="5">
        <f>getFocalLengthStart('RawData (GH)'!B542)</f>
        <v>40</v>
      </c>
      <c r="C542" s="5">
        <f>getFocalLengthEnd('RawData (GH)'!B542)</f>
        <v>150</v>
      </c>
      <c r="D542" s="9">
        <f>getApertureStart('RawData (GH)'!C542)</f>
        <v>2.8</v>
      </c>
      <c r="E542" s="9">
        <f>getApertureEnd('RawData (GH)'!C542)</f>
        <v>2.8</v>
      </c>
      <c r="F542" s="2">
        <f>getFiltersizeAsDouble('RawData (GH)'!D542)</f>
        <v>72</v>
      </c>
      <c r="G542" s="35">
        <f>getMagnification('RawData (GH)'!E542)</f>
        <v>4.76</v>
      </c>
      <c r="H542" s="62">
        <f>getMinimalFocus('RawData (GH)'!F542)</f>
        <v>0</v>
      </c>
      <c r="I542" t="str">
        <f>getMount('RawData (GH)'!G542)</f>
        <v>Micro-Four-Thirds</v>
      </c>
      <c r="J542" t="str">
        <f>getSensorCompatibility('RawData (GH)'!H542)</f>
        <v>Four-Thirds</v>
      </c>
      <c r="K542" s="45">
        <f>getWeightAsDouble('RawData (GH)'!I542)</f>
        <v>760</v>
      </c>
      <c r="L542" s="34">
        <f>getSizeDiameter('RawData (GH)'!J542)</f>
        <v>79.400000000000006</v>
      </c>
      <c r="M542" s="34">
        <f>getSizeLength('RawData (GH)'!J542)</f>
        <v>160</v>
      </c>
    </row>
    <row r="543" spans="1:13" x14ac:dyDescent="0.25">
      <c r="A543" t="str">
        <f>'RawData (GH)'!A543</f>
        <v>Olympus M.Zuiko digital ED 40-150mm 2.8 PRO Set schwarz</v>
      </c>
      <c r="B543" s="5">
        <f>getFocalLengthStart('RawData (GH)'!B543)</f>
        <v>40</v>
      </c>
      <c r="C543" s="5">
        <f>getFocalLengthEnd('RawData (GH)'!B543)</f>
        <v>150</v>
      </c>
      <c r="D543" s="9">
        <f>getApertureStart('RawData (GH)'!C543)</f>
        <v>2.8</v>
      </c>
      <c r="E543" s="9">
        <f>getApertureEnd('RawData (GH)'!C543)</f>
        <v>2.8</v>
      </c>
      <c r="F543" s="2">
        <f>getFiltersizeAsDouble('RawData (GH)'!D543)</f>
        <v>72</v>
      </c>
      <c r="G543" s="35">
        <f>getMagnification('RawData (GH)'!E543)</f>
        <v>4.76</v>
      </c>
      <c r="H543" s="62">
        <f>getMinimalFocus('RawData (GH)'!F543)</f>
        <v>0</v>
      </c>
      <c r="I543" t="str">
        <f>getMount('RawData (GH)'!G543)</f>
        <v>Micro-Four-Thirds</v>
      </c>
      <c r="J543" t="str">
        <f>getSensorCompatibility('RawData (GH)'!H543)</f>
        <v>Four-Thirds</v>
      </c>
      <c r="K543" s="45">
        <f>getWeightAsDouble('RawData (GH)'!I543)</f>
        <v>760</v>
      </c>
      <c r="L543" s="34">
        <f>getSizeDiameter('RawData (GH)'!J543)</f>
        <v>79.400000000000006</v>
      </c>
      <c r="M543" s="34">
        <f>getSizeLength('RawData (GH)'!J543)</f>
        <v>160</v>
      </c>
    </row>
    <row r="544" spans="1:13" x14ac:dyDescent="0.25">
      <c r="A544" t="str">
        <f>'RawData (GH)'!A544</f>
        <v>Olympus M.Zuiko digital ED 40-150mm 4.0-5.6 R MSC schwarz</v>
      </c>
      <c r="B544" s="5">
        <f>getFocalLengthStart('RawData (GH)'!B544)</f>
        <v>40</v>
      </c>
      <c r="C544" s="5">
        <f>getFocalLengthEnd('RawData (GH)'!B544)</f>
        <v>150</v>
      </c>
      <c r="D544" s="9">
        <f>getApertureStart('RawData (GH)'!C544)</f>
        <v>4</v>
      </c>
      <c r="E544" s="9">
        <f>getApertureEnd('RawData (GH)'!C544)</f>
        <v>5.6</v>
      </c>
      <c r="F544" s="2">
        <f>getFiltersizeAsDouble('RawData (GH)'!D544)</f>
        <v>58</v>
      </c>
      <c r="G544" s="35">
        <f>getMagnification('RawData (GH)'!E544)</f>
        <v>6.25</v>
      </c>
      <c r="H544" s="62">
        <f>getMinimalFocus('RawData (GH)'!F544)</f>
        <v>0</v>
      </c>
      <c r="I544" t="str">
        <f>getMount('RawData (GH)'!G544)</f>
        <v>Micro-Four-Thirds</v>
      </c>
      <c r="J544" t="str">
        <f>getSensorCompatibility('RawData (GH)'!H544)</f>
        <v>Four-Thirds</v>
      </c>
      <c r="K544" s="45">
        <f>getWeightAsDouble('RawData (GH)'!I544)</f>
        <v>190</v>
      </c>
      <c r="L544" s="34">
        <f>getSizeDiameter('RawData (GH)'!J544)</f>
        <v>63.5</v>
      </c>
      <c r="M544" s="34">
        <f>getSizeLength('RawData (GH)'!J544)</f>
        <v>83</v>
      </c>
    </row>
    <row r="545" spans="1:13" x14ac:dyDescent="0.25">
      <c r="A545" t="str">
        <f>'RawData (GH)'!A545</f>
        <v>Olympus M.Zuiko digital ED 40-150mm 4.0-5.6 R MSC silber</v>
      </c>
      <c r="B545" s="5">
        <f>getFocalLengthStart('RawData (GH)'!B545)</f>
        <v>40</v>
      </c>
      <c r="C545" s="5">
        <f>getFocalLengthEnd('RawData (GH)'!B545)</f>
        <v>150</v>
      </c>
      <c r="D545" s="9">
        <f>getApertureStart('RawData (GH)'!C545)</f>
        <v>4</v>
      </c>
      <c r="E545" s="9">
        <f>getApertureEnd('RawData (GH)'!C545)</f>
        <v>5.6</v>
      </c>
      <c r="F545" s="2">
        <f>getFiltersizeAsDouble('RawData (GH)'!D545)</f>
        <v>58</v>
      </c>
      <c r="G545" s="35">
        <f>getMagnification('RawData (GH)'!E545)</f>
        <v>6.25</v>
      </c>
      <c r="H545" s="62">
        <f>getMinimalFocus('RawData (GH)'!F545)</f>
        <v>0</v>
      </c>
      <c r="I545" t="str">
        <f>getMount('RawData (GH)'!G545)</f>
        <v>Micro-Four-Thirds</v>
      </c>
      <c r="J545" t="str">
        <f>getSensorCompatibility('RawData (GH)'!H545)</f>
        <v>Four-Thirds</v>
      </c>
      <c r="K545" s="45">
        <f>getWeightAsDouble('RawData (GH)'!I545)</f>
        <v>190</v>
      </c>
      <c r="L545" s="34">
        <f>getSizeDiameter('RawData (GH)'!J545)</f>
        <v>63.5</v>
      </c>
      <c r="M545" s="34">
        <f>getSizeLength('RawData (GH)'!J545)</f>
        <v>83</v>
      </c>
    </row>
    <row r="546" spans="1:13" x14ac:dyDescent="0.25">
      <c r="A546" t="str">
        <f>'RawData (GH)'!A546</f>
        <v>Olympus M.Zuiko digital ED 40-150mm 4.0-5.6 silber</v>
      </c>
      <c r="B546" s="5">
        <f>getFocalLengthStart('RawData (GH)'!B546)</f>
        <v>40</v>
      </c>
      <c r="C546" s="5">
        <f>getFocalLengthEnd('RawData (GH)'!B546)</f>
        <v>150</v>
      </c>
      <c r="D546" s="9">
        <f>getApertureStart('RawData (GH)'!C546)</f>
        <v>4</v>
      </c>
      <c r="E546" s="9">
        <f>getApertureEnd('RawData (GH)'!C546)</f>
        <v>5.6</v>
      </c>
      <c r="F546" s="2">
        <f>getFiltersizeAsDouble('RawData (GH)'!D546)</f>
        <v>58</v>
      </c>
      <c r="G546" s="35">
        <f>getMagnification('RawData (GH)'!E546)</f>
        <v>6.25</v>
      </c>
      <c r="H546" s="62">
        <f>getMinimalFocus('RawData (GH)'!F546)</f>
        <v>0</v>
      </c>
      <c r="I546" t="str">
        <f>getMount('RawData (GH)'!G546)</f>
        <v>Micro-Four-Thirds</v>
      </c>
      <c r="J546" t="str">
        <f>getSensorCompatibility('RawData (GH)'!H546)</f>
        <v>Four-Thirds</v>
      </c>
      <c r="K546" s="45">
        <f>getWeightAsDouble('RawData (GH)'!I546)</f>
        <v>0</v>
      </c>
      <c r="L546" s="34">
        <f>getSizeDiameter('RawData (GH)'!J546)</f>
        <v>63.5</v>
      </c>
      <c r="M546" s="34">
        <f>getSizeLength('RawData (GH)'!J546)</f>
        <v>83</v>
      </c>
    </row>
    <row r="547" spans="1:13" x14ac:dyDescent="0.25">
      <c r="A547" t="str">
        <f>'RawData (GH)'!A547</f>
        <v>Olympus M.Zuiko digital ED 45mm 1.2 PRO schwarz</v>
      </c>
      <c r="B547" s="5">
        <f>getFocalLengthStart('RawData (GH)'!B547)</f>
        <v>45</v>
      </c>
      <c r="C547" s="5">
        <f>getFocalLengthEnd('RawData (GH)'!B547)</f>
        <v>45</v>
      </c>
      <c r="D547" s="9">
        <f>getApertureStart('RawData (GH)'!C547)</f>
        <v>1.2</v>
      </c>
      <c r="E547" s="9">
        <f>getApertureEnd('RawData (GH)'!C547)</f>
        <v>1.2</v>
      </c>
      <c r="F547" s="2">
        <f>getFiltersizeAsDouble('RawData (GH)'!D547)</f>
        <v>62</v>
      </c>
      <c r="G547" s="35">
        <f>getMagnification('RawData (GH)'!E547)</f>
        <v>10</v>
      </c>
      <c r="H547" s="62">
        <f>getMinimalFocus('RawData (GH)'!F547)</f>
        <v>0</v>
      </c>
      <c r="I547" t="str">
        <f>getMount('RawData (GH)'!G547)</f>
        <v>Micro-Four-Thirds</v>
      </c>
      <c r="J547" t="str">
        <f>getSensorCompatibility('RawData (GH)'!H547)</f>
        <v>Four-Thirds</v>
      </c>
      <c r="K547" s="45">
        <f>getWeightAsDouble('RawData (GH)'!I547)</f>
        <v>410</v>
      </c>
      <c r="L547" s="34">
        <f>getSizeDiameter('RawData (GH)'!J547)</f>
        <v>70</v>
      </c>
      <c r="M547" s="34">
        <f>getSizeLength('RawData (GH)'!J547)</f>
        <v>84.9</v>
      </c>
    </row>
    <row r="548" spans="1:13" x14ac:dyDescent="0.25">
      <c r="A548" t="str">
        <f>'RawData (GH)'!A548</f>
        <v>Olympus M.Zuiko digital ED 60mm 2.8 Makro schwarz</v>
      </c>
      <c r="B548" s="5">
        <f>getFocalLengthStart('RawData (GH)'!B548)</f>
        <v>60</v>
      </c>
      <c r="C548" s="5">
        <f>getFocalLengthEnd('RawData (GH)'!B548)</f>
        <v>60</v>
      </c>
      <c r="D548" s="9">
        <f>getApertureStart('RawData (GH)'!C548)</f>
        <v>2.8</v>
      </c>
      <c r="E548" s="9">
        <f>getApertureEnd('RawData (GH)'!C548)</f>
        <v>2.8</v>
      </c>
      <c r="F548" s="2">
        <f>getFiltersizeAsDouble('RawData (GH)'!D548)</f>
        <v>46</v>
      </c>
      <c r="G548" s="35">
        <f>getMagnification('RawData (GH)'!E548)</f>
        <v>1</v>
      </c>
      <c r="H548" s="62">
        <f>getMinimalFocus('RawData (GH)'!F548)</f>
        <v>0</v>
      </c>
      <c r="I548" t="str">
        <f>getMount('RawData (GH)'!G548)</f>
        <v>Micro-Four-Thirds</v>
      </c>
      <c r="J548" t="str">
        <f>getSensorCompatibility('RawData (GH)'!H548)</f>
        <v>Four-Thirds</v>
      </c>
      <c r="K548" s="45">
        <f>getWeightAsDouble('RawData (GH)'!I548)</f>
        <v>185</v>
      </c>
      <c r="L548" s="34">
        <f>getSizeDiameter('RawData (GH)'!J548)</f>
        <v>56</v>
      </c>
      <c r="M548" s="34">
        <f>getSizeLength('RawData (GH)'!J548)</f>
        <v>82</v>
      </c>
    </row>
    <row r="549" spans="1:13" x14ac:dyDescent="0.25">
      <c r="A549" t="str">
        <f>'RawData (GH)'!A549</f>
        <v>Olympus M.Zuiko digital ED 7-14mm 2.8 PRO schwarz</v>
      </c>
      <c r="B549" s="5">
        <f>getFocalLengthStart('RawData (GH)'!B549)</f>
        <v>7</v>
      </c>
      <c r="C549" s="5">
        <f>getFocalLengthEnd('RawData (GH)'!B549)</f>
        <v>14</v>
      </c>
      <c r="D549" s="9">
        <f>getApertureStart('RawData (GH)'!C549)</f>
        <v>2.8</v>
      </c>
      <c r="E549" s="9">
        <f>getApertureEnd('RawData (GH)'!C549)</f>
        <v>2.8</v>
      </c>
      <c r="F549" s="2">
        <f>getFiltersizeAsDouble('RawData (GH)'!D549)</f>
        <v>0</v>
      </c>
      <c r="G549" s="35">
        <f>getMagnification('RawData (GH)'!E549)</f>
        <v>8.33</v>
      </c>
      <c r="H549" s="62">
        <f>getMinimalFocus('RawData (GH)'!F549)</f>
        <v>0</v>
      </c>
      <c r="I549" t="str">
        <f>getMount('RawData (GH)'!G549)</f>
        <v>Micro-Four-Thirds</v>
      </c>
      <c r="J549" t="str">
        <f>getSensorCompatibility('RawData (GH)'!H549)</f>
        <v>Four-Thirds</v>
      </c>
      <c r="K549" s="45">
        <f>getWeightAsDouble('RawData (GH)'!I549)</f>
        <v>534</v>
      </c>
      <c r="L549" s="34">
        <f>getSizeDiameter('RawData (GH)'!J549)</f>
        <v>78.900000000000006</v>
      </c>
      <c r="M549" s="34">
        <f>getSizeLength('RawData (GH)'!J549)</f>
        <v>105.8</v>
      </c>
    </row>
    <row r="550" spans="1:13" x14ac:dyDescent="0.25">
      <c r="A550" t="str">
        <f>'RawData (GH)'!A550</f>
        <v>Olympus M.Zuiko digital ED 75-300mm 4.8-6.7 II schwarz</v>
      </c>
      <c r="B550" s="5">
        <f>getFocalLengthStart('RawData (GH)'!B550)</f>
        <v>75</v>
      </c>
      <c r="C550" s="5">
        <f>getFocalLengthEnd('RawData (GH)'!B550)</f>
        <v>300</v>
      </c>
      <c r="D550" s="9">
        <f>getApertureStart('RawData (GH)'!C550)</f>
        <v>4.8</v>
      </c>
      <c r="E550" s="9">
        <f>getApertureEnd('RawData (GH)'!C550)</f>
        <v>6.7</v>
      </c>
      <c r="F550" s="2">
        <f>getFiltersizeAsDouble('RawData (GH)'!D550)</f>
        <v>58</v>
      </c>
      <c r="G550" s="35">
        <f>getMagnification('RawData (GH)'!E550)</f>
        <v>5.56</v>
      </c>
      <c r="H550" s="62">
        <f>getMinimalFocus('RawData (GH)'!F550)</f>
        <v>0</v>
      </c>
      <c r="I550" t="str">
        <f>getMount('RawData (GH)'!G550)</f>
        <v>Micro-Four-Thirds</v>
      </c>
      <c r="J550" t="str">
        <f>getSensorCompatibility('RawData (GH)'!H550)</f>
        <v>Four-Thirds</v>
      </c>
      <c r="K550" s="45">
        <f>getWeightAsDouble('RawData (GH)'!I550)</f>
        <v>423</v>
      </c>
      <c r="L550" s="34">
        <f>getSizeDiameter('RawData (GH)'!J550)</f>
        <v>69</v>
      </c>
      <c r="M550" s="34">
        <f>getSizeLength('RawData (GH)'!J550)</f>
        <v>116.5</v>
      </c>
    </row>
    <row r="551" spans="1:13" x14ac:dyDescent="0.25">
      <c r="A551" t="str">
        <f>'RawData (GH)'!A551</f>
        <v>Olympus M.Zuiko digital ED 75mm 1.8 schwarz</v>
      </c>
      <c r="B551" s="5">
        <f>getFocalLengthStart('RawData (GH)'!B551)</f>
        <v>75</v>
      </c>
      <c r="C551" s="5">
        <f>getFocalLengthEnd('RawData (GH)'!B551)</f>
        <v>75</v>
      </c>
      <c r="D551" s="9">
        <f>getApertureStart('RawData (GH)'!C551)</f>
        <v>1.8</v>
      </c>
      <c r="E551" s="9">
        <f>getApertureEnd('RawData (GH)'!C551)</f>
        <v>1.8</v>
      </c>
      <c r="F551" s="2">
        <f>getFiltersizeAsDouble('RawData (GH)'!D551)</f>
        <v>58</v>
      </c>
      <c r="G551" s="35">
        <f>getMagnification('RawData (GH)'!E551)</f>
        <v>10</v>
      </c>
      <c r="H551" s="62">
        <f>getMinimalFocus('RawData (GH)'!F551)</f>
        <v>0</v>
      </c>
      <c r="I551" t="str">
        <f>getMount('RawData (GH)'!G551)</f>
        <v>Micro-Four-Thirds</v>
      </c>
      <c r="J551" t="str">
        <f>getSensorCompatibility('RawData (GH)'!H551)</f>
        <v>Four-Thirds</v>
      </c>
      <c r="K551" s="45">
        <f>getWeightAsDouble('RawData (GH)'!I551)</f>
        <v>305</v>
      </c>
      <c r="L551" s="34">
        <f>getSizeDiameter('RawData (GH)'!J551)</f>
        <v>64</v>
      </c>
      <c r="M551" s="34">
        <f>getSizeLength('RawData (GH)'!J551)</f>
        <v>69</v>
      </c>
    </row>
    <row r="552" spans="1:13" x14ac:dyDescent="0.25">
      <c r="A552" t="str">
        <f>'RawData (GH)'!A552</f>
        <v>Olympus M.Zuiko digital ED 75mm 1.8 silber</v>
      </c>
      <c r="B552" s="5">
        <f>getFocalLengthStart('RawData (GH)'!B552)</f>
        <v>75</v>
      </c>
      <c r="C552" s="5">
        <f>getFocalLengthEnd('RawData (GH)'!B552)</f>
        <v>75</v>
      </c>
      <c r="D552" s="9">
        <f>getApertureStart('RawData (GH)'!C552)</f>
        <v>1.8</v>
      </c>
      <c r="E552" s="9">
        <f>getApertureEnd('RawData (GH)'!C552)</f>
        <v>1.8</v>
      </c>
      <c r="F552" s="2">
        <f>getFiltersizeAsDouble('RawData (GH)'!D552)</f>
        <v>58</v>
      </c>
      <c r="G552" s="35">
        <f>getMagnification('RawData (GH)'!E552)</f>
        <v>10</v>
      </c>
      <c r="H552" s="62">
        <f>getMinimalFocus('RawData (GH)'!F552)</f>
        <v>0</v>
      </c>
      <c r="I552" t="str">
        <f>getMount('RawData (GH)'!G552)</f>
        <v>Micro-Four-Thirds</v>
      </c>
      <c r="J552" t="str">
        <f>getSensorCompatibility('RawData (GH)'!H552)</f>
        <v>Four-Thirds</v>
      </c>
      <c r="K552" s="45">
        <f>getWeightAsDouble('RawData (GH)'!I552)</f>
        <v>305</v>
      </c>
      <c r="L552" s="34">
        <f>getSizeDiameter('RawData (GH)'!J552)</f>
        <v>64</v>
      </c>
      <c r="M552" s="34">
        <f>getSizeLength('RawData (GH)'!J552)</f>
        <v>69</v>
      </c>
    </row>
    <row r="553" spans="1:13" x14ac:dyDescent="0.25">
      <c r="A553" t="str">
        <f>'RawData (GH)'!A553</f>
        <v>Olympus M.Zuiko digital ED 8mm 1.8 PRO Fisheye schwarz</v>
      </c>
      <c r="B553" s="5">
        <f>getFocalLengthStart('RawData (GH)'!B553)</f>
        <v>8</v>
      </c>
      <c r="C553" s="5">
        <f>getFocalLengthEnd('RawData (GH)'!B553)</f>
        <v>8</v>
      </c>
      <c r="D553" s="9">
        <f>getApertureStart('RawData (GH)'!C553)</f>
        <v>1.8</v>
      </c>
      <c r="E553" s="9">
        <f>getApertureEnd('RawData (GH)'!C553)</f>
        <v>1.8</v>
      </c>
      <c r="F553" s="2">
        <f>getFiltersizeAsDouble('RawData (GH)'!D553)</f>
        <v>0</v>
      </c>
      <c r="G553" s="35">
        <f>getMagnification('RawData (GH)'!E553)</f>
        <v>5</v>
      </c>
      <c r="H553" s="62">
        <f>getMinimalFocus('RawData (GH)'!F553)</f>
        <v>0</v>
      </c>
      <c r="I553" t="str">
        <f>getMount('RawData (GH)'!G553)</f>
        <v>Micro-Four-Thirds</v>
      </c>
      <c r="J553" t="str">
        <f>getSensorCompatibility('RawData (GH)'!H553)</f>
        <v>Four-Thirds</v>
      </c>
      <c r="K553" s="45">
        <f>getWeightAsDouble('RawData (GH)'!I553)</f>
        <v>315</v>
      </c>
      <c r="L553" s="34">
        <f>getSizeDiameter('RawData (GH)'!J553)</f>
        <v>62</v>
      </c>
      <c r="M553" s="34">
        <f>getSizeLength('RawData (GH)'!J553)</f>
        <v>80</v>
      </c>
    </row>
    <row r="554" spans="1:13" x14ac:dyDescent="0.25">
      <c r="A554" t="str">
        <f>'RawData (GH)'!A554</f>
        <v>Olympus M.Zuiko digital ED 9-18mm 4.0-5.6 schwarz</v>
      </c>
      <c r="B554" s="5">
        <f>getFocalLengthStart('RawData (GH)'!B554)</f>
        <v>9</v>
      </c>
      <c r="C554" s="5">
        <f>getFocalLengthEnd('RawData (GH)'!B554)</f>
        <v>18</v>
      </c>
      <c r="D554" s="9">
        <f>getApertureStart('RawData (GH)'!C554)</f>
        <v>4</v>
      </c>
      <c r="E554" s="9">
        <f>getApertureEnd('RawData (GH)'!C554)</f>
        <v>5.6</v>
      </c>
      <c r="F554" s="2">
        <f>getFiltersizeAsDouble('RawData (GH)'!D554)</f>
        <v>52</v>
      </c>
      <c r="G554" s="35">
        <f>getMagnification('RawData (GH)'!E554)</f>
        <v>10</v>
      </c>
      <c r="H554" s="62">
        <f>getMinimalFocus('RawData (GH)'!F554)</f>
        <v>0</v>
      </c>
      <c r="I554" t="str">
        <f>getMount('RawData (GH)'!G554)</f>
        <v>Micro-Four-Thirds</v>
      </c>
      <c r="J554" t="str">
        <f>getSensorCompatibility('RawData (GH)'!H554)</f>
        <v>Four-Thirds</v>
      </c>
      <c r="K554" s="45">
        <f>getWeightAsDouble('RawData (GH)'!I554)</f>
        <v>155</v>
      </c>
      <c r="L554" s="34">
        <f>getSizeDiameter('RawData (GH)'!J554)</f>
        <v>56.5</v>
      </c>
      <c r="M554" s="34">
        <f>getSizeLength('RawData (GH)'!J554)</f>
        <v>49.5</v>
      </c>
    </row>
    <row r="555" spans="1:13" x14ac:dyDescent="0.25">
      <c r="A555" t="str">
        <f>'RawData (GH)'!A555</f>
        <v>Olympus Zuiko digital 11-22mm 2.8-3.5 schwarz</v>
      </c>
      <c r="B555" s="5">
        <f>getFocalLengthStart('RawData (GH)'!B555)</f>
        <v>11</v>
      </c>
      <c r="C555" s="5">
        <f>getFocalLengthEnd('RawData (GH)'!B555)</f>
        <v>22</v>
      </c>
      <c r="D555" s="9">
        <f>getApertureStart('RawData (GH)'!C555)</f>
        <v>2.8</v>
      </c>
      <c r="E555" s="9">
        <f>getApertureEnd('RawData (GH)'!C555)</f>
        <v>3.5</v>
      </c>
      <c r="F555" s="2">
        <f>getFiltersizeAsDouble('RawData (GH)'!D555)</f>
        <v>72</v>
      </c>
      <c r="G555" s="35">
        <f>getMagnification('RawData (GH)'!E555)</f>
        <v>7.69</v>
      </c>
      <c r="H555" s="62">
        <f>getMinimalFocus('RawData (GH)'!F555)</f>
        <v>0</v>
      </c>
      <c r="I555" t="str">
        <f>getMount('RawData (GH)'!G555)</f>
        <v>Four-Thirds</v>
      </c>
      <c r="J555" t="str">
        <f>getSensorCompatibility('RawData (GH)'!H555)</f>
        <v>Four-Thirds</v>
      </c>
      <c r="K555" s="45">
        <f>getWeightAsDouble('RawData (GH)'!I555)</f>
        <v>485</v>
      </c>
      <c r="L555" s="34">
        <f>getSizeDiameter('RawData (GH)'!J555)</f>
        <v>75</v>
      </c>
      <c r="M555" s="34">
        <f>getSizeLength('RawData (GH)'!J555)</f>
        <v>92.5</v>
      </c>
    </row>
    <row r="556" spans="1:13" x14ac:dyDescent="0.25">
      <c r="A556" t="str">
        <f>'RawData (GH)'!A556</f>
        <v>Olympus Zuiko digital 14-54mm 2.8-3.5 II schwarz</v>
      </c>
      <c r="B556" s="5">
        <f>getFocalLengthStart('RawData (GH)'!B556)</f>
        <v>14</v>
      </c>
      <c r="C556" s="5">
        <f>getFocalLengthEnd('RawData (GH)'!B556)</f>
        <v>54</v>
      </c>
      <c r="D556" s="9">
        <f>getApertureStart('RawData (GH)'!C556)</f>
        <v>2.8</v>
      </c>
      <c r="E556" s="9">
        <f>getApertureEnd('RawData (GH)'!C556)</f>
        <v>3.5</v>
      </c>
      <c r="F556" s="2">
        <f>getFiltersizeAsDouble('RawData (GH)'!D556)</f>
        <v>67</v>
      </c>
      <c r="G556" s="35">
        <f>getMagnification('RawData (GH)'!E556)</f>
        <v>3.85</v>
      </c>
      <c r="H556" s="62">
        <f>getMinimalFocus('RawData (GH)'!F556)</f>
        <v>0</v>
      </c>
      <c r="I556" t="str">
        <f>getMount('RawData (GH)'!G556)</f>
        <v>Four-Thirds</v>
      </c>
      <c r="J556" t="str">
        <f>getSensorCompatibility('RawData (GH)'!H556)</f>
        <v>Four-Thirds</v>
      </c>
      <c r="K556" s="45">
        <f>getWeightAsDouble('RawData (GH)'!I556)</f>
        <v>440</v>
      </c>
      <c r="L556" s="34">
        <f>getSizeDiameter('RawData (GH)'!J556)</f>
        <v>74.5</v>
      </c>
      <c r="M556" s="34">
        <f>getSizeLength('RawData (GH)'!J556)</f>
        <v>88.5</v>
      </c>
    </row>
    <row r="557" spans="1:13" x14ac:dyDescent="0.25">
      <c r="A557" t="str">
        <f>'RawData (GH)'!A557</f>
        <v>Olympus Zuiko digital 25mm 2.8 Pancake schwarz</v>
      </c>
      <c r="B557" s="5">
        <f>getFocalLengthStart('RawData (GH)'!B557)</f>
        <v>25</v>
      </c>
      <c r="C557" s="5">
        <f>getFocalLengthEnd('RawData (GH)'!B557)</f>
        <v>25</v>
      </c>
      <c r="D557" s="9">
        <f>getApertureStart('RawData (GH)'!C557)</f>
        <v>2.8</v>
      </c>
      <c r="E557" s="9">
        <f>getApertureEnd('RawData (GH)'!C557)</f>
        <v>2.8</v>
      </c>
      <c r="F557" s="2">
        <f>getFiltersizeAsDouble('RawData (GH)'!D557)</f>
        <v>43</v>
      </c>
      <c r="G557" s="35">
        <f>getMagnification('RawData (GH)'!E557)</f>
        <v>5.26</v>
      </c>
      <c r="H557" s="62">
        <f>getMinimalFocus('RawData (GH)'!F557)</f>
        <v>0</v>
      </c>
      <c r="I557" t="str">
        <f>getMount('RawData (GH)'!G557)</f>
        <v>Four-Thirds</v>
      </c>
      <c r="J557" t="str">
        <f>getSensorCompatibility('RawData (GH)'!H557)</f>
        <v>Four-Thirds</v>
      </c>
      <c r="K557" s="45">
        <f>getWeightAsDouble('RawData (GH)'!I557)</f>
        <v>95</v>
      </c>
      <c r="L557" s="34">
        <f>getSizeDiameter('RawData (GH)'!J557)</f>
        <v>64</v>
      </c>
      <c r="M557" s="34">
        <f>getSizeLength('RawData (GH)'!J557)</f>
        <v>23.5</v>
      </c>
    </row>
    <row r="558" spans="1:13" x14ac:dyDescent="0.25">
      <c r="A558" t="str">
        <f>'RawData (GH)'!A558</f>
        <v>Olympus Zuiko digital 35mm 3.5 Makro schwarz</v>
      </c>
      <c r="B558" s="5">
        <f>getFocalLengthStart('RawData (GH)'!B558)</f>
        <v>35</v>
      </c>
      <c r="C558" s="5">
        <f>getFocalLengthEnd('RawData (GH)'!B558)</f>
        <v>35</v>
      </c>
      <c r="D558" s="9">
        <f>getApertureStart('RawData (GH)'!C558)</f>
        <v>3.5</v>
      </c>
      <c r="E558" s="9">
        <f>getApertureEnd('RawData (GH)'!C558)</f>
        <v>3.5</v>
      </c>
      <c r="F558" s="2">
        <f>getFiltersizeAsDouble('RawData (GH)'!D558)</f>
        <v>52</v>
      </c>
      <c r="G558" s="35">
        <f>getMagnification('RawData (GH)'!E558)</f>
        <v>1</v>
      </c>
      <c r="H558" s="62">
        <f>getMinimalFocus('RawData (GH)'!F558)</f>
        <v>0</v>
      </c>
      <c r="I558" t="str">
        <f>getMount('RawData (GH)'!G558)</f>
        <v>Four-Thirds</v>
      </c>
      <c r="J558" t="str">
        <f>getSensorCompatibility('RawData (GH)'!H558)</f>
        <v>Four-Thirds</v>
      </c>
      <c r="K558" s="45">
        <f>getWeightAsDouble('RawData (GH)'!I558)</f>
        <v>165</v>
      </c>
      <c r="L558" s="34">
        <f>getSizeDiameter('RawData (GH)'!J558)</f>
        <v>71</v>
      </c>
      <c r="M558" s="34">
        <f>getSizeLength('RawData (GH)'!J558)</f>
        <v>53</v>
      </c>
    </row>
    <row r="559" spans="1:13" x14ac:dyDescent="0.25">
      <c r="A559" t="str">
        <f>'RawData (GH)'!A559</f>
        <v>Olympus Zuiko digital ED 12-60mm 2.8-4.0 SWD schwarz</v>
      </c>
      <c r="B559" s="5">
        <f>getFocalLengthStart('RawData (GH)'!B559)</f>
        <v>12</v>
      </c>
      <c r="C559" s="5">
        <f>getFocalLengthEnd('RawData (GH)'!B559)</f>
        <v>60</v>
      </c>
      <c r="D559" s="9">
        <f>getApertureStart('RawData (GH)'!C559)</f>
        <v>2.8</v>
      </c>
      <c r="E559" s="9">
        <f>getApertureEnd('RawData (GH)'!C559)</f>
        <v>4</v>
      </c>
      <c r="F559" s="2">
        <f>getFiltersizeAsDouble('RawData (GH)'!D559)</f>
        <v>72</v>
      </c>
      <c r="G559" s="35">
        <f>getMagnification('RawData (GH)'!E559)</f>
        <v>3.57</v>
      </c>
      <c r="H559" s="62">
        <f>getMinimalFocus('RawData (GH)'!F559)</f>
        <v>0</v>
      </c>
      <c r="I559" t="str">
        <f>getMount('RawData (GH)'!G559)</f>
        <v>Four-Thirds</v>
      </c>
      <c r="J559" t="str">
        <f>getSensorCompatibility('RawData (GH)'!H559)</f>
        <v>Four-Thirds</v>
      </c>
      <c r="K559" s="45">
        <f>getWeightAsDouble('RawData (GH)'!I559)</f>
        <v>575</v>
      </c>
      <c r="L559" s="34">
        <f>getSizeDiameter('RawData (GH)'!J559)</f>
        <v>79.5</v>
      </c>
      <c r="M559" s="34">
        <f>getSizeLength('RawData (GH)'!J559)</f>
        <v>98.5</v>
      </c>
    </row>
    <row r="560" spans="1:13" x14ac:dyDescent="0.25">
      <c r="A560" t="str">
        <f>'RawData (GH)'!A560</f>
        <v>Olympus Zuiko digital ED 14-35mm 2.0 SWD schwarz</v>
      </c>
      <c r="B560" s="5">
        <f>getFocalLengthStart('RawData (GH)'!B560)</f>
        <v>14</v>
      </c>
      <c r="C560" s="5">
        <f>getFocalLengthEnd('RawData (GH)'!B560)</f>
        <v>35</v>
      </c>
      <c r="D560" s="9">
        <f>getApertureStart('RawData (GH)'!C560)</f>
        <v>2</v>
      </c>
      <c r="E560" s="9">
        <f>getApertureEnd('RawData (GH)'!C560)</f>
        <v>2</v>
      </c>
      <c r="F560" s="2">
        <f>getFiltersizeAsDouble('RawData (GH)'!D560)</f>
        <v>77</v>
      </c>
      <c r="G560" s="35">
        <f>getMagnification('RawData (GH)'!E560)</f>
        <v>8.33</v>
      </c>
      <c r="H560" s="62">
        <f>getMinimalFocus('RawData (GH)'!F560)</f>
        <v>0</v>
      </c>
      <c r="I560" t="str">
        <f>getMount('RawData (GH)'!G560)</f>
        <v>Four-Thirds</v>
      </c>
      <c r="J560" t="str">
        <f>getSensorCompatibility('RawData (GH)'!H560)</f>
        <v>Four-Thirds</v>
      </c>
      <c r="K560" s="45">
        <f>getWeightAsDouble('RawData (GH)'!I560)</f>
        <v>915</v>
      </c>
      <c r="L560" s="34">
        <f>getSizeDiameter('RawData (GH)'!J560)</f>
        <v>86</v>
      </c>
      <c r="M560" s="34">
        <f>getSizeLength('RawData (GH)'!J560)</f>
        <v>133</v>
      </c>
    </row>
    <row r="561" spans="1:13" x14ac:dyDescent="0.25">
      <c r="A561" t="str">
        <f>'RawData (GH)'!A561</f>
        <v>Olympus Zuiko digital ED 150mm 2.0 schwarz</v>
      </c>
      <c r="B561" s="5">
        <f>getFocalLengthStart('RawData (GH)'!B561)</f>
        <v>150</v>
      </c>
      <c r="C561" s="5">
        <f>getFocalLengthEnd('RawData (GH)'!B561)</f>
        <v>150</v>
      </c>
      <c r="D561" s="9">
        <f>getApertureStart('RawData (GH)'!C561)</f>
        <v>2</v>
      </c>
      <c r="E561" s="9">
        <f>getApertureEnd('RawData (GH)'!C561)</f>
        <v>2</v>
      </c>
      <c r="F561" s="2">
        <f>getFiltersizeAsDouble('RawData (GH)'!D561)</f>
        <v>82</v>
      </c>
      <c r="G561" s="35">
        <f>getMagnification('RawData (GH)'!E561)</f>
        <v>7.69</v>
      </c>
      <c r="H561" s="62">
        <f>getMinimalFocus('RawData (GH)'!F561)</f>
        <v>0</v>
      </c>
      <c r="I561" t="str">
        <f>getMount('RawData (GH)'!G561)</f>
        <v>Four-Thirds</v>
      </c>
      <c r="J561" t="str">
        <f>getSensorCompatibility('RawData (GH)'!H561)</f>
        <v>Four-Thirds</v>
      </c>
      <c r="K561" s="45">
        <f>getWeightAsDouble('RawData (GH)'!I561)</f>
        <v>1610</v>
      </c>
      <c r="L561" s="34">
        <f>getSizeDiameter('RawData (GH)'!J561)</f>
        <v>100</v>
      </c>
      <c r="M561" s="34">
        <f>getSizeLength('RawData (GH)'!J561)</f>
        <v>150</v>
      </c>
    </row>
    <row r="562" spans="1:13" x14ac:dyDescent="0.25">
      <c r="A562" t="str">
        <f>'RawData (GH)'!A562</f>
        <v>Olympus Zuiko digital ED 18-180mm 3.5-6-3 schwarz</v>
      </c>
      <c r="B562" s="5">
        <f>getFocalLengthStart('RawData (GH)'!B562)</f>
        <v>18</v>
      </c>
      <c r="C562" s="5">
        <f>getFocalLengthEnd('RawData (GH)'!B562)</f>
        <v>180</v>
      </c>
      <c r="D562" s="9">
        <f>getApertureStart('RawData (GH)'!C562)</f>
        <v>3.5</v>
      </c>
      <c r="E562" s="9">
        <f>getApertureEnd('RawData (GH)'!C562)</f>
        <v>6.3</v>
      </c>
      <c r="F562" s="2">
        <f>getFiltersizeAsDouble('RawData (GH)'!D562)</f>
        <v>62</v>
      </c>
      <c r="G562" s="35">
        <f>getMagnification('RawData (GH)'!E562)</f>
        <v>4.3499999999999996</v>
      </c>
      <c r="H562" s="62">
        <f>getMinimalFocus('RawData (GH)'!F562)</f>
        <v>0</v>
      </c>
      <c r="I562" t="str">
        <f>getMount('RawData (GH)'!G562)</f>
        <v>Four-Thirds</v>
      </c>
      <c r="J562" t="str">
        <f>getSensorCompatibility('RawData (GH)'!H562)</f>
        <v>Four-Thirds</v>
      </c>
      <c r="K562" s="45">
        <f>getWeightAsDouble('RawData (GH)'!I562)</f>
        <v>435</v>
      </c>
      <c r="L562" s="34">
        <f>getSizeDiameter('RawData (GH)'!J562)</f>
        <v>78</v>
      </c>
      <c r="M562" s="34">
        <f>getSizeLength('RawData (GH)'!J562)</f>
        <v>84.5</v>
      </c>
    </row>
    <row r="563" spans="1:13" x14ac:dyDescent="0.25">
      <c r="A563" t="str">
        <f>'RawData (GH)'!A563</f>
        <v>Olympus Zuiko digital ED 300mm 2.8 schwarz</v>
      </c>
      <c r="B563" s="5">
        <f>getFocalLengthStart('RawData (GH)'!B563)</f>
        <v>300</v>
      </c>
      <c r="C563" s="5">
        <f>getFocalLengthEnd('RawData (GH)'!B563)</f>
        <v>300</v>
      </c>
      <c r="D563" s="9">
        <f>getApertureStart('RawData (GH)'!C563)</f>
        <v>2.8</v>
      </c>
      <c r="E563" s="9">
        <f>getApertureEnd('RawData (GH)'!C563)</f>
        <v>2.8</v>
      </c>
      <c r="F563" s="2">
        <f>getFiltersizeAsDouble('RawData (GH)'!D563)</f>
        <v>43</v>
      </c>
      <c r="G563" s="35">
        <f>getMagnification('RawData (GH)'!E563)</f>
        <v>6.67</v>
      </c>
      <c r="H563" s="62">
        <f>getMinimalFocus('RawData (GH)'!F563)</f>
        <v>0</v>
      </c>
      <c r="I563" t="str">
        <f>getMount('RawData (GH)'!G563)</f>
        <v>Four-Thirds</v>
      </c>
      <c r="J563" t="str">
        <f>getSensorCompatibility('RawData (GH)'!H563)</f>
        <v>Four-Thirds</v>
      </c>
      <c r="K563" s="45">
        <f>getWeightAsDouble('RawData (GH)'!I563)</f>
        <v>3290</v>
      </c>
      <c r="L563" s="34">
        <f>getSizeDiameter('RawData (GH)'!J563)</f>
        <v>129</v>
      </c>
      <c r="M563" s="34">
        <f>getSizeLength('RawData (GH)'!J563)</f>
        <v>281</v>
      </c>
    </row>
    <row r="564" spans="1:13" x14ac:dyDescent="0.25">
      <c r="A564" t="str">
        <f>'RawData (GH)'!A564</f>
        <v>Olympus Zuiko digital ED 35-100mm 2.0 schwarz</v>
      </c>
      <c r="B564" s="5">
        <f>getFocalLengthStart('RawData (GH)'!B564)</f>
        <v>35</v>
      </c>
      <c r="C564" s="5">
        <f>getFocalLengthEnd('RawData (GH)'!B564)</f>
        <v>100</v>
      </c>
      <c r="D564" s="9">
        <f>getApertureStart('RawData (GH)'!C564)</f>
        <v>2</v>
      </c>
      <c r="E564" s="9">
        <f>getApertureEnd('RawData (GH)'!C564)</f>
        <v>2</v>
      </c>
      <c r="F564" s="2">
        <f>getFiltersizeAsDouble('RawData (GH)'!D564)</f>
        <v>77</v>
      </c>
      <c r="G564" s="35">
        <f>getMagnification('RawData (GH)'!E564)</f>
        <v>11.11</v>
      </c>
      <c r="H564" s="62">
        <f>getMinimalFocus('RawData (GH)'!F564)</f>
        <v>0</v>
      </c>
      <c r="I564" t="str">
        <f>getMount('RawData (GH)'!G564)</f>
        <v>Four-Thirds</v>
      </c>
      <c r="J564" t="str">
        <f>getSensorCompatibility('RawData (GH)'!H564)</f>
        <v>Four-Thirds</v>
      </c>
      <c r="K564" s="45">
        <f>getWeightAsDouble('RawData (GH)'!I564)</f>
        <v>1650</v>
      </c>
      <c r="L564" s="34">
        <f>getSizeDiameter('RawData (GH)'!J564)</f>
        <v>96.5</v>
      </c>
      <c r="M564" s="34">
        <f>getSizeLength('RawData (GH)'!J564)</f>
        <v>213.5</v>
      </c>
    </row>
    <row r="565" spans="1:13" x14ac:dyDescent="0.25">
      <c r="A565" t="str">
        <f>'RawData (GH)'!A565</f>
        <v>Olympus Zuiko digital ED 40-150mm 4.0-5.6 schwarz</v>
      </c>
      <c r="B565" s="5">
        <f>getFocalLengthStart('RawData (GH)'!B565)</f>
        <v>40</v>
      </c>
      <c r="C565" s="5">
        <f>getFocalLengthEnd('RawData (GH)'!B565)</f>
        <v>150</v>
      </c>
      <c r="D565" s="9">
        <f>getApertureStart('RawData (GH)'!C565)</f>
        <v>4</v>
      </c>
      <c r="E565" s="9">
        <f>getApertureEnd('RawData (GH)'!C565)</f>
        <v>5.6</v>
      </c>
      <c r="F565" s="2">
        <f>getFiltersizeAsDouble('RawData (GH)'!D565)</f>
        <v>58</v>
      </c>
      <c r="G565" s="35">
        <f>getMagnification('RawData (GH)'!E565)</f>
        <v>6.25</v>
      </c>
      <c r="H565" s="62">
        <f>getMinimalFocus('RawData (GH)'!F565)</f>
        <v>0</v>
      </c>
      <c r="I565" t="str">
        <f>getMount('RawData (GH)'!G565)</f>
        <v>Four-Thirds</v>
      </c>
      <c r="J565" t="str">
        <f>getSensorCompatibility('RawData (GH)'!H565)</f>
        <v>Four-Thirds</v>
      </c>
      <c r="K565" s="45">
        <f>getWeightAsDouble('RawData (GH)'!I565)</f>
        <v>220</v>
      </c>
      <c r="L565" s="34">
        <f>getSizeDiameter('RawData (GH)'!J565)</f>
        <v>65.5</v>
      </c>
      <c r="M565" s="34">
        <f>getSizeLength('RawData (GH)'!J565)</f>
        <v>72</v>
      </c>
    </row>
    <row r="566" spans="1:13" x14ac:dyDescent="0.25">
      <c r="A566" t="str">
        <f>'RawData (GH)'!A566</f>
        <v>Olympus Zuiko digital ED 50-200mm 2.8-3.5 SWD schwarz</v>
      </c>
      <c r="B566" s="5">
        <f>getFocalLengthStart('RawData (GH)'!B566)</f>
        <v>50</v>
      </c>
      <c r="C566" s="5">
        <f>getFocalLengthEnd('RawData (GH)'!B566)</f>
        <v>200</v>
      </c>
      <c r="D566" s="9">
        <f>getApertureStart('RawData (GH)'!C566)</f>
        <v>2.8</v>
      </c>
      <c r="E566" s="9">
        <f>getApertureEnd('RawData (GH)'!C566)</f>
        <v>3.5</v>
      </c>
      <c r="F566" s="2">
        <f>getFiltersizeAsDouble('RawData (GH)'!D566)</f>
        <v>67</v>
      </c>
      <c r="G566" s="35">
        <f>getMagnification('RawData (GH)'!E566)</f>
        <v>4.76</v>
      </c>
      <c r="H566" s="62">
        <f>getMinimalFocus('RawData (GH)'!F566)</f>
        <v>0</v>
      </c>
      <c r="I566" t="str">
        <f>getMount('RawData (GH)'!G566)</f>
        <v>Four-Thirds</v>
      </c>
      <c r="J566" t="str">
        <f>getSensorCompatibility('RawData (GH)'!H566)</f>
        <v>Four-Thirds</v>
      </c>
      <c r="K566" s="45">
        <f>getWeightAsDouble('RawData (GH)'!I566)</f>
        <v>995</v>
      </c>
      <c r="L566" s="34">
        <f>getSizeDiameter('RawData (GH)'!J566)</f>
        <v>86.5</v>
      </c>
      <c r="M566" s="34">
        <f>getSizeLength('RawData (GH)'!J566)</f>
        <v>157</v>
      </c>
    </row>
    <row r="567" spans="1:13" x14ac:dyDescent="0.25">
      <c r="A567" t="str">
        <f>'RawData (GH)'!A567</f>
        <v>Olympus Zuiko digital ED 50mm 2.0 Makro schwarz</v>
      </c>
      <c r="B567" s="5">
        <f>getFocalLengthStart('RawData (GH)'!B567)</f>
        <v>50</v>
      </c>
      <c r="C567" s="5">
        <f>getFocalLengthEnd('RawData (GH)'!B567)</f>
        <v>50</v>
      </c>
      <c r="D567" s="9">
        <f>getApertureStart('RawData (GH)'!C567)</f>
        <v>2</v>
      </c>
      <c r="E567" s="9">
        <f>getApertureEnd('RawData (GH)'!C567)</f>
        <v>2</v>
      </c>
      <c r="F567" s="2">
        <f>getFiltersizeAsDouble('RawData (GH)'!D567)</f>
        <v>52</v>
      </c>
      <c r="G567" s="35">
        <f>getMagnification('RawData (GH)'!E567)</f>
        <v>1.92</v>
      </c>
      <c r="H567" s="62">
        <f>getMinimalFocus('RawData (GH)'!F567)</f>
        <v>0</v>
      </c>
      <c r="I567" t="str">
        <f>getMount('RawData (GH)'!G567)</f>
        <v>Four-Thirds</v>
      </c>
      <c r="J567" t="str">
        <f>getSensorCompatibility('RawData (GH)'!H567)</f>
        <v>Four-Thirds</v>
      </c>
      <c r="K567" s="45">
        <f>getWeightAsDouble('RawData (GH)'!I567)</f>
        <v>300</v>
      </c>
      <c r="L567" s="34">
        <f>getSizeDiameter('RawData (GH)'!J567)</f>
        <v>71</v>
      </c>
      <c r="M567" s="34">
        <f>getSizeLength('RawData (GH)'!J567)</f>
        <v>61.5</v>
      </c>
    </row>
    <row r="568" spans="1:13" x14ac:dyDescent="0.25">
      <c r="A568" t="str">
        <f>'RawData (GH)'!A568</f>
        <v>Olympus Zuiko digital ED 70-300mm 4.0-5.6 schwarz</v>
      </c>
      <c r="B568" s="5">
        <f>getFocalLengthStart('RawData (GH)'!B568)</f>
        <v>70</v>
      </c>
      <c r="C568" s="5">
        <f>getFocalLengthEnd('RawData (GH)'!B568)</f>
        <v>300</v>
      </c>
      <c r="D568" s="9">
        <f>getApertureStart('RawData (GH)'!C568)</f>
        <v>4</v>
      </c>
      <c r="E568" s="9">
        <f>getApertureEnd('RawData (GH)'!C568)</f>
        <v>5.6</v>
      </c>
      <c r="F568" s="2">
        <f>getFiltersizeAsDouble('RawData (GH)'!D568)</f>
        <v>58</v>
      </c>
      <c r="G568" s="35">
        <f>getMagnification('RawData (GH)'!E568)</f>
        <v>2</v>
      </c>
      <c r="H568" s="62">
        <f>getMinimalFocus('RawData (GH)'!F568)</f>
        <v>0</v>
      </c>
      <c r="I568" t="str">
        <f>getMount('RawData (GH)'!G568)</f>
        <v>Four-Thirds</v>
      </c>
      <c r="J568" t="str">
        <f>getSensorCompatibility('RawData (GH)'!H568)</f>
        <v>Four-Thirds</v>
      </c>
      <c r="K568" s="45">
        <f>getWeightAsDouble('RawData (GH)'!I568)</f>
        <v>620</v>
      </c>
      <c r="L568" s="34">
        <f>getSizeDiameter('RawData (GH)'!J568)</f>
        <v>80</v>
      </c>
      <c r="M568" s="34">
        <f>getSizeLength('RawData (GH)'!J568)</f>
        <v>127</v>
      </c>
    </row>
    <row r="569" spans="1:13" x14ac:dyDescent="0.25">
      <c r="A569" t="str">
        <f>'RawData (GH)'!A569</f>
        <v>Olympus Zuiko digital ED 7-14mm 4.0 schwarz</v>
      </c>
      <c r="B569" s="5">
        <f>getFocalLengthStart('RawData (GH)'!B569)</f>
        <v>7</v>
      </c>
      <c r="C569" s="5">
        <f>getFocalLengthEnd('RawData (GH)'!B569)</f>
        <v>14</v>
      </c>
      <c r="D569" s="9">
        <f>getApertureStart('RawData (GH)'!C569)</f>
        <v>4</v>
      </c>
      <c r="E569" s="9">
        <f>getApertureEnd('RawData (GH)'!C569)</f>
        <v>4</v>
      </c>
      <c r="F569" s="2">
        <f>getFiltersizeAsDouble('RawData (GH)'!D569)</f>
        <v>0</v>
      </c>
      <c r="G569" s="35">
        <f>getMagnification('RawData (GH)'!E569)</f>
        <v>9.09</v>
      </c>
      <c r="H569" s="62">
        <f>getMinimalFocus('RawData (GH)'!F569)</f>
        <v>0</v>
      </c>
      <c r="I569" t="str">
        <f>getMount('RawData (GH)'!G569)</f>
        <v>Four-Thirds</v>
      </c>
      <c r="J569" t="str">
        <f>getSensorCompatibility('RawData (GH)'!H569)</f>
        <v>Four-Thirds</v>
      </c>
      <c r="K569" s="45">
        <f>getWeightAsDouble('RawData (GH)'!I569)</f>
        <v>780</v>
      </c>
      <c r="L569" s="34">
        <f>getSizeDiameter('RawData (GH)'!J569)</f>
        <v>86.5</v>
      </c>
      <c r="M569" s="34">
        <f>getSizeLength('RawData (GH)'!J569)</f>
        <v>119.5</v>
      </c>
    </row>
    <row r="570" spans="1:13" x14ac:dyDescent="0.25">
      <c r="A570" t="str">
        <f>'RawData (GH)'!A570</f>
        <v>Olympus Zuiko digital ED 8mm 3.5 Fisheye schwarz</v>
      </c>
      <c r="B570" s="5">
        <f>getFocalLengthStart('RawData (GH)'!B570)</f>
        <v>8</v>
      </c>
      <c r="C570" s="5">
        <f>getFocalLengthEnd('RawData (GH)'!B570)</f>
        <v>8</v>
      </c>
      <c r="D570" s="9">
        <f>getApertureStart('RawData (GH)'!C570)</f>
        <v>3.5</v>
      </c>
      <c r="E570" s="9">
        <f>getApertureEnd('RawData (GH)'!C570)</f>
        <v>3.5</v>
      </c>
      <c r="F570" s="2">
        <f>getFiltersizeAsDouble('RawData (GH)'!D570)</f>
        <v>0</v>
      </c>
      <c r="G570" s="35">
        <f>getMagnification('RawData (GH)'!E570)</f>
        <v>4.55</v>
      </c>
      <c r="H570" s="62">
        <f>getMinimalFocus('RawData (GH)'!F570)</f>
        <v>0</v>
      </c>
      <c r="I570" t="str">
        <f>getMount('RawData (GH)'!G570)</f>
        <v>Four-Thirds</v>
      </c>
      <c r="J570" t="str">
        <f>getSensorCompatibility('RawData (GH)'!H570)</f>
        <v>Four-Thirds</v>
      </c>
      <c r="K570" s="45">
        <f>getWeightAsDouble('RawData (GH)'!I570)</f>
        <v>455</v>
      </c>
      <c r="L570" s="34">
        <f>getSizeDiameter('RawData (GH)'!J570)</f>
        <v>79</v>
      </c>
      <c r="M570" s="34">
        <f>getSizeLength('RawData (GH)'!J570)</f>
        <v>78</v>
      </c>
    </row>
    <row r="571" spans="1:13" x14ac:dyDescent="0.25">
      <c r="A571" t="str">
        <f>'RawData (GH)'!A571</f>
        <v>Olympus Zuiko digital ED 9-18mm 4.0-5.6 schwarz</v>
      </c>
      <c r="B571" s="5">
        <f>getFocalLengthStart('RawData (GH)'!B571)</f>
        <v>9</v>
      </c>
      <c r="C571" s="5">
        <f>getFocalLengthEnd('RawData (GH)'!B571)</f>
        <v>18</v>
      </c>
      <c r="D571" s="9">
        <f>getApertureStart('RawData (GH)'!C571)</f>
        <v>4</v>
      </c>
      <c r="E571" s="9">
        <f>getApertureEnd('RawData (GH)'!C571)</f>
        <v>5.6</v>
      </c>
      <c r="F571" s="2">
        <f>getFiltersizeAsDouble('RawData (GH)'!D571)</f>
        <v>72</v>
      </c>
      <c r="G571" s="35">
        <f>getMagnification('RawData (GH)'!E571)</f>
        <v>8.33</v>
      </c>
      <c r="H571" s="62">
        <f>getMinimalFocus('RawData (GH)'!F571)</f>
        <v>0</v>
      </c>
      <c r="I571" t="str">
        <f>getMount('RawData (GH)'!G571)</f>
        <v>Four-Thirds</v>
      </c>
      <c r="J571" t="str">
        <f>getSensorCompatibility('RawData (GH)'!H571)</f>
        <v>Four-Thirds</v>
      </c>
      <c r="K571" s="45">
        <f>getWeightAsDouble('RawData (GH)'!I571)</f>
        <v>280</v>
      </c>
      <c r="L571" s="34">
        <f>getSizeDiameter('RawData (GH)'!J571)</f>
        <v>73</v>
      </c>
      <c r="M571" s="34">
        <f>getSizeLength('RawData (GH)'!J571)</f>
        <v>79.5</v>
      </c>
    </row>
    <row r="572" spans="1:13" x14ac:dyDescent="0.25">
      <c r="A572" t="str">
        <f>'RawData (GH)'!A572</f>
        <v>Panasonic Lumix 3D-Objektiv G 12.5mm 12.0 schwarz</v>
      </c>
      <c r="B572" s="5">
        <f>getFocalLengthStart('RawData (GH)'!B572)</f>
        <v>12.5</v>
      </c>
      <c r="C572" s="5">
        <f>getFocalLengthEnd('RawData (GH)'!B572)</f>
        <v>12.5</v>
      </c>
      <c r="D572" s="9">
        <f>getApertureStart('RawData (GH)'!C572)</f>
        <v>0.05</v>
      </c>
      <c r="E572" s="9">
        <f>getApertureEnd('RawData (GH)'!C572)</f>
        <v>0.05</v>
      </c>
      <c r="F572" s="2">
        <f>getFiltersizeAsDouble('RawData (GH)'!D572)</f>
        <v>0</v>
      </c>
      <c r="G572" s="35">
        <f>getMagnification('RawData (GH)'!E572)</f>
        <v>50</v>
      </c>
      <c r="H572" s="62">
        <f>getMinimalFocus('RawData (GH)'!F572)</f>
        <v>0</v>
      </c>
      <c r="I572" t="str">
        <f>getMount('RawData (GH)'!G572)</f>
        <v>Micro-Four-Thirds</v>
      </c>
      <c r="J572" t="str">
        <f>getSensorCompatibility('RawData (GH)'!H572)</f>
        <v>Four-Thirds</v>
      </c>
      <c r="K572" s="45">
        <f>getWeightAsDouble('RawData (GH)'!I572)</f>
        <v>45</v>
      </c>
      <c r="L572" s="34">
        <f>getSizeDiameter('RawData (GH)'!J572)</f>
        <v>0</v>
      </c>
      <c r="M572" s="34">
        <f>getSizeLength('RawData (GH)'!J572)</f>
        <v>0</v>
      </c>
    </row>
    <row r="573" spans="1:13" x14ac:dyDescent="0.25">
      <c r="A573" t="str">
        <f>'RawData (GH)'!A573</f>
        <v>Panasonic Lumix G 14mm 2.5 ASPH II schwarz</v>
      </c>
      <c r="B573" s="5">
        <f>getFocalLengthStart('RawData (GH)'!B573)</f>
        <v>14</v>
      </c>
      <c r="C573" s="5">
        <f>getFocalLengthEnd('RawData (GH)'!B573)</f>
        <v>14</v>
      </c>
      <c r="D573" s="9">
        <f>getApertureStart('RawData (GH)'!C573)</f>
        <v>2.5</v>
      </c>
      <c r="E573" s="9">
        <f>getApertureEnd('RawData (GH)'!C573)</f>
        <v>2.5</v>
      </c>
      <c r="F573" s="2">
        <f>getFiltersizeAsDouble('RawData (GH)'!D573)</f>
        <v>46</v>
      </c>
      <c r="G573" s="35">
        <f>getMagnification('RawData (GH)'!E573)</f>
        <v>10</v>
      </c>
      <c r="H573" s="62">
        <f>getMinimalFocus('RawData (GH)'!F573)</f>
        <v>0</v>
      </c>
      <c r="I573" t="str">
        <f>getMount('RawData (GH)'!G573)</f>
        <v>Micro-Four-Thirds</v>
      </c>
      <c r="J573" t="str">
        <f>getSensorCompatibility('RawData (GH)'!H573)</f>
        <v>Four-Thirds</v>
      </c>
      <c r="K573" s="45">
        <f>getWeightAsDouble('RawData (GH)'!I573)</f>
        <v>55</v>
      </c>
      <c r="L573" s="34">
        <f>getSizeDiameter('RawData (GH)'!J573)</f>
        <v>55.5</v>
      </c>
      <c r="M573" s="34">
        <f>getSizeLength('RawData (GH)'!J573)</f>
        <v>20.5</v>
      </c>
    </row>
    <row r="574" spans="1:13" x14ac:dyDescent="0.25">
      <c r="A574" t="str">
        <f>'RawData (GH)'!A574</f>
        <v>Panasonic Lumix G 14mm 2.5 ASPH II silber</v>
      </c>
      <c r="B574" s="5">
        <f>getFocalLengthStart('RawData (GH)'!B574)</f>
        <v>14</v>
      </c>
      <c r="C574" s="5">
        <f>getFocalLengthEnd('RawData (GH)'!B574)</f>
        <v>14</v>
      </c>
      <c r="D574" s="9">
        <f>getApertureStart('RawData (GH)'!C574)</f>
        <v>2.5</v>
      </c>
      <c r="E574" s="9">
        <f>getApertureEnd('RawData (GH)'!C574)</f>
        <v>2.5</v>
      </c>
      <c r="F574" s="2">
        <f>getFiltersizeAsDouble('RawData (GH)'!D574)</f>
        <v>46</v>
      </c>
      <c r="G574" s="35">
        <f>getMagnification('RawData (GH)'!E574)</f>
        <v>10</v>
      </c>
      <c r="H574" s="62">
        <f>getMinimalFocus('RawData (GH)'!F574)</f>
        <v>0</v>
      </c>
      <c r="I574" t="str">
        <f>getMount('RawData (GH)'!G574)</f>
        <v>Micro-Four-Thirds</v>
      </c>
      <c r="J574" t="str">
        <f>getSensorCompatibility('RawData (GH)'!H574)</f>
        <v>Four-Thirds</v>
      </c>
      <c r="K574" s="45">
        <f>getWeightAsDouble('RawData (GH)'!I574)</f>
        <v>55</v>
      </c>
      <c r="L574" s="34">
        <f>getSizeDiameter('RawData (GH)'!J574)</f>
        <v>55.5</v>
      </c>
      <c r="M574" s="34">
        <f>getSizeLength('RawData (GH)'!J574)</f>
        <v>20.5</v>
      </c>
    </row>
    <row r="575" spans="1:13" x14ac:dyDescent="0.25">
      <c r="A575" t="str">
        <f>'RawData (GH)'!A575</f>
        <v>Panasonic Lumix G 14mm 2.5 ASPH schwarz</v>
      </c>
      <c r="B575" s="5">
        <f>getFocalLengthStart('RawData (GH)'!B575)</f>
        <v>14</v>
      </c>
      <c r="C575" s="5">
        <f>getFocalLengthEnd('RawData (GH)'!B575)</f>
        <v>14</v>
      </c>
      <c r="D575" s="9">
        <f>getApertureStart('RawData (GH)'!C575)</f>
        <v>2.5</v>
      </c>
      <c r="E575" s="9">
        <f>getApertureEnd('RawData (GH)'!C575)</f>
        <v>2.5</v>
      </c>
      <c r="F575" s="2">
        <f>getFiltersizeAsDouble('RawData (GH)'!D575)</f>
        <v>46</v>
      </c>
      <c r="G575" s="35">
        <f>getMagnification('RawData (GH)'!E575)</f>
        <v>0</v>
      </c>
      <c r="H575" s="62">
        <f>getMinimalFocus('RawData (GH)'!F575)</f>
        <v>0</v>
      </c>
      <c r="I575" t="str">
        <f>getMount('RawData (GH)'!G575)</f>
        <v>Micro-Four-Thirds</v>
      </c>
      <c r="J575" t="str">
        <f>getSensorCompatibility('RawData (GH)'!H575)</f>
        <v>Four-Thirds</v>
      </c>
      <c r="K575" s="45">
        <f>getWeightAsDouble('RawData (GH)'!I575)</f>
        <v>55</v>
      </c>
      <c r="L575" s="34">
        <f>getSizeDiameter('RawData (GH)'!J575)</f>
        <v>0</v>
      </c>
      <c r="M575" s="34">
        <f>getSizeLength('RawData (GH)'!J575)</f>
        <v>0</v>
      </c>
    </row>
    <row r="576" spans="1:13" x14ac:dyDescent="0.25">
      <c r="A576" t="str">
        <f>'RawData (GH)'!A576</f>
        <v>Panasonic Lumix G 20mm 1.7 ASPH schwarz</v>
      </c>
      <c r="B576" s="5">
        <f>getFocalLengthStart('RawData (GH)'!B576)</f>
        <v>20</v>
      </c>
      <c r="C576" s="5">
        <f>getFocalLengthEnd('RawData (GH)'!B576)</f>
        <v>20</v>
      </c>
      <c r="D576" s="9">
        <f>getApertureStart('RawData (GH)'!C576)</f>
        <v>1.7</v>
      </c>
      <c r="E576" s="9">
        <f>getApertureEnd('RawData (GH)'!C576)</f>
        <v>1.7</v>
      </c>
      <c r="F576" s="2">
        <f>getFiltersizeAsDouble('RawData (GH)'!D576)</f>
        <v>46</v>
      </c>
      <c r="G576" s="35">
        <f>getMagnification('RawData (GH)'!E576)</f>
        <v>7.69</v>
      </c>
      <c r="H576" s="62">
        <f>getMinimalFocus('RawData (GH)'!F576)</f>
        <v>0</v>
      </c>
      <c r="I576" t="str">
        <f>getMount('RawData (GH)'!G576)</f>
        <v>Micro-Four-Thirds</v>
      </c>
      <c r="J576" t="str">
        <f>getSensorCompatibility('RawData (GH)'!H576)</f>
        <v>Four-Thirds</v>
      </c>
      <c r="K576" s="45">
        <f>getWeightAsDouble('RawData (GH)'!I576)</f>
        <v>100</v>
      </c>
      <c r="L576" s="34">
        <f>getSizeDiameter('RawData (GH)'!J576)</f>
        <v>63</v>
      </c>
      <c r="M576" s="34">
        <f>getSizeLength('RawData (GH)'!J576)</f>
        <v>25.5</v>
      </c>
    </row>
    <row r="577" spans="1:13" x14ac:dyDescent="0.25">
      <c r="A577" t="str">
        <f>'RawData (GH)'!A577</f>
        <v>Panasonic Lumix G 20mm 1.7 II ASPH schwarz</v>
      </c>
      <c r="B577" s="5">
        <f>getFocalLengthStart('RawData (GH)'!B577)</f>
        <v>20</v>
      </c>
      <c r="C577" s="5">
        <f>getFocalLengthEnd('RawData (GH)'!B577)</f>
        <v>20</v>
      </c>
      <c r="D577" s="9">
        <f>getApertureStart('RawData (GH)'!C577)</f>
        <v>1.7</v>
      </c>
      <c r="E577" s="9">
        <f>getApertureEnd('RawData (GH)'!C577)</f>
        <v>1.7</v>
      </c>
      <c r="F577" s="2">
        <f>getFiltersizeAsDouble('RawData (GH)'!D577)</f>
        <v>46</v>
      </c>
      <c r="G577" s="35">
        <f>getMagnification('RawData (GH)'!E577)</f>
        <v>7.69</v>
      </c>
      <c r="H577" s="62">
        <f>getMinimalFocus('RawData (GH)'!F577)</f>
        <v>0</v>
      </c>
      <c r="I577" t="str">
        <f>getMount('RawData (GH)'!G577)</f>
        <v>Micro-Four-Thirds</v>
      </c>
      <c r="J577" t="str">
        <f>getSensorCompatibility('RawData (GH)'!H577)</f>
        <v>Four-Thirds</v>
      </c>
      <c r="K577" s="45">
        <f>getWeightAsDouble('RawData (GH)'!I577)</f>
        <v>87</v>
      </c>
      <c r="L577" s="34">
        <f>getSizeDiameter('RawData (GH)'!J577)</f>
        <v>63</v>
      </c>
      <c r="M577" s="34">
        <f>getSizeLength('RawData (GH)'!J577)</f>
        <v>25.5</v>
      </c>
    </row>
    <row r="578" spans="1:13" x14ac:dyDescent="0.25">
      <c r="A578" t="str">
        <f>'RawData (GH)'!A578</f>
        <v>Panasonic Lumix G 20mm 1.7 II ASPH silber</v>
      </c>
      <c r="B578" s="5">
        <f>getFocalLengthStart('RawData (GH)'!B578)</f>
        <v>20</v>
      </c>
      <c r="C578" s="5">
        <f>getFocalLengthEnd('RawData (GH)'!B578)</f>
        <v>20</v>
      </c>
      <c r="D578" s="9">
        <f>getApertureStart('RawData (GH)'!C578)</f>
        <v>1.7</v>
      </c>
      <c r="E578" s="9">
        <f>getApertureEnd('RawData (GH)'!C578)</f>
        <v>1.7</v>
      </c>
      <c r="F578" s="2">
        <f>getFiltersizeAsDouble('RawData (GH)'!D578)</f>
        <v>46</v>
      </c>
      <c r="G578" s="35">
        <f>getMagnification('RawData (GH)'!E578)</f>
        <v>7.69</v>
      </c>
      <c r="H578" s="62">
        <f>getMinimalFocus('RawData (GH)'!F578)</f>
        <v>0</v>
      </c>
      <c r="I578" t="str">
        <f>getMount('RawData (GH)'!G578)</f>
        <v>Micro-Four-Thirds</v>
      </c>
      <c r="J578" t="str">
        <f>getSensorCompatibility('RawData (GH)'!H578)</f>
        <v>Four-Thirds</v>
      </c>
      <c r="K578" s="45">
        <f>getWeightAsDouble('RawData (GH)'!I578)</f>
        <v>87</v>
      </c>
      <c r="L578" s="34">
        <f>getSizeDiameter('RawData (GH)'!J578)</f>
        <v>63</v>
      </c>
      <c r="M578" s="34">
        <f>getSizeLength('RawData (GH)'!J578)</f>
        <v>25.5</v>
      </c>
    </row>
    <row r="579" spans="1:13" x14ac:dyDescent="0.25">
      <c r="A579" t="str">
        <f>'RawData (GH)'!A579</f>
        <v>Panasonic Lumix G 25mm 1.7 schwarz</v>
      </c>
      <c r="B579" s="5">
        <f>getFocalLengthStart('RawData (GH)'!B579)</f>
        <v>25</v>
      </c>
      <c r="C579" s="5">
        <f>getFocalLengthEnd('RawData (GH)'!B579)</f>
        <v>25</v>
      </c>
      <c r="D579" s="9">
        <f>getApertureStart('RawData (GH)'!C579)</f>
        <v>1.7</v>
      </c>
      <c r="E579" s="9">
        <f>getApertureEnd('RawData (GH)'!C579)</f>
        <v>1.7</v>
      </c>
      <c r="F579" s="2">
        <f>getFiltersizeAsDouble('RawData (GH)'!D579)</f>
        <v>46</v>
      </c>
      <c r="G579" s="35">
        <f>getMagnification('RawData (GH)'!E579)</f>
        <v>7.14</v>
      </c>
      <c r="H579" s="62">
        <f>getMinimalFocus('RawData (GH)'!F579)</f>
        <v>0</v>
      </c>
      <c r="I579" t="str">
        <f>getMount('RawData (GH)'!G579)</f>
        <v>Micro-Four-Thirds</v>
      </c>
      <c r="J579" t="str">
        <f>getSensorCompatibility('RawData (GH)'!H579)</f>
        <v>Four-Thirds</v>
      </c>
      <c r="K579" s="45">
        <f>getWeightAsDouble('RawData (GH)'!I579)</f>
        <v>125</v>
      </c>
      <c r="L579" s="34">
        <f>getSizeDiameter('RawData (GH)'!J579)</f>
        <v>60.8</v>
      </c>
      <c r="M579" s="34">
        <f>getSizeLength('RawData (GH)'!J579)</f>
        <v>52</v>
      </c>
    </row>
    <row r="580" spans="1:13" x14ac:dyDescent="0.25">
      <c r="A580" t="str">
        <f>'RawData (GH)'!A580</f>
        <v>Panasonic Lumix G 25mm 1.7 silber</v>
      </c>
      <c r="B580" s="5">
        <f>getFocalLengthStart('RawData (GH)'!B580)</f>
        <v>25</v>
      </c>
      <c r="C580" s="5">
        <f>getFocalLengthEnd('RawData (GH)'!B580)</f>
        <v>25</v>
      </c>
      <c r="D580" s="9">
        <f>getApertureStart('RawData (GH)'!C580)</f>
        <v>1.7</v>
      </c>
      <c r="E580" s="9">
        <f>getApertureEnd('RawData (GH)'!C580)</f>
        <v>1.7</v>
      </c>
      <c r="F580" s="2">
        <f>getFiltersizeAsDouble('RawData (GH)'!D580)</f>
        <v>46</v>
      </c>
      <c r="G580" s="35">
        <f>getMagnification('RawData (GH)'!E580)</f>
        <v>7.14</v>
      </c>
      <c r="H580" s="62">
        <f>getMinimalFocus('RawData (GH)'!F580)</f>
        <v>0</v>
      </c>
      <c r="I580" t="str">
        <f>getMount('RawData (GH)'!G580)</f>
        <v>Micro-Four-Thirds</v>
      </c>
      <c r="J580" t="str">
        <f>getSensorCompatibility('RawData (GH)'!H580)</f>
        <v>Four-Thirds</v>
      </c>
      <c r="K580" s="45">
        <f>getWeightAsDouble('RawData (GH)'!I580)</f>
        <v>125</v>
      </c>
      <c r="L580" s="34">
        <f>getSizeDiameter('RawData (GH)'!J580)</f>
        <v>60.8</v>
      </c>
      <c r="M580" s="34">
        <f>getSizeLength('RawData (GH)'!J580)</f>
        <v>52</v>
      </c>
    </row>
    <row r="581" spans="1:13" x14ac:dyDescent="0.25">
      <c r="A581" t="str">
        <f>'RawData (GH)'!A581</f>
        <v>Panasonic Lumix G 30mm 2.8 Makro ASPH OIS schwarz</v>
      </c>
      <c r="B581" s="5">
        <f>getFocalLengthStart('RawData (GH)'!B581)</f>
        <v>30</v>
      </c>
      <c r="C581" s="5">
        <f>getFocalLengthEnd('RawData (GH)'!B581)</f>
        <v>30</v>
      </c>
      <c r="D581" s="9">
        <f>getApertureStart('RawData (GH)'!C581)</f>
        <v>2.8</v>
      </c>
      <c r="E581" s="9">
        <f>getApertureEnd('RawData (GH)'!C581)</f>
        <v>2.8</v>
      </c>
      <c r="F581" s="2">
        <f>getFiltersizeAsDouble('RawData (GH)'!D581)</f>
        <v>46</v>
      </c>
      <c r="G581" s="35">
        <f>getMagnification('RawData (GH)'!E581)</f>
        <v>1</v>
      </c>
      <c r="H581" s="62">
        <f>getMinimalFocus('RawData (GH)'!F581)</f>
        <v>0</v>
      </c>
      <c r="I581" t="str">
        <f>getMount('RawData (GH)'!G581)</f>
        <v>Micro-Four-Thirds</v>
      </c>
      <c r="J581" t="str">
        <f>getSensorCompatibility('RawData (GH)'!H581)</f>
        <v>Four-Thirds</v>
      </c>
      <c r="K581" s="45">
        <f>getWeightAsDouble('RawData (GH)'!I581)</f>
        <v>180</v>
      </c>
      <c r="L581" s="34">
        <f>getSizeDiameter('RawData (GH)'!J581)</f>
        <v>58.8</v>
      </c>
      <c r="M581" s="34">
        <f>getSizeLength('RawData (GH)'!J581)</f>
        <v>63.5</v>
      </c>
    </row>
    <row r="582" spans="1:13" x14ac:dyDescent="0.25">
      <c r="A582" t="str">
        <f>'RawData (GH)'!A582</f>
        <v>Panasonic Lumix G 42.5mm 1.7 ASPH Power OIS schwarz</v>
      </c>
      <c r="B582" s="5">
        <f>getFocalLengthStart('RawData (GH)'!B582)</f>
        <v>42.5</v>
      </c>
      <c r="C582" s="5">
        <f>getFocalLengthEnd('RawData (GH)'!B582)</f>
        <v>42.5</v>
      </c>
      <c r="D582" s="9">
        <f>getApertureStart('RawData (GH)'!C582)</f>
        <v>1.7</v>
      </c>
      <c r="E582" s="9">
        <f>getApertureEnd('RawData (GH)'!C582)</f>
        <v>1.7</v>
      </c>
      <c r="F582" s="2">
        <f>getFiltersizeAsDouble('RawData (GH)'!D582)</f>
        <v>37</v>
      </c>
      <c r="G582" s="35">
        <f>getMagnification('RawData (GH)'!E582)</f>
        <v>5</v>
      </c>
      <c r="H582" s="62">
        <f>getMinimalFocus('RawData (GH)'!F582)</f>
        <v>0</v>
      </c>
      <c r="I582" t="str">
        <f>getMount('RawData (GH)'!G582)</f>
        <v>Micro-Four-Thirds</v>
      </c>
      <c r="J582" t="str">
        <f>getSensorCompatibility('RawData (GH)'!H582)</f>
        <v>Four-Thirds</v>
      </c>
      <c r="K582" s="45">
        <f>getWeightAsDouble('RawData (GH)'!I582)</f>
        <v>130</v>
      </c>
      <c r="L582" s="34">
        <f>getSizeDiameter('RawData (GH)'!J582)</f>
        <v>55</v>
      </c>
      <c r="M582" s="34">
        <f>getSizeLength('RawData (GH)'!J582)</f>
        <v>50</v>
      </c>
    </row>
    <row r="583" spans="1:13" x14ac:dyDescent="0.25">
      <c r="A583" t="str">
        <f>'RawData (GH)'!A583</f>
        <v>Panasonic Lumix G 8mm 3.5 Fisheye schwarz</v>
      </c>
      <c r="B583" s="5">
        <f>getFocalLengthStart('RawData (GH)'!B583)</f>
        <v>8</v>
      </c>
      <c r="C583" s="5">
        <f>getFocalLengthEnd('RawData (GH)'!B583)</f>
        <v>8</v>
      </c>
      <c r="D583" s="9">
        <f>getApertureStart('RawData (GH)'!C583)</f>
        <v>3.5</v>
      </c>
      <c r="E583" s="9">
        <f>getApertureEnd('RawData (GH)'!C583)</f>
        <v>3.5</v>
      </c>
      <c r="F583" s="2">
        <f>getFiltersizeAsDouble('RawData (GH)'!D583)</f>
        <v>0</v>
      </c>
      <c r="G583" s="35">
        <f>getMagnification('RawData (GH)'!E583)</f>
        <v>5</v>
      </c>
      <c r="H583" s="62">
        <f>getMinimalFocus('RawData (GH)'!F583)</f>
        <v>0</v>
      </c>
      <c r="I583" t="str">
        <f>getMount('RawData (GH)'!G583)</f>
        <v>Micro-Four-Thirds</v>
      </c>
      <c r="J583" t="str">
        <f>getSensorCompatibility('RawData (GH)'!H583)</f>
        <v>Four-Thirds</v>
      </c>
      <c r="K583" s="45">
        <f>getWeightAsDouble('RawData (GH)'!I583)</f>
        <v>165</v>
      </c>
      <c r="L583" s="34">
        <f>getSizeDiameter('RawData (GH)'!J583)</f>
        <v>60.7</v>
      </c>
      <c r="M583" s="34">
        <f>getSizeLength('RawData (GH)'!J583)</f>
        <v>51.7</v>
      </c>
    </row>
    <row r="584" spans="1:13" x14ac:dyDescent="0.25">
      <c r="A584" t="str">
        <f>'RawData (GH)'!A584</f>
        <v>Panasonic Lumix G Vario 100-300mm 4.0-5.6 II OIS schwarz</v>
      </c>
      <c r="B584" s="5">
        <f>getFocalLengthStart('RawData (GH)'!B584)</f>
        <v>100</v>
      </c>
      <c r="C584" s="5">
        <f>getFocalLengthEnd('RawData (GH)'!B584)</f>
        <v>300</v>
      </c>
      <c r="D584" s="9">
        <f>getApertureStart('RawData (GH)'!C584)</f>
        <v>4</v>
      </c>
      <c r="E584" s="9">
        <f>getApertureEnd('RawData (GH)'!C584)</f>
        <v>5.6</v>
      </c>
      <c r="F584" s="2">
        <f>getFiltersizeAsDouble('RawData (GH)'!D584)</f>
        <v>67</v>
      </c>
      <c r="G584" s="35">
        <f>getMagnification('RawData (GH)'!E584)</f>
        <v>4.76</v>
      </c>
      <c r="H584" s="62">
        <f>getMinimalFocus('RawData (GH)'!F584)</f>
        <v>0</v>
      </c>
      <c r="I584" t="str">
        <f>getMount('RawData (GH)'!G584)</f>
        <v>Micro-Four-Thirds</v>
      </c>
      <c r="J584" t="str">
        <f>getSensorCompatibility('RawData (GH)'!H584)</f>
        <v>Four-Thirds</v>
      </c>
      <c r="K584" s="45">
        <f>getWeightAsDouble('RawData (GH)'!I584)</f>
        <v>520</v>
      </c>
      <c r="L584" s="34">
        <f>getSizeDiameter('RawData (GH)'!J584)</f>
        <v>73.599999999999994</v>
      </c>
      <c r="M584" s="34">
        <f>getSizeLength('RawData (GH)'!J584)</f>
        <v>126</v>
      </c>
    </row>
    <row r="585" spans="1:13" x14ac:dyDescent="0.25">
      <c r="A585" t="str">
        <f>'RawData (GH)'!A585</f>
        <v>Panasonic Lumix G Vario 100-300mm 4.0-5.6 OIS schwarz</v>
      </c>
      <c r="B585" s="5">
        <f>getFocalLengthStart('RawData (GH)'!B585)</f>
        <v>100</v>
      </c>
      <c r="C585" s="5">
        <f>getFocalLengthEnd('RawData (GH)'!B585)</f>
        <v>300</v>
      </c>
      <c r="D585" s="9">
        <f>getApertureStart('RawData (GH)'!C585)</f>
        <v>4</v>
      </c>
      <c r="E585" s="9">
        <f>getApertureEnd('RawData (GH)'!C585)</f>
        <v>5.6</v>
      </c>
      <c r="F585" s="2">
        <f>getFiltersizeAsDouble('RawData (GH)'!D585)</f>
        <v>67</v>
      </c>
      <c r="G585" s="35">
        <f>getMagnification('RawData (GH)'!E585)</f>
        <v>4.76</v>
      </c>
      <c r="H585" s="62">
        <f>getMinimalFocus('RawData (GH)'!F585)</f>
        <v>0</v>
      </c>
      <c r="I585" t="str">
        <f>getMount('RawData (GH)'!G585)</f>
        <v>Micro-Four-Thirds</v>
      </c>
      <c r="J585" t="str">
        <f>getSensorCompatibility('RawData (GH)'!H585)</f>
        <v>Four-Thirds</v>
      </c>
      <c r="K585" s="45">
        <f>getWeightAsDouble('RawData (GH)'!I585)</f>
        <v>520</v>
      </c>
      <c r="L585" s="34">
        <f>getSizeDiameter('RawData (GH)'!J585)</f>
        <v>73</v>
      </c>
      <c r="M585" s="34">
        <f>getSizeLength('RawData (GH)'!J585)</f>
        <v>126</v>
      </c>
    </row>
    <row r="586" spans="1:13" x14ac:dyDescent="0.25">
      <c r="A586" t="str">
        <f>'RawData (GH)'!A586</f>
        <v>Panasonic Lumix G Vario 12-32mm 3.5-5.6 ASPH OIS schwarz</v>
      </c>
      <c r="B586" s="5">
        <f>getFocalLengthStart('RawData (GH)'!B586)</f>
        <v>12</v>
      </c>
      <c r="C586" s="5">
        <f>getFocalLengthEnd('RawData (GH)'!B586)</f>
        <v>32</v>
      </c>
      <c r="D586" s="9">
        <f>getApertureStart('RawData (GH)'!C586)</f>
        <v>3.5</v>
      </c>
      <c r="E586" s="9">
        <f>getApertureEnd('RawData (GH)'!C586)</f>
        <v>5.6</v>
      </c>
      <c r="F586" s="2">
        <f>getFiltersizeAsDouble('RawData (GH)'!D586)</f>
        <v>37</v>
      </c>
      <c r="G586" s="35">
        <f>getMagnification('RawData (GH)'!E586)</f>
        <v>7.69</v>
      </c>
      <c r="H586" s="62">
        <f>getMinimalFocus('RawData (GH)'!F586)</f>
        <v>0</v>
      </c>
      <c r="I586" t="str">
        <f>getMount('RawData (GH)'!G586)</f>
        <v>Micro-Four-Thirds</v>
      </c>
      <c r="J586" t="str">
        <f>getSensorCompatibility('RawData (GH)'!H586)</f>
        <v>Four-Thirds</v>
      </c>
      <c r="K586" s="45">
        <f>getWeightAsDouble('RawData (GH)'!I586)</f>
        <v>70</v>
      </c>
      <c r="L586" s="34">
        <f>getSizeDiameter('RawData (GH)'!J586)</f>
        <v>55.5</v>
      </c>
      <c r="M586" s="34">
        <f>getSizeLength('RawData (GH)'!J586)</f>
        <v>24</v>
      </c>
    </row>
    <row r="587" spans="1:13" x14ac:dyDescent="0.25">
      <c r="A587" t="str">
        <f>'RawData (GH)'!A587</f>
        <v>Panasonic Lumix G Vario 12-32mm 3.5-5.6 ASPH OIS silber</v>
      </c>
      <c r="B587" s="5">
        <f>getFocalLengthStart('RawData (GH)'!B587)</f>
        <v>12</v>
      </c>
      <c r="C587" s="5">
        <f>getFocalLengthEnd('RawData (GH)'!B587)</f>
        <v>32</v>
      </c>
      <c r="D587" s="9">
        <f>getApertureStart('RawData (GH)'!C587)</f>
        <v>3.5</v>
      </c>
      <c r="E587" s="9">
        <f>getApertureEnd('RawData (GH)'!C587)</f>
        <v>5.6</v>
      </c>
      <c r="F587" s="2">
        <f>getFiltersizeAsDouble('RawData (GH)'!D587)</f>
        <v>37</v>
      </c>
      <c r="G587" s="35">
        <f>getMagnification('RawData (GH)'!E587)</f>
        <v>7.69</v>
      </c>
      <c r="H587" s="62">
        <f>getMinimalFocus('RawData (GH)'!F587)</f>
        <v>0</v>
      </c>
      <c r="I587" t="str">
        <f>getMount('RawData (GH)'!G587)</f>
        <v>Micro-Four-Thirds</v>
      </c>
      <c r="J587" t="str">
        <f>getSensorCompatibility('RawData (GH)'!H587)</f>
        <v>Four-Thirds</v>
      </c>
      <c r="K587" s="45">
        <f>getWeightAsDouble('RawData (GH)'!I587)</f>
        <v>70</v>
      </c>
      <c r="L587" s="34">
        <f>getSizeDiameter('RawData (GH)'!J587)</f>
        <v>55.5</v>
      </c>
      <c r="M587" s="34">
        <f>getSizeLength('RawData (GH)'!J587)</f>
        <v>24</v>
      </c>
    </row>
    <row r="588" spans="1:13" x14ac:dyDescent="0.25">
      <c r="A588" t="str">
        <f>'RawData (GH)'!A588</f>
        <v>Panasonic Lumix G Vario 12-60mm 3.5-5.6 ASPH Power OIS schwarz</v>
      </c>
      <c r="B588" s="5">
        <f>getFocalLengthStart('RawData (GH)'!B588)</f>
        <v>12</v>
      </c>
      <c r="C588" s="5">
        <f>getFocalLengthEnd('RawData (GH)'!B588)</f>
        <v>60</v>
      </c>
      <c r="D588" s="9">
        <f>getApertureStart('RawData (GH)'!C588)</f>
        <v>3.5</v>
      </c>
      <c r="E588" s="9">
        <f>getApertureEnd('RawData (GH)'!C588)</f>
        <v>5.6</v>
      </c>
      <c r="F588" s="2">
        <f>getFiltersizeAsDouble('RawData (GH)'!D588)</f>
        <v>58</v>
      </c>
      <c r="G588" s="35">
        <f>getMagnification('RawData (GH)'!E588)</f>
        <v>3.7</v>
      </c>
      <c r="H588" s="62">
        <f>getMinimalFocus('RawData (GH)'!F588)</f>
        <v>0</v>
      </c>
      <c r="I588" t="str">
        <f>getMount('RawData (GH)'!G588)</f>
        <v>Micro-Four-Thirds</v>
      </c>
      <c r="J588" t="str">
        <f>getSensorCompatibility('RawData (GH)'!H588)</f>
        <v>Four-Thirds</v>
      </c>
      <c r="K588" s="45">
        <f>getWeightAsDouble('RawData (GH)'!I588)</f>
        <v>210</v>
      </c>
      <c r="L588" s="34">
        <f>getSizeDiameter('RawData (GH)'!J588)</f>
        <v>66</v>
      </c>
      <c r="M588" s="34">
        <f>getSizeLength('RawData (GH)'!J588)</f>
        <v>71</v>
      </c>
    </row>
    <row r="589" spans="1:13" x14ac:dyDescent="0.25">
      <c r="A589" t="str">
        <f>'RawData (GH)'!A589</f>
        <v>Panasonic Lumix G Vario 14-140mm 3.5-5.6 ASPH OIS schwarz</v>
      </c>
      <c r="B589" s="5">
        <f>getFocalLengthStart('RawData (GH)'!B589)</f>
        <v>14</v>
      </c>
      <c r="C589" s="5">
        <f>getFocalLengthEnd('RawData (GH)'!B589)</f>
        <v>140</v>
      </c>
      <c r="D589" s="9">
        <f>getApertureStart('RawData (GH)'!C589)</f>
        <v>3.5</v>
      </c>
      <c r="E589" s="9">
        <f>getApertureEnd('RawData (GH)'!C589)</f>
        <v>5.6</v>
      </c>
      <c r="F589" s="2">
        <f>getFiltersizeAsDouble('RawData (GH)'!D589)</f>
        <v>58</v>
      </c>
      <c r="G589" s="35">
        <f>getMagnification('RawData (GH)'!E589)</f>
        <v>4</v>
      </c>
      <c r="H589" s="62">
        <f>getMinimalFocus('RawData (GH)'!F589)</f>
        <v>0</v>
      </c>
      <c r="I589" t="str">
        <f>getMount('RawData (GH)'!G589)</f>
        <v>Micro-Four-Thirds</v>
      </c>
      <c r="J589" t="str">
        <f>getSensorCompatibility('RawData (GH)'!H589)</f>
        <v>Four-Thirds</v>
      </c>
      <c r="K589" s="45">
        <f>getWeightAsDouble('RawData (GH)'!I589)</f>
        <v>265</v>
      </c>
      <c r="L589" s="34">
        <f>getSizeDiameter('RawData (GH)'!J589)</f>
        <v>67</v>
      </c>
      <c r="M589" s="34">
        <f>getSizeLength('RawData (GH)'!J589)</f>
        <v>75</v>
      </c>
    </row>
    <row r="590" spans="1:13" x14ac:dyDescent="0.25">
      <c r="A590" t="str">
        <f>'RawData (GH)'!A590</f>
        <v>Panasonic Lumix G Vario 14-42mm 3.5-5.6 ASPH OIS schwarz</v>
      </c>
      <c r="B590" s="5">
        <f>getFocalLengthStart('RawData (GH)'!B590)</f>
        <v>14</v>
      </c>
      <c r="C590" s="5">
        <f>getFocalLengthEnd('RawData (GH)'!B590)</f>
        <v>42</v>
      </c>
      <c r="D590" s="9">
        <f>getApertureStart('RawData (GH)'!C590)</f>
        <v>3.5</v>
      </c>
      <c r="E590" s="9">
        <f>getApertureEnd('RawData (GH)'!C590)</f>
        <v>5.6</v>
      </c>
      <c r="F590" s="2">
        <f>getFiltersizeAsDouble('RawData (GH)'!D590)</f>
        <v>52</v>
      </c>
      <c r="G590" s="35">
        <f>getMagnification('RawData (GH)'!E590)</f>
        <v>6.25</v>
      </c>
      <c r="H590" s="62">
        <f>getMinimalFocus('RawData (GH)'!F590)</f>
        <v>0</v>
      </c>
      <c r="I590" t="str">
        <f>getMount('RawData (GH)'!G590)</f>
        <v>Micro-Four-Thirds</v>
      </c>
      <c r="J590" t="str">
        <f>getSensorCompatibility('RawData (GH)'!H590)</f>
        <v>Four-Thirds</v>
      </c>
      <c r="K590" s="45">
        <f>getWeightAsDouble('RawData (GH)'!I590)</f>
        <v>165</v>
      </c>
      <c r="L590" s="34">
        <f>getSizeDiameter('RawData (GH)'!J590)</f>
        <v>0</v>
      </c>
      <c r="M590" s="34">
        <f>getSizeLength('RawData (GH)'!J590)</f>
        <v>0</v>
      </c>
    </row>
    <row r="591" spans="1:13" x14ac:dyDescent="0.25">
      <c r="A591" t="str">
        <f>'RawData (GH)'!A591</f>
        <v>Panasonic Lumix G Vario 14-42mm 3.5-5.6 II ASPH OIS schwarz</v>
      </c>
      <c r="B591" s="5">
        <f>getFocalLengthStart('RawData (GH)'!B591)</f>
        <v>14</v>
      </c>
      <c r="C591" s="5">
        <f>getFocalLengthEnd('RawData (GH)'!B591)</f>
        <v>42</v>
      </c>
      <c r="D591" s="9">
        <f>getApertureStart('RawData (GH)'!C591)</f>
        <v>3.5</v>
      </c>
      <c r="E591" s="9">
        <f>getApertureEnd('RawData (GH)'!C591)</f>
        <v>5.6</v>
      </c>
      <c r="F591" s="2">
        <f>getFiltersizeAsDouble('RawData (GH)'!D591)</f>
        <v>46</v>
      </c>
      <c r="G591" s="35">
        <f>getMagnification('RawData (GH)'!E591)</f>
        <v>2.94</v>
      </c>
      <c r="H591" s="62">
        <f>getMinimalFocus('RawData (GH)'!F591)</f>
        <v>0</v>
      </c>
      <c r="I591" t="str">
        <f>getMount('RawData (GH)'!G591)</f>
        <v>Micro-Four-Thirds</v>
      </c>
      <c r="J591" t="str">
        <f>getSensorCompatibility('RawData (GH)'!H591)</f>
        <v>Four-Thirds</v>
      </c>
      <c r="K591" s="45">
        <f>getWeightAsDouble('RawData (GH)'!I591)</f>
        <v>110</v>
      </c>
      <c r="L591" s="34">
        <f>getSizeDiameter('RawData (GH)'!J591)</f>
        <v>56</v>
      </c>
      <c r="M591" s="34">
        <f>getSizeLength('RawData (GH)'!J591)</f>
        <v>49</v>
      </c>
    </row>
    <row r="592" spans="1:13" x14ac:dyDescent="0.25">
      <c r="A592" t="str">
        <f>'RawData (GH)'!A592</f>
        <v>Panasonic Lumix G Vario 14-42mm 3.5-5.6 II ASPH OIS silber</v>
      </c>
      <c r="B592" s="5">
        <f>getFocalLengthStart('RawData (GH)'!B592)</f>
        <v>14</v>
      </c>
      <c r="C592" s="5">
        <f>getFocalLengthEnd('RawData (GH)'!B592)</f>
        <v>42</v>
      </c>
      <c r="D592" s="9">
        <f>getApertureStart('RawData (GH)'!C592)</f>
        <v>3.5</v>
      </c>
      <c r="E592" s="9">
        <f>getApertureEnd('RawData (GH)'!C592)</f>
        <v>5.6</v>
      </c>
      <c r="F592" s="2">
        <f>getFiltersizeAsDouble('RawData (GH)'!D592)</f>
        <v>46</v>
      </c>
      <c r="G592" s="35">
        <f>getMagnification('RawData (GH)'!E592)</f>
        <v>2.94</v>
      </c>
      <c r="H592" s="62">
        <f>getMinimalFocus('RawData (GH)'!F592)</f>
        <v>0</v>
      </c>
      <c r="I592" t="str">
        <f>getMount('RawData (GH)'!G592)</f>
        <v>Micro-Four-Thirds</v>
      </c>
      <c r="J592" t="str">
        <f>getSensorCompatibility('RawData (GH)'!H592)</f>
        <v>Four-Thirds</v>
      </c>
      <c r="K592" s="45">
        <f>getWeightAsDouble('RawData (GH)'!I592)</f>
        <v>110</v>
      </c>
      <c r="L592" s="34">
        <f>getSizeDiameter('RawData (GH)'!J592)</f>
        <v>56</v>
      </c>
      <c r="M592" s="34">
        <f>getSizeLength('RawData (GH)'!J592)</f>
        <v>49</v>
      </c>
    </row>
    <row r="593" spans="1:13" x14ac:dyDescent="0.25">
      <c r="A593" t="str">
        <f>'RawData (GH)'!A593</f>
        <v>Panasonic Lumix G Vario 14-45mm 3.5-5.6 ASPH OIS schwarz</v>
      </c>
      <c r="B593" s="5">
        <f>getFocalLengthStart('RawData (GH)'!B593)</f>
        <v>14</v>
      </c>
      <c r="C593" s="5">
        <f>getFocalLengthEnd('RawData (GH)'!B593)</f>
        <v>45</v>
      </c>
      <c r="D593" s="9">
        <f>getApertureStart('RawData (GH)'!C593)</f>
        <v>3.5</v>
      </c>
      <c r="E593" s="9">
        <f>getApertureEnd('RawData (GH)'!C593)</f>
        <v>5.6</v>
      </c>
      <c r="F593" s="2">
        <f>getFiltersizeAsDouble('RawData (GH)'!D593)</f>
        <v>0</v>
      </c>
      <c r="G593" s="35">
        <f>getMagnification('RawData (GH)'!E593)</f>
        <v>0</v>
      </c>
      <c r="H593" s="62">
        <f>getMinimalFocus('RawData (GH)'!F593)</f>
        <v>0</v>
      </c>
      <c r="I593" t="str">
        <f>getMount('RawData (GH)'!G593)</f>
        <v>Micro-Four-Thirds</v>
      </c>
      <c r="J593" t="str">
        <f>getSensorCompatibility('RawData (GH)'!H593)</f>
        <v>Four-Thirds</v>
      </c>
      <c r="K593" s="45">
        <f>getWeightAsDouble('RawData (GH)'!I593)</f>
        <v>225</v>
      </c>
      <c r="L593" s="34">
        <f>getSizeDiameter('RawData (GH)'!J593)</f>
        <v>63</v>
      </c>
      <c r="M593" s="34">
        <f>getSizeLength('RawData (GH)'!J593)</f>
        <v>62.5</v>
      </c>
    </row>
    <row r="594" spans="1:13" x14ac:dyDescent="0.25">
      <c r="A594" t="str">
        <f>'RawData (GH)'!A594</f>
        <v>Panasonic Lumix G Vario 35-100mm 4.0-5.6 OIS schwarz</v>
      </c>
      <c r="B594" s="5">
        <f>getFocalLengthStart('RawData (GH)'!B594)</f>
        <v>35</v>
      </c>
      <c r="C594" s="5">
        <f>getFocalLengthEnd('RawData (GH)'!B594)</f>
        <v>100</v>
      </c>
      <c r="D594" s="9">
        <f>getApertureStart('RawData (GH)'!C594)</f>
        <v>4</v>
      </c>
      <c r="E594" s="9">
        <f>getApertureEnd('RawData (GH)'!C594)</f>
        <v>5.6</v>
      </c>
      <c r="F594" s="2">
        <f>getFiltersizeAsDouble('RawData (GH)'!D594)</f>
        <v>46</v>
      </c>
      <c r="G594" s="35">
        <f>getMagnification('RawData (GH)'!E594)</f>
        <v>4.54</v>
      </c>
      <c r="H594" s="62">
        <f>getMinimalFocus('RawData (GH)'!F594)</f>
        <v>0</v>
      </c>
      <c r="I594" t="str">
        <f>getMount('RawData (GH)'!G594)</f>
        <v>Micro-Four-Thirds</v>
      </c>
      <c r="J594" t="str">
        <f>getSensorCompatibility('RawData (GH)'!H594)</f>
        <v>Four-Thirds</v>
      </c>
      <c r="K594" s="45">
        <f>getWeightAsDouble('RawData (GH)'!I594)</f>
        <v>135</v>
      </c>
      <c r="L594" s="34">
        <f>getSizeDiameter('RawData (GH)'!J594)</f>
        <v>55.5</v>
      </c>
      <c r="M594" s="34">
        <f>getSizeLength('RawData (GH)'!J594)</f>
        <v>50</v>
      </c>
    </row>
    <row r="595" spans="1:13" x14ac:dyDescent="0.25">
      <c r="A595" t="str">
        <f>'RawData (GH)'!A595</f>
        <v>Panasonic Lumix G Vario 35-100mm 4.0-5.6 OIS silber</v>
      </c>
      <c r="B595" s="5">
        <f>getFocalLengthStart('RawData (GH)'!B595)</f>
        <v>35</v>
      </c>
      <c r="C595" s="5">
        <f>getFocalLengthEnd('RawData (GH)'!B595)</f>
        <v>100</v>
      </c>
      <c r="D595" s="9">
        <f>getApertureStart('RawData (GH)'!C595)</f>
        <v>4</v>
      </c>
      <c r="E595" s="9">
        <f>getApertureEnd('RawData (GH)'!C595)</f>
        <v>5.6</v>
      </c>
      <c r="F595" s="2">
        <f>getFiltersizeAsDouble('RawData (GH)'!D595)</f>
        <v>46</v>
      </c>
      <c r="G595" s="35">
        <f>getMagnification('RawData (GH)'!E595)</f>
        <v>4.54</v>
      </c>
      <c r="H595" s="62">
        <f>getMinimalFocus('RawData (GH)'!F595)</f>
        <v>0</v>
      </c>
      <c r="I595" t="str">
        <f>getMount('RawData (GH)'!G595)</f>
        <v>Micro-Four-Thirds</v>
      </c>
      <c r="J595" t="str">
        <f>getSensorCompatibility('RawData (GH)'!H595)</f>
        <v>Four-Thirds</v>
      </c>
      <c r="K595" s="45">
        <f>getWeightAsDouble('RawData (GH)'!I595)</f>
        <v>135</v>
      </c>
      <c r="L595" s="34">
        <f>getSizeDiameter('RawData (GH)'!J595)</f>
        <v>55.5</v>
      </c>
      <c r="M595" s="34">
        <f>getSizeLength('RawData (GH)'!J595)</f>
        <v>50</v>
      </c>
    </row>
    <row r="596" spans="1:13" x14ac:dyDescent="0.25">
      <c r="A596" t="str">
        <f>'RawData (GH)'!A596</f>
        <v>Panasonic Lumix G Vario 45-150mm 4.0-5.6 OIS schwarz</v>
      </c>
      <c r="B596" s="5">
        <f>getFocalLengthStart('RawData (GH)'!B596)</f>
        <v>45</v>
      </c>
      <c r="C596" s="5">
        <f>getFocalLengthEnd('RawData (GH)'!B596)</f>
        <v>150</v>
      </c>
      <c r="D596" s="9">
        <f>getApertureStart('RawData (GH)'!C596)</f>
        <v>4</v>
      </c>
      <c r="E596" s="9">
        <f>getApertureEnd('RawData (GH)'!C596)</f>
        <v>5.6</v>
      </c>
      <c r="F596" s="2">
        <f>getFiltersizeAsDouble('RawData (GH)'!D596)</f>
        <v>52</v>
      </c>
      <c r="G596" s="35">
        <f>getMagnification('RawData (GH)'!E596)</f>
        <v>5.88</v>
      </c>
      <c r="H596" s="62">
        <f>getMinimalFocus('RawData (GH)'!F596)</f>
        <v>0</v>
      </c>
      <c r="I596" t="str">
        <f>getMount('RawData (GH)'!G596)</f>
        <v>Micro-Four-Thirds</v>
      </c>
      <c r="J596" t="str">
        <f>getSensorCompatibility('RawData (GH)'!H596)</f>
        <v>Four-Thirds</v>
      </c>
      <c r="K596" s="45">
        <f>getWeightAsDouble('RawData (GH)'!I596)</f>
        <v>200</v>
      </c>
      <c r="L596" s="34">
        <f>getSizeDiameter('RawData (GH)'!J596)</f>
        <v>62</v>
      </c>
      <c r="M596" s="34">
        <f>getSizeLength('RawData (GH)'!J596)</f>
        <v>73</v>
      </c>
    </row>
    <row r="597" spans="1:13" x14ac:dyDescent="0.25">
      <c r="A597" t="str">
        <f>'RawData (GH)'!A597</f>
        <v>Panasonic Lumix G Vario 45-150mm 4.0-5.6 OIS silber</v>
      </c>
      <c r="B597" s="5">
        <f>getFocalLengthStart('RawData (GH)'!B597)</f>
        <v>45</v>
      </c>
      <c r="C597" s="5">
        <f>getFocalLengthEnd('RawData (GH)'!B597)</f>
        <v>150</v>
      </c>
      <c r="D597" s="9">
        <f>getApertureStart('RawData (GH)'!C597)</f>
        <v>4</v>
      </c>
      <c r="E597" s="9">
        <f>getApertureEnd('RawData (GH)'!C597)</f>
        <v>5.6</v>
      </c>
      <c r="F597" s="2">
        <f>getFiltersizeAsDouble('RawData (GH)'!D597)</f>
        <v>52</v>
      </c>
      <c r="G597" s="35">
        <f>getMagnification('RawData (GH)'!E597)</f>
        <v>5.88</v>
      </c>
      <c r="H597" s="62">
        <f>getMinimalFocus('RawData (GH)'!F597)</f>
        <v>0</v>
      </c>
      <c r="I597" t="str">
        <f>getMount('RawData (GH)'!G597)</f>
        <v>Micro-Four-Thirds</v>
      </c>
      <c r="J597" t="str">
        <f>getSensorCompatibility('RawData (GH)'!H597)</f>
        <v>Four-Thirds</v>
      </c>
      <c r="K597" s="45">
        <f>getWeightAsDouble('RawData (GH)'!I597)</f>
        <v>200</v>
      </c>
      <c r="L597" s="34">
        <f>getSizeDiameter('RawData (GH)'!J597)</f>
        <v>62</v>
      </c>
      <c r="M597" s="34">
        <f>getSizeLength('RawData (GH)'!J597)</f>
        <v>73</v>
      </c>
    </row>
    <row r="598" spans="1:13" x14ac:dyDescent="0.25">
      <c r="A598" t="str">
        <f>'RawData (GH)'!A598</f>
        <v>Panasonic Lumix G Vario 45-200mm 4.0-5.6 II OIS schwarz</v>
      </c>
      <c r="B598" s="5">
        <f>getFocalLengthStart('RawData (GH)'!B598)</f>
        <v>45</v>
      </c>
      <c r="C598" s="5">
        <f>getFocalLengthEnd('RawData (GH)'!B598)</f>
        <v>200</v>
      </c>
      <c r="D598" s="9">
        <f>getApertureStart('RawData (GH)'!C598)</f>
        <v>4</v>
      </c>
      <c r="E598" s="9">
        <f>getApertureEnd('RawData (GH)'!C598)</f>
        <v>5.6</v>
      </c>
      <c r="F598" s="2">
        <f>getFiltersizeAsDouble('RawData (GH)'!D598)</f>
        <v>52</v>
      </c>
      <c r="G598" s="35">
        <f>getMagnification('RawData (GH)'!E598)</f>
        <v>5.26</v>
      </c>
      <c r="H598" s="62">
        <f>getMinimalFocus('RawData (GH)'!F598)</f>
        <v>0</v>
      </c>
      <c r="I598" t="str">
        <f>getMount('RawData (GH)'!G598)</f>
        <v>Micro-Four-Thirds</v>
      </c>
      <c r="J598" t="str">
        <f>getSensorCompatibility('RawData (GH)'!H598)</f>
        <v>Four-Thirds</v>
      </c>
      <c r="K598" s="45">
        <f>getWeightAsDouble('RawData (GH)'!I598)</f>
        <v>370</v>
      </c>
      <c r="L598" s="34">
        <f>getSizeDiameter('RawData (GH)'!J598)</f>
        <v>70</v>
      </c>
      <c r="M598" s="34">
        <f>getSizeLength('RawData (GH)'!J598)</f>
        <v>100</v>
      </c>
    </row>
    <row r="599" spans="1:13" x14ac:dyDescent="0.25">
      <c r="A599" t="str">
        <f>'RawData (GH)'!A599</f>
        <v>Panasonic Lumix G Vario 45-200mm 4.0-5.6 OIS schwarz</v>
      </c>
      <c r="B599" s="5">
        <f>getFocalLengthStart('RawData (GH)'!B599)</f>
        <v>45</v>
      </c>
      <c r="C599" s="5">
        <f>getFocalLengthEnd('RawData (GH)'!B599)</f>
        <v>200</v>
      </c>
      <c r="D599" s="9">
        <f>getApertureStart('RawData (GH)'!C599)</f>
        <v>4</v>
      </c>
      <c r="E599" s="9">
        <f>getApertureEnd('RawData (GH)'!C599)</f>
        <v>5.6</v>
      </c>
      <c r="F599" s="2">
        <f>getFiltersizeAsDouble('RawData (GH)'!D599)</f>
        <v>52</v>
      </c>
      <c r="G599" s="35">
        <f>getMagnification('RawData (GH)'!E599)</f>
        <v>0</v>
      </c>
      <c r="H599" s="62">
        <f>getMinimalFocus('RawData (GH)'!F599)</f>
        <v>0</v>
      </c>
      <c r="I599" t="str">
        <f>getMount('RawData (GH)'!G599)</f>
        <v>Micro-Four-Thirds</v>
      </c>
      <c r="J599" t="str">
        <f>getSensorCompatibility('RawData (GH)'!H599)</f>
        <v>Four-Thirds</v>
      </c>
      <c r="K599" s="45">
        <f>getWeightAsDouble('RawData (GH)'!I599)</f>
        <v>380</v>
      </c>
      <c r="L599" s="34">
        <f>getSizeDiameter('RawData (GH)'!J599)</f>
        <v>70</v>
      </c>
      <c r="M599" s="34">
        <f>getSizeLength('RawData (GH)'!J599)</f>
        <v>100</v>
      </c>
    </row>
    <row r="600" spans="1:13" x14ac:dyDescent="0.25">
      <c r="A600" t="str">
        <f>'RawData (GH)'!A600</f>
        <v>Panasonic Lumix G Vario 7-14mm 4.0 ASPH schwarz</v>
      </c>
      <c r="B600" s="5">
        <f>getFocalLengthStart('RawData (GH)'!B600)</f>
        <v>7</v>
      </c>
      <c r="C600" s="5">
        <f>getFocalLengthEnd('RawData (GH)'!B600)</f>
        <v>14</v>
      </c>
      <c r="D600" s="9">
        <f>getApertureStart('RawData (GH)'!C600)</f>
        <v>4</v>
      </c>
      <c r="E600" s="9">
        <f>getApertureEnd('RawData (GH)'!C600)</f>
        <v>4</v>
      </c>
      <c r="F600" s="2">
        <f>getFiltersizeAsDouble('RawData (GH)'!D600)</f>
        <v>0</v>
      </c>
      <c r="G600" s="35">
        <f>getMagnification('RawData (GH)'!E600)</f>
        <v>5</v>
      </c>
      <c r="H600" s="62">
        <f>getMinimalFocus('RawData (GH)'!F600)</f>
        <v>0</v>
      </c>
      <c r="I600" t="str">
        <f>getMount('RawData (GH)'!G600)</f>
        <v>Micro-Four-Thirds</v>
      </c>
      <c r="J600" t="str">
        <f>getSensorCompatibility('RawData (GH)'!H600)</f>
        <v>Four-Thirds</v>
      </c>
      <c r="K600" s="45">
        <f>getWeightAsDouble('RawData (GH)'!I600)</f>
        <v>300</v>
      </c>
      <c r="L600" s="34">
        <f>getSizeDiameter('RawData (GH)'!J600)</f>
        <v>75</v>
      </c>
      <c r="M600" s="34">
        <f>getSizeLength('RawData (GH)'!J600)</f>
        <v>83.1</v>
      </c>
    </row>
    <row r="601" spans="1:13" x14ac:dyDescent="0.25">
      <c r="A601" t="str">
        <f>'RawData (GH)'!A601</f>
        <v>Panasonic Lumix G X Vario 12-35mm 2.8 ASPH II OIS schwarz</v>
      </c>
      <c r="B601" s="5">
        <f>getFocalLengthStart('RawData (GH)'!B601)</f>
        <v>12</v>
      </c>
      <c r="C601" s="5">
        <f>getFocalLengthEnd('RawData (GH)'!B601)</f>
        <v>35</v>
      </c>
      <c r="D601" s="9">
        <f>getApertureStart('RawData (GH)'!C601)</f>
        <v>2.8</v>
      </c>
      <c r="E601" s="9">
        <f>getApertureEnd('RawData (GH)'!C601)</f>
        <v>2.8</v>
      </c>
      <c r="F601" s="2">
        <f>getFiltersizeAsDouble('RawData (GH)'!D601)</f>
        <v>58</v>
      </c>
      <c r="G601" s="35">
        <f>getMagnification('RawData (GH)'!E601)</f>
        <v>5.88</v>
      </c>
      <c r="H601" s="62">
        <f>getMinimalFocus('RawData (GH)'!F601)</f>
        <v>0</v>
      </c>
      <c r="I601" t="str">
        <f>getMount('RawData (GH)'!G601)</f>
        <v>Micro-Four-Thirds</v>
      </c>
      <c r="J601" t="str">
        <f>getSensorCompatibility('RawData (GH)'!H601)</f>
        <v>Four-Thirds</v>
      </c>
      <c r="K601" s="45">
        <f>getWeightAsDouble('RawData (GH)'!I601)</f>
        <v>305</v>
      </c>
      <c r="L601" s="34">
        <f>getSizeDiameter('RawData (GH)'!J601)</f>
        <v>67.599999999999994</v>
      </c>
      <c r="M601" s="34">
        <f>getSizeLength('RawData (GH)'!J601)</f>
        <v>73.8</v>
      </c>
    </row>
    <row r="602" spans="1:13" x14ac:dyDescent="0.25">
      <c r="A602" t="str">
        <f>'RawData (GH)'!A602</f>
        <v>Panasonic Lumix G X Vario 12-35mm 2.8 ASPH OIS schwarz</v>
      </c>
      <c r="B602" s="5">
        <f>getFocalLengthStart('RawData (GH)'!B602)</f>
        <v>12</v>
      </c>
      <c r="C602" s="5">
        <f>getFocalLengthEnd('RawData (GH)'!B602)</f>
        <v>35</v>
      </c>
      <c r="D602" s="9">
        <f>getApertureStart('RawData (GH)'!C602)</f>
        <v>2.8</v>
      </c>
      <c r="E602" s="9">
        <f>getApertureEnd('RawData (GH)'!C602)</f>
        <v>2.8</v>
      </c>
      <c r="F602" s="2">
        <f>getFiltersizeAsDouble('RawData (GH)'!D602)</f>
        <v>58</v>
      </c>
      <c r="G602" s="35">
        <f>getMagnification('RawData (GH)'!E602)</f>
        <v>5.88</v>
      </c>
      <c r="H602" s="62">
        <f>getMinimalFocus('RawData (GH)'!F602)</f>
        <v>0</v>
      </c>
      <c r="I602" t="str">
        <f>getMount('RawData (GH)'!G602)</f>
        <v>Micro-Four-Thirds</v>
      </c>
      <c r="J602" t="str">
        <f>getSensorCompatibility('RawData (GH)'!H602)</f>
        <v>Four-Thirds</v>
      </c>
      <c r="K602" s="45">
        <f>getWeightAsDouble('RawData (GH)'!I602)</f>
        <v>305</v>
      </c>
      <c r="L602" s="34">
        <f>getSizeDiameter('RawData (GH)'!J602)</f>
        <v>68</v>
      </c>
      <c r="M602" s="34">
        <f>getSizeLength('RawData (GH)'!J602)</f>
        <v>74</v>
      </c>
    </row>
    <row r="603" spans="1:13" x14ac:dyDescent="0.25">
      <c r="A603" t="str">
        <f>'RawData (GH)'!A603</f>
        <v>Panasonic Lumix G X Vario 35-100mm 2.8 II OIS schwarz</v>
      </c>
      <c r="B603" s="5">
        <f>getFocalLengthStart('RawData (GH)'!B603)</f>
        <v>35</v>
      </c>
      <c r="C603" s="5">
        <f>getFocalLengthEnd('RawData (GH)'!B603)</f>
        <v>100</v>
      </c>
      <c r="D603" s="9">
        <f>getApertureStart('RawData (GH)'!C603)</f>
        <v>2.8</v>
      </c>
      <c r="E603" s="9">
        <f>getApertureEnd('RawData (GH)'!C603)</f>
        <v>2.8</v>
      </c>
      <c r="F603" s="2">
        <f>getFiltersizeAsDouble('RawData (GH)'!D603)</f>
        <v>58</v>
      </c>
      <c r="G603" s="35">
        <f>getMagnification('RawData (GH)'!E603)</f>
        <v>10</v>
      </c>
      <c r="H603" s="62">
        <f>getMinimalFocus('RawData (GH)'!F603)</f>
        <v>0</v>
      </c>
      <c r="I603" t="str">
        <f>getMount('RawData (GH)'!G603)</f>
        <v>Micro-Four-Thirds</v>
      </c>
      <c r="J603" t="str">
        <f>getSensorCompatibility('RawData (GH)'!H603)</f>
        <v>Four-Thirds</v>
      </c>
      <c r="K603" s="45">
        <f>getWeightAsDouble('RawData (GH)'!I603)</f>
        <v>357</v>
      </c>
      <c r="L603" s="34">
        <f>getSizeDiameter('RawData (GH)'!J603)</f>
        <v>67.400000000000006</v>
      </c>
      <c r="M603" s="34">
        <f>getSizeLength('RawData (GH)'!J603)</f>
        <v>99.9</v>
      </c>
    </row>
    <row r="604" spans="1:13" x14ac:dyDescent="0.25">
      <c r="A604" t="str">
        <f>'RawData (GH)'!A604</f>
        <v>Panasonic Lumix G X Vario 35-100mm 2.8 OIS schwarz</v>
      </c>
      <c r="B604" s="5">
        <f>getFocalLengthStart('RawData (GH)'!B604)</f>
        <v>35</v>
      </c>
      <c r="C604" s="5">
        <f>getFocalLengthEnd('RawData (GH)'!B604)</f>
        <v>100</v>
      </c>
      <c r="D604" s="9">
        <f>getApertureStart('RawData (GH)'!C604)</f>
        <v>2.8</v>
      </c>
      <c r="E604" s="9">
        <f>getApertureEnd('RawData (GH)'!C604)</f>
        <v>2.8</v>
      </c>
      <c r="F604" s="2">
        <f>getFiltersizeAsDouble('RawData (GH)'!D604)</f>
        <v>58</v>
      </c>
      <c r="G604" s="35">
        <f>getMagnification('RawData (GH)'!E604)</f>
        <v>10</v>
      </c>
      <c r="H604" s="62">
        <f>getMinimalFocus('RawData (GH)'!F604)</f>
        <v>0</v>
      </c>
      <c r="I604" t="str">
        <f>getMount('RawData (GH)'!G604)</f>
        <v>Micro-Four-Thirds</v>
      </c>
      <c r="J604" t="str">
        <f>getSensorCompatibility('RawData (GH)'!H604)</f>
        <v>Four-Thirds</v>
      </c>
      <c r="K604" s="45">
        <f>getWeightAsDouble('RawData (GH)'!I604)</f>
        <v>360</v>
      </c>
      <c r="L604" s="34">
        <f>getSizeDiameter('RawData (GH)'!J604)</f>
        <v>67.400000000000006</v>
      </c>
      <c r="M604" s="34">
        <f>getSizeLength('RawData (GH)'!J604)</f>
        <v>99.9</v>
      </c>
    </row>
    <row r="605" spans="1:13" x14ac:dyDescent="0.25">
      <c r="A605" t="str">
        <f>'RawData (GH)'!A605</f>
        <v>Panasonic Lumix G X Vario PZ 14-42mm 3.5-5.6 ASPH OIS schwarz</v>
      </c>
      <c r="B605" s="5">
        <f>getFocalLengthStart('RawData (GH)'!B605)</f>
        <v>14</v>
      </c>
      <c r="C605" s="5">
        <f>getFocalLengthEnd('RawData (GH)'!B605)</f>
        <v>42</v>
      </c>
      <c r="D605" s="9">
        <f>getApertureStart('RawData (GH)'!C605)</f>
        <v>3.5</v>
      </c>
      <c r="E605" s="9">
        <f>getApertureEnd('RawData (GH)'!C605)</f>
        <v>5.6</v>
      </c>
      <c r="F605" s="2">
        <f>getFiltersizeAsDouble('RawData (GH)'!D605)</f>
        <v>37</v>
      </c>
      <c r="G605" s="35">
        <f>getMagnification('RawData (GH)'!E605)</f>
        <v>5.88</v>
      </c>
      <c r="H605" s="62">
        <f>getMinimalFocus('RawData (GH)'!F605)</f>
        <v>0</v>
      </c>
      <c r="I605" t="str">
        <f>getMount('RawData (GH)'!G605)</f>
        <v>Micro-Four-Thirds</v>
      </c>
      <c r="J605" t="str">
        <f>getSensorCompatibility('RawData (GH)'!H605)</f>
        <v>Four-Thirds</v>
      </c>
      <c r="K605" s="45">
        <f>getWeightAsDouble('RawData (GH)'!I605)</f>
        <v>95</v>
      </c>
      <c r="L605" s="34">
        <f>getSizeDiameter('RawData (GH)'!J605)</f>
        <v>61</v>
      </c>
      <c r="M605" s="34">
        <f>getSizeLength('RawData (GH)'!J605)</f>
        <v>26.8</v>
      </c>
    </row>
    <row r="606" spans="1:13" x14ac:dyDescent="0.25">
      <c r="A606" t="str">
        <f>'RawData (GH)'!A606</f>
        <v>Panasonic Lumix G X Vario PZ 14-42mm 3.5-5.6 ASPH OIS silber</v>
      </c>
      <c r="B606" s="5">
        <f>getFocalLengthStart('RawData (GH)'!B606)</f>
        <v>14</v>
      </c>
      <c r="C606" s="5">
        <f>getFocalLengthEnd('RawData (GH)'!B606)</f>
        <v>42</v>
      </c>
      <c r="D606" s="9">
        <f>getApertureStart('RawData (GH)'!C606)</f>
        <v>3.5</v>
      </c>
      <c r="E606" s="9">
        <f>getApertureEnd('RawData (GH)'!C606)</f>
        <v>5.6</v>
      </c>
      <c r="F606" s="2">
        <f>getFiltersizeAsDouble('RawData (GH)'!D606)</f>
        <v>37</v>
      </c>
      <c r="G606" s="35">
        <f>getMagnification('RawData (GH)'!E606)</f>
        <v>5.88</v>
      </c>
      <c r="H606" s="62">
        <f>getMinimalFocus('RawData (GH)'!F606)</f>
        <v>0</v>
      </c>
      <c r="I606" t="str">
        <f>getMount('RawData (GH)'!G606)</f>
        <v>Micro-Four-Thirds</v>
      </c>
      <c r="J606" t="str">
        <f>getSensorCompatibility('RawData (GH)'!H606)</f>
        <v>Four-Thirds</v>
      </c>
      <c r="K606" s="45">
        <f>getWeightAsDouble('RawData (GH)'!I606)</f>
        <v>95</v>
      </c>
      <c r="L606" s="34">
        <f>getSizeDiameter('RawData (GH)'!J606)</f>
        <v>61</v>
      </c>
      <c r="M606" s="34">
        <f>getSizeLength('RawData (GH)'!J606)</f>
        <v>26.8</v>
      </c>
    </row>
    <row r="607" spans="1:13" x14ac:dyDescent="0.25">
      <c r="A607" t="str">
        <f>'RawData (GH)'!A607</f>
        <v>Panasonic Lumix G X Vario PZ 45-175mm 4.0-5-6 ASPH OIS schwarz</v>
      </c>
      <c r="B607" s="5">
        <f>getFocalLengthStart('RawData (GH)'!B607)</f>
        <v>45</v>
      </c>
      <c r="C607" s="5">
        <f>getFocalLengthEnd('RawData (GH)'!B607)</f>
        <v>175</v>
      </c>
      <c r="D607" s="9">
        <f>getApertureStart('RawData (GH)'!C607)</f>
        <v>4</v>
      </c>
      <c r="E607" s="9">
        <f>getApertureEnd('RawData (GH)'!C607)</f>
        <v>5.6</v>
      </c>
      <c r="F607" s="2">
        <f>getFiltersizeAsDouble('RawData (GH)'!D607)</f>
        <v>46</v>
      </c>
      <c r="G607" s="35">
        <f>getMagnification('RawData (GH)'!E607)</f>
        <v>5</v>
      </c>
      <c r="H607" s="62">
        <f>getMinimalFocus('RawData (GH)'!F607)</f>
        <v>0</v>
      </c>
      <c r="I607" t="str">
        <f>getMount('RawData (GH)'!G607)</f>
        <v>Micro-Four-Thirds</v>
      </c>
      <c r="J607" t="str">
        <f>getSensorCompatibility('RawData (GH)'!H607)</f>
        <v>Four-Thirds</v>
      </c>
      <c r="K607" s="45">
        <f>getWeightAsDouble('RawData (GH)'!I607)</f>
        <v>210</v>
      </c>
      <c r="L607" s="34">
        <f>getSizeDiameter('RawData (GH)'!J607)</f>
        <v>62</v>
      </c>
      <c r="M607" s="34">
        <f>getSizeLength('RawData (GH)'!J607)</f>
        <v>90</v>
      </c>
    </row>
    <row r="608" spans="1:13" x14ac:dyDescent="0.25">
      <c r="A608" t="str">
        <f>'RawData (GH)'!A608</f>
        <v>Panasonic/Leica DG Macro-Elmarit 45mm 2.8 ASPH OIS schwarz</v>
      </c>
      <c r="B608" s="5">
        <f>getFocalLengthStart('RawData (GH)'!B608)</f>
        <v>45</v>
      </c>
      <c r="C608" s="5">
        <f>getFocalLengthEnd('RawData (GH)'!B608)</f>
        <v>45</v>
      </c>
      <c r="D608" s="9">
        <f>getApertureStart('RawData (GH)'!C608)</f>
        <v>2.8</v>
      </c>
      <c r="E608" s="9">
        <f>getApertureEnd('RawData (GH)'!C608)</f>
        <v>2.8</v>
      </c>
      <c r="F608" s="2">
        <f>getFiltersizeAsDouble('RawData (GH)'!D608)</f>
        <v>0</v>
      </c>
      <c r="G608" s="35">
        <f>getMagnification('RawData (GH)'!E608)</f>
        <v>1</v>
      </c>
      <c r="H608" s="62">
        <f>getMinimalFocus('RawData (GH)'!F608)</f>
        <v>0</v>
      </c>
      <c r="I608" t="str">
        <f>getMount('RawData (GH)'!G608)</f>
        <v>Micro-Four-Thirds</v>
      </c>
      <c r="J608" t="str">
        <f>getSensorCompatibility('RawData (GH)'!H608)</f>
        <v>Four-Thirds</v>
      </c>
      <c r="K608" s="45">
        <f>getWeightAsDouble('RawData (GH)'!I608)</f>
        <v>225</v>
      </c>
      <c r="L608" s="34">
        <f>getSizeDiameter('RawData (GH)'!J608)</f>
        <v>63</v>
      </c>
      <c r="M608" s="34">
        <f>getSizeLength('RawData (GH)'!J608)</f>
        <v>62.5</v>
      </c>
    </row>
    <row r="609" spans="1:13" x14ac:dyDescent="0.25">
      <c r="A609" t="str">
        <f>'RawData (GH)'!A609</f>
        <v>Panasonic/Leica DG Nocticron 42.5mm 1.2 ASPH OIS schwarz</v>
      </c>
      <c r="B609" s="5">
        <f>getFocalLengthStart('RawData (GH)'!B609)</f>
        <v>42.5</v>
      </c>
      <c r="C609" s="5">
        <f>getFocalLengthEnd('RawData (GH)'!B609)</f>
        <v>42.5</v>
      </c>
      <c r="D609" s="9">
        <f>getApertureStart('RawData (GH)'!C609)</f>
        <v>1.2</v>
      </c>
      <c r="E609" s="9">
        <f>getApertureEnd('RawData (GH)'!C609)</f>
        <v>1.2</v>
      </c>
      <c r="F609" s="2">
        <f>getFiltersizeAsDouble('RawData (GH)'!D609)</f>
        <v>67</v>
      </c>
      <c r="G609" s="35">
        <f>getMagnification('RawData (GH)'!E609)</f>
        <v>5</v>
      </c>
      <c r="H609" s="62">
        <f>getMinimalFocus('RawData (GH)'!F609)</f>
        <v>0</v>
      </c>
      <c r="I609" t="str">
        <f>getMount('RawData (GH)'!G609)</f>
        <v>Micro-Four-Thirds</v>
      </c>
      <c r="J609" t="str">
        <f>getSensorCompatibility('RawData (GH)'!H609)</f>
        <v>Four-Thirds</v>
      </c>
      <c r="K609" s="45">
        <f>getWeightAsDouble('RawData (GH)'!I609)</f>
        <v>425</v>
      </c>
      <c r="L609" s="34">
        <f>getSizeDiameter('RawData (GH)'!J609)</f>
        <v>74</v>
      </c>
      <c r="M609" s="34">
        <f>getSizeLength('RawData (GH)'!J609)</f>
        <v>77</v>
      </c>
    </row>
    <row r="610" spans="1:13" x14ac:dyDescent="0.25">
      <c r="A610" t="str">
        <f>'RawData (GH)'!A610</f>
        <v>Panasonic/Leica DG Summilux 12mm 1.4 ASPH schwarz</v>
      </c>
      <c r="B610" s="5">
        <f>getFocalLengthStart('RawData (GH)'!B610)</f>
        <v>12</v>
      </c>
      <c r="C610" s="5">
        <f>getFocalLengthEnd('RawData (GH)'!B610)</f>
        <v>12</v>
      </c>
      <c r="D610" s="9">
        <f>getApertureStart('RawData (GH)'!C610)</f>
        <v>1.4</v>
      </c>
      <c r="E610" s="9">
        <f>getApertureEnd('RawData (GH)'!C610)</f>
        <v>1.4</v>
      </c>
      <c r="F610" s="2">
        <f>getFiltersizeAsDouble('RawData (GH)'!D610)</f>
        <v>62</v>
      </c>
      <c r="G610" s="35">
        <f>getMagnification('RawData (GH)'!E610)</f>
        <v>10</v>
      </c>
      <c r="H610" s="62">
        <f>getMinimalFocus('RawData (GH)'!F610)</f>
        <v>0</v>
      </c>
      <c r="I610" t="str">
        <f>getMount('RawData (GH)'!G610)</f>
        <v>Micro-Four-Thirds</v>
      </c>
      <c r="J610" t="str">
        <f>getSensorCompatibility('RawData (GH)'!H610)</f>
        <v>Four-Thirds</v>
      </c>
      <c r="K610" s="45">
        <f>getWeightAsDouble('RawData (GH)'!I610)</f>
        <v>335</v>
      </c>
      <c r="L610" s="34">
        <f>getSizeDiameter('RawData (GH)'!J610)</f>
        <v>70</v>
      </c>
      <c r="M610" s="34">
        <f>getSizeLength('RawData (GH)'!J610)</f>
        <v>70</v>
      </c>
    </row>
    <row r="611" spans="1:13" x14ac:dyDescent="0.25">
      <c r="A611" t="str">
        <f>'RawData (GH)'!A611</f>
        <v>Panasonic/Leica DG Summilux 15mm 1.7 ASPH schwarz</v>
      </c>
      <c r="B611" s="5">
        <f>getFocalLengthStart('RawData (GH)'!B611)</f>
        <v>15</v>
      </c>
      <c r="C611" s="5">
        <f>getFocalLengthEnd('RawData (GH)'!B611)</f>
        <v>15</v>
      </c>
      <c r="D611" s="9">
        <f>getApertureStart('RawData (GH)'!C611)</f>
        <v>1.7</v>
      </c>
      <c r="E611" s="9">
        <f>getApertureEnd('RawData (GH)'!C611)</f>
        <v>1.7</v>
      </c>
      <c r="F611" s="2">
        <f>getFiltersizeAsDouble('RawData (GH)'!D611)</f>
        <v>46</v>
      </c>
      <c r="G611" s="35">
        <f>getMagnification('RawData (GH)'!E611)</f>
        <v>10</v>
      </c>
      <c r="H611" s="62">
        <f>getMinimalFocus('RawData (GH)'!F611)</f>
        <v>0</v>
      </c>
      <c r="I611" t="str">
        <f>getMount('RawData (GH)'!G611)</f>
        <v>Micro-Four-Thirds</v>
      </c>
      <c r="J611" t="str">
        <f>getSensorCompatibility('RawData (GH)'!H611)</f>
        <v>Four-Thirds</v>
      </c>
      <c r="K611" s="45">
        <f>getWeightAsDouble('RawData (GH)'!I611)</f>
        <v>115</v>
      </c>
      <c r="L611" s="34">
        <f>getSizeDiameter('RawData (GH)'!J611)</f>
        <v>58</v>
      </c>
      <c r="M611" s="34">
        <f>getSizeLength('RawData (GH)'!J611)</f>
        <v>36</v>
      </c>
    </row>
    <row r="612" spans="1:13" x14ac:dyDescent="0.25">
      <c r="A612" t="str">
        <f>'RawData (GH)'!A612</f>
        <v>Panasonic/Leica DG Summilux 15mm 1.7 ASPH silber</v>
      </c>
      <c r="B612" s="5">
        <f>getFocalLengthStart('RawData (GH)'!B612)</f>
        <v>15</v>
      </c>
      <c r="C612" s="5">
        <f>getFocalLengthEnd('RawData (GH)'!B612)</f>
        <v>15</v>
      </c>
      <c r="D612" s="9">
        <f>getApertureStart('RawData (GH)'!C612)</f>
        <v>1.7</v>
      </c>
      <c r="E612" s="9">
        <f>getApertureEnd('RawData (GH)'!C612)</f>
        <v>1.7</v>
      </c>
      <c r="F612" s="2">
        <f>getFiltersizeAsDouble('RawData (GH)'!D612)</f>
        <v>46</v>
      </c>
      <c r="G612" s="35">
        <f>getMagnification('RawData (GH)'!E612)</f>
        <v>10</v>
      </c>
      <c r="H612" s="62">
        <f>getMinimalFocus('RawData (GH)'!F612)</f>
        <v>0</v>
      </c>
      <c r="I612" t="str">
        <f>getMount('RawData (GH)'!G612)</f>
        <v>Micro-Four-Thirds</v>
      </c>
      <c r="J612" t="str">
        <f>getSensorCompatibility('RawData (GH)'!H612)</f>
        <v>Four-Thirds</v>
      </c>
      <c r="K612" s="45">
        <f>getWeightAsDouble('RawData (GH)'!I612)</f>
        <v>115</v>
      </c>
      <c r="L612" s="34">
        <f>getSizeDiameter('RawData (GH)'!J612)</f>
        <v>58</v>
      </c>
      <c r="M612" s="34">
        <f>getSizeLength('RawData (GH)'!J612)</f>
        <v>36</v>
      </c>
    </row>
    <row r="613" spans="1:13" x14ac:dyDescent="0.25">
      <c r="A613" t="str">
        <f>'RawData (GH)'!A613</f>
        <v>Panasonic/Leica DG Summilux 25mm 1.4 ASPH schwarz</v>
      </c>
      <c r="B613" s="5">
        <f>getFocalLengthStart('RawData (GH)'!B613)</f>
        <v>25</v>
      </c>
      <c r="C613" s="5">
        <f>getFocalLengthEnd('RawData (GH)'!B613)</f>
        <v>25</v>
      </c>
      <c r="D613" s="9">
        <f>getApertureStart('RawData (GH)'!C613)</f>
        <v>1.4</v>
      </c>
      <c r="E613" s="9">
        <f>getApertureEnd('RawData (GH)'!C613)</f>
        <v>1.4</v>
      </c>
      <c r="F613" s="2">
        <f>getFiltersizeAsDouble('RawData (GH)'!D613)</f>
        <v>46</v>
      </c>
      <c r="G613" s="35">
        <f>getMagnification('RawData (GH)'!E613)</f>
        <v>9.09</v>
      </c>
      <c r="H613" s="62">
        <f>getMinimalFocus('RawData (GH)'!F613)</f>
        <v>0</v>
      </c>
      <c r="I613" t="str">
        <f>getMount('RawData (GH)'!G613)</f>
        <v>Micro-Four-Thirds</v>
      </c>
      <c r="J613" t="str">
        <f>getSensorCompatibility('RawData (GH)'!H613)</f>
        <v>Four-Thirds</v>
      </c>
      <c r="K613" s="45">
        <f>getWeightAsDouble('RawData (GH)'!I613)</f>
        <v>200</v>
      </c>
      <c r="L613" s="34">
        <f>getSizeDiameter('RawData (GH)'!J613)</f>
        <v>63</v>
      </c>
      <c r="M613" s="34">
        <f>getSizeLength('RawData (GH)'!J613)</f>
        <v>54.5</v>
      </c>
    </row>
    <row r="614" spans="1:13" x14ac:dyDescent="0.25">
      <c r="A614" t="str">
        <f>'RawData (GH)'!A614</f>
        <v>Panasonic/Leica DG Vario Elmar 100-400mm 4.0-6.3 ASPH Power OIS schwarz</v>
      </c>
      <c r="B614" s="5">
        <f>getFocalLengthStart('RawData (GH)'!B614)</f>
        <v>100</v>
      </c>
      <c r="C614" s="5">
        <f>getFocalLengthEnd('RawData (GH)'!B614)</f>
        <v>400</v>
      </c>
      <c r="D614" s="9">
        <f>getApertureStart('RawData (GH)'!C614)</f>
        <v>4</v>
      </c>
      <c r="E614" s="9">
        <f>getApertureEnd('RawData (GH)'!C614)</f>
        <v>6.3</v>
      </c>
      <c r="F614" s="2">
        <f>getFiltersizeAsDouble('RawData (GH)'!D614)</f>
        <v>72</v>
      </c>
      <c r="G614" s="35">
        <f>getMagnification('RawData (GH)'!E614)</f>
        <v>2</v>
      </c>
      <c r="H614" s="62">
        <f>getMinimalFocus('RawData (GH)'!F614)</f>
        <v>0</v>
      </c>
      <c r="I614" t="str">
        <f>getMount('RawData (GH)'!G614)</f>
        <v>Micro-Four-Thirds</v>
      </c>
      <c r="J614" t="str">
        <f>getSensorCompatibility('RawData (GH)'!H614)</f>
        <v>Four-Thirds</v>
      </c>
      <c r="K614" s="45">
        <f>getWeightAsDouble('RawData (GH)'!I614)</f>
        <v>985</v>
      </c>
      <c r="L614" s="34">
        <f>getSizeDiameter('RawData (GH)'!J614)</f>
        <v>83</v>
      </c>
      <c r="M614" s="34">
        <f>getSizeLength('RawData (GH)'!J614)</f>
        <v>172</v>
      </c>
    </row>
    <row r="615" spans="1:13" x14ac:dyDescent="0.25">
      <c r="A615" t="str">
        <f>'RawData (GH)'!A615</f>
        <v>Panasonic/Leica DG Vario Elmarit 12-60mm 2.8-4.0 ASPH schwarz</v>
      </c>
      <c r="B615" s="5">
        <f>getFocalLengthStart('RawData (GH)'!B615)</f>
        <v>12</v>
      </c>
      <c r="C615" s="5">
        <f>getFocalLengthEnd('RawData (GH)'!B615)</f>
        <v>60</v>
      </c>
      <c r="D615" s="9">
        <f>getApertureStart('RawData (GH)'!C615)</f>
        <v>2.8</v>
      </c>
      <c r="E615" s="9">
        <f>getApertureEnd('RawData (GH)'!C615)</f>
        <v>4</v>
      </c>
      <c r="F615" s="2">
        <f>getFiltersizeAsDouble('RawData (GH)'!D615)</f>
        <v>62</v>
      </c>
      <c r="G615" s="35">
        <f>getMagnification('RawData (GH)'!E615)</f>
        <v>2</v>
      </c>
      <c r="H615" s="62">
        <f>getMinimalFocus('RawData (GH)'!F615)</f>
        <v>0</v>
      </c>
      <c r="I615" t="str">
        <f>getMount('RawData (GH)'!G615)</f>
        <v>Micro-Four-Thirds</v>
      </c>
      <c r="J615" t="str">
        <f>getSensorCompatibility('RawData (GH)'!H615)</f>
        <v>Four-Thirds</v>
      </c>
      <c r="K615" s="45">
        <f>getWeightAsDouble('RawData (GH)'!I615)</f>
        <v>320</v>
      </c>
      <c r="L615" s="34">
        <f>getSizeDiameter('RawData (GH)'!J615)</f>
        <v>68.400000000000006</v>
      </c>
      <c r="M615" s="34">
        <f>getSizeLength('RawData (GH)'!J615)</f>
        <v>86</v>
      </c>
    </row>
    <row r="616" spans="1:13" x14ac:dyDescent="0.25">
      <c r="A616" t="str">
        <f>'RawData (GH)'!A616</f>
        <v>Panasonic/Leica DG Vario Elmarit 8-18mm 2.8-4.0 ASPH schwarz</v>
      </c>
      <c r="B616" s="5">
        <f>getFocalLengthStart('RawData (GH)'!B616)</f>
        <v>8</v>
      </c>
      <c r="C616" s="5">
        <f>getFocalLengthEnd('RawData (GH)'!B616)</f>
        <v>18</v>
      </c>
      <c r="D616" s="9">
        <f>getApertureStart('RawData (GH)'!C616)</f>
        <v>2.8</v>
      </c>
      <c r="E616" s="9">
        <f>getApertureEnd('RawData (GH)'!C616)</f>
        <v>4</v>
      </c>
      <c r="F616" s="2">
        <f>getFiltersizeAsDouble('RawData (GH)'!D616)</f>
        <v>67</v>
      </c>
      <c r="G616" s="35">
        <f>getMagnification('RawData (GH)'!E616)</f>
        <v>8.3000000000000007</v>
      </c>
      <c r="H616" s="62">
        <f>getMinimalFocus('RawData (GH)'!F616)</f>
        <v>0</v>
      </c>
      <c r="I616" t="str">
        <f>getMount('RawData (GH)'!G616)</f>
        <v>Micro-Four-Thirds</v>
      </c>
      <c r="J616" t="str">
        <f>getSensorCompatibility('RawData (GH)'!H616)</f>
        <v>Four-Thirds</v>
      </c>
      <c r="K616" s="45">
        <f>getWeightAsDouble('RawData (GH)'!I616)</f>
        <v>315</v>
      </c>
      <c r="L616" s="34">
        <f>getSizeDiameter('RawData (GH)'!J616)</f>
        <v>73.400000000000006</v>
      </c>
      <c r="M616" s="34">
        <f>getSizeLength('RawData (GH)'!J616)</f>
        <v>88</v>
      </c>
    </row>
    <row r="617" spans="1:13" x14ac:dyDescent="0.25">
      <c r="A617" t="str">
        <f>'RawData (GH)'!A617</f>
        <v>Pentax HD DA 15mm 4.0 AL Limited schwarz</v>
      </c>
      <c r="B617" s="5">
        <f>getFocalLengthStart('RawData (GH)'!B617)</f>
        <v>15</v>
      </c>
      <c r="C617" s="5">
        <f>getFocalLengthEnd('RawData (GH)'!B617)</f>
        <v>15</v>
      </c>
      <c r="D617" s="9">
        <f>getApertureStart('RawData (GH)'!C617)</f>
        <v>4</v>
      </c>
      <c r="E617" s="9">
        <f>getApertureEnd('RawData (GH)'!C617)</f>
        <v>4</v>
      </c>
      <c r="F617" s="2">
        <f>getFiltersizeAsDouble('RawData (GH)'!D617)</f>
        <v>49</v>
      </c>
      <c r="G617" s="35">
        <f>getMagnification('RawData (GH)'!E617)</f>
        <v>6.67</v>
      </c>
      <c r="H617" s="62">
        <f>getMinimalFocus('RawData (GH)'!F617)</f>
        <v>0</v>
      </c>
      <c r="I617" t="str">
        <f>getMount('RawData (GH)'!G617)</f>
        <v>Pentax K</v>
      </c>
      <c r="J617" t="str">
        <f>getSensorCompatibility('RawData (GH)'!H617)</f>
        <v>APS-C</v>
      </c>
      <c r="K617" s="45">
        <f>getWeightAsDouble('RawData (GH)'!I617)</f>
        <v>189</v>
      </c>
      <c r="L617" s="34">
        <f>getSizeDiameter('RawData (GH)'!J617)</f>
        <v>63</v>
      </c>
      <c r="M617" s="34">
        <f>getSizeLength('RawData (GH)'!J617)</f>
        <v>39.5</v>
      </c>
    </row>
    <row r="618" spans="1:13" x14ac:dyDescent="0.25">
      <c r="A618" t="str">
        <f>'RawData (GH)'!A618</f>
        <v>Pentax HD DA 15mm 4.0 AL Limited silber</v>
      </c>
      <c r="B618" s="5">
        <f>getFocalLengthStart('RawData (GH)'!B618)</f>
        <v>15</v>
      </c>
      <c r="C618" s="5">
        <f>getFocalLengthEnd('RawData (GH)'!B618)</f>
        <v>15</v>
      </c>
      <c r="D618" s="9">
        <f>getApertureStart('RawData (GH)'!C618)</f>
        <v>4</v>
      </c>
      <c r="E618" s="9">
        <f>getApertureEnd('RawData (GH)'!C618)</f>
        <v>4</v>
      </c>
      <c r="F618" s="2">
        <f>getFiltersizeAsDouble('RawData (GH)'!D618)</f>
        <v>49</v>
      </c>
      <c r="G618" s="35">
        <f>getMagnification('RawData (GH)'!E618)</f>
        <v>6.67</v>
      </c>
      <c r="H618" s="62">
        <f>getMinimalFocus('RawData (GH)'!F618)</f>
        <v>0</v>
      </c>
      <c r="I618" t="str">
        <f>getMount('RawData (GH)'!G618)</f>
        <v>Pentax K</v>
      </c>
      <c r="J618" t="str">
        <f>getSensorCompatibility('RawData (GH)'!H618)</f>
        <v>APS-C</v>
      </c>
      <c r="K618" s="45">
        <f>getWeightAsDouble('RawData (GH)'!I618)</f>
        <v>189</v>
      </c>
      <c r="L618" s="34">
        <f>getSizeDiameter('RawData (GH)'!J618)</f>
        <v>63</v>
      </c>
      <c r="M618" s="34">
        <f>getSizeLength('RawData (GH)'!J618)</f>
        <v>39.5</v>
      </c>
    </row>
    <row r="619" spans="1:13" x14ac:dyDescent="0.25">
      <c r="A619" t="str">
        <f>'RawData (GH)'!A619</f>
        <v>Pentax HD DA 16-85mm 3.5-5.6 ED DC WR schwarz</v>
      </c>
      <c r="B619" s="5">
        <f>getFocalLengthStart('RawData (GH)'!B619)</f>
        <v>16</v>
      </c>
      <c r="C619" s="5">
        <f>getFocalLengthEnd('RawData (GH)'!B619)</f>
        <v>85</v>
      </c>
      <c r="D619" s="9">
        <f>getApertureStart('RawData (GH)'!C619)</f>
        <v>3.5</v>
      </c>
      <c r="E619" s="9">
        <f>getApertureEnd('RawData (GH)'!C619)</f>
        <v>5.6</v>
      </c>
      <c r="F619" s="2">
        <f>getFiltersizeAsDouble('RawData (GH)'!D619)</f>
        <v>72</v>
      </c>
      <c r="G619" s="35">
        <f>getMagnification('RawData (GH)'!E619)</f>
        <v>3.8</v>
      </c>
      <c r="H619" s="62">
        <f>getMinimalFocus('RawData (GH)'!F619)</f>
        <v>0</v>
      </c>
      <c r="I619" t="str">
        <f>getMount('RawData (GH)'!G619)</f>
        <v>Pentax K</v>
      </c>
      <c r="J619" t="str">
        <f>getSensorCompatibility('RawData (GH)'!H619)</f>
        <v>APS-C</v>
      </c>
      <c r="K619" s="45">
        <f>getWeightAsDouble('RawData (GH)'!I619)</f>
        <v>488</v>
      </c>
      <c r="L619" s="34">
        <f>getSizeDiameter('RawData (GH)'!J619)</f>
        <v>78</v>
      </c>
      <c r="M619" s="34">
        <f>getSizeLength('RawData (GH)'!J619)</f>
        <v>94</v>
      </c>
    </row>
    <row r="620" spans="1:13" x14ac:dyDescent="0.25">
      <c r="A620" t="str">
        <f>'RawData (GH)'!A620</f>
        <v>Pentax HD DA 18-50mm 4.0-5.6 DC WR RE schwarz</v>
      </c>
      <c r="B620" s="5">
        <f>getFocalLengthStart('RawData (GH)'!B620)</f>
        <v>18</v>
      </c>
      <c r="C620" s="5">
        <f>getFocalLengthEnd('RawData (GH)'!B620)</f>
        <v>50</v>
      </c>
      <c r="D620" s="9">
        <f>getApertureStart('RawData (GH)'!C620)</f>
        <v>4</v>
      </c>
      <c r="E620" s="9">
        <f>getApertureEnd('RawData (GH)'!C620)</f>
        <v>5.6</v>
      </c>
      <c r="F620" s="2">
        <f>getFiltersizeAsDouble('RawData (GH)'!D620)</f>
        <v>58</v>
      </c>
      <c r="G620" s="35">
        <f>getMagnification('RawData (GH)'!E620)</f>
        <v>4.3499999999999996</v>
      </c>
      <c r="H620" s="62">
        <f>getMinimalFocus('RawData (GH)'!F620)</f>
        <v>0</v>
      </c>
      <c r="I620" t="str">
        <f>getMount('RawData (GH)'!G620)</f>
        <v>Pentax K</v>
      </c>
      <c r="J620" t="str">
        <f>getSensorCompatibility('RawData (GH)'!H620)</f>
        <v>APS-C</v>
      </c>
      <c r="K620" s="45">
        <f>getWeightAsDouble('RawData (GH)'!I620)</f>
        <v>158</v>
      </c>
      <c r="L620" s="34">
        <f>getSizeDiameter('RawData (GH)'!J620)</f>
        <v>71</v>
      </c>
      <c r="M620" s="34">
        <f>getSizeLength('RawData (GH)'!J620)</f>
        <v>41</v>
      </c>
    </row>
    <row r="621" spans="1:13" x14ac:dyDescent="0.25">
      <c r="A621" t="str">
        <f>'RawData (GH)'!A621</f>
        <v>Pentax HD DA 20-40mm 2.8-4.0 ED DC WR Limited schwarz</v>
      </c>
      <c r="B621" s="5">
        <f>getFocalLengthStart('RawData (GH)'!B621)</f>
        <v>20</v>
      </c>
      <c r="C621" s="5">
        <f>getFocalLengthEnd('RawData (GH)'!B621)</f>
        <v>40</v>
      </c>
      <c r="D621" s="9">
        <f>getApertureStart('RawData (GH)'!C621)</f>
        <v>2.8</v>
      </c>
      <c r="E621" s="9">
        <f>getApertureEnd('RawData (GH)'!C621)</f>
        <v>4</v>
      </c>
      <c r="F621" s="2">
        <f>getFiltersizeAsDouble('RawData (GH)'!D621)</f>
        <v>55</v>
      </c>
      <c r="G621" s="35">
        <f>getMagnification('RawData (GH)'!E621)</f>
        <v>5</v>
      </c>
      <c r="H621" s="62">
        <f>getMinimalFocus('RawData (GH)'!F621)</f>
        <v>0</v>
      </c>
      <c r="I621" t="str">
        <f>getMount('RawData (GH)'!G621)</f>
        <v>Pentax K</v>
      </c>
      <c r="J621" t="str">
        <f>getSensorCompatibility('RawData (GH)'!H621)</f>
        <v>APS-C</v>
      </c>
      <c r="K621" s="45">
        <f>getWeightAsDouble('RawData (GH)'!I621)</f>
        <v>283</v>
      </c>
      <c r="L621" s="34">
        <f>getSizeDiameter('RawData (GH)'!J621)</f>
        <v>71</v>
      </c>
      <c r="M621" s="34">
        <f>getSizeLength('RawData (GH)'!J621)</f>
        <v>68.5</v>
      </c>
    </row>
    <row r="622" spans="1:13" x14ac:dyDescent="0.25">
      <c r="A622" t="str">
        <f>'RawData (GH)'!A622</f>
        <v>Pentax HD DA 20-40mm 2.8-4.0 ED DC WR Limited silber</v>
      </c>
      <c r="B622" s="5">
        <f>getFocalLengthStart('RawData (GH)'!B622)</f>
        <v>20</v>
      </c>
      <c r="C622" s="5">
        <f>getFocalLengthEnd('RawData (GH)'!B622)</f>
        <v>40</v>
      </c>
      <c r="D622" s="9">
        <f>getApertureStart('RawData (GH)'!C622)</f>
        <v>2.8</v>
      </c>
      <c r="E622" s="9">
        <f>getApertureEnd('RawData (GH)'!C622)</f>
        <v>4</v>
      </c>
      <c r="F622" s="2">
        <f>getFiltersizeAsDouble('RawData (GH)'!D622)</f>
        <v>55</v>
      </c>
      <c r="G622" s="35">
        <f>getMagnification('RawData (GH)'!E622)</f>
        <v>5</v>
      </c>
      <c r="H622" s="62">
        <f>getMinimalFocus('RawData (GH)'!F622)</f>
        <v>0</v>
      </c>
      <c r="I622" t="str">
        <f>getMount('RawData (GH)'!G622)</f>
        <v>Pentax K</v>
      </c>
      <c r="J622" t="str">
        <f>getSensorCompatibility('RawData (GH)'!H622)</f>
        <v>APS-C</v>
      </c>
      <c r="K622" s="45">
        <f>getWeightAsDouble('RawData (GH)'!I622)</f>
        <v>283</v>
      </c>
      <c r="L622" s="34">
        <f>getSizeDiameter('RawData (GH)'!J622)</f>
        <v>71</v>
      </c>
      <c r="M622" s="34">
        <f>getSizeLength('RawData (GH)'!J622)</f>
        <v>68.5</v>
      </c>
    </row>
    <row r="623" spans="1:13" x14ac:dyDescent="0.25">
      <c r="A623" t="str">
        <f>'RawData (GH)'!A623</f>
        <v>Pentax HD DA 21mm 3.2 AL Limited schwarz</v>
      </c>
      <c r="B623" s="5">
        <f>getFocalLengthStart('RawData (GH)'!B623)</f>
        <v>21</v>
      </c>
      <c r="C623" s="5">
        <f>getFocalLengthEnd('RawData (GH)'!B623)</f>
        <v>21</v>
      </c>
      <c r="D623" s="9">
        <f>getApertureStart('RawData (GH)'!C623)</f>
        <v>3.2</v>
      </c>
      <c r="E623" s="9">
        <f>getApertureEnd('RawData (GH)'!C623)</f>
        <v>3.2</v>
      </c>
      <c r="F623" s="2">
        <f>getFiltersizeAsDouble('RawData (GH)'!D623)</f>
        <v>49</v>
      </c>
      <c r="G623" s="35">
        <f>getMagnification('RawData (GH)'!E623)</f>
        <v>5.88</v>
      </c>
      <c r="H623" s="62">
        <f>getMinimalFocus('RawData (GH)'!F623)</f>
        <v>0</v>
      </c>
      <c r="I623" t="str">
        <f>getMount('RawData (GH)'!G623)</f>
        <v>Pentax K</v>
      </c>
      <c r="J623" t="str">
        <f>getSensorCompatibility('RawData (GH)'!H623)</f>
        <v>APS-C</v>
      </c>
      <c r="K623" s="45">
        <f>getWeightAsDouble('RawData (GH)'!I623)</f>
        <v>134</v>
      </c>
      <c r="L623" s="34">
        <f>getSizeDiameter('RawData (GH)'!J623)</f>
        <v>63</v>
      </c>
      <c r="M623" s="34">
        <f>getSizeLength('RawData (GH)'!J623)</f>
        <v>25</v>
      </c>
    </row>
    <row r="624" spans="1:13" x14ac:dyDescent="0.25">
      <c r="A624" t="str">
        <f>'RawData (GH)'!A624</f>
        <v>Pentax HD DA 21mm 3.2 AL Limited silber</v>
      </c>
      <c r="B624" s="5">
        <f>getFocalLengthStart('RawData (GH)'!B624)</f>
        <v>21</v>
      </c>
      <c r="C624" s="5">
        <f>getFocalLengthEnd('RawData (GH)'!B624)</f>
        <v>21</v>
      </c>
      <c r="D624" s="9">
        <f>getApertureStart('RawData (GH)'!C624)</f>
        <v>3.2</v>
      </c>
      <c r="E624" s="9">
        <f>getApertureEnd('RawData (GH)'!C624)</f>
        <v>3.2</v>
      </c>
      <c r="F624" s="2">
        <f>getFiltersizeAsDouble('RawData (GH)'!D624)</f>
        <v>49</v>
      </c>
      <c r="G624" s="35">
        <f>getMagnification('RawData (GH)'!E624)</f>
        <v>5.88</v>
      </c>
      <c r="H624" s="62">
        <f>getMinimalFocus('RawData (GH)'!F624)</f>
        <v>0</v>
      </c>
      <c r="I624" t="str">
        <f>getMount('RawData (GH)'!G624)</f>
        <v>Pentax K</v>
      </c>
      <c r="J624" t="str">
        <f>getSensorCompatibility('RawData (GH)'!H624)</f>
        <v>APS-C</v>
      </c>
      <c r="K624" s="45">
        <f>getWeightAsDouble('RawData (GH)'!I624)</f>
        <v>134</v>
      </c>
      <c r="L624" s="34">
        <f>getSizeDiameter('RawData (GH)'!J624)</f>
        <v>63</v>
      </c>
      <c r="M624" s="34">
        <f>getSizeLength('RawData (GH)'!J624)</f>
        <v>25</v>
      </c>
    </row>
    <row r="625" spans="1:13" x14ac:dyDescent="0.25">
      <c r="A625" t="str">
        <f>'RawData (GH)'!A625</f>
        <v>Pentax HD DA 35mm 2.8 Makro Limited schwarz</v>
      </c>
      <c r="B625" s="5">
        <f>getFocalLengthStart('RawData (GH)'!B625)</f>
        <v>35</v>
      </c>
      <c r="C625" s="5">
        <f>getFocalLengthEnd('RawData (GH)'!B625)</f>
        <v>35</v>
      </c>
      <c r="D625" s="9">
        <f>getApertureStart('RawData (GH)'!C625)</f>
        <v>2.8</v>
      </c>
      <c r="E625" s="9">
        <f>getApertureEnd('RawData (GH)'!C625)</f>
        <v>2.8</v>
      </c>
      <c r="F625" s="2">
        <f>getFiltersizeAsDouble('RawData (GH)'!D625)</f>
        <v>0</v>
      </c>
      <c r="G625" s="35">
        <f>getMagnification('RawData (GH)'!E625)</f>
        <v>1</v>
      </c>
      <c r="H625" s="62">
        <f>getMinimalFocus('RawData (GH)'!F625)</f>
        <v>0</v>
      </c>
      <c r="I625" t="str">
        <f>getMount('RawData (GH)'!G625)</f>
        <v>Pentax K</v>
      </c>
      <c r="J625" t="str">
        <f>getSensorCompatibility('RawData (GH)'!H625)</f>
        <v>APS-C</v>
      </c>
      <c r="K625" s="45">
        <f>getWeightAsDouble('RawData (GH)'!I625)</f>
        <v>214</v>
      </c>
      <c r="L625" s="34">
        <f>getSizeDiameter('RawData (GH)'!J625)</f>
        <v>63</v>
      </c>
      <c r="M625" s="34">
        <f>getSizeLength('RawData (GH)'!J625)</f>
        <v>46.5</v>
      </c>
    </row>
    <row r="626" spans="1:13" x14ac:dyDescent="0.25">
      <c r="A626" t="str">
        <f>'RawData (GH)'!A626</f>
        <v>Pentax HD DA 35mm 2.8 Makro Limited silber</v>
      </c>
      <c r="B626" s="5">
        <f>getFocalLengthStart('RawData (GH)'!B626)</f>
        <v>35</v>
      </c>
      <c r="C626" s="5">
        <f>getFocalLengthEnd('RawData (GH)'!B626)</f>
        <v>35</v>
      </c>
      <c r="D626" s="9">
        <f>getApertureStart('RawData (GH)'!C626)</f>
        <v>2.8</v>
      </c>
      <c r="E626" s="9">
        <f>getApertureEnd('RawData (GH)'!C626)</f>
        <v>2.8</v>
      </c>
      <c r="F626" s="2">
        <f>getFiltersizeAsDouble('RawData (GH)'!D626)</f>
        <v>0</v>
      </c>
      <c r="G626" s="35">
        <f>getMagnification('RawData (GH)'!E626)</f>
        <v>1</v>
      </c>
      <c r="H626" s="62">
        <f>getMinimalFocus('RawData (GH)'!F626)</f>
        <v>0</v>
      </c>
      <c r="I626" t="str">
        <f>getMount('RawData (GH)'!G626)</f>
        <v>Pentax K</v>
      </c>
      <c r="J626" t="str">
        <f>getSensorCompatibility('RawData (GH)'!H626)</f>
        <v>APS-C</v>
      </c>
      <c r="K626" s="45">
        <f>getWeightAsDouble('RawData (GH)'!I626)</f>
        <v>214</v>
      </c>
      <c r="L626" s="34">
        <f>getSizeDiameter('RawData (GH)'!J626)</f>
        <v>63</v>
      </c>
      <c r="M626" s="34">
        <f>getSizeLength('RawData (GH)'!J626)</f>
        <v>46.5</v>
      </c>
    </row>
    <row r="627" spans="1:13" x14ac:dyDescent="0.25">
      <c r="A627" t="str">
        <f>'RawData (GH)'!A627</f>
        <v>Pentax HD DA 40mm 2.8 Limited schwarz</v>
      </c>
      <c r="B627" s="5">
        <f>getFocalLengthStart('RawData (GH)'!B627)</f>
        <v>40</v>
      </c>
      <c r="C627" s="5">
        <f>getFocalLengthEnd('RawData (GH)'!B627)</f>
        <v>40</v>
      </c>
      <c r="D627" s="9">
        <f>getApertureStart('RawData (GH)'!C627)</f>
        <v>2.8</v>
      </c>
      <c r="E627" s="9">
        <f>getApertureEnd('RawData (GH)'!C627)</f>
        <v>2.8</v>
      </c>
      <c r="F627" s="2">
        <f>getFiltersizeAsDouble('RawData (GH)'!D627)</f>
        <v>49</v>
      </c>
      <c r="G627" s="35">
        <f>getMagnification('RawData (GH)'!E627)</f>
        <v>7.69</v>
      </c>
      <c r="H627" s="62">
        <f>getMinimalFocus('RawData (GH)'!F627)</f>
        <v>0</v>
      </c>
      <c r="I627" t="str">
        <f>getMount('RawData (GH)'!G627)</f>
        <v>Pentax K</v>
      </c>
      <c r="J627" t="str">
        <f>getSensorCompatibility('RawData (GH)'!H627)</f>
        <v>APS-C</v>
      </c>
      <c r="K627" s="45">
        <f>getWeightAsDouble('RawData (GH)'!I627)</f>
        <v>89</v>
      </c>
      <c r="L627" s="34">
        <f>getSizeDiameter('RawData (GH)'!J627)</f>
        <v>63</v>
      </c>
      <c r="M627" s="34">
        <f>getSizeLength('RawData (GH)'!J627)</f>
        <v>15</v>
      </c>
    </row>
    <row r="628" spans="1:13" x14ac:dyDescent="0.25">
      <c r="A628" t="str">
        <f>'RawData (GH)'!A628</f>
        <v>Pentax HD DA 40mm 2.8 Limited silber</v>
      </c>
      <c r="B628" s="5">
        <f>getFocalLengthStart('RawData (GH)'!B628)</f>
        <v>40</v>
      </c>
      <c r="C628" s="5">
        <f>getFocalLengthEnd('RawData (GH)'!B628)</f>
        <v>40</v>
      </c>
      <c r="D628" s="9">
        <f>getApertureStart('RawData (GH)'!C628)</f>
        <v>2.8</v>
      </c>
      <c r="E628" s="9">
        <f>getApertureEnd('RawData (GH)'!C628)</f>
        <v>2.8</v>
      </c>
      <c r="F628" s="2">
        <f>getFiltersizeAsDouble('RawData (GH)'!D628)</f>
        <v>49</v>
      </c>
      <c r="G628" s="35">
        <f>getMagnification('RawData (GH)'!E628)</f>
        <v>7.69</v>
      </c>
      <c r="H628" s="62">
        <f>getMinimalFocus('RawData (GH)'!F628)</f>
        <v>0</v>
      </c>
      <c r="I628" t="str">
        <f>getMount('RawData (GH)'!G628)</f>
        <v>Pentax K</v>
      </c>
      <c r="J628" t="str">
        <f>getSensorCompatibility('RawData (GH)'!H628)</f>
        <v>APS-C</v>
      </c>
      <c r="K628" s="45">
        <f>getWeightAsDouble('RawData (GH)'!I628)</f>
        <v>89</v>
      </c>
      <c r="L628" s="34">
        <f>getSizeDiameter('RawData (GH)'!J628)</f>
        <v>63</v>
      </c>
      <c r="M628" s="34">
        <f>getSizeLength('RawData (GH)'!J628)</f>
        <v>15</v>
      </c>
    </row>
    <row r="629" spans="1:13" x14ac:dyDescent="0.25">
      <c r="A629" t="str">
        <f>'RawData (GH)'!A629</f>
        <v>Pentax HD DA 55-300mm 4.0-5.8 ED WR schwarz</v>
      </c>
      <c r="B629" s="5">
        <f>getFocalLengthStart('RawData (GH)'!B629)</f>
        <v>55</v>
      </c>
      <c r="C629" s="5">
        <f>getFocalLengthEnd('RawData (GH)'!B629)</f>
        <v>300</v>
      </c>
      <c r="D629" s="9">
        <f>getApertureStart('RawData (GH)'!C629)</f>
        <v>4</v>
      </c>
      <c r="E629" s="9">
        <f>getApertureEnd('RawData (GH)'!C629)</f>
        <v>5.8</v>
      </c>
      <c r="F629" s="2">
        <f>getFiltersizeAsDouble('RawData (GH)'!D629)</f>
        <v>58</v>
      </c>
      <c r="G629" s="35">
        <f>getMagnification('RawData (GH)'!E629)</f>
        <v>3.57</v>
      </c>
      <c r="H629" s="62">
        <f>getMinimalFocus('RawData (GH)'!F629)</f>
        <v>0</v>
      </c>
      <c r="I629" t="str">
        <f>getMount('RawData (GH)'!G629)</f>
        <v>Pentax K</v>
      </c>
      <c r="J629" t="str">
        <f>getSensorCompatibility('RawData (GH)'!H629)</f>
        <v>APS-C</v>
      </c>
      <c r="K629" s="45">
        <f>getWeightAsDouble('RawData (GH)'!I629)</f>
        <v>466</v>
      </c>
      <c r="L629" s="34">
        <f>getSizeDiameter('RawData (GH)'!J629)</f>
        <v>72</v>
      </c>
      <c r="M629" s="34">
        <f>getSizeLength('RawData (GH)'!J629)</f>
        <v>111.5</v>
      </c>
    </row>
    <row r="630" spans="1:13" x14ac:dyDescent="0.25">
      <c r="A630" t="str">
        <f>'RawData (GH)'!A630</f>
        <v>Pentax HD DA 55-300mm 4.5-6.3 ED PLM WR RE schwarz</v>
      </c>
      <c r="B630" s="5">
        <f>getFocalLengthStart('RawData (GH)'!B630)</f>
        <v>55</v>
      </c>
      <c r="C630" s="5">
        <f>getFocalLengthEnd('RawData (GH)'!B630)</f>
        <v>300</v>
      </c>
      <c r="D630" s="9">
        <f>getApertureStart('RawData (GH)'!C630)</f>
        <v>4.5</v>
      </c>
      <c r="E630" s="9">
        <f>getApertureEnd('RawData (GH)'!C630)</f>
        <v>6.3</v>
      </c>
      <c r="F630" s="2">
        <f>getFiltersizeAsDouble('RawData (GH)'!D630)</f>
        <v>58</v>
      </c>
      <c r="G630" s="35">
        <f>getMagnification('RawData (GH)'!E630)</f>
        <v>3.33</v>
      </c>
      <c r="H630" s="62">
        <f>getMinimalFocus('RawData (GH)'!F630)</f>
        <v>0</v>
      </c>
      <c r="I630" t="str">
        <f>getMount('RawData (GH)'!G630)</f>
        <v>Pentax K</v>
      </c>
      <c r="J630" t="str">
        <f>getSensorCompatibility('RawData (GH)'!H630)</f>
        <v>APS-C</v>
      </c>
      <c r="K630" s="45">
        <f>getWeightAsDouble('RawData (GH)'!I630)</f>
        <v>442</v>
      </c>
      <c r="L630" s="34">
        <f>getSizeDiameter('RawData (GH)'!J630)</f>
        <v>76.5</v>
      </c>
      <c r="M630" s="34">
        <f>getSizeLength('RawData (GH)'!J630)</f>
        <v>89</v>
      </c>
    </row>
    <row r="631" spans="1:13" x14ac:dyDescent="0.25">
      <c r="A631" t="str">
        <f>'RawData (GH)'!A631</f>
        <v>Pentax HD DA 645 28-45mm 4.5 ED AW SR schwarz</v>
      </c>
      <c r="B631" s="5">
        <f>getFocalLengthStart('RawData (GH)'!B631)</f>
        <v>28</v>
      </c>
      <c r="C631" s="5">
        <f>getFocalLengthEnd('RawData (GH)'!B631)</f>
        <v>45</v>
      </c>
      <c r="D631" s="9">
        <f>getApertureStart('RawData (GH)'!C631)</f>
        <v>4.5</v>
      </c>
      <c r="E631" s="9">
        <f>getApertureEnd('RawData (GH)'!C631)</f>
        <v>4.5</v>
      </c>
      <c r="F631" s="2">
        <f>getFiltersizeAsDouble('RawData (GH)'!D631)</f>
        <v>82</v>
      </c>
      <c r="G631" s="35">
        <f>getMagnification('RawData (GH)'!E631)</f>
        <v>4.76</v>
      </c>
      <c r="H631" s="62">
        <f>getMinimalFocus('RawData (GH)'!F631)</f>
        <v>0</v>
      </c>
      <c r="I631" t="str">
        <f>getMount('RawData (GH)'!G631)</f>
        <v>Pentax 645</v>
      </c>
      <c r="J631" t="str">
        <f>getSensorCompatibility('RawData (GH)'!H631)</f>
        <v>APS-C</v>
      </c>
      <c r="K631" s="45">
        <f>getWeightAsDouble('RawData (GH)'!I631)</f>
        <v>1470</v>
      </c>
      <c r="L631" s="34">
        <f>getSizeDiameter('RawData (GH)'!J631)</f>
        <v>99</v>
      </c>
      <c r="M631" s="34">
        <f>getSizeLength('RawData (GH)'!J631)</f>
        <v>152</v>
      </c>
    </row>
    <row r="632" spans="1:13" x14ac:dyDescent="0.25">
      <c r="A632" t="str">
        <f>'RawData (GH)'!A632</f>
        <v>Pentax HD DA 70mm 2.4 Limited schwarz</v>
      </c>
      <c r="B632" s="5">
        <f>getFocalLengthStart('RawData (GH)'!B632)</f>
        <v>70</v>
      </c>
      <c r="C632" s="5">
        <f>getFocalLengthEnd('RawData (GH)'!B632)</f>
        <v>70</v>
      </c>
      <c r="D632" s="9">
        <f>getApertureStart('RawData (GH)'!C632)</f>
        <v>2.4</v>
      </c>
      <c r="E632" s="9">
        <f>getApertureEnd('RawData (GH)'!C632)</f>
        <v>2.4</v>
      </c>
      <c r="F632" s="2">
        <f>getFiltersizeAsDouble('RawData (GH)'!D632)</f>
        <v>49</v>
      </c>
      <c r="G632" s="35">
        <f>getMagnification('RawData (GH)'!E632)</f>
        <v>8.33</v>
      </c>
      <c r="H632" s="62">
        <f>getMinimalFocus('RawData (GH)'!F632)</f>
        <v>0</v>
      </c>
      <c r="I632" t="str">
        <f>getMount('RawData (GH)'!G632)</f>
        <v>Pentax K</v>
      </c>
      <c r="J632" t="str">
        <f>getSensorCompatibility('RawData (GH)'!H632)</f>
        <v>APS-C</v>
      </c>
      <c r="K632" s="45">
        <f>getWeightAsDouble('RawData (GH)'!I632)</f>
        <v>131</v>
      </c>
      <c r="L632" s="34">
        <f>getSizeDiameter('RawData (GH)'!J632)</f>
        <v>63</v>
      </c>
      <c r="M632" s="34">
        <f>getSizeLength('RawData (GH)'!J632)</f>
        <v>26</v>
      </c>
    </row>
    <row r="633" spans="1:13" x14ac:dyDescent="0.25">
      <c r="A633" t="str">
        <f>'RawData (GH)'!A633</f>
        <v>Pentax HD DA 70mm 2.4 Limited silber</v>
      </c>
      <c r="B633" s="5">
        <f>getFocalLengthStart('RawData (GH)'!B633)</f>
        <v>70</v>
      </c>
      <c r="C633" s="5">
        <f>getFocalLengthEnd('RawData (GH)'!B633)</f>
        <v>70</v>
      </c>
      <c r="D633" s="9">
        <f>getApertureStart('RawData (GH)'!C633)</f>
        <v>2.4</v>
      </c>
      <c r="E633" s="9">
        <f>getApertureEnd('RawData (GH)'!C633)</f>
        <v>2.4</v>
      </c>
      <c r="F633" s="2">
        <f>getFiltersizeAsDouble('RawData (GH)'!D633)</f>
        <v>49</v>
      </c>
      <c r="G633" s="35">
        <f>getMagnification('RawData (GH)'!E633)</f>
        <v>8.33</v>
      </c>
      <c r="H633" s="62">
        <f>getMinimalFocus('RawData (GH)'!F633)</f>
        <v>0</v>
      </c>
      <c r="I633" t="str">
        <f>getMount('RawData (GH)'!G633)</f>
        <v>Pentax K</v>
      </c>
      <c r="J633" t="str">
        <f>getSensorCompatibility('RawData (GH)'!H633)</f>
        <v>APS-C</v>
      </c>
      <c r="K633" s="45">
        <f>getWeightAsDouble('RawData (GH)'!I633)</f>
        <v>131</v>
      </c>
      <c r="L633" s="34">
        <f>getSizeDiameter('RawData (GH)'!J633)</f>
        <v>63</v>
      </c>
      <c r="M633" s="34">
        <f>getSizeLength('RawData (GH)'!J633)</f>
        <v>26</v>
      </c>
    </row>
    <row r="634" spans="1:13" x14ac:dyDescent="0.25">
      <c r="A634" t="str">
        <f>'RawData (GH)'!A634</f>
        <v>Pentax HD DFA 150-450mm 4.5-5.6 ED DC AW schwarz</v>
      </c>
      <c r="B634" s="5">
        <f>getFocalLengthStart('RawData (GH)'!B634)</f>
        <v>150</v>
      </c>
      <c r="C634" s="5">
        <f>getFocalLengthEnd('RawData (GH)'!B634)</f>
        <v>450</v>
      </c>
      <c r="D634" s="9">
        <f>getApertureStart('RawData (GH)'!C634)</f>
        <v>4.5</v>
      </c>
      <c r="E634" s="9">
        <f>getApertureEnd('RawData (GH)'!C634)</f>
        <v>5.6</v>
      </c>
      <c r="F634" s="2">
        <f>getFiltersizeAsDouble('RawData (GH)'!D634)</f>
        <v>86</v>
      </c>
      <c r="G634" s="35">
        <f>getMagnification('RawData (GH)'!E634)</f>
        <v>4.55</v>
      </c>
      <c r="H634" s="62">
        <f>getMinimalFocus('RawData (GH)'!F634)</f>
        <v>0</v>
      </c>
      <c r="I634" t="str">
        <f>getMount('RawData (GH)'!G634)</f>
        <v>Pentax K</v>
      </c>
      <c r="J634" t="str">
        <f>getSensorCompatibility('RawData (GH)'!H634)</f>
        <v>APS-C/ Kleinbild</v>
      </c>
      <c r="K634" s="45">
        <f>getWeightAsDouble('RawData (GH)'!I634)</f>
        <v>2000</v>
      </c>
      <c r="L634" s="34">
        <f>getSizeDiameter('RawData (GH)'!J634)</f>
        <v>95</v>
      </c>
      <c r="M634" s="34">
        <f>getSizeLength('RawData (GH)'!J634)</f>
        <v>241.5</v>
      </c>
    </row>
    <row r="635" spans="1:13" x14ac:dyDescent="0.25">
      <c r="A635" t="str">
        <f>'RawData (GH)'!A635</f>
        <v>Pentax HD DFA 15-30mm 2.8 ED SDM WR schwarz</v>
      </c>
      <c r="B635" s="5">
        <f>getFocalLengthStart('RawData (GH)'!B635)</f>
        <v>15</v>
      </c>
      <c r="C635" s="5">
        <f>getFocalLengthEnd('RawData (GH)'!B635)</f>
        <v>30</v>
      </c>
      <c r="D635" s="9">
        <f>getApertureStart('RawData (GH)'!C635)</f>
        <v>2.8</v>
      </c>
      <c r="E635" s="9">
        <f>getApertureEnd('RawData (GH)'!C635)</f>
        <v>2.8</v>
      </c>
      <c r="F635" s="2">
        <f>getFiltersizeAsDouble('RawData (GH)'!D635)</f>
        <v>0</v>
      </c>
      <c r="G635" s="35">
        <f>getMagnification('RawData (GH)'!E635)</f>
        <v>5</v>
      </c>
      <c r="H635" s="62">
        <f>getMinimalFocus('RawData (GH)'!F635)</f>
        <v>0</v>
      </c>
      <c r="I635" t="str">
        <f>getMount('RawData (GH)'!G635)</f>
        <v>Pentax K</v>
      </c>
      <c r="J635" t="str">
        <f>getSensorCompatibility('RawData (GH)'!H635)</f>
        <v>APS-C/ Kleinbild</v>
      </c>
      <c r="K635" s="45">
        <f>getWeightAsDouble('RawData (GH)'!I635)</f>
        <v>1040</v>
      </c>
      <c r="L635" s="34">
        <f>getSizeDiameter('RawData (GH)'!J635)</f>
        <v>98.5</v>
      </c>
      <c r="M635" s="34">
        <f>getSizeLength('RawData (GH)'!J635)</f>
        <v>143.5</v>
      </c>
    </row>
    <row r="636" spans="1:13" x14ac:dyDescent="0.25">
      <c r="A636" t="str">
        <f>'RawData (GH)'!A636</f>
        <v>Pentax HD DFA 24-70mm 2.8 ED SDM WR schwarz</v>
      </c>
      <c r="B636" s="5">
        <f>getFocalLengthStart('RawData (GH)'!B636)</f>
        <v>24</v>
      </c>
      <c r="C636" s="5">
        <f>getFocalLengthEnd('RawData (GH)'!B636)</f>
        <v>70</v>
      </c>
      <c r="D636" s="9">
        <f>getApertureStart('RawData (GH)'!C636)</f>
        <v>2.8</v>
      </c>
      <c r="E636" s="9">
        <f>getApertureEnd('RawData (GH)'!C636)</f>
        <v>2.8</v>
      </c>
      <c r="F636" s="2">
        <f>getFiltersizeAsDouble('RawData (GH)'!D636)</f>
        <v>82</v>
      </c>
      <c r="G636" s="35">
        <f>getMagnification('RawData (GH)'!E636)</f>
        <v>5</v>
      </c>
      <c r="H636" s="62">
        <f>getMinimalFocus('RawData (GH)'!F636)</f>
        <v>0</v>
      </c>
      <c r="I636" t="str">
        <f>getMount('RawData (GH)'!G636)</f>
        <v>Pentax K</v>
      </c>
      <c r="J636" t="str">
        <f>getSensorCompatibility('RawData (GH)'!H636)</f>
        <v>APS-C/ Kleinbild</v>
      </c>
      <c r="K636" s="45">
        <f>getWeightAsDouble('RawData (GH)'!I636)</f>
        <v>787</v>
      </c>
      <c r="L636" s="34">
        <f>getSizeDiameter('RawData (GH)'!J636)</f>
        <v>88.5</v>
      </c>
      <c r="M636" s="34">
        <f>getSizeLength('RawData (GH)'!J636)</f>
        <v>109.5</v>
      </c>
    </row>
    <row r="637" spans="1:13" x14ac:dyDescent="0.25">
      <c r="A637" t="str">
        <f>'RawData (GH)'!A637</f>
        <v>Pentax HD DFA 28-105mm 3.5-5.6 ED DC WR schwarz</v>
      </c>
      <c r="B637" s="5">
        <f>getFocalLengthStart('RawData (GH)'!B637)</f>
        <v>28</v>
      </c>
      <c r="C637" s="5">
        <f>getFocalLengthEnd('RawData (GH)'!B637)</f>
        <v>105</v>
      </c>
      <c r="D637" s="9">
        <f>getApertureStart('RawData (GH)'!C637)</f>
        <v>3.5</v>
      </c>
      <c r="E637" s="9">
        <f>getApertureEnd('RawData (GH)'!C637)</f>
        <v>5.6</v>
      </c>
      <c r="F637" s="2">
        <f>getFiltersizeAsDouble('RawData (GH)'!D637)</f>
        <v>62</v>
      </c>
      <c r="G637" s="35">
        <f>getMagnification('RawData (GH)'!E637)</f>
        <v>4.55</v>
      </c>
      <c r="H637" s="62">
        <f>getMinimalFocus('RawData (GH)'!F637)</f>
        <v>0</v>
      </c>
      <c r="I637" t="str">
        <f>getMount('RawData (GH)'!G637)</f>
        <v>Pentax K</v>
      </c>
      <c r="J637" t="str">
        <f>getSensorCompatibility('RawData (GH)'!H637)</f>
        <v>APS-C/ Kleinbild</v>
      </c>
      <c r="K637" s="45">
        <f>getWeightAsDouble('RawData (GH)'!I637)</f>
        <v>440</v>
      </c>
      <c r="L637" s="34">
        <f>getSizeDiameter('RawData (GH)'!J637)</f>
        <v>73</v>
      </c>
      <c r="M637" s="34">
        <f>getSizeLength('RawData (GH)'!J637)</f>
        <v>86.5</v>
      </c>
    </row>
    <row r="638" spans="1:13" x14ac:dyDescent="0.25">
      <c r="A638" t="str">
        <f>'RawData (GH)'!A638</f>
        <v>Pentax HD DFA* 70-200mm 2.8 ED DC AW schwarz</v>
      </c>
      <c r="B638" s="5">
        <f>getFocalLengthStart('RawData (GH)'!B638)</f>
        <v>70</v>
      </c>
      <c r="C638" s="5">
        <f>getFocalLengthEnd('RawData (GH)'!B638)</f>
        <v>200</v>
      </c>
      <c r="D638" s="9">
        <f>getApertureStart('RawData (GH)'!C638)</f>
        <v>2.8</v>
      </c>
      <c r="E638" s="9">
        <f>getApertureEnd('RawData (GH)'!C638)</f>
        <v>2.8</v>
      </c>
      <c r="F638" s="2">
        <f>getFiltersizeAsDouble('RawData (GH)'!D638)</f>
        <v>77</v>
      </c>
      <c r="G638" s="35">
        <f>getMagnification('RawData (GH)'!E638)</f>
        <v>7.69</v>
      </c>
      <c r="H638" s="62">
        <f>getMinimalFocus('RawData (GH)'!F638)</f>
        <v>0</v>
      </c>
      <c r="I638" t="str">
        <f>getMount('RawData (GH)'!G638)</f>
        <v>Pentax K</v>
      </c>
      <c r="J638" t="str">
        <f>getSensorCompatibility('RawData (GH)'!H638)</f>
        <v>APS-C/ Kleinbild</v>
      </c>
      <c r="K638" s="45">
        <f>getWeightAsDouble('RawData (GH)'!I638)</f>
        <v>1760</v>
      </c>
      <c r="L638" s="34">
        <f>getSizeDiameter('RawData (GH)'!J638)</f>
        <v>91.5</v>
      </c>
      <c r="M638" s="34">
        <f>getSizeLength('RawData (GH)'!J638)</f>
        <v>203</v>
      </c>
    </row>
    <row r="639" spans="1:13" x14ac:dyDescent="0.25">
      <c r="A639" t="str">
        <f>'RawData (GH)'!A639</f>
        <v>Pentax Q 01 Standard Prime 8.5mm 1.9 AL silber</v>
      </c>
      <c r="B639" s="5">
        <f>getFocalLengthStart('RawData (GH)'!B639)</f>
        <v>8.5</v>
      </c>
      <c r="C639" s="5">
        <f>getFocalLengthEnd('RawData (GH)'!B639)</f>
        <v>8.5</v>
      </c>
      <c r="D639" s="9">
        <f>getApertureStart('RawData (GH)'!C639)</f>
        <v>1.9</v>
      </c>
      <c r="E639" s="9">
        <f>getApertureEnd('RawData (GH)'!C639)</f>
        <v>1.9</v>
      </c>
      <c r="F639" s="2">
        <f>getFiltersizeAsDouble('RawData (GH)'!D639)</f>
        <v>40.5</v>
      </c>
      <c r="G639" s="35">
        <f>getMagnification('RawData (GH)'!E639)</f>
        <v>20</v>
      </c>
      <c r="H639" s="62">
        <f>getMinimalFocus('RawData (GH)'!F639)</f>
        <v>0</v>
      </c>
      <c r="I639" t="str">
        <f>getMount('RawData (GH)'!G639)</f>
        <v>Pentax Q</v>
      </c>
      <c r="J639" t="str">
        <f>getSensorCompatibility('RawData (GH)'!H639)</f>
        <v>Pentax Q</v>
      </c>
      <c r="K639" s="45">
        <f>getWeightAsDouble('RawData (GH)'!I639)</f>
        <v>37</v>
      </c>
      <c r="L639" s="34">
        <f>getSizeDiameter('RawData (GH)'!J639)</f>
        <v>45.5</v>
      </c>
      <c r="M639" s="34">
        <f>getSizeLength('RawData (GH)'!J639)</f>
        <v>23</v>
      </c>
    </row>
    <row r="640" spans="1:13" x14ac:dyDescent="0.25">
      <c r="A640" t="str">
        <f>'RawData (GH)'!A640</f>
        <v>Pentax Q 02 Standard Zoom 5-15mm 2.8-4.5 AL silber</v>
      </c>
      <c r="B640" s="5">
        <f>getFocalLengthStart('RawData (GH)'!B640)</f>
        <v>5</v>
      </c>
      <c r="C640" s="5">
        <f>getFocalLengthEnd('RawData (GH)'!B640)</f>
        <v>15</v>
      </c>
      <c r="D640" s="9">
        <f>getApertureStart('RawData (GH)'!C640)</f>
        <v>2.8</v>
      </c>
      <c r="E640" s="9">
        <f>getApertureEnd('RawData (GH)'!C640)</f>
        <v>4.5</v>
      </c>
      <c r="F640" s="2">
        <f>getFiltersizeAsDouble('RawData (GH)'!D640)</f>
        <v>40.5</v>
      </c>
      <c r="G640" s="35">
        <f>getMagnification('RawData (GH)'!E640)</f>
        <v>16.670000000000002</v>
      </c>
      <c r="H640" s="62">
        <f>getMinimalFocus('RawData (GH)'!F640)</f>
        <v>0</v>
      </c>
      <c r="I640" t="str">
        <f>getMount('RawData (GH)'!G640)</f>
        <v>Pentax Q</v>
      </c>
      <c r="J640" t="str">
        <f>getSensorCompatibility('RawData (GH)'!H640)</f>
        <v>Pentax Q</v>
      </c>
      <c r="K640" s="45">
        <f>getWeightAsDouble('RawData (GH)'!I640)</f>
        <v>96</v>
      </c>
      <c r="L640" s="34">
        <f>getSizeDiameter('RawData (GH)'!J640)</f>
        <v>48.5</v>
      </c>
      <c r="M640" s="34">
        <f>getSizeLength('RawData (GH)'!J640)</f>
        <v>48</v>
      </c>
    </row>
    <row r="641" spans="1:13" x14ac:dyDescent="0.25">
      <c r="A641" t="str">
        <f>'RawData (GH)'!A641</f>
        <v>Pentax Q 03 Fisheye 3.2mm 5.6 silber</v>
      </c>
      <c r="B641" s="5">
        <f>getFocalLengthStart('RawData (GH)'!B641)</f>
        <v>3.2</v>
      </c>
      <c r="C641" s="5">
        <f>getFocalLengthEnd('RawData (GH)'!B641)</f>
        <v>3.2</v>
      </c>
      <c r="D641" s="9">
        <f>getApertureStart('RawData (GH)'!C641)</f>
        <v>5.6</v>
      </c>
      <c r="E641" s="9">
        <f>getApertureEnd('RawData (GH)'!C641)</f>
        <v>5.6</v>
      </c>
      <c r="F641" s="2">
        <f>getFiltersizeAsDouble('RawData (GH)'!D641)</f>
        <v>0</v>
      </c>
      <c r="G641" s="35">
        <f>getMagnification('RawData (GH)'!E641)</f>
        <v>16.670000000000002</v>
      </c>
      <c r="H641" s="62">
        <f>getMinimalFocus('RawData (GH)'!F641)</f>
        <v>0</v>
      </c>
      <c r="I641" t="str">
        <f>getMount('RawData (GH)'!G641)</f>
        <v>Pentax Q</v>
      </c>
      <c r="J641" t="str">
        <f>getSensorCompatibility('RawData (GH)'!H641)</f>
        <v>Pentax Q</v>
      </c>
      <c r="K641" s="45">
        <f>getWeightAsDouble('RawData (GH)'!I641)</f>
        <v>29</v>
      </c>
      <c r="L641" s="34">
        <f>getSizeDiameter('RawData (GH)'!J641)</f>
        <v>40.6</v>
      </c>
      <c r="M641" s="34">
        <f>getSizeLength('RawData (GH)'!J641)</f>
        <v>30.5</v>
      </c>
    </row>
    <row r="642" spans="1:13" x14ac:dyDescent="0.25">
      <c r="A642" t="str">
        <f>'RawData (GH)'!A642</f>
        <v>Pentax Q 04 Toy Lens Wide 6.3mm 7.1 silber</v>
      </c>
      <c r="B642" s="5">
        <f>getFocalLengthStart('RawData (GH)'!B642)</f>
        <v>6.3</v>
      </c>
      <c r="C642" s="5">
        <f>getFocalLengthEnd('RawData (GH)'!B642)</f>
        <v>6.3</v>
      </c>
      <c r="D642" s="9">
        <f>getApertureStart('RawData (GH)'!C642)</f>
        <v>7.1</v>
      </c>
      <c r="E642" s="9">
        <f>getApertureEnd('RawData (GH)'!C642)</f>
        <v>7.1</v>
      </c>
      <c r="F642" s="2">
        <f>getFiltersizeAsDouble('RawData (GH)'!D642)</f>
        <v>0</v>
      </c>
      <c r="G642" s="35">
        <f>getMagnification('RawData (GH)'!E642)</f>
        <v>6.67</v>
      </c>
      <c r="H642" s="62">
        <f>getMinimalFocus('RawData (GH)'!F642)</f>
        <v>0</v>
      </c>
      <c r="I642" t="str">
        <f>getMount('RawData (GH)'!G642)</f>
        <v>Pentax Q</v>
      </c>
      <c r="J642" t="str">
        <f>getSensorCompatibility('RawData (GH)'!H642)</f>
        <v>Pentax Q</v>
      </c>
      <c r="K642" s="45">
        <f>getWeightAsDouble('RawData (GH)'!I642)</f>
        <v>21</v>
      </c>
      <c r="L642" s="34">
        <f>getSizeDiameter('RawData (GH)'!J642)</f>
        <v>40.6</v>
      </c>
      <c r="M642" s="34">
        <f>getSizeLength('RawData (GH)'!J642)</f>
        <v>25</v>
      </c>
    </row>
    <row r="643" spans="1:13" x14ac:dyDescent="0.25">
      <c r="A643" t="str">
        <f>'RawData (GH)'!A643</f>
        <v>Pentax Q 05 Toy Lens Telephoto 18mm 8.0 silber</v>
      </c>
      <c r="B643" s="5">
        <f>getFocalLengthStart('RawData (GH)'!B643)</f>
        <v>18</v>
      </c>
      <c r="C643" s="5">
        <f>getFocalLengthEnd('RawData (GH)'!B643)</f>
        <v>18</v>
      </c>
      <c r="D643" s="9">
        <f>getApertureStart('RawData (GH)'!C643)</f>
        <v>8</v>
      </c>
      <c r="E643" s="9">
        <f>getApertureEnd('RawData (GH)'!C643)</f>
        <v>8</v>
      </c>
      <c r="F643" s="2">
        <f>getFiltersizeAsDouble('RawData (GH)'!D643)</f>
        <v>0</v>
      </c>
      <c r="G643" s="35">
        <f>getMagnification('RawData (GH)'!E643)</f>
        <v>12.5</v>
      </c>
      <c r="H643" s="62">
        <f>getMinimalFocus('RawData (GH)'!F643)</f>
        <v>0</v>
      </c>
      <c r="I643" t="str">
        <f>getMount('RawData (GH)'!G643)</f>
        <v>Pentax Q</v>
      </c>
      <c r="J643" t="str">
        <f>getSensorCompatibility('RawData (GH)'!H643)</f>
        <v>Pentax Q</v>
      </c>
      <c r="K643" s="45">
        <f>getWeightAsDouble('RawData (GH)'!I643)</f>
        <v>18</v>
      </c>
      <c r="L643" s="34">
        <f>getSizeDiameter('RawData (GH)'!J643)</f>
        <v>40.6</v>
      </c>
      <c r="M643" s="34">
        <f>getSizeLength('RawData (GH)'!J643)</f>
        <v>19.5</v>
      </c>
    </row>
    <row r="644" spans="1:13" x14ac:dyDescent="0.25">
      <c r="A644" t="str">
        <f>'RawData (GH)'!A644</f>
        <v>Pentax Q 06 Telephoto Zoom 15-45mm 2.8 AL silber</v>
      </c>
      <c r="B644" s="5">
        <f>getFocalLengthStart('RawData (GH)'!B644)</f>
        <v>15</v>
      </c>
      <c r="C644" s="5">
        <f>getFocalLengthEnd('RawData (GH)'!B644)</f>
        <v>45</v>
      </c>
      <c r="D644" s="9">
        <f>getApertureStart('RawData (GH)'!C644)</f>
        <v>2.8</v>
      </c>
      <c r="E644" s="9">
        <f>getApertureEnd('RawData (GH)'!C644)</f>
        <v>2.8</v>
      </c>
      <c r="F644" s="2">
        <f>getFiltersizeAsDouble('RawData (GH)'!D644)</f>
        <v>40.5</v>
      </c>
      <c r="G644" s="35">
        <f>getMagnification('RawData (GH)'!E644)</f>
        <v>20</v>
      </c>
      <c r="H644" s="62">
        <f>getMinimalFocus('RawData (GH)'!F644)</f>
        <v>0</v>
      </c>
      <c r="I644" t="str">
        <f>getMount('RawData (GH)'!G644)</f>
        <v>Pentax Q</v>
      </c>
      <c r="J644" t="str">
        <f>getSensorCompatibility('RawData (GH)'!H644)</f>
        <v>Pentax Q</v>
      </c>
      <c r="K644" s="45">
        <f>getWeightAsDouble('RawData (GH)'!I644)</f>
        <v>90</v>
      </c>
      <c r="L644" s="34">
        <f>getSizeDiameter('RawData (GH)'!J644)</f>
        <v>50</v>
      </c>
      <c r="M644" s="34">
        <f>getSizeLength('RawData (GH)'!J644)</f>
        <v>56</v>
      </c>
    </row>
    <row r="645" spans="1:13" x14ac:dyDescent="0.25">
      <c r="A645" t="str">
        <f>'RawData (GH)'!A645</f>
        <v>Pentax Q 08 Wide Zoom 3.8-5.9mm 3.7-4.0 silber</v>
      </c>
      <c r="B645" s="5">
        <f>getFocalLengthStart('RawData (GH)'!B645)</f>
        <v>3.8</v>
      </c>
      <c r="C645" s="5">
        <f>getFocalLengthEnd('RawData (GH)'!B645)</f>
        <v>5.9</v>
      </c>
      <c r="D645" s="9">
        <f>getApertureStart('RawData (GH)'!C645)</f>
        <v>3.7</v>
      </c>
      <c r="E645" s="9">
        <f>getApertureEnd('RawData (GH)'!C645)</f>
        <v>4</v>
      </c>
      <c r="F645" s="2">
        <f>getFiltersizeAsDouble('RawData (GH)'!D645)</f>
        <v>49</v>
      </c>
      <c r="G645" s="35">
        <f>getMagnification('RawData (GH)'!E645)</f>
        <v>33.33</v>
      </c>
      <c r="H645" s="62">
        <f>getMinimalFocus('RawData (GH)'!F645)</f>
        <v>0</v>
      </c>
      <c r="I645" t="str">
        <f>getMount('RawData (GH)'!G645)</f>
        <v>Pentax Q</v>
      </c>
      <c r="J645" t="str">
        <f>getSensorCompatibility('RawData (GH)'!H645)</f>
        <v>Pentax Q</v>
      </c>
      <c r="K645" s="45">
        <f>getWeightAsDouble('RawData (GH)'!I645)</f>
        <v>75</v>
      </c>
      <c r="L645" s="34">
        <f>getSizeDiameter('RawData (GH)'!J645)</f>
        <v>54</v>
      </c>
      <c r="M645" s="34">
        <f>getSizeLength('RawData (GH)'!J645)</f>
        <v>38</v>
      </c>
    </row>
    <row r="646" spans="1:13" x14ac:dyDescent="0.25">
      <c r="A646" t="str">
        <f>'RawData (GH)'!A646</f>
        <v>Pentax smc DA 10-17mm 3.5-4.5 ED Fisheye-Zoom schwarz</v>
      </c>
      <c r="B646" s="5">
        <f>getFocalLengthStart('RawData (GH)'!B646)</f>
        <v>10</v>
      </c>
      <c r="C646" s="5">
        <f>getFocalLengthEnd('RawData (GH)'!B646)</f>
        <v>17</v>
      </c>
      <c r="D646" s="9">
        <f>getApertureStart('RawData (GH)'!C646)</f>
        <v>3.5</v>
      </c>
      <c r="E646" s="9">
        <f>getApertureEnd('RawData (GH)'!C646)</f>
        <v>4.5</v>
      </c>
      <c r="F646" s="2">
        <f>getFiltersizeAsDouble('RawData (GH)'!D646)</f>
        <v>0</v>
      </c>
      <c r="G646" s="35">
        <f>getMagnification('RawData (GH)'!E646)</f>
        <v>2.63</v>
      </c>
      <c r="H646" s="62">
        <f>getMinimalFocus('RawData (GH)'!F646)</f>
        <v>0</v>
      </c>
      <c r="I646" t="str">
        <f>getMount('RawData (GH)'!G646)</f>
        <v>Pentax K</v>
      </c>
      <c r="J646" t="str">
        <f>getSensorCompatibility('RawData (GH)'!H646)</f>
        <v>APS-C</v>
      </c>
      <c r="K646" s="45">
        <f>getWeightAsDouble('RawData (GH)'!I646)</f>
        <v>320</v>
      </c>
      <c r="L646" s="34">
        <f>getSizeDiameter('RawData (GH)'!J646)</f>
        <v>71.5</v>
      </c>
      <c r="M646" s="34">
        <f>getSizeLength('RawData (GH)'!J646)</f>
        <v>68</v>
      </c>
    </row>
    <row r="647" spans="1:13" x14ac:dyDescent="0.25">
      <c r="A647" t="str">
        <f>'RawData (GH)'!A647</f>
        <v>Pentax smc DA 12-24mm 4.0 ED AL schwarz</v>
      </c>
      <c r="B647" s="5">
        <f>getFocalLengthStart('RawData (GH)'!B647)</f>
        <v>12</v>
      </c>
      <c r="C647" s="5">
        <f>getFocalLengthEnd('RawData (GH)'!B647)</f>
        <v>24</v>
      </c>
      <c r="D647" s="9">
        <f>getApertureStart('RawData (GH)'!C647)</f>
        <v>4</v>
      </c>
      <c r="E647" s="9">
        <f>getApertureEnd('RawData (GH)'!C647)</f>
        <v>4</v>
      </c>
      <c r="F647" s="2">
        <f>getFiltersizeAsDouble('RawData (GH)'!D647)</f>
        <v>77</v>
      </c>
      <c r="G647" s="35">
        <f>getMagnification('RawData (GH)'!E647)</f>
        <v>8.33</v>
      </c>
      <c r="H647" s="62">
        <f>getMinimalFocus('RawData (GH)'!F647)</f>
        <v>0</v>
      </c>
      <c r="I647" t="str">
        <f>getMount('RawData (GH)'!G647)</f>
        <v>Pentax K</v>
      </c>
      <c r="J647" t="str">
        <f>getSensorCompatibility('RawData (GH)'!H647)</f>
        <v>APS-C</v>
      </c>
      <c r="K647" s="45">
        <f>getWeightAsDouble('RawData (GH)'!I647)</f>
        <v>430</v>
      </c>
      <c r="L647" s="34">
        <f>getSizeDiameter('RawData (GH)'!J647)</f>
        <v>84</v>
      </c>
      <c r="M647" s="34">
        <f>getSizeLength('RawData (GH)'!J647)</f>
        <v>87.5</v>
      </c>
    </row>
    <row r="648" spans="1:13" x14ac:dyDescent="0.25">
      <c r="A648" t="str">
        <f>'RawData (GH)'!A648</f>
        <v>Pentax smc DA 16-45mm 4.0 ED AL schwarz</v>
      </c>
      <c r="B648" s="5">
        <f>getFocalLengthStart('RawData (GH)'!B648)</f>
        <v>16</v>
      </c>
      <c r="C648" s="5">
        <f>getFocalLengthEnd('RawData (GH)'!B648)</f>
        <v>45</v>
      </c>
      <c r="D648" s="9">
        <f>getApertureStart('RawData (GH)'!C648)</f>
        <v>4</v>
      </c>
      <c r="E648" s="9">
        <f>getApertureEnd('RawData (GH)'!C648)</f>
        <v>4</v>
      </c>
      <c r="F648" s="2">
        <f>getFiltersizeAsDouble('RawData (GH)'!D648)</f>
        <v>67</v>
      </c>
      <c r="G648" s="35">
        <f>getMagnification('RawData (GH)'!E648)</f>
        <v>3.85</v>
      </c>
      <c r="H648" s="62">
        <f>getMinimalFocus('RawData (GH)'!F648)</f>
        <v>0</v>
      </c>
      <c r="I648" t="str">
        <f>getMount('RawData (GH)'!G648)</f>
        <v>Pentax K</v>
      </c>
      <c r="J648" t="str">
        <f>getSensorCompatibility('RawData (GH)'!H648)</f>
        <v>APS-C</v>
      </c>
      <c r="K648" s="45">
        <f>getWeightAsDouble('RawData (GH)'!I648)</f>
        <v>365</v>
      </c>
      <c r="L648" s="34">
        <f>getSizeDiameter('RawData (GH)'!J648)</f>
        <v>72</v>
      </c>
      <c r="M648" s="34">
        <f>getSizeLength('RawData (GH)'!J648)</f>
        <v>92</v>
      </c>
    </row>
    <row r="649" spans="1:13" x14ac:dyDescent="0.25">
      <c r="A649" t="str">
        <f>'RawData (GH)'!A649</f>
        <v>Pentax smc DA 16-50mm 2.8 ED AL IF SDM schwarz</v>
      </c>
      <c r="B649" s="5">
        <f>getFocalLengthStart('RawData (GH)'!B649)</f>
        <v>16</v>
      </c>
      <c r="C649" s="5">
        <f>getFocalLengthEnd('RawData (GH)'!B649)</f>
        <v>50</v>
      </c>
      <c r="D649" s="9">
        <f>getApertureStart('RawData (GH)'!C649)</f>
        <v>2.8</v>
      </c>
      <c r="E649" s="9">
        <f>getApertureEnd('RawData (GH)'!C649)</f>
        <v>2.8</v>
      </c>
      <c r="F649" s="2">
        <f>getFiltersizeAsDouble('RawData (GH)'!D649)</f>
        <v>77</v>
      </c>
      <c r="G649" s="35">
        <f>getMagnification('RawData (GH)'!E649)</f>
        <v>4.76</v>
      </c>
      <c r="H649" s="62">
        <f>getMinimalFocus('RawData (GH)'!F649)</f>
        <v>0</v>
      </c>
      <c r="I649" t="str">
        <f>getMount('RawData (GH)'!G649)</f>
        <v>Pentax K</v>
      </c>
      <c r="J649" t="str">
        <f>getSensorCompatibility('RawData (GH)'!H649)</f>
        <v>APS-C</v>
      </c>
      <c r="K649" s="45">
        <f>getWeightAsDouble('RawData (GH)'!I649)</f>
        <v>565</v>
      </c>
      <c r="L649" s="34">
        <f>getSizeDiameter('RawData (GH)'!J649)</f>
        <v>84</v>
      </c>
      <c r="M649" s="34">
        <f>getSizeLength('RawData (GH)'!J649)</f>
        <v>98.5</v>
      </c>
    </row>
    <row r="650" spans="1:13" x14ac:dyDescent="0.25">
      <c r="A650" t="str">
        <f>'RawData (GH)'!A650</f>
        <v>Pentax smc DA 17-70mm 4.0 AL IF SDM schwarz</v>
      </c>
      <c r="B650" s="5">
        <f>getFocalLengthStart('RawData (GH)'!B650)</f>
        <v>17</v>
      </c>
      <c r="C650" s="5">
        <f>getFocalLengthEnd('RawData (GH)'!B650)</f>
        <v>70</v>
      </c>
      <c r="D650" s="9">
        <f>getApertureStart('RawData (GH)'!C650)</f>
        <v>4</v>
      </c>
      <c r="E650" s="9">
        <f>getApertureEnd('RawData (GH)'!C650)</f>
        <v>4</v>
      </c>
      <c r="F650" s="2">
        <f>getFiltersizeAsDouble('RawData (GH)'!D650)</f>
        <v>67</v>
      </c>
      <c r="G650" s="35">
        <f>getMagnification('RawData (GH)'!E650)</f>
        <v>3.23</v>
      </c>
      <c r="H650" s="62">
        <f>getMinimalFocus('RawData (GH)'!F650)</f>
        <v>0</v>
      </c>
      <c r="I650" t="str">
        <f>getMount('RawData (GH)'!G650)</f>
        <v>Pentax K</v>
      </c>
      <c r="J650" t="str">
        <f>getSensorCompatibility('RawData (GH)'!H650)</f>
        <v>APS-C</v>
      </c>
      <c r="K650" s="45">
        <f>getWeightAsDouble('RawData (GH)'!I650)</f>
        <v>485</v>
      </c>
      <c r="L650" s="34">
        <f>getSizeDiameter('RawData (GH)'!J650)</f>
        <v>75</v>
      </c>
      <c r="M650" s="34">
        <f>getSizeLength('RawData (GH)'!J650)</f>
        <v>93.5</v>
      </c>
    </row>
    <row r="651" spans="1:13" x14ac:dyDescent="0.25">
      <c r="A651" t="str">
        <f>'RawData (GH)'!A651</f>
        <v>Pentax smc DA 18-135mm 3.5-5.6 ED AL IF DC WR schwarz</v>
      </c>
      <c r="B651" s="5">
        <f>getFocalLengthStart('RawData (GH)'!B651)</f>
        <v>18</v>
      </c>
      <c r="C651" s="5">
        <f>getFocalLengthEnd('RawData (GH)'!B651)</f>
        <v>135</v>
      </c>
      <c r="D651" s="9">
        <f>getApertureStart('RawData (GH)'!C651)</f>
        <v>3.5</v>
      </c>
      <c r="E651" s="9">
        <f>getApertureEnd('RawData (GH)'!C651)</f>
        <v>5.6</v>
      </c>
      <c r="F651" s="2">
        <f>getFiltersizeAsDouble('RawData (GH)'!D651)</f>
        <v>62</v>
      </c>
      <c r="G651" s="35">
        <f>getMagnification('RawData (GH)'!E651)</f>
        <v>4.17</v>
      </c>
      <c r="H651" s="62">
        <f>getMinimalFocus('RawData (GH)'!F651)</f>
        <v>0</v>
      </c>
      <c r="I651" t="str">
        <f>getMount('RawData (GH)'!G651)</f>
        <v>Pentax K</v>
      </c>
      <c r="J651" t="str">
        <f>getSensorCompatibility('RawData (GH)'!H651)</f>
        <v>APS-C</v>
      </c>
      <c r="K651" s="45">
        <f>getWeightAsDouble('RawData (GH)'!I651)</f>
        <v>405</v>
      </c>
      <c r="L651" s="34">
        <f>getSizeDiameter('RawData (GH)'!J651)</f>
        <v>76</v>
      </c>
      <c r="M651" s="34">
        <f>getSizeLength('RawData (GH)'!J651)</f>
        <v>73</v>
      </c>
    </row>
    <row r="652" spans="1:13" x14ac:dyDescent="0.25">
      <c r="A652" t="str">
        <f>'RawData (GH)'!A652</f>
        <v>Pentax smc DA 18-270mm 3.5-6.3 SDM schwarz</v>
      </c>
      <c r="B652" s="5">
        <f>getFocalLengthStart('RawData (GH)'!B652)</f>
        <v>18</v>
      </c>
      <c r="C652" s="5">
        <f>getFocalLengthEnd('RawData (GH)'!B652)</f>
        <v>270</v>
      </c>
      <c r="D652" s="9">
        <f>getApertureStart('RawData (GH)'!C652)</f>
        <v>3.5</v>
      </c>
      <c r="E652" s="9">
        <f>getApertureEnd('RawData (GH)'!C652)</f>
        <v>6.3</v>
      </c>
      <c r="F652" s="2">
        <f>getFiltersizeAsDouble('RawData (GH)'!D652)</f>
        <v>62</v>
      </c>
      <c r="G652" s="35">
        <f>getMagnification('RawData (GH)'!E652)</f>
        <v>3.85</v>
      </c>
      <c r="H652" s="62">
        <f>getMinimalFocus('RawData (GH)'!F652)</f>
        <v>0</v>
      </c>
      <c r="I652" t="str">
        <f>getMount('RawData (GH)'!G652)</f>
        <v>Pentax K</v>
      </c>
      <c r="J652" t="str">
        <f>getSensorCompatibility('RawData (GH)'!H652)</f>
        <v>APS-C</v>
      </c>
      <c r="K652" s="45">
        <f>getWeightAsDouble('RawData (GH)'!I652)</f>
        <v>453</v>
      </c>
      <c r="L652" s="34">
        <f>getSizeDiameter('RawData (GH)'!J652)</f>
        <v>76</v>
      </c>
      <c r="M652" s="34">
        <f>getSizeLength('RawData (GH)'!J652)</f>
        <v>89</v>
      </c>
    </row>
    <row r="653" spans="1:13" x14ac:dyDescent="0.25">
      <c r="A653" t="str">
        <f>'RawData (GH)'!A653</f>
        <v>Pentax smc DA 18-55mm 3.5-5.6 AL WR schwarz</v>
      </c>
      <c r="B653" s="5">
        <f>getFocalLengthStart('RawData (GH)'!B653)</f>
        <v>18</v>
      </c>
      <c r="C653" s="5">
        <f>getFocalLengthEnd('RawData (GH)'!B653)</f>
        <v>55</v>
      </c>
      <c r="D653" s="9">
        <f>getApertureStart('RawData (GH)'!C653)</f>
        <v>3.5</v>
      </c>
      <c r="E653" s="9">
        <f>getApertureEnd('RawData (GH)'!C653)</f>
        <v>5.6</v>
      </c>
      <c r="F653" s="2">
        <f>getFiltersizeAsDouble('RawData (GH)'!D653)</f>
        <v>52</v>
      </c>
      <c r="G653" s="35">
        <f>getMagnification('RawData (GH)'!E653)</f>
        <v>2.94</v>
      </c>
      <c r="H653" s="62">
        <f>getMinimalFocus('RawData (GH)'!F653)</f>
        <v>0</v>
      </c>
      <c r="I653" t="str">
        <f>getMount('RawData (GH)'!G653)</f>
        <v>Pentax K</v>
      </c>
      <c r="J653" t="str">
        <f>getSensorCompatibility('RawData (GH)'!H653)</f>
        <v>APS-C</v>
      </c>
      <c r="K653" s="45">
        <f>getWeightAsDouble('RawData (GH)'!I653)</f>
        <v>230</v>
      </c>
      <c r="L653" s="34">
        <f>getSizeDiameter('RawData (GH)'!J653)</f>
        <v>67.5</v>
      </c>
      <c r="M653" s="34">
        <f>getSizeLength('RawData (GH)'!J653)</f>
        <v>68.5</v>
      </c>
    </row>
    <row r="654" spans="1:13" x14ac:dyDescent="0.25">
      <c r="A654" t="str">
        <f>'RawData (GH)'!A654</f>
        <v>Pentax smc DA 200mm 2.8 ED IF SDM schwarz</v>
      </c>
      <c r="B654" s="5">
        <f>getFocalLengthStart('RawData (GH)'!B654)</f>
        <v>200</v>
      </c>
      <c r="C654" s="5">
        <f>getFocalLengthEnd('RawData (GH)'!B654)</f>
        <v>200</v>
      </c>
      <c r="D654" s="9">
        <f>getApertureStart('RawData (GH)'!C654)</f>
        <v>2.8</v>
      </c>
      <c r="E654" s="9">
        <f>getApertureEnd('RawData (GH)'!C654)</f>
        <v>2.8</v>
      </c>
      <c r="F654" s="2">
        <f>getFiltersizeAsDouble('RawData (GH)'!D654)</f>
        <v>77</v>
      </c>
      <c r="G654" s="35">
        <f>getMagnification('RawData (GH)'!E654)</f>
        <v>5</v>
      </c>
      <c r="H654" s="62">
        <f>getMinimalFocus('RawData (GH)'!F654)</f>
        <v>0</v>
      </c>
      <c r="I654" t="str">
        <f>getMount('RawData (GH)'!G654)</f>
        <v>Pentax K</v>
      </c>
      <c r="J654" t="str">
        <f>getSensorCompatibility('RawData (GH)'!H654)</f>
        <v>APS-C</v>
      </c>
      <c r="K654" s="45">
        <f>getWeightAsDouble('RawData (GH)'!I654)</f>
        <v>825</v>
      </c>
      <c r="L654" s="34">
        <f>getSizeDiameter('RawData (GH)'!J654)</f>
        <v>83</v>
      </c>
      <c r="M654" s="34">
        <f>getSizeLength('RawData (GH)'!J654)</f>
        <v>134</v>
      </c>
    </row>
    <row r="655" spans="1:13" x14ac:dyDescent="0.25">
      <c r="A655" t="str">
        <f>'RawData (GH)'!A655</f>
        <v>Pentax smc DA 21mm 3.2 AL Limited schwarz</v>
      </c>
      <c r="B655" s="5">
        <f>getFocalLengthStart('RawData (GH)'!B655)</f>
        <v>21</v>
      </c>
      <c r="C655" s="5">
        <f>getFocalLengthEnd('RawData (GH)'!B655)</f>
        <v>21</v>
      </c>
      <c r="D655" s="9">
        <f>getApertureStart('RawData (GH)'!C655)</f>
        <v>3.2</v>
      </c>
      <c r="E655" s="9">
        <f>getApertureEnd('RawData (GH)'!C655)</f>
        <v>3.2</v>
      </c>
      <c r="F655" s="2">
        <f>getFiltersizeAsDouble('RawData (GH)'!D655)</f>
        <v>49</v>
      </c>
      <c r="G655" s="35">
        <f>getMagnification('RawData (GH)'!E655)</f>
        <v>5.88</v>
      </c>
      <c r="H655" s="62">
        <f>getMinimalFocus('RawData (GH)'!F655)</f>
        <v>0</v>
      </c>
      <c r="I655" t="str">
        <f>getMount('RawData (GH)'!G655)</f>
        <v>Pentax K</v>
      </c>
      <c r="J655" t="str">
        <f>getSensorCompatibility('RawData (GH)'!H655)</f>
        <v>APS-C</v>
      </c>
      <c r="K655" s="45">
        <f>getWeightAsDouble('RawData (GH)'!I655)</f>
        <v>140</v>
      </c>
      <c r="L655" s="34">
        <f>getSizeDiameter('RawData (GH)'!J655)</f>
        <v>63</v>
      </c>
      <c r="M655" s="34">
        <f>getSizeLength('RawData (GH)'!J655)</f>
        <v>25</v>
      </c>
    </row>
    <row r="656" spans="1:13" x14ac:dyDescent="0.25">
      <c r="A656" t="str">
        <f>'RawData (GH)'!A656</f>
        <v>Pentax smc DA 300mm 4.0 ED IF SDM schwarz</v>
      </c>
      <c r="B656" s="5">
        <f>getFocalLengthStart('RawData (GH)'!B656)</f>
        <v>300</v>
      </c>
      <c r="C656" s="5">
        <f>getFocalLengthEnd('RawData (GH)'!B656)</f>
        <v>300</v>
      </c>
      <c r="D656" s="9">
        <f>getApertureStart('RawData (GH)'!C656)</f>
        <v>4</v>
      </c>
      <c r="E656" s="9">
        <f>getApertureEnd('RawData (GH)'!C656)</f>
        <v>4</v>
      </c>
      <c r="F656" s="2">
        <f>getFiltersizeAsDouble('RawData (GH)'!D656)</f>
        <v>77</v>
      </c>
      <c r="G656" s="35">
        <f>getMagnification('RawData (GH)'!E656)</f>
        <v>4.17</v>
      </c>
      <c r="H656" s="62">
        <f>getMinimalFocus('RawData (GH)'!F656)</f>
        <v>0</v>
      </c>
      <c r="I656" t="str">
        <f>getMount('RawData (GH)'!G656)</f>
        <v>Pentax K</v>
      </c>
      <c r="J656" t="str">
        <f>getSensorCompatibility('RawData (GH)'!H656)</f>
        <v>APS-C</v>
      </c>
      <c r="K656" s="45">
        <f>getWeightAsDouble('RawData (GH)'!I656)</f>
        <v>1070</v>
      </c>
      <c r="L656" s="34">
        <f>getSizeDiameter('RawData (GH)'!J656)</f>
        <v>83</v>
      </c>
      <c r="M656" s="34">
        <f>getSizeLength('RawData (GH)'!J656)</f>
        <v>184</v>
      </c>
    </row>
    <row r="657" spans="1:13" x14ac:dyDescent="0.25">
      <c r="A657" t="str">
        <f>'RawData (GH)'!A657</f>
        <v>Pentax smc DA 35mm 2.4 AL schwarz</v>
      </c>
      <c r="B657" s="5">
        <f>getFocalLengthStart('RawData (GH)'!B657)</f>
        <v>35</v>
      </c>
      <c r="C657" s="5">
        <f>getFocalLengthEnd('RawData (GH)'!B657)</f>
        <v>35</v>
      </c>
      <c r="D657" s="9">
        <f>getApertureStart('RawData (GH)'!C657)</f>
        <v>2.4</v>
      </c>
      <c r="E657" s="9">
        <f>getApertureEnd('RawData (GH)'!C657)</f>
        <v>2.4</v>
      </c>
      <c r="F657" s="2">
        <f>getFiltersizeAsDouble('RawData (GH)'!D657)</f>
        <v>0</v>
      </c>
      <c r="G657" s="35">
        <f>getMagnification('RawData (GH)'!E657)</f>
        <v>5.88</v>
      </c>
      <c r="H657" s="62">
        <f>getMinimalFocus('RawData (GH)'!F657)</f>
        <v>0</v>
      </c>
      <c r="I657" t="str">
        <f>getMount('RawData (GH)'!G657)</f>
        <v>Pentax K</v>
      </c>
      <c r="J657" t="str">
        <f>getSensorCompatibility('RawData (GH)'!H657)</f>
        <v>APS-C</v>
      </c>
      <c r="K657" s="45">
        <f>getWeightAsDouble('RawData (GH)'!I657)</f>
        <v>124</v>
      </c>
      <c r="L657" s="34">
        <f>getSizeDiameter('RawData (GH)'!J657)</f>
        <v>45</v>
      </c>
      <c r="M657" s="34">
        <f>getSizeLength('RawData (GH)'!J657)</f>
        <v>63</v>
      </c>
    </row>
    <row r="658" spans="1:13" x14ac:dyDescent="0.25">
      <c r="A658" t="str">
        <f>'RawData (GH)'!A658</f>
        <v>Pentax smc DA 40mm 2.8 XS schwarz</v>
      </c>
      <c r="B658" s="5">
        <f>getFocalLengthStart('RawData (GH)'!B658)</f>
        <v>40</v>
      </c>
      <c r="C658" s="5">
        <f>getFocalLengthEnd('RawData (GH)'!B658)</f>
        <v>40</v>
      </c>
      <c r="D658" s="9">
        <f>getApertureStart('RawData (GH)'!C658)</f>
        <v>2.8</v>
      </c>
      <c r="E658" s="9">
        <f>getApertureEnd('RawData (GH)'!C658)</f>
        <v>2.8</v>
      </c>
      <c r="F658" s="2">
        <f>getFiltersizeAsDouble('RawData (GH)'!D658)</f>
        <v>27</v>
      </c>
      <c r="G658" s="35">
        <f>getMagnification('RawData (GH)'!E658)</f>
        <v>7.69</v>
      </c>
      <c r="H658" s="62">
        <f>getMinimalFocus('RawData (GH)'!F658)</f>
        <v>0</v>
      </c>
      <c r="I658" t="str">
        <f>getMount('RawData (GH)'!G658)</f>
        <v>Pentax K</v>
      </c>
      <c r="J658" t="str">
        <f>getSensorCompatibility('RawData (GH)'!H658)</f>
        <v>APS-C</v>
      </c>
      <c r="K658" s="45">
        <f>getWeightAsDouble('RawData (GH)'!I658)</f>
        <v>52</v>
      </c>
      <c r="L658" s="34">
        <f>getSizeDiameter('RawData (GH)'!J658)</f>
        <v>63</v>
      </c>
      <c r="M658" s="34">
        <f>getSizeLength('RawData (GH)'!J658)</f>
        <v>9.1999999999999993</v>
      </c>
    </row>
    <row r="659" spans="1:13" x14ac:dyDescent="0.25">
      <c r="A659" t="str">
        <f>'RawData (GH)'!A659</f>
        <v>Pentax smc DA 50-135mm 2.8 ED IF SDM schwarz</v>
      </c>
      <c r="B659" s="5">
        <f>getFocalLengthStart('RawData (GH)'!B659)</f>
        <v>50</v>
      </c>
      <c r="C659" s="5">
        <f>getFocalLengthEnd('RawData (GH)'!B659)</f>
        <v>135</v>
      </c>
      <c r="D659" s="9">
        <f>getApertureStart('RawData (GH)'!C659)</f>
        <v>2.8</v>
      </c>
      <c r="E659" s="9">
        <f>getApertureEnd('RawData (GH)'!C659)</f>
        <v>2.8</v>
      </c>
      <c r="F659" s="2">
        <f>getFiltersizeAsDouble('RawData (GH)'!D659)</f>
        <v>67</v>
      </c>
      <c r="G659" s="35">
        <f>getMagnification('RawData (GH)'!E659)</f>
        <v>5.88</v>
      </c>
      <c r="H659" s="62">
        <f>getMinimalFocus('RawData (GH)'!F659)</f>
        <v>0</v>
      </c>
      <c r="I659" t="str">
        <f>getMount('RawData (GH)'!G659)</f>
        <v>Pentax K</v>
      </c>
      <c r="J659" t="str">
        <f>getSensorCompatibility('RawData (GH)'!H659)</f>
        <v>APS-C</v>
      </c>
      <c r="K659" s="45">
        <f>getWeightAsDouble('RawData (GH)'!I659)</f>
        <v>685</v>
      </c>
      <c r="L659" s="34">
        <f>getSizeDiameter('RawData (GH)'!J659)</f>
        <v>76.5</v>
      </c>
      <c r="M659" s="34">
        <f>getSizeLength('RawData (GH)'!J659)</f>
        <v>136</v>
      </c>
    </row>
    <row r="660" spans="1:13" x14ac:dyDescent="0.25">
      <c r="A660" t="str">
        <f>'RawData (GH)'!A660</f>
        <v>Pentax smc DA 50-200mm 4.0-5.6 ED WR schwarz</v>
      </c>
      <c r="B660" s="5">
        <f>getFocalLengthStart('RawData (GH)'!B660)</f>
        <v>50</v>
      </c>
      <c r="C660" s="5">
        <f>getFocalLengthEnd('RawData (GH)'!B660)</f>
        <v>200</v>
      </c>
      <c r="D660" s="9">
        <f>getApertureStart('RawData (GH)'!C660)</f>
        <v>4</v>
      </c>
      <c r="E660" s="9">
        <f>getApertureEnd('RawData (GH)'!C660)</f>
        <v>5.6</v>
      </c>
      <c r="F660" s="2">
        <f>getFiltersizeAsDouble('RawData (GH)'!D660)</f>
        <v>49</v>
      </c>
      <c r="G660" s="35">
        <f>getMagnification('RawData (GH)'!E660)</f>
        <v>4.17</v>
      </c>
      <c r="H660" s="62">
        <f>getMinimalFocus('RawData (GH)'!F660)</f>
        <v>0</v>
      </c>
      <c r="I660" t="str">
        <f>getMount('RawData (GH)'!G660)</f>
        <v>Pentax K</v>
      </c>
      <c r="J660" t="str">
        <f>getSensorCompatibility('RawData (GH)'!H660)</f>
        <v>APS-C</v>
      </c>
      <c r="K660" s="45">
        <f>getWeightAsDouble('RawData (GH)'!I660)</f>
        <v>285</v>
      </c>
      <c r="L660" s="34">
        <f>getSizeDiameter('RawData (GH)'!J660)</f>
        <v>79.5</v>
      </c>
      <c r="M660" s="34">
        <f>getSizeLength('RawData (GH)'!J660)</f>
        <v>69</v>
      </c>
    </row>
    <row r="661" spans="1:13" x14ac:dyDescent="0.25">
      <c r="A661" t="str">
        <f>'RawData (GH)'!A661</f>
        <v>Pentax smc DA 50mm 1.8 schwarz</v>
      </c>
      <c r="B661" s="5">
        <f>getFocalLengthStart('RawData (GH)'!B661)</f>
        <v>50</v>
      </c>
      <c r="C661" s="5">
        <f>getFocalLengthEnd('RawData (GH)'!B661)</f>
        <v>50</v>
      </c>
      <c r="D661" s="9">
        <f>getApertureStart('RawData (GH)'!C661)</f>
        <v>1.8</v>
      </c>
      <c r="E661" s="9">
        <f>getApertureEnd('RawData (GH)'!C661)</f>
        <v>1.8</v>
      </c>
      <c r="F661" s="2">
        <f>getFiltersizeAsDouble('RawData (GH)'!D661)</f>
        <v>52</v>
      </c>
      <c r="G661" s="35">
        <f>getMagnification('RawData (GH)'!E661)</f>
        <v>6.67</v>
      </c>
      <c r="H661" s="62">
        <f>getMinimalFocus('RawData (GH)'!F661)</f>
        <v>0</v>
      </c>
      <c r="I661" t="str">
        <f>getMount('RawData (GH)'!G661)</f>
        <v>Pentax K</v>
      </c>
      <c r="J661" t="str">
        <f>getSensorCompatibility('RawData (GH)'!H661)</f>
        <v>APS-C</v>
      </c>
      <c r="K661" s="45">
        <f>getWeightAsDouble('RawData (GH)'!I661)</f>
        <v>122</v>
      </c>
      <c r="L661" s="34">
        <f>getSizeDiameter('RawData (GH)'!J661)</f>
        <v>63</v>
      </c>
      <c r="M661" s="34">
        <f>getSizeLength('RawData (GH)'!J661)</f>
        <v>38.5</v>
      </c>
    </row>
    <row r="662" spans="1:13" x14ac:dyDescent="0.25">
      <c r="A662" t="str">
        <f>'RawData (GH)'!A662</f>
        <v>Pentax smc DA 55-300mm 4.0-5.8 ED schwarz</v>
      </c>
      <c r="B662" s="5">
        <f>getFocalLengthStart('RawData (GH)'!B662)</f>
        <v>55</v>
      </c>
      <c r="C662" s="5">
        <f>getFocalLengthEnd('RawData (GH)'!B662)</f>
        <v>300</v>
      </c>
      <c r="D662" s="9">
        <f>getApertureStart('RawData (GH)'!C662)</f>
        <v>4</v>
      </c>
      <c r="E662" s="9">
        <f>getApertureEnd('RawData (GH)'!C662)</f>
        <v>5.8</v>
      </c>
      <c r="F662" s="2">
        <f>getFiltersizeAsDouble('RawData (GH)'!D662)</f>
        <v>58</v>
      </c>
      <c r="G662" s="35">
        <f>getMagnification('RawData (GH)'!E662)</f>
        <v>3.57</v>
      </c>
      <c r="H662" s="62">
        <f>getMinimalFocus('RawData (GH)'!F662)</f>
        <v>0</v>
      </c>
      <c r="I662" t="str">
        <f>getMount('RawData (GH)'!G662)</f>
        <v>Pentax K</v>
      </c>
      <c r="J662" t="str">
        <f>getSensorCompatibility('RawData (GH)'!H662)</f>
        <v>APS-C</v>
      </c>
      <c r="K662" s="45">
        <f>getWeightAsDouble('RawData (GH)'!I662)</f>
        <v>440</v>
      </c>
      <c r="L662" s="34">
        <f>getSizeDiameter('RawData (GH)'!J662)</f>
        <v>71</v>
      </c>
      <c r="M662" s="34">
        <f>getSizeLength('RawData (GH)'!J662)</f>
        <v>111.5</v>
      </c>
    </row>
    <row r="663" spans="1:13" x14ac:dyDescent="0.25">
      <c r="A663" t="str">
        <f>'RawData (GH)'!A663</f>
        <v>Pentax smc DA 55mm 1.4 SDM schwarz</v>
      </c>
      <c r="B663" s="5">
        <f>getFocalLengthStart('RawData (GH)'!B663)</f>
        <v>55</v>
      </c>
      <c r="C663" s="5">
        <f>getFocalLengthEnd('RawData (GH)'!B663)</f>
        <v>55</v>
      </c>
      <c r="D663" s="9">
        <f>getApertureStart('RawData (GH)'!C663)</f>
        <v>1.4</v>
      </c>
      <c r="E663" s="9">
        <f>getApertureEnd('RawData (GH)'!C663)</f>
        <v>1.4</v>
      </c>
      <c r="F663" s="2">
        <f>getFiltersizeAsDouble('RawData (GH)'!D663)</f>
        <v>58</v>
      </c>
      <c r="G663" s="35">
        <f>getMagnification('RawData (GH)'!E663)</f>
        <v>5.88</v>
      </c>
      <c r="H663" s="62">
        <f>getMinimalFocus('RawData (GH)'!F663)</f>
        <v>0</v>
      </c>
      <c r="I663" t="str">
        <f>getMount('RawData (GH)'!G663)</f>
        <v>Pentax K</v>
      </c>
      <c r="J663" t="str">
        <f>getSensorCompatibility('RawData (GH)'!H663)</f>
        <v>APS-C</v>
      </c>
      <c r="K663" s="45">
        <f>getWeightAsDouble('RawData (GH)'!I663)</f>
        <v>375</v>
      </c>
      <c r="L663" s="34">
        <f>getSizeDiameter('RawData (GH)'!J663)</f>
        <v>70.5</v>
      </c>
      <c r="M663" s="34">
        <f>getSizeLength('RawData (GH)'!J663)</f>
        <v>66</v>
      </c>
    </row>
    <row r="664" spans="1:13" x14ac:dyDescent="0.25">
      <c r="A664" t="str">
        <f>'RawData (GH)'!A664</f>
        <v>Pentax smc DA 560mm 5.6 ED AW weiß</v>
      </c>
      <c r="B664" s="5">
        <f>getFocalLengthStart('RawData (GH)'!B664)</f>
        <v>560</v>
      </c>
      <c r="C664" s="5">
        <f>getFocalLengthEnd('RawData (GH)'!B664)</f>
        <v>560</v>
      </c>
      <c r="D664" s="9">
        <f>getApertureStart('RawData (GH)'!C664)</f>
        <v>5.6</v>
      </c>
      <c r="E664" s="9">
        <f>getApertureEnd('RawData (GH)'!C664)</f>
        <v>5.6</v>
      </c>
      <c r="F664" s="2">
        <f>getFiltersizeAsDouble('RawData (GH)'!D664)</f>
        <v>112</v>
      </c>
      <c r="G664" s="35">
        <f>getMagnification('RawData (GH)'!E664)</f>
        <v>10</v>
      </c>
      <c r="H664" s="62">
        <f>getMinimalFocus('RawData (GH)'!F664)</f>
        <v>0</v>
      </c>
      <c r="I664" t="str">
        <f>getMount('RawData (GH)'!G664)</f>
        <v>Pentax K</v>
      </c>
      <c r="J664" t="str">
        <f>getSensorCompatibility('RawData (GH)'!H664)</f>
        <v>APS-C</v>
      </c>
      <c r="K664" s="45">
        <f>getWeightAsDouble('RawData (GH)'!I664)</f>
        <v>3040</v>
      </c>
      <c r="L664" s="34">
        <f>getSizeDiameter('RawData (GH)'!J664)</f>
        <v>130</v>
      </c>
      <c r="M664" s="34">
        <f>getSizeLength('RawData (GH)'!J664)</f>
        <v>522</v>
      </c>
    </row>
    <row r="665" spans="1:13" x14ac:dyDescent="0.25">
      <c r="A665" t="str">
        <f>'RawData (GH)'!A665</f>
        <v>Pentax smc DA 60-250mm 4.0 ED IF SDM schwarz</v>
      </c>
      <c r="B665" s="5">
        <f>getFocalLengthStart('RawData (GH)'!B665)</f>
        <v>60</v>
      </c>
      <c r="C665" s="5">
        <f>getFocalLengthEnd('RawData (GH)'!B665)</f>
        <v>250</v>
      </c>
      <c r="D665" s="9">
        <f>getApertureStart('RawData (GH)'!C665)</f>
        <v>4</v>
      </c>
      <c r="E665" s="9">
        <f>getApertureEnd('RawData (GH)'!C665)</f>
        <v>4</v>
      </c>
      <c r="F665" s="2">
        <f>getFiltersizeAsDouble('RawData (GH)'!D665)</f>
        <v>67</v>
      </c>
      <c r="G665" s="35">
        <f>getMagnification('RawData (GH)'!E665)</f>
        <v>6.67</v>
      </c>
      <c r="H665" s="62">
        <f>getMinimalFocus('RawData (GH)'!F665)</f>
        <v>0</v>
      </c>
      <c r="I665" t="str">
        <f>getMount('RawData (GH)'!G665)</f>
        <v>Pentax K</v>
      </c>
      <c r="J665" t="str">
        <f>getSensorCompatibility('RawData (GH)'!H665)</f>
        <v>APS-C</v>
      </c>
      <c r="K665" s="45">
        <f>getWeightAsDouble('RawData (GH)'!I665)</f>
        <v>1040</v>
      </c>
      <c r="L665" s="34">
        <f>getSizeDiameter('RawData (GH)'!J665)</f>
        <v>82</v>
      </c>
      <c r="M665" s="34">
        <f>getSizeLength('RawData (GH)'!J665)</f>
        <v>167.5</v>
      </c>
    </row>
    <row r="666" spans="1:13" x14ac:dyDescent="0.25">
      <c r="A666" t="str">
        <f>'RawData (GH)'!A666</f>
        <v>Pentax smc DA 645 25mm 4.0 AL IF SDM AW schwarz</v>
      </c>
      <c r="B666" s="5">
        <f>getFocalLengthStart('RawData (GH)'!B666)</f>
        <v>25</v>
      </c>
      <c r="C666" s="5">
        <f>getFocalLengthEnd('RawData (GH)'!B666)</f>
        <v>25</v>
      </c>
      <c r="D666" s="9">
        <f>getApertureStart('RawData (GH)'!C666)</f>
        <v>4</v>
      </c>
      <c r="E666" s="9">
        <f>getApertureEnd('RawData (GH)'!C666)</f>
        <v>4</v>
      </c>
      <c r="F666" s="2">
        <f>getFiltersizeAsDouble('RawData (GH)'!D666)</f>
        <v>40.5</v>
      </c>
      <c r="G666" s="35">
        <f>getMagnification('RawData (GH)'!E666)</f>
        <v>9.09</v>
      </c>
      <c r="H666" s="62">
        <f>getMinimalFocus('RawData (GH)'!F666)</f>
        <v>0</v>
      </c>
      <c r="I666" t="str">
        <f>getMount('RawData (GH)'!G666)</f>
        <v>Pentax 645</v>
      </c>
      <c r="J666" t="str">
        <f>getSensorCompatibility('RawData (GH)'!H666)</f>
        <v>APS-C</v>
      </c>
      <c r="K666" s="45">
        <f>getWeightAsDouble('RawData (GH)'!I666)</f>
        <v>1040</v>
      </c>
      <c r="L666" s="34">
        <f>getSizeDiameter('RawData (GH)'!J666)</f>
        <v>90</v>
      </c>
      <c r="M666" s="34">
        <f>getSizeLength('RawData (GH)'!J666)</f>
        <v>149</v>
      </c>
    </row>
    <row r="667" spans="1:13" x14ac:dyDescent="0.25">
      <c r="A667" t="str">
        <f>'RawData (GH)'!A667</f>
        <v>Pentax smc DA L 50-200mm 4.0-5.6 ED schwarz</v>
      </c>
      <c r="B667" s="5">
        <f>getFocalLengthStart('RawData (GH)'!B667)</f>
        <v>50</v>
      </c>
      <c r="C667" s="5">
        <f>getFocalLengthEnd('RawData (GH)'!B667)</f>
        <v>200</v>
      </c>
      <c r="D667" s="9">
        <f>getApertureStart('RawData (GH)'!C667)</f>
        <v>4</v>
      </c>
      <c r="E667" s="9">
        <f>getApertureEnd('RawData (GH)'!C667)</f>
        <v>5.6</v>
      </c>
      <c r="F667" s="2">
        <f>getFiltersizeAsDouble('RawData (GH)'!D667)</f>
        <v>52</v>
      </c>
      <c r="G667" s="35">
        <f>getMagnification('RawData (GH)'!E667)</f>
        <v>4.17</v>
      </c>
      <c r="H667" s="62">
        <f>getMinimalFocus('RawData (GH)'!F667)</f>
        <v>0</v>
      </c>
      <c r="I667" t="str">
        <f>getMount('RawData (GH)'!G667)</f>
        <v>Pentax K</v>
      </c>
      <c r="J667" t="str">
        <f>getSensorCompatibility('RawData (GH)'!H667)</f>
        <v>APS-C</v>
      </c>
      <c r="K667" s="45">
        <f>getWeightAsDouble('RawData (GH)'!I667)</f>
        <v>235</v>
      </c>
      <c r="L667" s="34">
        <f>getSizeDiameter('RawData (GH)'!J667)</f>
        <v>78.5</v>
      </c>
      <c r="M667" s="34">
        <f>getSizeLength('RawData (GH)'!J667)</f>
        <v>66.5</v>
      </c>
    </row>
    <row r="668" spans="1:13" x14ac:dyDescent="0.25">
      <c r="A668" t="str">
        <f>'RawData (GH)'!A668</f>
        <v>Pentax smc DFA 100mm 2.8 Makro WR schwarz</v>
      </c>
      <c r="B668" s="5">
        <f>getFocalLengthStart('RawData (GH)'!B668)</f>
        <v>100</v>
      </c>
      <c r="C668" s="5">
        <f>getFocalLengthEnd('RawData (GH)'!B668)</f>
        <v>100</v>
      </c>
      <c r="D668" s="9">
        <f>getApertureStart('RawData (GH)'!C668)</f>
        <v>2.8</v>
      </c>
      <c r="E668" s="9">
        <f>getApertureEnd('RawData (GH)'!C668)</f>
        <v>2.8</v>
      </c>
      <c r="F668" s="2">
        <f>getFiltersizeAsDouble('RawData (GH)'!D668)</f>
        <v>49</v>
      </c>
      <c r="G668" s="35">
        <f>getMagnification('RawData (GH)'!E668)</f>
        <v>1</v>
      </c>
      <c r="H668" s="62">
        <f>getMinimalFocus('RawData (GH)'!F668)</f>
        <v>0</v>
      </c>
      <c r="I668" t="str">
        <f>getMount('RawData (GH)'!G668)</f>
        <v>Pentax K</v>
      </c>
      <c r="J668" t="str">
        <f>getSensorCompatibility('RawData (GH)'!H668)</f>
        <v>APS-C/ Kleinbild</v>
      </c>
      <c r="K668" s="45">
        <f>getWeightAsDouble('RawData (GH)'!I668)</f>
        <v>340</v>
      </c>
      <c r="L668" s="34">
        <f>getSizeDiameter('RawData (GH)'!J668)</f>
        <v>65</v>
      </c>
      <c r="M668" s="34">
        <f>getSizeLength('RawData (GH)'!J668)</f>
        <v>80.5</v>
      </c>
    </row>
    <row r="669" spans="1:13" x14ac:dyDescent="0.25">
      <c r="A669" t="str">
        <f>'RawData (GH)'!A669</f>
        <v>Pentax smc DFA 50mm 2.8 Makro schwarz</v>
      </c>
      <c r="B669" s="5">
        <f>getFocalLengthStart('RawData (GH)'!B669)</f>
        <v>50</v>
      </c>
      <c r="C669" s="5">
        <f>getFocalLengthEnd('RawData (GH)'!B669)</f>
        <v>50</v>
      </c>
      <c r="D669" s="9">
        <f>getApertureStart('RawData (GH)'!C669)</f>
        <v>2.8</v>
      </c>
      <c r="E669" s="9">
        <f>getApertureEnd('RawData (GH)'!C669)</f>
        <v>2.8</v>
      </c>
      <c r="F669" s="2">
        <f>getFiltersizeAsDouble('RawData (GH)'!D669)</f>
        <v>49</v>
      </c>
      <c r="G669" s="35">
        <f>getMagnification('RawData (GH)'!E669)</f>
        <v>1</v>
      </c>
      <c r="H669" s="62">
        <f>getMinimalFocus('RawData (GH)'!F669)</f>
        <v>0</v>
      </c>
      <c r="I669" t="str">
        <f>getMount('RawData (GH)'!G669)</f>
        <v>Pentax K</v>
      </c>
      <c r="J669" t="str">
        <f>getSensorCompatibility('RawData (GH)'!H669)</f>
        <v>APS-C/ Kleinbild</v>
      </c>
      <c r="K669" s="45">
        <f>getWeightAsDouble('RawData (GH)'!I669)</f>
        <v>265</v>
      </c>
      <c r="L669" s="34">
        <f>getSizeDiameter('RawData (GH)'!J669)</f>
        <v>67.5</v>
      </c>
      <c r="M669" s="34">
        <f>getSizeLength('RawData (GH)'!J669)</f>
        <v>60.5</v>
      </c>
    </row>
    <row r="670" spans="1:13" x14ac:dyDescent="0.25">
      <c r="A670" t="str">
        <f>'RawData (GH)'!A670</f>
        <v>Pentax smc DFA 645 35mm 3.5 AL IF schwarz</v>
      </c>
      <c r="B670" s="5">
        <f>getFocalLengthStart('RawData (GH)'!B670)</f>
        <v>35</v>
      </c>
      <c r="C670" s="5">
        <f>getFocalLengthEnd('RawData (GH)'!B670)</f>
        <v>35</v>
      </c>
      <c r="D670" s="9">
        <f>getApertureStart('RawData (GH)'!C670)</f>
        <v>3.5</v>
      </c>
      <c r="E670" s="9">
        <f>getApertureEnd('RawData (GH)'!C670)</f>
        <v>3.5</v>
      </c>
      <c r="F670" s="2">
        <f>getFiltersizeAsDouble('RawData (GH)'!D670)</f>
        <v>82</v>
      </c>
      <c r="G670" s="35">
        <f>getMagnification('RawData (GH)'!E670)</f>
        <v>4</v>
      </c>
      <c r="H670" s="62">
        <f>getMinimalFocus('RawData (GH)'!F670)</f>
        <v>0</v>
      </c>
      <c r="I670" t="str">
        <f>getMount('RawData (GH)'!G670)</f>
        <v>Pentax 645</v>
      </c>
      <c r="J670" t="str">
        <f>getSensorCompatibility('RawData (GH)'!H670)</f>
        <v>APS-C/ Kleinbild</v>
      </c>
      <c r="K670" s="45">
        <f>getWeightAsDouble('RawData (GH)'!I670)</f>
        <v>570</v>
      </c>
      <c r="L670" s="34">
        <f>getSizeDiameter('RawData (GH)'!J670)</f>
        <v>88</v>
      </c>
      <c r="M670" s="34">
        <f>getSizeLength('RawData (GH)'!J670)</f>
        <v>90</v>
      </c>
    </row>
    <row r="671" spans="1:13" x14ac:dyDescent="0.25">
      <c r="A671" t="str">
        <f>'RawData (GH)'!A671</f>
        <v>Pentax smc DFA 645 55mm 2.8 AL IF SDM AW schwarz</v>
      </c>
      <c r="B671" s="5">
        <f>getFocalLengthStart('RawData (GH)'!B671)</f>
        <v>55</v>
      </c>
      <c r="C671" s="5">
        <f>getFocalLengthEnd('RawData (GH)'!B671)</f>
        <v>55</v>
      </c>
      <c r="D671" s="9">
        <f>getApertureStart('RawData (GH)'!C671)</f>
        <v>2.8</v>
      </c>
      <c r="E671" s="9">
        <f>getApertureEnd('RawData (GH)'!C671)</f>
        <v>2.8</v>
      </c>
      <c r="F671" s="2">
        <f>getFiltersizeAsDouble('RawData (GH)'!D671)</f>
        <v>67</v>
      </c>
      <c r="G671" s="35">
        <f>getMagnification('RawData (GH)'!E671)</f>
        <v>5.88</v>
      </c>
      <c r="H671" s="62">
        <f>getMinimalFocus('RawData (GH)'!F671)</f>
        <v>0</v>
      </c>
      <c r="I671" t="str">
        <f>getMount('RawData (GH)'!G671)</f>
        <v>Pentax 645</v>
      </c>
      <c r="J671" t="str">
        <f>getSensorCompatibility('RawData (GH)'!H671)</f>
        <v>APS-C/ Kleinbild</v>
      </c>
      <c r="K671" s="45">
        <f>getWeightAsDouble('RawData (GH)'!I671)</f>
        <v>416</v>
      </c>
      <c r="L671" s="34">
        <f>getSizeDiameter('RawData (GH)'!J671)</f>
        <v>81.3</v>
      </c>
      <c r="M671" s="34">
        <f>getSizeLength('RawData (GH)'!J671)</f>
        <v>68.2</v>
      </c>
    </row>
    <row r="672" spans="1:13" x14ac:dyDescent="0.25">
      <c r="A672" t="str">
        <f>'RawData (GH)'!A672</f>
        <v>Pentax smc DFA 645 90mm 2.8 AW SR W/C Makro schwarz</v>
      </c>
      <c r="B672" s="5">
        <f>getFocalLengthStart('RawData (GH)'!B672)</f>
        <v>90</v>
      </c>
      <c r="C672" s="5">
        <f>getFocalLengthEnd('RawData (GH)'!B672)</f>
        <v>90</v>
      </c>
      <c r="D672" s="9">
        <f>getApertureStart('RawData (GH)'!C672)</f>
        <v>2.8</v>
      </c>
      <c r="E672" s="9">
        <f>getApertureEnd('RawData (GH)'!C672)</f>
        <v>2.8</v>
      </c>
      <c r="F672" s="2">
        <f>getFiltersizeAsDouble('RawData (GH)'!D672)</f>
        <v>67</v>
      </c>
      <c r="G672" s="35">
        <f>getMagnification('RawData (GH)'!E672)</f>
        <v>2</v>
      </c>
      <c r="H672" s="62">
        <f>getMinimalFocus('RawData (GH)'!F672)</f>
        <v>0</v>
      </c>
      <c r="I672" t="str">
        <f>getMount('RawData (GH)'!G672)</f>
        <v>Pentax 645</v>
      </c>
      <c r="J672" t="str">
        <f>getSensorCompatibility('RawData (GH)'!H672)</f>
        <v>APS-C/ Kleinbild</v>
      </c>
      <c r="K672" s="45">
        <f>getWeightAsDouble('RawData (GH)'!I672)</f>
        <v>1040</v>
      </c>
      <c r="L672" s="34">
        <f>getSizeDiameter('RawData (GH)'!J672)</f>
        <v>90.5</v>
      </c>
      <c r="M672" s="34">
        <f>getSizeLength('RawData (GH)'!J672)</f>
        <v>111.6</v>
      </c>
    </row>
    <row r="673" spans="1:13" x14ac:dyDescent="0.25">
      <c r="A673" t="str">
        <f>'RawData (GH)'!A673</f>
        <v>Pentax smc FA 31mm 1.8 AL Limited silber</v>
      </c>
      <c r="B673" s="5">
        <f>getFocalLengthStart('RawData (GH)'!B673)</f>
        <v>31</v>
      </c>
      <c r="C673" s="5">
        <f>getFocalLengthEnd('RawData (GH)'!B673)</f>
        <v>31</v>
      </c>
      <c r="D673" s="9">
        <f>getApertureStart('RawData (GH)'!C673)</f>
        <v>1.8</v>
      </c>
      <c r="E673" s="9">
        <f>getApertureEnd('RawData (GH)'!C673)</f>
        <v>1.8</v>
      </c>
      <c r="F673" s="2">
        <f>getFiltersizeAsDouble('RawData (GH)'!D673)</f>
        <v>58</v>
      </c>
      <c r="G673" s="35">
        <f>getMagnification('RawData (GH)'!E673)</f>
        <v>6.25</v>
      </c>
      <c r="H673" s="62">
        <f>getMinimalFocus('RawData (GH)'!F673)</f>
        <v>0</v>
      </c>
      <c r="I673" t="str">
        <f>getMount('RawData (GH)'!G673)</f>
        <v>Pentax K</v>
      </c>
      <c r="J673" t="str">
        <f>getSensorCompatibility('RawData (GH)'!H673)</f>
        <v>APS-C/ Kleinbild</v>
      </c>
      <c r="K673" s="45">
        <f>getWeightAsDouble('RawData (GH)'!I673)</f>
        <v>345</v>
      </c>
      <c r="L673" s="34">
        <f>getSizeDiameter('RawData (GH)'!J673)</f>
        <v>65</v>
      </c>
      <c r="M673" s="34">
        <f>getSizeLength('RawData (GH)'!J673)</f>
        <v>68.5</v>
      </c>
    </row>
    <row r="674" spans="1:13" x14ac:dyDescent="0.25">
      <c r="A674" t="str">
        <f>'RawData (GH)'!A674</f>
        <v>Pentax smc FA 35mm 2.0 AL schwarz</v>
      </c>
      <c r="B674" s="5">
        <f>getFocalLengthStart('RawData (GH)'!B674)</f>
        <v>35</v>
      </c>
      <c r="C674" s="5">
        <f>getFocalLengthEnd('RawData (GH)'!B674)</f>
        <v>35</v>
      </c>
      <c r="D674" s="9">
        <f>getApertureStart('RawData (GH)'!C674)</f>
        <v>2</v>
      </c>
      <c r="E674" s="9">
        <f>getApertureEnd('RawData (GH)'!C674)</f>
        <v>2</v>
      </c>
      <c r="F674" s="2">
        <f>getFiltersizeAsDouble('RawData (GH)'!D674)</f>
        <v>49</v>
      </c>
      <c r="G674" s="35">
        <f>getMagnification('RawData (GH)'!E674)</f>
        <v>0</v>
      </c>
      <c r="H674" s="62">
        <f>getMinimalFocus('RawData (GH)'!F674)</f>
        <v>0</v>
      </c>
      <c r="I674" t="str">
        <f>getMount('RawData (GH)'!G674)</f>
        <v>Pentax K</v>
      </c>
      <c r="J674" t="str">
        <f>getSensorCompatibility('RawData (GH)'!H674)</f>
        <v>APS-C/ Kleinbild</v>
      </c>
      <c r="K674" s="45">
        <f>getWeightAsDouble('RawData (GH)'!I674)</f>
        <v>195</v>
      </c>
      <c r="L674" s="34">
        <f>getSizeDiameter('RawData (GH)'!J674)</f>
        <v>64</v>
      </c>
      <c r="M674" s="34">
        <f>getSizeLength('RawData (GH)'!J674)</f>
        <v>44.5</v>
      </c>
    </row>
    <row r="675" spans="1:13" x14ac:dyDescent="0.25">
      <c r="A675" t="str">
        <f>'RawData (GH)'!A675</f>
        <v>Pentax smc FA 400mm 5.6 ED IF schwarz</v>
      </c>
      <c r="B675" s="5">
        <f>getFocalLengthStart('RawData (GH)'!B675)</f>
        <v>400</v>
      </c>
      <c r="C675" s="5">
        <f>getFocalLengthEnd('RawData (GH)'!B675)</f>
        <v>400</v>
      </c>
      <c r="D675" s="9">
        <f>getApertureStart('RawData (GH)'!C675)</f>
        <v>0</v>
      </c>
      <c r="E675" s="9">
        <f>getApertureEnd('RawData (GH)'!C675)</f>
        <v>0</v>
      </c>
      <c r="F675" s="2">
        <f>getFiltersizeAsDouble('RawData (GH)'!D675)</f>
        <v>0</v>
      </c>
      <c r="G675" s="35">
        <f>getMagnification('RawData (GH)'!E675)</f>
        <v>4.3</v>
      </c>
      <c r="H675" s="62">
        <f>getMinimalFocus('RawData (GH)'!F675)</f>
        <v>0</v>
      </c>
      <c r="I675" t="str">
        <f>getMount('RawData (GH)'!G675)</f>
        <v>Unknown</v>
      </c>
      <c r="J675" t="str">
        <f>getSensorCompatibility('RawData (GH)'!H675)</f>
        <v>APS-C/ Kleinbild</v>
      </c>
      <c r="K675" s="45">
        <f>getWeightAsDouble('RawData (GH)'!I675)</f>
        <v>1140</v>
      </c>
      <c r="L675" s="34">
        <f>getSizeDiameter('RawData (GH)'!J675)</f>
        <v>199</v>
      </c>
      <c r="M675" s="34">
        <f>getSizeLength('RawData (GH)'!J675)</f>
        <v>83.5</v>
      </c>
    </row>
    <row r="676" spans="1:13" x14ac:dyDescent="0.25">
      <c r="A676" t="str">
        <f>'RawData (GH)'!A676</f>
        <v>Pentax smc FA 43mm 1.9 Limited silber</v>
      </c>
      <c r="B676" s="5">
        <f>getFocalLengthStart('RawData (GH)'!B676)</f>
        <v>43</v>
      </c>
      <c r="C676" s="5">
        <f>getFocalLengthEnd('RawData (GH)'!B676)</f>
        <v>43</v>
      </c>
      <c r="D676" s="9">
        <f>getApertureStart('RawData (GH)'!C676)</f>
        <v>1.9</v>
      </c>
      <c r="E676" s="9">
        <f>getApertureEnd('RawData (GH)'!C676)</f>
        <v>1.9</v>
      </c>
      <c r="F676" s="2">
        <f>getFiltersizeAsDouble('RawData (GH)'!D676)</f>
        <v>49</v>
      </c>
      <c r="G676" s="35">
        <f>getMagnification('RawData (GH)'!E676)</f>
        <v>8.33</v>
      </c>
      <c r="H676" s="62">
        <f>getMinimalFocus('RawData (GH)'!F676)</f>
        <v>0</v>
      </c>
      <c r="I676" t="str">
        <f>getMount('RawData (GH)'!G676)</f>
        <v>Pentax K</v>
      </c>
      <c r="J676" t="str">
        <f>getSensorCompatibility('RawData (GH)'!H676)</f>
        <v>APS-C/ Kleinbild</v>
      </c>
      <c r="K676" s="45">
        <f>getWeightAsDouble('RawData (GH)'!I676)</f>
        <v>155</v>
      </c>
      <c r="L676" s="34">
        <f>getSizeDiameter('RawData (GH)'!J676)</f>
        <v>64</v>
      </c>
      <c r="M676" s="34">
        <f>getSizeLength('RawData (GH)'!J676)</f>
        <v>27</v>
      </c>
    </row>
    <row r="677" spans="1:13" x14ac:dyDescent="0.25">
      <c r="A677" t="str">
        <f>'RawData (GH)'!A677</f>
        <v>Pentax smc FA 50mm 1.4 schwarz</v>
      </c>
      <c r="B677" s="5">
        <f>getFocalLengthStart('RawData (GH)'!B677)</f>
        <v>50</v>
      </c>
      <c r="C677" s="5">
        <f>getFocalLengthEnd('RawData (GH)'!B677)</f>
        <v>50</v>
      </c>
      <c r="D677" s="9">
        <f>getApertureStart('RawData (GH)'!C677)</f>
        <v>1.4</v>
      </c>
      <c r="E677" s="9">
        <f>getApertureEnd('RawData (GH)'!C677)</f>
        <v>1.4</v>
      </c>
      <c r="F677" s="2">
        <f>getFiltersizeAsDouble('RawData (GH)'!D677)</f>
        <v>49</v>
      </c>
      <c r="G677" s="35">
        <f>getMagnification('RawData (GH)'!E677)</f>
        <v>0</v>
      </c>
      <c r="H677" s="62">
        <f>getMinimalFocus('RawData (GH)'!F677)</f>
        <v>0</v>
      </c>
      <c r="I677" t="str">
        <f>getMount('RawData (GH)'!G677)</f>
        <v>Pentax K</v>
      </c>
      <c r="J677" t="str">
        <f>getSensorCompatibility('RawData (GH)'!H677)</f>
        <v>APS-C/ Kleinbild</v>
      </c>
      <c r="K677" s="45">
        <f>getWeightAsDouble('RawData (GH)'!I677)</f>
        <v>220</v>
      </c>
      <c r="L677" s="34">
        <f>getSizeDiameter('RawData (GH)'!J677)</f>
        <v>37</v>
      </c>
      <c r="M677" s="34">
        <f>getSizeLength('RawData (GH)'!J677)</f>
        <v>65</v>
      </c>
    </row>
    <row r="678" spans="1:13" x14ac:dyDescent="0.25">
      <c r="A678" t="str">
        <f>'RawData (GH)'!A678</f>
        <v>Pentax smc FA 645 120mm 4.0 Makro schwarz</v>
      </c>
      <c r="B678" s="5">
        <f>getFocalLengthStart('RawData (GH)'!B678)</f>
        <v>120</v>
      </c>
      <c r="C678" s="5">
        <f>getFocalLengthEnd('RawData (GH)'!B678)</f>
        <v>120</v>
      </c>
      <c r="D678" s="9">
        <f>getApertureStart('RawData (GH)'!C678)</f>
        <v>4</v>
      </c>
      <c r="E678" s="9">
        <f>getApertureEnd('RawData (GH)'!C678)</f>
        <v>4</v>
      </c>
      <c r="F678" s="2">
        <f>getFiltersizeAsDouble('RawData (GH)'!D678)</f>
        <v>67</v>
      </c>
      <c r="G678" s="35">
        <f>getMagnification('RawData (GH)'!E678)</f>
        <v>1</v>
      </c>
      <c r="H678" s="62">
        <f>getMinimalFocus('RawData (GH)'!F678)</f>
        <v>0</v>
      </c>
      <c r="I678" t="str">
        <f>getMount('RawData (GH)'!G678)</f>
        <v>Pentax 645</v>
      </c>
      <c r="J678" t="str">
        <f>getSensorCompatibility('RawData (GH)'!H678)</f>
        <v>APS-C/ Kleinbild</v>
      </c>
      <c r="K678" s="45">
        <f>getWeightAsDouble('RawData (GH)'!I678)</f>
        <v>735</v>
      </c>
      <c r="L678" s="34">
        <f>getSizeDiameter('RawData (GH)'!J678)</f>
        <v>82.5</v>
      </c>
      <c r="M678" s="34">
        <f>getSizeLength('RawData (GH)'!J678)</f>
        <v>110</v>
      </c>
    </row>
    <row r="679" spans="1:13" x14ac:dyDescent="0.25">
      <c r="A679" t="str">
        <f>'RawData (GH)'!A679</f>
        <v>Pentax smc FA 645 150-300mm 5.6 schwarz</v>
      </c>
      <c r="B679" s="5">
        <f>getFocalLengthStart('RawData (GH)'!B679)</f>
        <v>150</v>
      </c>
      <c r="C679" s="5">
        <f>getFocalLengthEnd('RawData (GH)'!B679)</f>
        <v>300</v>
      </c>
      <c r="D679" s="9">
        <f>getApertureStart('RawData (GH)'!C679)</f>
        <v>5.6</v>
      </c>
      <c r="E679" s="9">
        <f>getApertureEnd('RawData (GH)'!C679)</f>
        <v>5.6</v>
      </c>
      <c r="F679" s="2">
        <f>getFiltersizeAsDouble('RawData (GH)'!D679)</f>
        <v>67</v>
      </c>
      <c r="G679" s="35">
        <f>getMagnification('RawData (GH)'!E679)</f>
        <v>5.56</v>
      </c>
      <c r="H679" s="62">
        <f>getMinimalFocus('RawData (GH)'!F679)</f>
        <v>0</v>
      </c>
      <c r="I679" t="str">
        <f>getMount('RawData (GH)'!G679)</f>
        <v>Pentax 645</v>
      </c>
      <c r="J679" t="str">
        <f>getSensorCompatibility('RawData (GH)'!H679)</f>
        <v>APS-C/ Kleinbild</v>
      </c>
      <c r="K679" s="45">
        <f>getWeightAsDouble('RawData (GH)'!I679)</f>
        <v>920</v>
      </c>
      <c r="L679" s="34">
        <f>getSizeDiameter('RawData (GH)'!J679)</f>
        <v>80</v>
      </c>
      <c r="M679" s="34">
        <f>getSizeLength('RawData (GH)'!J679)</f>
        <v>201</v>
      </c>
    </row>
    <row r="680" spans="1:13" x14ac:dyDescent="0.25">
      <c r="A680" t="str">
        <f>'RawData (GH)'!A680</f>
        <v>Pentax smc FA 645 150mm 2.8 schwarz</v>
      </c>
      <c r="B680" s="5">
        <f>getFocalLengthStart('RawData (GH)'!B680)</f>
        <v>150</v>
      </c>
      <c r="C680" s="5">
        <f>getFocalLengthEnd('RawData (GH)'!B680)</f>
        <v>150</v>
      </c>
      <c r="D680" s="9">
        <f>getApertureStart('RawData (GH)'!C680)</f>
        <v>2.8</v>
      </c>
      <c r="E680" s="9">
        <f>getApertureEnd('RawData (GH)'!C680)</f>
        <v>2.8</v>
      </c>
      <c r="F680" s="2">
        <f>getFiltersizeAsDouble('RawData (GH)'!D680)</f>
        <v>67</v>
      </c>
      <c r="G680" s="35">
        <f>getMagnification('RawData (GH)'!E680)</f>
        <v>0</v>
      </c>
      <c r="H680" s="62">
        <f>getMinimalFocus('RawData (GH)'!F680)</f>
        <v>0</v>
      </c>
      <c r="I680" t="str">
        <f>getMount('RawData (GH)'!G680)</f>
        <v>Pentax 645</v>
      </c>
      <c r="J680" t="str">
        <f>getSensorCompatibility('RawData (GH)'!H680)</f>
        <v>APS-C/ Kleinbild</v>
      </c>
      <c r="K680" s="45">
        <f>getWeightAsDouble('RawData (GH)'!I680)</f>
        <v>500</v>
      </c>
      <c r="L680" s="34">
        <f>getSizeDiameter('RawData (GH)'!J680)</f>
        <v>74.5</v>
      </c>
      <c r="M680" s="34">
        <f>getSizeLength('RawData (GH)'!J680)</f>
        <v>96</v>
      </c>
    </row>
    <row r="681" spans="1:13" x14ac:dyDescent="0.25">
      <c r="A681" t="str">
        <f>'RawData (GH)'!A681</f>
        <v>Pentax smc FA 645 200mm 4.0 schwarz</v>
      </c>
      <c r="B681" s="5">
        <f>getFocalLengthStart('RawData (GH)'!B681)</f>
        <v>200</v>
      </c>
      <c r="C681" s="5">
        <f>getFocalLengthEnd('RawData (GH)'!B681)</f>
        <v>200</v>
      </c>
      <c r="D681" s="9">
        <f>getApertureStart('RawData (GH)'!C681)</f>
        <v>4</v>
      </c>
      <c r="E681" s="9">
        <f>getApertureEnd('RawData (GH)'!C681)</f>
        <v>4</v>
      </c>
      <c r="F681" s="2">
        <f>getFiltersizeAsDouble('RawData (GH)'!D681)</f>
        <v>58</v>
      </c>
      <c r="G681" s="35">
        <f>getMagnification('RawData (GH)'!E681)</f>
        <v>6.25</v>
      </c>
      <c r="H681" s="62">
        <f>getMinimalFocus('RawData (GH)'!F681)</f>
        <v>0</v>
      </c>
      <c r="I681" t="str">
        <f>getMount('RawData (GH)'!G681)</f>
        <v>Pentax 645</v>
      </c>
      <c r="J681" t="str">
        <f>getSensorCompatibility('RawData (GH)'!H681)</f>
        <v>APS-C/ Kleinbild</v>
      </c>
      <c r="K681" s="45">
        <f>getWeightAsDouble('RawData (GH)'!I681)</f>
        <v>625</v>
      </c>
      <c r="L681" s="34">
        <f>getSizeDiameter('RawData (GH)'!J681)</f>
        <v>74.5</v>
      </c>
      <c r="M681" s="34">
        <f>getSizeLength('RawData (GH)'!J681)</f>
        <v>119</v>
      </c>
    </row>
    <row r="682" spans="1:13" x14ac:dyDescent="0.25">
      <c r="A682" t="str">
        <f>'RawData (GH)'!A682</f>
        <v>Pentax smc FA 645 300mm 4.0 ED IF schwarz</v>
      </c>
      <c r="B682" s="5">
        <f>getFocalLengthStart('RawData (GH)'!B682)</f>
        <v>300</v>
      </c>
      <c r="C682" s="5">
        <f>getFocalLengthEnd('RawData (GH)'!B682)</f>
        <v>300</v>
      </c>
      <c r="D682" s="9">
        <f>getApertureStart('RawData (GH)'!C682)</f>
        <v>4</v>
      </c>
      <c r="E682" s="9">
        <f>getApertureEnd('RawData (GH)'!C682)</f>
        <v>4</v>
      </c>
      <c r="F682" s="2">
        <f>getFiltersizeAsDouble('RawData (GH)'!D682)</f>
        <v>77</v>
      </c>
      <c r="G682" s="35">
        <f>getMagnification('RawData (GH)'!E682)</f>
        <v>9.09</v>
      </c>
      <c r="H682" s="62">
        <f>getMinimalFocus('RawData (GH)'!F682)</f>
        <v>0</v>
      </c>
      <c r="I682" t="str">
        <f>getMount('RawData (GH)'!G682)</f>
        <v>Pentax 645</v>
      </c>
      <c r="J682" t="str">
        <f>getSensorCompatibility('RawData (GH)'!H682)</f>
        <v>APS-C/ Kleinbild</v>
      </c>
      <c r="K682" s="45">
        <f>getWeightAsDouble('RawData (GH)'!I682)</f>
        <v>1490</v>
      </c>
      <c r="L682" s="34">
        <f>getSizeDiameter('RawData (GH)'!J682)</f>
        <v>83</v>
      </c>
      <c r="M682" s="34">
        <f>getSizeLength('RawData (GH)'!J682)</f>
        <v>207.5</v>
      </c>
    </row>
    <row r="683" spans="1:13" x14ac:dyDescent="0.25">
      <c r="A683" t="str">
        <f>'RawData (GH)'!A683</f>
        <v>Pentax smc FA 645 33-55mm 4.5 schwarz</v>
      </c>
      <c r="B683" s="5">
        <f>getFocalLengthStart('RawData (GH)'!B683)</f>
        <v>33</v>
      </c>
      <c r="C683" s="5">
        <f>getFocalLengthEnd('RawData (GH)'!B683)</f>
        <v>55</v>
      </c>
      <c r="D683" s="9">
        <f>getApertureStart('RawData (GH)'!C683)</f>
        <v>4.5</v>
      </c>
      <c r="E683" s="9">
        <f>getApertureEnd('RawData (GH)'!C683)</f>
        <v>4.5</v>
      </c>
      <c r="F683" s="2">
        <f>getFiltersizeAsDouble('RawData (GH)'!D683)</f>
        <v>82</v>
      </c>
      <c r="G683" s="35">
        <f>getMagnification('RawData (GH)'!E683)</f>
        <v>4.76</v>
      </c>
      <c r="H683" s="62">
        <f>getMinimalFocus('RawData (GH)'!F683)</f>
        <v>0</v>
      </c>
      <c r="I683" t="str">
        <f>getMount('RawData (GH)'!G683)</f>
        <v>Pentax 645</v>
      </c>
      <c r="J683" t="str">
        <f>getSensorCompatibility('RawData (GH)'!H683)</f>
        <v>APS-C/ Kleinbild</v>
      </c>
      <c r="K683" s="45">
        <f>getWeightAsDouble('RawData (GH)'!I683)</f>
        <v>585</v>
      </c>
      <c r="L683" s="34">
        <f>getSizeDiameter('RawData (GH)'!J683)</f>
        <v>80</v>
      </c>
      <c r="M683" s="34">
        <f>getSizeLength('RawData (GH)'!J683)</f>
        <v>104</v>
      </c>
    </row>
    <row r="684" spans="1:13" x14ac:dyDescent="0.25">
      <c r="A684" t="str">
        <f>'RawData (GH)'!A684</f>
        <v>Pentax smc FA 645 400mm 5.6 ED IF schwarz</v>
      </c>
      <c r="B684" s="5">
        <f>getFocalLengthStart('RawData (GH)'!B684)</f>
        <v>400</v>
      </c>
      <c r="C684" s="5">
        <f>getFocalLengthEnd('RawData (GH)'!B684)</f>
        <v>400</v>
      </c>
      <c r="D684" s="9">
        <f>getApertureStart('RawData (GH)'!C684)</f>
        <v>5.6</v>
      </c>
      <c r="E684" s="9">
        <f>getApertureEnd('RawData (GH)'!C684)</f>
        <v>5.6</v>
      </c>
      <c r="F684" s="2">
        <f>getFiltersizeAsDouble('RawData (GH)'!D684)</f>
        <v>77</v>
      </c>
      <c r="G684" s="35">
        <f>getMagnification('RawData (GH)'!E684)</f>
        <v>6.67</v>
      </c>
      <c r="H684" s="62">
        <f>getMinimalFocus('RawData (GH)'!F684)</f>
        <v>0</v>
      </c>
      <c r="I684" t="str">
        <f>getMount('RawData (GH)'!G684)</f>
        <v>Pentax 645</v>
      </c>
      <c r="J684" t="str">
        <f>getSensorCompatibility('RawData (GH)'!H684)</f>
        <v>APS-C/ Kleinbild</v>
      </c>
      <c r="K684" s="45">
        <f>getWeightAsDouble('RawData (GH)'!I684)</f>
        <v>1260</v>
      </c>
      <c r="L684" s="34">
        <f>getSizeDiameter('RawData (GH)'!J684)</f>
        <v>75</v>
      </c>
      <c r="M684" s="34">
        <f>getSizeLength('RawData (GH)'!J684)</f>
        <v>252</v>
      </c>
    </row>
    <row r="685" spans="1:13" x14ac:dyDescent="0.25">
      <c r="A685" t="str">
        <f>'RawData (GH)'!A685</f>
        <v>Pentax smc FA 645 45-85mm 4.5 schwarz</v>
      </c>
      <c r="B685" s="5">
        <f>getFocalLengthStart('RawData (GH)'!B685)</f>
        <v>45</v>
      </c>
      <c r="C685" s="5">
        <f>getFocalLengthEnd('RawData (GH)'!B685)</f>
        <v>85</v>
      </c>
      <c r="D685" s="9">
        <f>getApertureStart('RawData (GH)'!C685)</f>
        <v>4.5</v>
      </c>
      <c r="E685" s="9">
        <f>getApertureEnd('RawData (GH)'!C685)</f>
        <v>4.5</v>
      </c>
      <c r="F685" s="2">
        <f>getFiltersizeAsDouble('RawData (GH)'!D685)</f>
        <v>77</v>
      </c>
      <c r="G685" s="35">
        <f>getMagnification('RawData (GH)'!E685)</f>
        <v>4.55</v>
      </c>
      <c r="H685" s="62">
        <f>getMinimalFocus('RawData (GH)'!F685)</f>
        <v>0</v>
      </c>
      <c r="I685" t="str">
        <f>getMount('RawData (GH)'!G685)</f>
        <v>Pentax 645</v>
      </c>
      <c r="J685" t="str">
        <f>getSensorCompatibility('RawData (GH)'!H685)</f>
        <v>APS-C/ Kleinbild</v>
      </c>
      <c r="K685" s="45">
        <f>getWeightAsDouble('RawData (GH)'!I685)</f>
        <v>870</v>
      </c>
      <c r="L685" s="34">
        <f>getSizeDiameter('RawData (GH)'!J685)</f>
        <v>85</v>
      </c>
      <c r="M685" s="34">
        <f>getSizeLength('RawData (GH)'!J685)</f>
        <v>99.5</v>
      </c>
    </row>
    <row r="686" spans="1:13" x14ac:dyDescent="0.25">
      <c r="A686" t="str">
        <f>'RawData (GH)'!A686</f>
        <v>Pentax smc FA 645 45mm 2.8 schwarz</v>
      </c>
      <c r="B686" s="5">
        <f>getFocalLengthStart('RawData (GH)'!B686)</f>
        <v>45</v>
      </c>
      <c r="C686" s="5">
        <f>getFocalLengthEnd('RawData (GH)'!B686)</f>
        <v>45</v>
      </c>
      <c r="D686" s="9">
        <f>getApertureStart('RawData (GH)'!C686)</f>
        <v>2.8</v>
      </c>
      <c r="E686" s="9">
        <f>getApertureEnd('RawData (GH)'!C686)</f>
        <v>2.8</v>
      </c>
      <c r="F686" s="2">
        <f>getFiltersizeAsDouble('RawData (GH)'!D686)</f>
        <v>67</v>
      </c>
      <c r="G686" s="35">
        <f>getMagnification('RawData (GH)'!E686)</f>
        <v>6.67</v>
      </c>
      <c r="H686" s="62">
        <f>getMinimalFocus('RawData (GH)'!F686)</f>
        <v>0</v>
      </c>
      <c r="I686" t="str">
        <f>getMount('RawData (GH)'!G686)</f>
        <v>Pentax 645</v>
      </c>
      <c r="J686" t="str">
        <f>getSensorCompatibility('RawData (GH)'!H686)</f>
        <v>APS-C/ Kleinbild</v>
      </c>
      <c r="K686" s="45">
        <f>getWeightAsDouble('RawData (GH)'!I686)</f>
        <v>475</v>
      </c>
      <c r="L686" s="34">
        <f>getSizeDiameter('RawData (GH)'!J686)</f>
        <v>76.5</v>
      </c>
      <c r="M686" s="34">
        <f>getSizeLength('RawData (GH)'!J686)</f>
        <v>66.5</v>
      </c>
    </row>
    <row r="687" spans="1:13" x14ac:dyDescent="0.25">
      <c r="A687" t="str">
        <f>'RawData (GH)'!A687</f>
        <v>Pentax smc FA 645 55-110mm 5.6 schwarz</v>
      </c>
      <c r="B687" s="5">
        <f>getFocalLengthStart('RawData (GH)'!B687)</f>
        <v>55</v>
      </c>
      <c r="C687" s="5">
        <f>getFocalLengthEnd('RawData (GH)'!B687)</f>
        <v>110</v>
      </c>
      <c r="D687" s="9">
        <f>getApertureStart('RawData (GH)'!C687)</f>
        <v>5.6</v>
      </c>
      <c r="E687" s="9">
        <f>getApertureEnd('RawData (GH)'!C687)</f>
        <v>5.6</v>
      </c>
      <c r="F687" s="2">
        <f>getFiltersizeAsDouble('RawData (GH)'!D687)</f>
        <v>82</v>
      </c>
      <c r="G687" s="35">
        <f>getMagnification('RawData (GH)'!E687)</f>
        <v>6.25</v>
      </c>
      <c r="H687" s="62">
        <f>getMinimalFocus('RawData (GH)'!F687)</f>
        <v>0</v>
      </c>
      <c r="I687" t="str">
        <f>getMount('RawData (GH)'!G687)</f>
        <v>Pentax 645</v>
      </c>
      <c r="J687" t="str">
        <f>getSensorCompatibility('RawData (GH)'!H687)</f>
        <v>APS-C/ Kleinbild</v>
      </c>
      <c r="K687" s="45">
        <f>getWeightAsDouble('RawData (GH)'!I687)</f>
        <v>500</v>
      </c>
      <c r="L687" s="34">
        <f>getSizeDiameter('RawData (GH)'!J687)</f>
        <v>88</v>
      </c>
      <c r="M687" s="34">
        <f>getSizeLength('RawData (GH)'!J687)</f>
        <v>104</v>
      </c>
    </row>
    <row r="688" spans="1:13" x14ac:dyDescent="0.25">
      <c r="A688" t="str">
        <f>'RawData (GH)'!A688</f>
        <v>Pentax smc FA 645 75mm 2.8 schwarz</v>
      </c>
      <c r="B688" s="5">
        <f>getFocalLengthStart('RawData (GH)'!B688)</f>
        <v>75</v>
      </c>
      <c r="C688" s="5">
        <f>getFocalLengthEnd('RawData (GH)'!B688)</f>
        <v>75</v>
      </c>
      <c r="D688" s="9">
        <f>getApertureStart('RawData (GH)'!C688)</f>
        <v>2.8</v>
      </c>
      <c r="E688" s="9">
        <f>getApertureEnd('RawData (GH)'!C688)</f>
        <v>2.8</v>
      </c>
      <c r="F688" s="2">
        <f>getFiltersizeAsDouble('RawData (GH)'!D688)</f>
        <v>58</v>
      </c>
      <c r="G688" s="35">
        <f>getMagnification('RawData (GH)'!E688)</f>
        <v>5.56</v>
      </c>
      <c r="H688" s="62">
        <f>getMinimalFocus('RawData (GH)'!F688)</f>
        <v>0</v>
      </c>
      <c r="I688" t="str">
        <f>getMount('RawData (GH)'!G688)</f>
        <v>Pentax 645</v>
      </c>
      <c r="J688" t="str">
        <f>getSensorCompatibility('RawData (GH)'!H688)</f>
        <v>APS-C/ Kleinbild</v>
      </c>
      <c r="K688" s="45">
        <f>getWeightAsDouble('RawData (GH)'!I688)</f>
        <v>215</v>
      </c>
      <c r="L688" s="34">
        <f>getSizeDiameter('RawData (GH)'!J688)</f>
        <v>74.5</v>
      </c>
      <c r="M688" s="34">
        <f>getSizeLength('RawData (GH)'!J688)</f>
        <v>37.5</v>
      </c>
    </row>
    <row r="689" spans="1:13" x14ac:dyDescent="0.25">
      <c r="A689" t="str">
        <f>'RawData (GH)'!A689</f>
        <v>Pentax smc FA 645 80-160mm 4.5 schwarz</v>
      </c>
      <c r="B689" s="5">
        <f>getFocalLengthStart('RawData (GH)'!B689)</f>
        <v>80</v>
      </c>
      <c r="C689" s="5">
        <f>getFocalLengthEnd('RawData (GH)'!B689)</f>
        <v>160</v>
      </c>
      <c r="D689" s="9">
        <f>getApertureStart('RawData (GH)'!C689)</f>
        <v>4.5</v>
      </c>
      <c r="E689" s="9">
        <f>getApertureEnd('RawData (GH)'!C689)</f>
        <v>4.5</v>
      </c>
      <c r="F689" s="2">
        <f>getFiltersizeAsDouble('RawData (GH)'!D689)</f>
        <v>77</v>
      </c>
      <c r="G689" s="35">
        <f>getMagnification('RawData (GH)'!E689)</f>
        <v>5.88</v>
      </c>
      <c r="H689" s="62">
        <f>getMinimalFocus('RawData (GH)'!F689)</f>
        <v>0</v>
      </c>
      <c r="I689" t="str">
        <f>getMount('RawData (GH)'!G689)</f>
        <v>Pentax 645</v>
      </c>
      <c r="J689" t="str">
        <f>getSensorCompatibility('RawData (GH)'!H689)</f>
        <v>APS-C/ Kleinbild</v>
      </c>
      <c r="K689" s="45">
        <f>getWeightAsDouble('RawData (GH)'!I689)</f>
        <v>1010</v>
      </c>
      <c r="L689" s="34">
        <f>getSizeDiameter('RawData (GH)'!J689)</f>
        <v>85</v>
      </c>
      <c r="M689" s="34">
        <f>getSizeLength('RawData (GH)'!J689)</f>
        <v>130.5</v>
      </c>
    </row>
    <row r="690" spans="1:13" x14ac:dyDescent="0.25">
      <c r="A690" t="str">
        <f>'RawData (GH)'!A690</f>
        <v>Pentax smc FA 77mm 1.8 Limited silber</v>
      </c>
      <c r="B690" s="5">
        <f>getFocalLengthStart('RawData (GH)'!B690)</f>
        <v>77</v>
      </c>
      <c r="C690" s="5">
        <f>getFocalLengthEnd('RawData (GH)'!B690)</f>
        <v>77</v>
      </c>
      <c r="D690" s="9">
        <f>getApertureStart('RawData (GH)'!C690)</f>
        <v>1.8</v>
      </c>
      <c r="E690" s="9">
        <f>getApertureEnd('RawData (GH)'!C690)</f>
        <v>1.8</v>
      </c>
      <c r="F690" s="2">
        <f>getFiltersizeAsDouble('RawData (GH)'!D690)</f>
        <v>49</v>
      </c>
      <c r="G690" s="35">
        <f>getMagnification('RawData (GH)'!E690)</f>
        <v>7.14</v>
      </c>
      <c r="H690" s="62">
        <f>getMinimalFocus('RawData (GH)'!F690)</f>
        <v>0</v>
      </c>
      <c r="I690" t="str">
        <f>getMount('RawData (GH)'!G690)</f>
        <v>Pentax K</v>
      </c>
      <c r="J690" t="str">
        <f>getSensorCompatibility('RawData (GH)'!H690)</f>
        <v>APS-C/ Kleinbild</v>
      </c>
      <c r="K690" s="45">
        <f>getWeightAsDouble('RawData (GH)'!I690)</f>
        <v>270</v>
      </c>
      <c r="L690" s="34">
        <f>getSizeDiameter('RawData (GH)'!J690)</f>
        <v>64</v>
      </c>
      <c r="M690" s="34">
        <f>getSizeLength('RawData (GH)'!J690)</f>
        <v>48</v>
      </c>
    </row>
    <row r="691" spans="1:13" x14ac:dyDescent="0.25">
      <c r="A691" t="str">
        <f>'RawData (GH)'!A691</f>
        <v>SainSonic Kamlan 8mm 3.0 für Sony E</v>
      </c>
      <c r="B691" s="5">
        <f>getFocalLengthStart('RawData (GH)'!B691)</f>
        <v>8</v>
      </c>
      <c r="C691" s="5">
        <f>getFocalLengthEnd('RawData (GH)'!B691)</f>
        <v>8</v>
      </c>
      <c r="D691" s="9">
        <f>getApertureStart('RawData (GH)'!C691)</f>
        <v>3</v>
      </c>
      <c r="E691" s="9">
        <f>getApertureEnd('RawData (GH)'!C691)</f>
        <v>3</v>
      </c>
      <c r="F691" s="2">
        <f>getFiltersizeAsDouble('RawData (GH)'!D691)</f>
        <v>0</v>
      </c>
      <c r="G691" s="35">
        <f>getMagnification('RawData (GH)'!E691)</f>
        <v>0</v>
      </c>
      <c r="H691" s="62">
        <f>getMinimalFocus('RawData (GH)'!F691)</f>
        <v>0</v>
      </c>
      <c r="I691" t="str">
        <f>getMount('RawData (GH)'!G691)</f>
        <v>Sony E</v>
      </c>
      <c r="J691" t="str">
        <f>getSensorCompatibility('RawData (GH)'!H691)</f>
        <v>APS-C</v>
      </c>
      <c r="K691" s="45">
        <f>getWeightAsDouble('RawData (GH)'!I691)</f>
        <v>245</v>
      </c>
      <c r="L691" s="34">
        <f>getSizeDiameter('RawData (GH)'!J691)</f>
        <v>64</v>
      </c>
      <c r="M691" s="34">
        <f>getSizeLength('RawData (GH)'!J691)</f>
        <v>62</v>
      </c>
    </row>
    <row r="692" spans="1:13" x14ac:dyDescent="0.25">
      <c r="A692" t="str">
        <f>'RawData (GH)'!A692</f>
        <v>Samsung NX 16-50mm 2.0-2.8 S ED OIS i-Function schwarz</v>
      </c>
      <c r="B692" s="5">
        <f>getFocalLengthStart('RawData (GH)'!B692)</f>
        <v>16</v>
      </c>
      <c r="C692" s="5">
        <f>getFocalLengthEnd('RawData (GH)'!B692)</f>
        <v>50</v>
      </c>
      <c r="D692" s="9">
        <f>getApertureStart('RawData (GH)'!C692)</f>
        <v>2</v>
      </c>
      <c r="E692" s="9">
        <f>getApertureEnd('RawData (GH)'!C692)</f>
        <v>2.8</v>
      </c>
      <c r="F692" s="2">
        <f>getFiltersizeAsDouble('RawData (GH)'!D692)</f>
        <v>0</v>
      </c>
      <c r="G692" s="35">
        <f>getMagnification('RawData (GH)'!E692)</f>
        <v>5.26</v>
      </c>
      <c r="H692" s="62">
        <f>getMinimalFocus('RawData (GH)'!F692)</f>
        <v>0</v>
      </c>
      <c r="I692" t="str">
        <f>getMount('RawData (GH)'!G692)</f>
        <v>Samsung NX</v>
      </c>
      <c r="J692" t="str">
        <f>getSensorCompatibility('RawData (GH)'!H692)</f>
        <v>APS-C</v>
      </c>
      <c r="K692" s="45">
        <f>getWeightAsDouble('RawData (GH)'!I692)</f>
        <v>622</v>
      </c>
      <c r="L692" s="34">
        <f>getSizeDiameter('RawData (GH)'!J692)</f>
        <v>81</v>
      </c>
      <c r="M692" s="34">
        <f>getSizeLength('RawData (GH)'!J692)</f>
        <v>97</v>
      </c>
    </row>
    <row r="693" spans="1:13" x14ac:dyDescent="0.25">
      <c r="A693" t="str">
        <f>'RawData (GH)'!A693</f>
        <v>Samsung NX 18-55mm 3.5-5.6 OIS III i-Function schwarz</v>
      </c>
      <c r="B693" s="5">
        <f>getFocalLengthStart('RawData (GH)'!B693)</f>
        <v>18</v>
      </c>
      <c r="C693" s="5">
        <f>getFocalLengthEnd('RawData (GH)'!B693)</f>
        <v>55</v>
      </c>
      <c r="D693" s="9">
        <f>getApertureStart('RawData (GH)'!C693)</f>
        <v>3.5</v>
      </c>
      <c r="E693" s="9">
        <f>getApertureEnd('RawData (GH)'!C693)</f>
        <v>5.6</v>
      </c>
      <c r="F693" s="2">
        <f>getFiltersizeAsDouble('RawData (GH)'!D693)</f>
        <v>0</v>
      </c>
      <c r="G693" s="35">
        <f>getMagnification('RawData (GH)'!E693)</f>
        <v>4.54</v>
      </c>
      <c r="H693" s="62">
        <f>getMinimalFocus('RawData (GH)'!F693)</f>
        <v>0</v>
      </c>
      <c r="I693" t="str">
        <f>getMount('RawData (GH)'!G693)</f>
        <v>Samsung NX</v>
      </c>
      <c r="J693" t="str">
        <f>getSensorCompatibility('RawData (GH)'!H693)</f>
        <v>APS-C</v>
      </c>
      <c r="K693" s="45">
        <f>getWeightAsDouble('RawData (GH)'!I693)</f>
        <v>198</v>
      </c>
      <c r="L693" s="34">
        <f>getSizeDiameter('RawData (GH)'!J693)</f>
        <v>63</v>
      </c>
      <c r="M693" s="34">
        <f>getSizeLength('RawData (GH)'!J693)</f>
        <v>65.099999999999994</v>
      </c>
    </row>
    <row r="694" spans="1:13" x14ac:dyDescent="0.25">
      <c r="A694" t="str">
        <f>'RawData (GH)'!A694</f>
        <v>Samsung NX 20mm 2.8 i-Function schwarz</v>
      </c>
      <c r="B694" s="5">
        <f>getFocalLengthStart('RawData (GH)'!B694)</f>
        <v>20</v>
      </c>
      <c r="C694" s="5">
        <f>getFocalLengthEnd('RawData (GH)'!B694)</f>
        <v>20</v>
      </c>
      <c r="D694" s="9">
        <f>getApertureStart('RawData (GH)'!C694)</f>
        <v>2.8</v>
      </c>
      <c r="E694" s="9">
        <f>getApertureEnd('RawData (GH)'!C694)</f>
        <v>2.8</v>
      </c>
      <c r="F694" s="2">
        <f>getFiltersizeAsDouble('RawData (GH)'!D694)</f>
        <v>0</v>
      </c>
      <c r="G694" s="35">
        <f>getMagnification('RawData (GH)'!E694)</f>
        <v>5.56</v>
      </c>
      <c r="H694" s="62">
        <f>getMinimalFocus('RawData (GH)'!F694)</f>
        <v>0</v>
      </c>
      <c r="I694" t="str">
        <f>getMount('RawData (GH)'!G694)</f>
        <v>Samsung NX</v>
      </c>
      <c r="J694" t="str">
        <f>getSensorCompatibility('RawData (GH)'!H694)</f>
        <v>APS-C</v>
      </c>
      <c r="K694" s="45">
        <f>getWeightAsDouble('RawData (GH)'!I694)</f>
        <v>89</v>
      </c>
      <c r="L694" s="34">
        <f>getSizeDiameter('RawData (GH)'!J694)</f>
        <v>62.2</v>
      </c>
      <c r="M694" s="34">
        <f>getSizeLength('RawData (GH)'!J694)</f>
        <v>24.5</v>
      </c>
    </row>
    <row r="695" spans="1:13" x14ac:dyDescent="0.25">
      <c r="A695" t="str">
        <f>'RawData (GH)'!A695</f>
        <v>Samsung NX 60mm 2.8 Makro ED OIS SSA i-Function schwarz</v>
      </c>
      <c r="B695" s="5">
        <f>getFocalLengthStart('RawData (GH)'!B695)</f>
        <v>60</v>
      </c>
      <c r="C695" s="5">
        <f>getFocalLengthEnd('RawData (GH)'!B695)</f>
        <v>60</v>
      </c>
      <c r="D695" s="9">
        <f>getApertureStart('RawData (GH)'!C695)</f>
        <v>2.8</v>
      </c>
      <c r="E695" s="9">
        <f>getApertureEnd('RawData (GH)'!C695)</f>
        <v>2.8</v>
      </c>
      <c r="F695" s="2">
        <f>getFiltersizeAsDouble('RawData (GH)'!D695)</f>
        <v>0</v>
      </c>
      <c r="G695" s="35">
        <f>getMagnification('RawData (GH)'!E695)</f>
        <v>1</v>
      </c>
      <c r="H695" s="62">
        <f>getMinimalFocus('RawData (GH)'!F695)</f>
        <v>0</v>
      </c>
      <c r="I695" t="str">
        <f>getMount('RawData (GH)'!G695)</f>
        <v>Samsung NX</v>
      </c>
      <c r="J695" t="str">
        <f>getSensorCompatibility('RawData (GH)'!H695)</f>
        <v>APS-C</v>
      </c>
      <c r="K695" s="45">
        <f>getWeightAsDouble('RawData (GH)'!I695)</f>
        <v>450</v>
      </c>
      <c r="L695" s="34">
        <f>getSizeDiameter('RawData (GH)'!J695)</f>
        <v>73</v>
      </c>
      <c r="M695" s="34">
        <f>getSizeLength('RawData (GH)'!J695)</f>
        <v>84</v>
      </c>
    </row>
    <row r="696" spans="1:13" x14ac:dyDescent="0.25">
      <c r="A696" t="str">
        <f>'RawData (GH)'!A696</f>
        <v>Samsung NX-M 9mm 3.5 ED silber</v>
      </c>
      <c r="B696" s="5">
        <f>getFocalLengthStart('RawData (GH)'!B696)</f>
        <v>9</v>
      </c>
      <c r="C696" s="5">
        <f>getFocalLengthEnd('RawData (GH)'!B696)</f>
        <v>9</v>
      </c>
      <c r="D696" s="9">
        <f>getApertureStart('RawData (GH)'!C696)</f>
        <v>3.5</v>
      </c>
      <c r="E696" s="9">
        <f>getApertureEnd('RawData (GH)'!C696)</f>
        <v>3.5</v>
      </c>
      <c r="F696" s="2">
        <f>getFiltersizeAsDouble('RawData (GH)'!D696)</f>
        <v>0</v>
      </c>
      <c r="G696" s="35">
        <f>getMagnification('RawData (GH)'!E696)</f>
        <v>9.09</v>
      </c>
      <c r="H696" s="62">
        <f>getMinimalFocus('RawData (GH)'!F696)</f>
        <v>0</v>
      </c>
      <c r="I696" t="str">
        <f>getMount('RawData (GH)'!G696)</f>
        <v>Samsung NX-M</v>
      </c>
      <c r="J696" t="str">
        <f>getSensorCompatibility('RawData (GH)'!H696)</f>
        <v>APS-C</v>
      </c>
      <c r="K696" s="45">
        <f>getWeightAsDouble('RawData (GH)'!I696)</f>
        <v>31</v>
      </c>
      <c r="L696" s="34">
        <f>getSizeDiameter('RawData (GH)'!J696)</f>
        <v>50</v>
      </c>
      <c r="M696" s="34">
        <f>getSizeLength('RawData (GH)'!J696)</f>
        <v>13</v>
      </c>
    </row>
    <row r="697" spans="1:13" x14ac:dyDescent="0.25">
      <c r="A697" t="str">
        <f>'RawData (GH)'!A697</f>
        <v>Samyang 100mm 2.8 ED UMC Makro für Canon EF schwarz</v>
      </c>
      <c r="B697" s="5">
        <f>getFocalLengthStart('RawData (GH)'!B697)</f>
        <v>100</v>
      </c>
      <c r="C697" s="5">
        <f>getFocalLengthEnd('RawData (GH)'!B697)</f>
        <v>100</v>
      </c>
      <c r="D697" s="9">
        <f>getApertureStart('RawData (GH)'!C697)</f>
        <v>2.8</v>
      </c>
      <c r="E697" s="9">
        <f>getApertureEnd('RawData (GH)'!C697)</f>
        <v>2.8</v>
      </c>
      <c r="F697" s="2">
        <f>getFiltersizeAsDouble('RawData (GH)'!D697)</f>
        <v>67</v>
      </c>
      <c r="G697" s="35">
        <f>getMagnification('RawData (GH)'!E697)</f>
        <v>1</v>
      </c>
      <c r="H697" s="62">
        <f>getMinimalFocus('RawData (GH)'!F697)</f>
        <v>0</v>
      </c>
      <c r="I697" t="str">
        <f>getMount('RawData (GH)'!G697)</f>
        <v>Canon EF</v>
      </c>
      <c r="J697" t="str">
        <f>getSensorCompatibility('RawData (GH)'!H697)</f>
        <v>APS-C/ Kleinbild</v>
      </c>
      <c r="K697" s="45">
        <f>getWeightAsDouble('RawData (GH)'!I697)</f>
        <v>720</v>
      </c>
      <c r="L697" s="34">
        <f>getSizeDiameter('RawData (GH)'!J697)</f>
        <v>72.5</v>
      </c>
      <c r="M697" s="34">
        <f>getSizeLength('RawData (GH)'!J697)</f>
        <v>123.1</v>
      </c>
    </row>
    <row r="698" spans="1:13" x14ac:dyDescent="0.25">
      <c r="A698" t="str">
        <f>'RawData (GH)'!A698</f>
        <v>Samyang 100mm 2.8 ED UMC Makro für Canon EF-M schwarz</v>
      </c>
      <c r="B698" s="5">
        <f>getFocalLengthStart('RawData (GH)'!B698)</f>
        <v>100</v>
      </c>
      <c r="C698" s="5">
        <f>getFocalLengthEnd('RawData (GH)'!B698)</f>
        <v>100</v>
      </c>
      <c r="D698" s="9">
        <f>getApertureStart('RawData (GH)'!C698)</f>
        <v>2.8</v>
      </c>
      <c r="E698" s="9">
        <f>getApertureEnd('RawData (GH)'!C698)</f>
        <v>2.8</v>
      </c>
      <c r="F698" s="2">
        <f>getFiltersizeAsDouble('RawData (GH)'!D698)</f>
        <v>67</v>
      </c>
      <c r="G698" s="35">
        <f>getMagnification('RawData (GH)'!E698)</f>
        <v>1</v>
      </c>
      <c r="H698" s="62">
        <f>getMinimalFocus('RawData (GH)'!F698)</f>
        <v>0</v>
      </c>
      <c r="I698" t="str">
        <f>getMount('RawData (GH)'!G698)</f>
        <v>Canon EF-M</v>
      </c>
      <c r="J698" t="str">
        <f>getSensorCompatibility('RawData (GH)'!H698)</f>
        <v>APS-C</v>
      </c>
      <c r="K698" s="45">
        <f>getWeightAsDouble('RawData (GH)'!I698)</f>
        <v>730</v>
      </c>
      <c r="L698" s="34">
        <f>getSizeDiameter('RawData (GH)'!J698)</f>
        <v>72.5</v>
      </c>
      <c r="M698" s="34">
        <f>getSizeLength('RawData (GH)'!J698)</f>
        <v>149</v>
      </c>
    </row>
    <row r="699" spans="1:13" x14ac:dyDescent="0.25">
      <c r="A699" t="str">
        <f>'RawData (GH)'!A699</f>
        <v>Samyang 100mm 2.8 ED UMC Makro für Four-Thirds schwarz</v>
      </c>
      <c r="B699" s="5">
        <f>getFocalLengthStart('RawData (GH)'!B699)</f>
        <v>100</v>
      </c>
      <c r="C699" s="5">
        <f>getFocalLengthEnd('RawData (GH)'!B699)</f>
        <v>100</v>
      </c>
      <c r="D699" s="9">
        <f>getApertureStart('RawData (GH)'!C699)</f>
        <v>2.8</v>
      </c>
      <c r="E699" s="9">
        <f>getApertureEnd('RawData (GH)'!C699)</f>
        <v>2.8</v>
      </c>
      <c r="F699" s="2">
        <f>getFiltersizeAsDouble('RawData (GH)'!D699)</f>
        <v>67</v>
      </c>
      <c r="G699" s="35">
        <f>getMagnification('RawData (GH)'!E699)</f>
        <v>1</v>
      </c>
      <c r="H699" s="62">
        <f>getMinimalFocus('RawData (GH)'!F699)</f>
        <v>0</v>
      </c>
      <c r="I699" t="str">
        <f>getMount('RawData (GH)'!G699)</f>
        <v>Four-Thirds</v>
      </c>
      <c r="J699" t="str">
        <f>getSensorCompatibility('RawData (GH)'!H699)</f>
        <v>Four-Thirds</v>
      </c>
      <c r="K699" s="45">
        <f>getWeightAsDouble('RawData (GH)'!I699)</f>
        <v>735</v>
      </c>
      <c r="L699" s="34">
        <f>getSizeDiameter('RawData (GH)'!J699)</f>
        <v>72.5</v>
      </c>
      <c r="M699" s="34">
        <f>getSizeLength('RawData (GH)'!J699)</f>
        <v>128.4</v>
      </c>
    </row>
    <row r="700" spans="1:13" x14ac:dyDescent="0.25">
      <c r="A700" t="str">
        <f>'RawData (GH)'!A700</f>
        <v>Samyang 100mm 2.8 ED UMC Makro für Fujifilm X schwarz</v>
      </c>
      <c r="B700" s="5">
        <f>getFocalLengthStart('RawData (GH)'!B700)</f>
        <v>100</v>
      </c>
      <c r="C700" s="5">
        <f>getFocalLengthEnd('RawData (GH)'!B700)</f>
        <v>100</v>
      </c>
      <c r="D700" s="9">
        <f>getApertureStart('RawData (GH)'!C700)</f>
        <v>2.8</v>
      </c>
      <c r="E700" s="9">
        <f>getApertureEnd('RawData (GH)'!C700)</f>
        <v>2.8</v>
      </c>
      <c r="F700" s="2">
        <f>getFiltersizeAsDouble('RawData (GH)'!D700)</f>
        <v>67</v>
      </c>
      <c r="G700" s="35">
        <f>getMagnification('RawData (GH)'!E700)</f>
        <v>1</v>
      </c>
      <c r="H700" s="62">
        <f>getMinimalFocus('RawData (GH)'!F700)</f>
        <v>0</v>
      </c>
      <c r="I700" t="str">
        <f>getMount('RawData (GH)'!G700)</f>
        <v>Fujifilm X</v>
      </c>
      <c r="J700" t="str">
        <f>getSensorCompatibility('RawData (GH)'!H700)</f>
        <v>APS-C</v>
      </c>
      <c r="K700" s="45">
        <f>getWeightAsDouble('RawData (GH)'!I700)</f>
        <v>770</v>
      </c>
      <c r="L700" s="34">
        <f>getSizeDiameter('RawData (GH)'!J700)</f>
        <v>72.5</v>
      </c>
      <c r="M700" s="34">
        <f>getSizeLength('RawData (GH)'!J700)</f>
        <v>149.4</v>
      </c>
    </row>
    <row r="701" spans="1:13" x14ac:dyDescent="0.25">
      <c r="A701" t="str">
        <f>'RawData (GH)'!A701</f>
        <v>Samyang 100mm 2.8 ED UMC Makro für Micro-Four-Thirds schwarz</v>
      </c>
      <c r="B701" s="5">
        <f>getFocalLengthStart('RawData (GH)'!B701)</f>
        <v>100</v>
      </c>
      <c r="C701" s="5">
        <f>getFocalLengthEnd('RawData (GH)'!B701)</f>
        <v>100</v>
      </c>
      <c r="D701" s="9">
        <f>getApertureStart('RawData (GH)'!C701)</f>
        <v>2.8</v>
      </c>
      <c r="E701" s="9">
        <f>getApertureEnd('RawData (GH)'!C701)</f>
        <v>2.8</v>
      </c>
      <c r="F701" s="2">
        <f>getFiltersizeAsDouble('RawData (GH)'!D701)</f>
        <v>67</v>
      </c>
      <c r="G701" s="35">
        <f>getMagnification('RawData (GH)'!E701)</f>
        <v>1</v>
      </c>
      <c r="H701" s="62">
        <f>getMinimalFocus('RawData (GH)'!F701)</f>
        <v>0</v>
      </c>
      <c r="I701" t="str">
        <f>getMount('RawData (GH)'!G701)</f>
        <v>Micro-Four-Thirds</v>
      </c>
      <c r="J701" t="str">
        <f>getSensorCompatibility('RawData (GH)'!H701)</f>
        <v>Four-Thirds</v>
      </c>
      <c r="K701" s="45">
        <f>getWeightAsDouble('RawData (GH)'!I701)</f>
        <v>725</v>
      </c>
      <c r="L701" s="34">
        <f>getSizeDiameter('RawData (GH)'!J701)</f>
        <v>72.5</v>
      </c>
      <c r="M701" s="34">
        <f>getSizeLength('RawData (GH)'!J701)</f>
        <v>147.9</v>
      </c>
    </row>
    <row r="702" spans="1:13" x14ac:dyDescent="0.25">
      <c r="A702" t="str">
        <f>'RawData (GH)'!A702</f>
        <v>Samyang 100mm 2.8 ED UMC Makro für Nikon F schwarz</v>
      </c>
      <c r="B702" s="5">
        <f>getFocalLengthStart('RawData (GH)'!B702)</f>
        <v>100</v>
      </c>
      <c r="C702" s="5">
        <f>getFocalLengthEnd('RawData (GH)'!B702)</f>
        <v>100</v>
      </c>
      <c r="D702" s="9">
        <f>getApertureStart('RawData (GH)'!C702)</f>
        <v>2.8</v>
      </c>
      <c r="E702" s="9">
        <f>getApertureEnd('RawData (GH)'!C702)</f>
        <v>2.8</v>
      </c>
      <c r="F702" s="2">
        <f>getFiltersizeAsDouble('RawData (GH)'!D702)</f>
        <v>67</v>
      </c>
      <c r="G702" s="35">
        <f>getMagnification('RawData (GH)'!E702)</f>
        <v>1</v>
      </c>
      <c r="H702" s="62">
        <f>getMinimalFocus('RawData (GH)'!F702)</f>
        <v>0</v>
      </c>
      <c r="I702" t="str">
        <f>getMount('RawData (GH)'!G702)</f>
        <v>Nikon F</v>
      </c>
      <c r="J702" t="str">
        <f>getSensorCompatibility('RawData (GH)'!H702)</f>
        <v>APS-C/ Kleinbild</v>
      </c>
      <c r="K702" s="45">
        <f>getWeightAsDouble('RawData (GH)'!I702)</f>
        <v>705</v>
      </c>
      <c r="L702" s="34">
        <f>getSizeDiameter('RawData (GH)'!J702)</f>
        <v>72.5</v>
      </c>
      <c r="M702" s="34">
        <f>getSizeLength('RawData (GH)'!J702)</f>
        <v>120.6</v>
      </c>
    </row>
    <row r="703" spans="1:13" x14ac:dyDescent="0.25">
      <c r="A703" t="str">
        <f>'RawData (GH)'!A703</f>
        <v>Samyang 100mm 2.8 ED UMC Makro für Pentax K schwarz</v>
      </c>
      <c r="B703" s="5">
        <f>getFocalLengthStart('RawData (GH)'!B703)</f>
        <v>100</v>
      </c>
      <c r="C703" s="5">
        <f>getFocalLengthEnd('RawData (GH)'!B703)</f>
        <v>100</v>
      </c>
      <c r="D703" s="9">
        <f>getApertureStart('RawData (GH)'!C703)</f>
        <v>2.8</v>
      </c>
      <c r="E703" s="9">
        <f>getApertureEnd('RawData (GH)'!C703)</f>
        <v>2.8</v>
      </c>
      <c r="F703" s="2">
        <f>getFiltersizeAsDouble('RawData (GH)'!D703)</f>
        <v>67</v>
      </c>
      <c r="G703" s="35">
        <f>getMagnification('RawData (GH)'!E703)</f>
        <v>1</v>
      </c>
      <c r="H703" s="62">
        <f>getMinimalFocus('RawData (GH)'!F703)</f>
        <v>0</v>
      </c>
      <c r="I703" t="str">
        <f>getMount('RawData (GH)'!G703)</f>
        <v>Pentax K</v>
      </c>
      <c r="J703" t="str">
        <f>getSensorCompatibility('RawData (GH)'!H703)</f>
        <v>APS-C/ Kleinbild</v>
      </c>
      <c r="K703" s="45">
        <f>getWeightAsDouble('RawData (GH)'!I703)</f>
        <v>710</v>
      </c>
      <c r="L703" s="34">
        <f>getSizeDiameter('RawData (GH)'!J703)</f>
        <v>72.5</v>
      </c>
      <c r="M703" s="34">
        <f>getSizeLength('RawData (GH)'!J703)</f>
        <v>121.6</v>
      </c>
    </row>
    <row r="704" spans="1:13" x14ac:dyDescent="0.25">
      <c r="A704" t="str">
        <f>'RawData (GH)'!A704</f>
        <v>Samyang 100mm 2.8 ED UMC Makro für Samsung NX schwarz</v>
      </c>
      <c r="B704" s="5">
        <f>getFocalLengthStart('RawData (GH)'!B704)</f>
        <v>100</v>
      </c>
      <c r="C704" s="5">
        <f>getFocalLengthEnd('RawData (GH)'!B704)</f>
        <v>100</v>
      </c>
      <c r="D704" s="9">
        <f>getApertureStart('RawData (GH)'!C704)</f>
        <v>2.8</v>
      </c>
      <c r="E704" s="9">
        <f>getApertureEnd('RawData (GH)'!C704)</f>
        <v>2.8</v>
      </c>
      <c r="F704" s="2">
        <f>getFiltersizeAsDouble('RawData (GH)'!D704)</f>
        <v>67</v>
      </c>
      <c r="G704" s="35">
        <f>getMagnification('RawData (GH)'!E704)</f>
        <v>1</v>
      </c>
      <c r="H704" s="62">
        <f>getMinimalFocus('RawData (GH)'!F704)</f>
        <v>0</v>
      </c>
      <c r="I704" t="str">
        <f>getMount('RawData (GH)'!G704)</f>
        <v>Samsung NX</v>
      </c>
      <c r="J704" t="str">
        <f>getSensorCompatibility('RawData (GH)'!H704)</f>
        <v>APS-C</v>
      </c>
      <c r="K704" s="45">
        <f>getWeightAsDouble('RawData (GH)'!I704)</f>
        <v>720</v>
      </c>
      <c r="L704" s="34">
        <f>getSizeDiameter('RawData (GH)'!J704)</f>
        <v>72.5</v>
      </c>
      <c r="M704" s="34">
        <f>getSizeLength('RawData (GH)'!J704)</f>
        <v>141.6</v>
      </c>
    </row>
    <row r="705" spans="1:13" x14ac:dyDescent="0.25">
      <c r="A705" t="str">
        <f>'RawData (GH)'!A705</f>
        <v>Samyang 100mm 2.8 ED UMC Makro für Sony A schwarz</v>
      </c>
      <c r="B705" s="5">
        <f>getFocalLengthStart('RawData (GH)'!B705)</f>
        <v>100</v>
      </c>
      <c r="C705" s="5">
        <f>getFocalLengthEnd('RawData (GH)'!B705)</f>
        <v>100</v>
      </c>
      <c r="D705" s="9">
        <f>getApertureStart('RawData (GH)'!C705)</f>
        <v>2.8</v>
      </c>
      <c r="E705" s="9">
        <f>getApertureEnd('RawData (GH)'!C705)</f>
        <v>2.8</v>
      </c>
      <c r="F705" s="2">
        <f>getFiltersizeAsDouble('RawData (GH)'!D705)</f>
        <v>67</v>
      </c>
      <c r="G705" s="35">
        <f>getMagnification('RawData (GH)'!E705)</f>
        <v>1</v>
      </c>
      <c r="H705" s="62">
        <f>getMinimalFocus('RawData (GH)'!F705)</f>
        <v>0</v>
      </c>
      <c r="I705" t="str">
        <f>getMount('RawData (GH)'!G705)</f>
        <v>Sony A</v>
      </c>
      <c r="J705" t="str">
        <f>getSensorCompatibility('RawData (GH)'!H705)</f>
        <v>APS-C/ Kleinbild</v>
      </c>
      <c r="K705" s="45">
        <f>getWeightAsDouble('RawData (GH)'!I705)</f>
        <v>715</v>
      </c>
      <c r="L705" s="34">
        <f>getSizeDiameter('RawData (GH)'!J705)</f>
        <v>72.5</v>
      </c>
      <c r="M705" s="34">
        <f>getSizeLength('RawData (GH)'!J705)</f>
        <v>122.6</v>
      </c>
    </row>
    <row r="706" spans="1:13" x14ac:dyDescent="0.25">
      <c r="A706" t="str">
        <f>'RawData (GH)'!A706</f>
        <v>Samyang 100mm 2.8 ED UMC Makro für Sony E schwarz</v>
      </c>
      <c r="B706" s="5">
        <f>getFocalLengthStart('RawData (GH)'!B706)</f>
        <v>100</v>
      </c>
      <c r="C706" s="5">
        <f>getFocalLengthEnd('RawData (GH)'!B706)</f>
        <v>100</v>
      </c>
      <c r="D706" s="9">
        <f>getApertureStart('RawData (GH)'!C706)</f>
        <v>2.8</v>
      </c>
      <c r="E706" s="9">
        <f>getApertureEnd('RawData (GH)'!C706)</f>
        <v>2.8</v>
      </c>
      <c r="F706" s="2">
        <f>getFiltersizeAsDouble('RawData (GH)'!D706)</f>
        <v>67</v>
      </c>
      <c r="G706" s="35">
        <f>getMagnification('RawData (GH)'!E706)</f>
        <v>1</v>
      </c>
      <c r="H706" s="62">
        <f>getMinimalFocus('RawData (GH)'!F706)</f>
        <v>0</v>
      </c>
      <c r="I706" t="str">
        <f>getMount('RawData (GH)'!G706)</f>
        <v>Sony E</v>
      </c>
      <c r="J706" t="str">
        <f>getSensorCompatibility('RawData (GH)'!H706)</f>
        <v>APS-C/ Kleinbild</v>
      </c>
      <c r="K706" s="45">
        <f>getWeightAsDouble('RawData (GH)'!I706)</f>
        <v>730</v>
      </c>
      <c r="L706" s="34">
        <f>getSizeDiameter('RawData (GH)'!J706)</f>
        <v>72.5</v>
      </c>
      <c r="M706" s="34">
        <f>getSizeLength('RawData (GH)'!J706)</f>
        <v>149.1</v>
      </c>
    </row>
    <row r="707" spans="1:13" x14ac:dyDescent="0.25">
      <c r="A707" t="str">
        <f>'RawData (GH)'!A707</f>
        <v>Samyang 100mm T3.1 VDSLR ED UMC Makro für Canon EF schwarz</v>
      </c>
      <c r="B707" s="5">
        <f>getFocalLengthStart('RawData (GH)'!B707)</f>
        <v>100</v>
      </c>
      <c r="C707" s="5">
        <f>getFocalLengthEnd('RawData (GH)'!B707)</f>
        <v>100</v>
      </c>
      <c r="D707" s="9">
        <f>getApertureStart('RawData (GH)'!C707)</f>
        <v>3.1</v>
      </c>
      <c r="E707" s="9">
        <f>getApertureEnd('RawData (GH)'!C707)</f>
        <v>3.1</v>
      </c>
      <c r="F707" s="2">
        <f>getFiltersizeAsDouble('RawData (GH)'!D707)</f>
        <v>67</v>
      </c>
      <c r="G707" s="35">
        <f>getMagnification('RawData (GH)'!E707)</f>
        <v>1</v>
      </c>
      <c r="H707" s="62">
        <f>getMinimalFocus('RawData (GH)'!F707)</f>
        <v>0</v>
      </c>
      <c r="I707" t="str">
        <f>getMount('RawData (GH)'!G707)</f>
        <v>Canon EF</v>
      </c>
      <c r="J707" t="str">
        <f>getSensorCompatibility('RawData (GH)'!H707)</f>
        <v>APS-C/ Kleinbild</v>
      </c>
      <c r="K707" s="45">
        <f>getWeightAsDouble('RawData (GH)'!I707)</f>
        <v>726</v>
      </c>
      <c r="L707" s="34">
        <f>getSizeDiameter('RawData (GH)'!J707)</f>
        <v>81.599999999999994</v>
      </c>
      <c r="M707" s="34">
        <f>getSizeLength('RawData (GH)'!J707)</f>
        <v>123.1</v>
      </c>
    </row>
    <row r="708" spans="1:13" x14ac:dyDescent="0.25">
      <c r="A708" t="str">
        <f>'RawData (GH)'!A708</f>
        <v>Samyang 100mm T3.1 VDSLR ED UMC Makro für Canon EF-M schwarz</v>
      </c>
      <c r="B708" s="5">
        <f>getFocalLengthStart('RawData (GH)'!B708)</f>
        <v>100</v>
      </c>
      <c r="C708" s="5">
        <f>getFocalLengthEnd('RawData (GH)'!B708)</f>
        <v>100</v>
      </c>
      <c r="D708" s="9">
        <f>getApertureStart('RawData (GH)'!C708)</f>
        <v>3.1</v>
      </c>
      <c r="E708" s="9">
        <f>getApertureEnd('RawData (GH)'!C708)</f>
        <v>3.1</v>
      </c>
      <c r="F708" s="2">
        <f>getFiltersizeAsDouble('RawData (GH)'!D708)</f>
        <v>67</v>
      </c>
      <c r="G708" s="35">
        <f>getMagnification('RawData (GH)'!E708)</f>
        <v>1</v>
      </c>
      <c r="H708" s="62">
        <f>getMinimalFocus('RawData (GH)'!F708)</f>
        <v>0</v>
      </c>
      <c r="I708" t="str">
        <f>getMount('RawData (GH)'!G708)</f>
        <v>Canon EF-M</v>
      </c>
      <c r="J708" t="str">
        <f>getSensorCompatibility('RawData (GH)'!H708)</f>
        <v>APS-C</v>
      </c>
      <c r="K708" s="45">
        <f>getWeightAsDouble('RawData (GH)'!I708)</f>
        <v>735</v>
      </c>
      <c r="L708" s="34">
        <f>getSizeDiameter('RawData (GH)'!J708)</f>
        <v>81.599999999999994</v>
      </c>
      <c r="M708" s="34">
        <f>getSizeLength('RawData (GH)'!J708)</f>
        <v>149</v>
      </c>
    </row>
    <row r="709" spans="1:13" x14ac:dyDescent="0.25">
      <c r="A709" t="str">
        <f>'RawData (GH)'!A709</f>
        <v>Samyang 100mm T3.1 VDSLR ED UMC Makro für Four-Thirds schwarz</v>
      </c>
      <c r="B709" s="5">
        <f>getFocalLengthStart('RawData (GH)'!B709)</f>
        <v>100</v>
      </c>
      <c r="C709" s="5">
        <f>getFocalLengthEnd('RawData (GH)'!B709)</f>
        <v>100</v>
      </c>
      <c r="D709" s="9">
        <f>getApertureStart('RawData (GH)'!C709)</f>
        <v>3.1</v>
      </c>
      <c r="E709" s="9">
        <f>getApertureEnd('RawData (GH)'!C709)</f>
        <v>3.1</v>
      </c>
      <c r="F709" s="2">
        <f>getFiltersizeAsDouble('RawData (GH)'!D709)</f>
        <v>67</v>
      </c>
      <c r="G709" s="35">
        <f>getMagnification('RawData (GH)'!E709)</f>
        <v>1</v>
      </c>
      <c r="H709" s="62">
        <f>getMinimalFocus('RawData (GH)'!F709)</f>
        <v>0</v>
      </c>
      <c r="I709" t="str">
        <f>getMount('RawData (GH)'!G709)</f>
        <v>Four-Thirds</v>
      </c>
      <c r="J709" t="str">
        <f>getSensorCompatibility('RawData (GH)'!H709)</f>
        <v>Four-Thirds</v>
      </c>
      <c r="K709" s="45">
        <f>getWeightAsDouble('RawData (GH)'!I709)</f>
        <v>740</v>
      </c>
      <c r="L709" s="34">
        <f>getSizeDiameter('RawData (GH)'!J709)</f>
        <v>81.599999999999994</v>
      </c>
      <c r="M709" s="34">
        <f>getSizeLength('RawData (GH)'!J709)</f>
        <v>128.4</v>
      </c>
    </row>
    <row r="710" spans="1:13" x14ac:dyDescent="0.25">
      <c r="A710" t="str">
        <f>'RawData (GH)'!A710</f>
        <v>Samyang 100mm T3.1 VDSLR ED UMC Makro für Fujifilm X schwarz</v>
      </c>
      <c r="B710" s="5">
        <f>getFocalLengthStart('RawData (GH)'!B710)</f>
        <v>100</v>
      </c>
      <c r="C710" s="5">
        <f>getFocalLengthEnd('RawData (GH)'!B710)</f>
        <v>100</v>
      </c>
      <c r="D710" s="9">
        <f>getApertureStart('RawData (GH)'!C710)</f>
        <v>3.1</v>
      </c>
      <c r="E710" s="9">
        <f>getApertureEnd('RawData (GH)'!C710)</f>
        <v>3.1</v>
      </c>
      <c r="F710" s="2">
        <f>getFiltersizeAsDouble('RawData (GH)'!D710)</f>
        <v>67</v>
      </c>
      <c r="G710" s="35">
        <f>getMagnification('RawData (GH)'!E710)</f>
        <v>1</v>
      </c>
      <c r="H710" s="62">
        <f>getMinimalFocus('RawData (GH)'!F710)</f>
        <v>0</v>
      </c>
      <c r="I710" t="str">
        <f>getMount('RawData (GH)'!G710)</f>
        <v>Fujifilm X</v>
      </c>
      <c r="J710" t="str">
        <f>getSensorCompatibility('RawData (GH)'!H710)</f>
        <v>APS-C</v>
      </c>
      <c r="K710" s="45">
        <f>getWeightAsDouble('RawData (GH)'!I710)</f>
        <v>775</v>
      </c>
      <c r="L710" s="34">
        <f>getSizeDiameter('RawData (GH)'!J710)</f>
        <v>81.599999999999994</v>
      </c>
      <c r="M710" s="34">
        <f>getSizeLength('RawData (GH)'!J710)</f>
        <v>149.4</v>
      </c>
    </row>
    <row r="711" spans="1:13" x14ac:dyDescent="0.25">
      <c r="A711" t="str">
        <f>'RawData (GH)'!A711</f>
        <v>Samyang 100mm T3.1 VDSLR ED UMC Makro für Micro-Four-Thirds schwarz</v>
      </c>
      <c r="B711" s="5">
        <f>getFocalLengthStart('RawData (GH)'!B711)</f>
        <v>100</v>
      </c>
      <c r="C711" s="5">
        <f>getFocalLengthEnd('RawData (GH)'!B711)</f>
        <v>100</v>
      </c>
      <c r="D711" s="9">
        <f>getApertureStart('RawData (GH)'!C711)</f>
        <v>3.1</v>
      </c>
      <c r="E711" s="9">
        <f>getApertureEnd('RawData (GH)'!C711)</f>
        <v>3.1</v>
      </c>
      <c r="F711" s="2">
        <f>getFiltersizeAsDouble('RawData (GH)'!D711)</f>
        <v>67</v>
      </c>
      <c r="G711" s="35">
        <f>getMagnification('RawData (GH)'!E711)</f>
        <v>1</v>
      </c>
      <c r="H711" s="62">
        <f>getMinimalFocus('RawData (GH)'!F711)</f>
        <v>0</v>
      </c>
      <c r="I711" t="str">
        <f>getMount('RawData (GH)'!G711)</f>
        <v>Micro-Four-Thirds</v>
      </c>
      <c r="J711" t="str">
        <f>getSensorCompatibility('RawData (GH)'!H711)</f>
        <v>Four-Thirds</v>
      </c>
      <c r="K711" s="45">
        <f>getWeightAsDouble('RawData (GH)'!I711)</f>
        <v>730</v>
      </c>
      <c r="L711" s="34">
        <f>getSizeDiameter('RawData (GH)'!J711)</f>
        <v>81.599999999999994</v>
      </c>
      <c r="M711" s="34">
        <f>getSizeLength('RawData (GH)'!J711)</f>
        <v>147.9</v>
      </c>
    </row>
    <row r="712" spans="1:13" x14ac:dyDescent="0.25">
      <c r="A712" t="str">
        <f>'RawData (GH)'!A712</f>
        <v>Samyang 100mm T3.1 VDSLR ED UMC Makro für Nikon F schwarz</v>
      </c>
      <c r="B712" s="5">
        <f>getFocalLengthStart('RawData (GH)'!B712)</f>
        <v>100</v>
      </c>
      <c r="C712" s="5">
        <f>getFocalLengthEnd('RawData (GH)'!B712)</f>
        <v>100</v>
      </c>
      <c r="D712" s="9">
        <f>getApertureStart('RawData (GH)'!C712)</f>
        <v>3.1</v>
      </c>
      <c r="E712" s="9">
        <f>getApertureEnd('RawData (GH)'!C712)</f>
        <v>3.1</v>
      </c>
      <c r="F712" s="2">
        <f>getFiltersizeAsDouble('RawData (GH)'!D712)</f>
        <v>67</v>
      </c>
      <c r="G712" s="35">
        <f>getMagnification('RawData (GH)'!E712)</f>
        <v>1</v>
      </c>
      <c r="H712" s="62">
        <f>getMinimalFocus('RawData (GH)'!F712)</f>
        <v>0</v>
      </c>
      <c r="I712" t="str">
        <f>getMount('RawData (GH)'!G712)</f>
        <v>Nikon F</v>
      </c>
      <c r="J712" t="str">
        <f>getSensorCompatibility('RawData (GH)'!H712)</f>
        <v>APS-C/ Kleinbild</v>
      </c>
      <c r="K712" s="45">
        <f>getWeightAsDouble('RawData (GH)'!I712)</f>
        <v>710</v>
      </c>
      <c r="L712" s="34">
        <f>getSizeDiameter('RawData (GH)'!J712)</f>
        <v>81.599999999999994</v>
      </c>
      <c r="M712" s="34">
        <f>getSizeLength('RawData (GH)'!J712)</f>
        <v>120.6</v>
      </c>
    </row>
    <row r="713" spans="1:13" x14ac:dyDescent="0.25">
      <c r="A713" t="str">
        <f>'RawData (GH)'!A713</f>
        <v>Samyang 100mm T3.1 VDSLR ED UMC Makro für Pentax K schwarz</v>
      </c>
      <c r="B713" s="5">
        <f>getFocalLengthStart('RawData (GH)'!B713)</f>
        <v>100</v>
      </c>
      <c r="C713" s="5">
        <f>getFocalLengthEnd('RawData (GH)'!B713)</f>
        <v>100</v>
      </c>
      <c r="D713" s="9">
        <f>getApertureStart('RawData (GH)'!C713)</f>
        <v>3.1</v>
      </c>
      <c r="E713" s="9">
        <f>getApertureEnd('RawData (GH)'!C713)</f>
        <v>3.1</v>
      </c>
      <c r="F713" s="2">
        <f>getFiltersizeAsDouble('RawData (GH)'!D713)</f>
        <v>67</v>
      </c>
      <c r="G713" s="35">
        <f>getMagnification('RawData (GH)'!E713)</f>
        <v>1</v>
      </c>
      <c r="H713" s="62">
        <f>getMinimalFocus('RawData (GH)'!F713)</f>
        <v>0</v>
      </c>
      <c r="I713" t="str">
        <f>getMount('RawData (GH)'!G713)</f>
        <v>Pentax K</v>
      </c>
      <c r="J713" t="str">
        <f>getSensorCompatibility('RawData (GH)'!H713)</f>
        <v>APS-C/ Kleinbild</v>
      </c>
      <c r="K713" s="45">
        <f>getWeightAsDouble('RawData (GH)'!I713)</f>
        <v>715</v>
      </c>
      <c r="L713" s="34">
        <f>getSizeDiameter('RawData (GH)'!J713)</f>
        <v>81.599999999999994</v>
      </c>
      <c r="M713" s="34">
        <f>getSizeLength('RawData (GH)'!J713)</f>
        <v>121.6</v>
      </c>
    </row>
    <row r="714" spans="1:13" x14ac:dyDescent="0.25">
      <c r="A714" t="str">
        <f>'RawData (GH)'!A714</f>
        <v>Samyang 100mm T3.1 VDSLR ED UMC Makro für Samsung NX schwarz</v>
      </c>
      <c r="B714" s="5">
        <f>getFocalLengthStart('RawData (GH)'!B714)</f>
        <v>100</v>
      </c>
      <c r="C714" s="5">
        <f>getFocalLengthEnd('RawData (GH)'!B714)</f>
        <v>100</v>
      </c>
      <c r="D714" s="9">
        <f>getApertureStart('RawData (GH)'!C714)</f>
        <v>3.1</v>
      </c>
      <c r="E714" s="9">
        <f>getApertureEnd('RawData (GH)'!C714)</f>
        <v>3.1</v>
      </c>
      <c r="F714" s="2">
        <f>getFiltersizeAsDouble('RawData (GH)'!D714)</f>
        <v>67</v>
      </c>
      <c r="G714" s="35">
        <f>getMagnification('RawData (GH)'!E714)</f>
        <v>1</v>
      </c>
      <c r="H714" s="62">
        <f>getMinimalFocus('RawData (GH)'!F714)</f>
        <v>0</v>
      </c>
      <c r="I714" t="str">
        <f>getMount('RawData (GH)'!G714)</f>
        <v>Samsung NX</v>
      </c>
      <c r="J714" t="str">
        <f>getSensorCompatibility('RawData (GH)'!H714)</f>
        <v>APS-C</v>
      </c>
      <c r="K714" s="45">
        <f>getWeightAsDouble('RawData (GH)'!I714)</f>
        <v>725</v>
      </c>
      <c r="L714" s="34">
        <f>getSizeDiameter('RawData (GH)'!J714)</f>
        <v>81.599999999999994</v>
      </c>
      <c r="M714" s="34">
        <f>getSizeLength('RawData (GH)'!J714)</f>
        <v>141.6</v>
      </c>
    </row>
    <row r="715" spans="1:13" x14ac:dyDescent="0.25">
      <c r="A715" t="str">
        <f>'RawData (GH)'!A715</f>
        <v>Samyang 100mm T3.1 VDSLR ED UMC Makro für Sony A schwarz</v>
      </c>
      <c r="B715" s="5">
        <f>getFocalLengthStart('RawData (GH)'!B715)</f>
        <v>100</v>
      </c>
      <c r="C715" s="5">
        <f>getFocalLengthEnd('RawData (GH)'!B715)</f>
        <v>100</v>
      </c>
      <c r="D715" s="9">
        <f>getApertureStart('RawData (GH)'!C715)</f>
        <v>3.1</v>
      </c>
      <c r="E715" s="9">
        <f>getApertureEnd('RawData (GH)'!C715)</f>
        <v>3.1</v>
      </c>
      <c r="F715" s="2">
        <f>getFiltersizeAsDouble('RawData (GH)'!D715)</f>
        <v>67</v>
      </c>
      <c r="G715" s="35">
        <f>getMagnification('RawData (GH)'!E715)</f>
        <v>1</v>
      </c>
      <c r="H715" s="62">
        <f>getMinimalFocus('RawData (GH)'!F715)</f>
        <v>0</v>
      </c>
      <c r="I715" t="str">
        <f>getMount('RawData (GH)'!G715)</f>
        <v>Sony A</v>
      </c>
      <c r="J715" t="str">
        <f>getSensorCompatibility('RawData (GH)'!H715)</f>
        <v>APS-C/ Kleinbild</v>
      </c>
      <c r="K715" s="45">
        <f>getWeightAsDouble('RawData (GH)'!I715)</f>
        <v>720</v>
      </c>
      <c r="L715" s="34">
        <f>getSizeDiameter('RawData (GH)'!J715)</f>
        <v>81.599999999999994</v>
      </c>
      <c r="M715" s="34">
        <f>getSizeLength('RawData (GH)'!J715)</f>
        <v>122.6</v>
      </c>
    </row>
    <row r="716" spans="1:13" x14ac:dyDescent="0.25">
      <c r="A716" t="str">
        <f>'RawData (GH)'!A716</f>
        <v>Samyang 100mm T3.1 VDSLR ED UMC Makro für Sony E schwarz</v>
      </c>
      <c r="B716" s="5">
        <f>getFocalLengthStart('RawData (GH)'!B716)</f>
        <v>100</v>
      </c>
      <c r="C716" s="5">
        <f>getFocalLengthEnd('RawData (GH)'!B716)</f>
        <v>100</v>
      </c>
      <c r="D716" s="9">
        <f>getApertureStart('RawData (GH)'!C716)</f>
        <v>3.1</v>
      </c>
      <c r="E716" s="9">
        <f>getApertureEnd('RawData (GH)'!C716)</f>
        <v>3.1</v>
      </c>
      <c r="F716" s="2">
        <f>getFiltersizeAsDouble('RawData (GH)'!D716)</f>
        <v>67</v>
      </c>
      <c r="G716" s="35">
        <f>getMagnification('RawData (GH)'!E716)</f>
        <v>1</v>
      </c>
      <c r="H716" s="62">
        <f>getMinimalFocus('RawData (GH)'!F716)</f>
        <v>0</v>
      </c>
      <c r="I716" t="str">
        <f>getMount('RawData (GH)'!G716)</f>
        <v>Sony E</v>
      </c>
      <c r="J716" t="str">
        <f>getSensorCompatibility('RawData (GH)'!H716)</f>
        <v>APS-C/ Kleinbild</v>
      </c>
      <c r="K716" s="45">
        <f>getWeightAsDouble('RawData (GH)'!I716)</f>
        <v>735</v>
      </c>
      <c r="L716" s="34">
        <f>getSizeDiameter('RawData (GH)'!J716)</f>
        <v>81.599999999999994</v>
      </c>
      <c r="M716" s="34">
        <f>getSizeLength('RawData (GH)'!J716)</f>
        <v>149.1</v>
      </c>
    </row>
    <row r="717" spans="1:13" x14ac:dyDescent="0.25">
      <c r="A717" t="str">
        <f>'RawData (GH)'!A717</f>
        <v>Samyang 10mm 2.8 ED AS NCS CS für Canon EF schwarz</v>
      </c>
      <c r="B717" s="5">
        <f>getFocalLengthStart('RawData (GH)'!B717)</f>
        <v>10</v>
      </c>
      <c r="C717" s="5">
        <f>getFocalLengthEnd('RawData (GH)'!B717)</f>
        <v>10</v>
      </c>
      <c r="D717" s="9">
        <f>getApertureStart('RawData (GH)'!C717)</f>
        <v>2.8</v>
      </c>
      <c r="E717" s="9">
        <f>getApertureEnd('RawData (GH)'!C717)</f>
        <v>2.8</v>
      </c>
      <c r="F717" s="2">
        <f>getFiltersizeAsDouble('RawData (GH)'!D717)</f>
        <v>0</v>
      </c>
      <c r="G717" s="35">
        <f>getMagnification('RawData (GH)'!E717)</f>
        <v>0</v>
      </c>
      <c r="H717" s="62">
        <f>getMinimalFocus('RawData (GH)'!F717)</f>
        <v>0</v>
      </c>
      <c r="I717" t="str">
        <f>getMount('RawData (GH)'!G717)</f>
        <v>Canon EF</v>
      </c>
      <c r="J717" t="str">
        <f>getSensorCompatibility('RawData (GH)'!H717)</f>
        <v>APS-C</v>
      </c>
      <c r="K717" s="45">
        <f>getWeightAsDouble('RawData (GH)'!I717)</f>
        <v>590</v>
      </c>
      <c r="L717" s="34">
        <f>getSizeDiameter('RawData (GH)'!J717)</f>
        <v>86</v>
      </c>
      <c r="M717" s="34">
        <f>getSizeLength('RawData (GH)'!J717)</f>
        <v>79</v>
      </c>
    </row>
    <row r="718" spans="1:13" x14ac:dyDescent="0.25">
      <c r="A718" t="str">
        <f>'RawData (GH)'!A718</f>
        <v>Samyang 10mm 2.8 ED AS NCS CS für Canon EF-M schwarz</v>
      </c>
      <c r="B718" s="5">
        <f>getFocalLengthStart('RawData (GH)'!B718)</f>
        <v>10</v>
      </c>
      <c r="C718" s="5">
        <f>getFocalLengthEnd('RawData (GH)'!B718)</f>
        <v>10</v>
      </c>
      <c r="D718" s="9">
        <f>getApertureStart('RawData (GH)'!C718)</f>
        <v>2.8</v>
      </c>
      <c r="E718" s="9">
        <f>getApertureEnd('RawData (GH)'!C718)</f>
        <v>2.8</v>
      </c>
      <c r="F718" s="2">
        <f>getFiltersizeAsDouble('RawData (GH)'!D718)</f>
        <v>0</v>
      </c>
      <c r="G718" s="35">
        <f>getMagnification('RawData (GH)'!E718)</f>
        <v>0</v>
      </c>
      <c r="H718" s="62">
        <f>getMinimalFocus('RawData (GH)'!F718)</f>
        <v>0</v>
      </c>
      <c r="I718" t="str">
        <f>getMount('RawData (GH)'!G718)</f>
        <v>Canon EF-M</v>
      </c>
      <c r="J718" t="str">
        <f>getSensorCompatibility('RawData (GH)'!H718)</f>
        <v>APS-C</v>
      </c>
      <c r="K718" s="45">
        <f>getWeightAsDouble('RawData (GH)'!I718)</f>
        <v>620</v>
      </c>
      <c r="L718" s="34">
        <f>getSizeDiameter('RawData (GH)'!J718)</f>
        <v>86</v>
      </c>
      <c r="M718" s="34">
        <f>getSizeLength('RawData (GH)'!J718)</f>
        <v>79</v>
      </c>
    </row>
    <row r="719" spans="1:13" x14ac:dyDescent="0.25">
      <c r="A719" t="str">
        <f>'RawData (GH)'!A719</f>
        <v>Samyang 10mm 2.8 ED AS NCS CS für Four-Thirds schwarz</v>
      </c>
      <c r="B719" s="5">
        <f>getFocalLengthStart('RawData (GH)'!B719)</f>
        <v>10</v>
      </c>
      <c r="C719" s="5">
        <f>getFocalLengthEnd('RawData (GH)'!B719)</f>
        <v>10</v>
      </c>
      <c r="D719" s="9">
        <f>getApertureStart('RawData (GH)'!C719)</f>
        <v>2.8</v>
      </c>
      <c r="E719" s="9">
        <f>getApertureEnd('RawData (GH)'!C719)</f>
        <v>2.8</v>
      </c>
      <c r="F719" s="2">
        <f>getFiltersizeAsDouble('RawData (GH)'!D719)</f>
        <v>0</v>
      </c>
      <c r="G719" s="35">
        <f>getMagnification('RawData (GH)'!E719)</f>
        <v>0</v>
      </c>
      <c r="H719" s="62">
        <f>getMinimalFocus('RawData (GH)'!F719)</f>
        <v>0</v>
      </c>
      <c r="I719" t="str">
        <f>getMount('RawData (GH)'!G719)</f>
        <v>Four-Thirds</v>
      </c>
      <c r="J719" t="str">
        <f>getSensorCompatibility('RawData (GH)'!H719)</f>
        <v>Four-Thirds</v>
      </c>
      <c r="K719" s="45">
        <f>getWeightAsDouble('RawData (GH)'!I719)</f>
        <v>610</v>
      </c>
      <c r="L719" s="34">
        <f>getSizeDiameter('RawData (GH)'!J719)</f>
        <v>86</v>
      </c>
      <c r="M719" s="34">
        <f>getSizeLength('RawData (GH)'!J719)</f>
        <v>85</v>
      </c>
    </row>
    <row r="720" spans="1:13" x14ac:dyDescent="0.25">
      <c r="A720" t="str">
        <f>'RawData (GH)'!A720</f>
        <v>Samyang 10mm 2.8 ED AS NCS CS für Fujifilm X schwarz</v>
      </c>
      <c r="B720" s="5">
        <f>getFocalLengthStart('RawData (GH)'!B720)</f>
        <v>10</v>
      </c>
      <c r="C720" s="5">
        <f>getFocalLengthEnd('RawData (GH)'!B720)</f>
        <v>10</v>
      </c>
      <c r="D720" s="9">
        <f>getApertureStart('RawData (GH)'!C720)</f>
        <v>2.8</v>
      </c>
      <c r="E720" s="9">
        <f>getApertureEnd('RawData (GH)'!C720)</f>
        <v>2.8</v>
      </c>
      <c r="F720" s="2">
        <f>getFiltersizeAsDouble('RawData (GH)'!D720)</f>
        <v>0</v>
      </c>
      <c r="G720" s="35">
        <f>getMagnification('RawData (GH)'!E720)</f>
        <v>0</v>
      </c>
      <c r="H720" s="62">
        <f>getMinimalFocus('RawData (GH)'!F720)</f>
        <v>0</v>
      </c>
      <c r="I720" t="str">
        <f>getMount('RawData (GH)'!G720)</f>
        <v>Fujifilm X</v>
      </c>
      <c r="J720" t="str">
        <f>getSensorCompatibility('RawData (GH)'!H720)</f>
        <v>APS-C</v>
      </c>
      <c r="K720" s="45">
        <f>getWeightAsDouble('RawData (GH)'!I720)</f>
        <v>625</v>
      </c>
      <c r="L720" s="34">
        <f>getSizeDiameter('RawData (GH)'!J720)</f>
        <v>86</v>
      </c>
      <c r="M720" s="34">
        <f>getSizeLength('RawData (GH)'!J720)</f>
        <v>106</v>
      </c>
    </row>
    <row r="721" spans="1:13" x14ac:dyDescent="0.25">
      <c r="A721" t="str">
        <f>'RawData (GH)'!A721</f>
        <v>Samyang 10mm 2.8 ED AS NCS CS für Micro-Four-Thirds schwarz</v>
      </c>
      <c r="B721" s="5">
        <f>getFocalLengthStart('RawData (GH)'!B721)</f>
        <v>10</v>
      </c>
      <c r="C721" s="5">
        <f>getFocalLengthEnd('RawData (GH)'!B721)</f>
        <v>10</v>
      </c>
      <c r="D721" s="9">
        <f>getApertureStart('RawData (GH)'!C721)</f>
        <v>2.8</v>
      </c>
      <c r="E721" s="9">
        <f>getApertureEnd('RawData (GH)'!C721)</f>
        <v>2.8</v>
      </c>
      <c r="F721" s="2">
        <f>getFiltersizeAsDouble('RawData (GH)'!D721)</f>
        <v>0</v>
      </c>
      <c r="G721" s="35">
        <f>getMagnification('RawData (GH)'!E721)</f>
        <v>0</v>
      </c>
      <c r="H721" s="62">
        <f>getMinimalFocus('RawData (GH)'!F721)</f>
        <v>0</v>
      </c>
      <c r="I721" t="str">
        <f>getMount('RawData (GH)'!G721)</f>
        <v>Micro-Four-Thirds</v>
      </c>
      <c r="J721" t="str">
        <f>getSensorCompatibility('RawData (GH)'!H721)</f>
        <v>Four-Thirds</v>
      </c>
      <c r="K721" s="45">
        <f>getWeightAsDouble('RawData (GH)'!I721)</f>
        <v>620</v>
      </c>
      <c r="L721" s="34">
        <f>getSizeDiameter('RawData (GH)'!J721)</f>
        <v>86</v>
      </c>
      <c r="M721" s="34">
        <f>getSizeLength('RawData (GH)'!J721)</f>
        <v>104</v>
      </c>
    </row>
    <row r="722" spans="1:13" x14ac:dyDescent="0.25">
      <c r="A722" t="str">
        <f>'RawData (GH)'!A722</f>
        <v>Samyang 10mm 2.8 ED AS NCS CS für Nikon F schwarz</v>
      </c>
      <c r="B722" s="5">
        <f>getFocalLengthStart('RawData (GH)'!B722)</f>
        <v>10</v>
      </c>
      <c r="C722" s="5">
        <f>getFocalLengthEnd('RawData (GH)'!B722)</f>
        <v>10</v>
      </c>
      <c r="D722" s="9">
        <f>getApertureStart('RawData (GH)'!C722)</f>
        <v>2.8</v>
      </c>
      <c r="E722" s="9">
        <f>getApertureEnd('RawData (GH)'!C722)</f>
        <v>2.8</v>
      </c>
      <c r="F722" s="2">
        <f>getFiltersizeAsDouble('RawData (GH)'!D722)</f>
        <v>0</v>
      </c>
      <c r="G722" s="35">
        <f>getMagnification('RawData (GH)'!E722)</f>
        <v>0</v>
      </c>
      <c r="H722" s="62">
        <f>getMinimalFocus('RawData (GH)'!F722)</f>
        <v>0</v>
      </c>
      <c r="I722" t="str">
        <f>getMount('RawData (GH)'!G722)</f>
        <v>Nikon F</v>
      </c>
      <c r="J722" t="str">
        <f>getSensorCompatibility('RawData (GH)'!H722)</f>
        <v>APS-C</v>
      </c>
      <c r="K722" s="45">
        <f>getWeightAsDouble('RawData (GH)'!I722)</f>
        <v>580</v>
      </c>
      <c r="L722" s="34">
        <f>getSizeDiameter('RawData (GH)'!J722)</f>
        <v>86</v>
      </c>
      <c r="M722" s="34">
        <f>getSizeLength('RawData (GH)'!J722)</f>
        <v>77</v>
      </c>
    </row>
    <row r="723" spans="1:13" x14ac:dyDescent="0.25">
      <c r="A723" t="str">
        <f>'RawData (GH)'!A723</f>
        <v>Samyang 10mm 2.8 ED AS NCS CS für Pentax K schwarz</v>
      </c>
      <c r="B723" s="5">
        <f>getFocalLengthStart('RawData (GH)'!B723)</f>
        <v>10</v>
      </c>
      <c r="C723" s="5">
        <f>getFocalLengthEnd('RawData (GH)'!B723)</f>
        <v>10</v>
      </c>
      <c r="D723" s="9">
        <f>getApertureStart('RawData (GH)'!C723)</f>
        <v>2.8</v>
      </c>
      <c r="E723" s="9">
        <f>getApertureEnd('RawData (GH)'!C723)</f>
        <v>2.8</v>
      </c>
      <c r="F723" s="2">
        <f>getFiltersizeAsDouble('RawData (GH)'!D723)</f>
        <v>0</v>
      </c>
      <c r="G723" s="35">
        <f>getMagnification('RawData (GH)'!E723)</f>
        <v>0</v>
      </c>
      <c r="H723" s="62">
        <f>getMinimalFocus('RawData (GH)'!F723)</f>
        <v>0</v>
      </c>
      <c r="I723" t="str">
        <f>getMount('RawData (GH)'!G723)</f>
        <v>Pentax K</v>
      </c>
      <c r="J723" t="str">
        <f>getSensorCompatibility('RawData (GH)'!H723)</f>
        <v>APS-C</v>
      </c>
      <c r="K723" s="45">
        <f>getWeightAsDouble('RawData (GH)'!I723)</f>
        <v>580</v>
      </c>
      <c r="L723" s="34">
        <f>getSizeDiameter('RawData (GH)'!J723)</f>
        <v>86</v>
      </c>
      <c r="M723" s="34">
        <f>getSizeLength('RawData (GH)'!J723)</f>
        <v>78</v>
      </c>
    </row>
    <row r="724" spans="1:13" x14ac:dyDescent="0.25">
      <c r="A724" t="str">
        <f>'RawData (GH)'!A724</f>
        <v>Samyang 10mm 2.8 ED AS NCS CS für Samsung NX schwarz</v>
      </c>
      <c r="B724" s="5">
        <f>getFocalLengthStart('RawData (GH)'!B724)</f>
        <v>10</v>
      </c>
      <c r="C724" s="5">
        <f>getFocalLengthEnd('RawData (GH)'!B724)</f>
        <v>10</v>
      </c>
      <c r="D724" s="9">
        <f>getApertureStart('RawData (GH)'!C724)</f>
        <v>2.8</v>
      </c>
      <c r="E724" s="9">
        <f>getApertureEnd('RawData (GH)'!C724)</f>
        <v>2.8</v>
      </c>
      <c r="F724" s="2">
        <f>getFiltersizeAsDouble('RawData (GH)'!D724)</f>
        <v>0</v>
      </c>
      <c r="G724" s="35">
        <f>getMagnification('RawData (GH)'!E724)</f>
        <v>0</v>
      </c>
      <c r="H724" s="62">
        <f>getMinimalFocus('RawData (GH)'!F724)</f>
        <v>0</v>
      </c>
      <c r="I724" t="str">
        <f>getMount('RawData (GH)'!G724)</f>
        <v>Samsung NX</v>
      </c>
      <c r="J724" t="str">
        <f>getSensorCompatibility('RawData (GH)'!H724)</f>
        <v>APS-C</v>
      </c>
      <c r="K724" s="45">
        <f>getWeightAsDouble('RawData (GH)'!I724)</f>
        <v>615</v>
      </c>
      <c r="L724" s="34">
        <f>getSizeDiameter('RawData (GH)'!J724)</f>
        <v>86</v>
      </c>
      <c r="M724" s="34">
        <f>getSizeLength('RawData (GH)'!J724)</f>
        <v>98</v>
      </c>
    </row>
    <row r="725" spans="1:13" x14ac:dyDescent="0.25">
      <c r="A725" t="str">
        <f>'RawData (GH)'!A725</f>
        <v>Samyang 10mm 2.8 ED AS NCS CS für Sony A schwarz</v>
      </c>
      <c r="B725" s="5">
        <f>getFocalLengthStart('RawData (GH)'!B725)</f>
        <v>10</v>
      </c>
      <c r="C725" s="5">
        <f>getFocalLengthEnd('RawData (GH)'!B725)</f>
        <v>10</v>
      </c>
      <c r="D725" s="9">
        <f>getApertureStart('RawData (GH)'!C725)</f>
        <v>2.8</v>
      </c>
      <c r="E725" s="9">
        <f>getApertureEnd('RawData (GH)'!C725)</f>
        <v>2.8</v>
      </c>
      <c r="F725" s="2">
        <f>getFiltersizeAsDouble('RawData (GH)'!D725)</f>
        <v>0</v>
      </c>
      <c r="G725" s="35">
        <f>getMagnification('RawData (GH)'!E725)</f>
        <v>0</v>
      </c>
      <c r="H725" s="62">
        <f>getMinimalFocus('RawData (GH)'!F725)</f>
        <v>0</v>
      </c>
      <c r="I725" t="str">
        <f>getMount('RawData (GH)'!G725)</f>
        <v>Sony A</v>
      </c>
      <c r="J725" t="str">
        <f>getSensorCompatibility('RawData (GH)'!H725)</f>
        <v>APS-C</v>
      </c>
      <c r="K725" s="45">
        <f>getWeightAsDouble('RawData (GH)'!I725)</f>
        <v>585</v>
      </c>
      <c r="L725" s="34">
        <f>getSizeDiameter('RawData (GH)'!J725)</f>
        <v>86</v>
      </c>
      <c r="M725" s="34">
        <f>getSizeLength('RawData (GH)'!J725)</f>
        <v>79</v>
      </c>
    </row>
    <row r="726" spans="1:13" x14ac:dyDescent="0.25">
      <c r="A726" t="str">
        <f>'RawData (GH)'!A726</f>
        <v>Samyang 10mm 2.8 ED AS NCS CS für Sony E schwarz</v>
      </c>
      <c r="B726" s="5">
        <f>getFocalLengthStart('RawData (GH)'!B726)</f>
        <v>10</v>
      </c>
      <c r="C726" s="5">
        <f>getFocalLengthEnd('RawData (GH)'!B726)</f>
        <v>10</v>
      </c>
      <c r="D726" s="9">
        <f>getApertureStart('RawData (GH)'!C726)</f>
        <v>2.8</v>
      </c>
      <c r="E726" s="9">
        <f>getApertureEnd('RawData (GH)'!C726)</f>
        <v>2.8</v>
      </c>
      <c r="F726" s="2">
        <f>getFiltersizeAsDouble('RawData (GH)'!D726)</f>
        <v>0</v>
      </c>
      <c r="G726" s="35">
        <f>getMagnification('RawData (GH)'!E726)</f>
        <v>0</v>
      </c>
      <c r="H726" s="62">
        <f>getMinimalFocus('RawData (GH)'!F726)</f>
        <v>0</v>
      </c>
      <c r="I726" t="str">
        <f>getMount('RawData (GH)'!G726)</f>
        <v>Sony E</v>
      </c>
      <c r="J726" t="str">
        <f>getSensorCompatibility('RawData (GH)'!H726)</f>
        <v>APS-C</v>
      </c>
      <c r="K726" s="45">
        <f>getWeightAsDouble('RawData (GH)'!I726)</f>
        <v>620</v>
      </c>
      <c r="L726" s="34">
        <f>getSizeDiameter('RawData (GH)'!J726)</f>
        <v>86</v>
      </c>
      <c r="M726" s="34">
        <f>getSizeLength('RawData (GH)'!J726)</f>
        <v>105</v>
      </c>
    </row>
    <row r="727" spans="1:13" x14ac:dyDescent="0.25">
      <c r="A727" t="str">
        <f>'RawData (GH)'!A727</f>
        <v>Samyang 10mm T3.1 ED AS NCS CS für Canon EF-M schwarz</v>
      </c>
      <c r="B727" s="5">
        <f>getFocalLengthStart('RawData (GH)'!B727)</f>
        <v>10</v>
      </c>
      <c r="C727" s="5">
        <f>getFocalLengthEnd('RawData (GH)'!B727)</f>
        <v>10</v>
      </c>
      <c r="D727" s="9">
        <f>getApertureStart('RawData (GH)'!C727)</f>
        <v>3.1</v>
      </c>
      <c r="E727" s="9">
        <f>getApertureEnd('RawData (GH)'!C727)</f>
        <v>3.1</v>
      </c>
      <c r="F727" s="2">
        <f>getFiltersizeAsDouble('RawData (GH)'!D727)</f>
        <v>0</v>
      </c>
      <c r="G727" s="35">
        <f>getMagnification('RawData (GH)'!E727)</f>
        <v>0</v>
      </c>
      <c r="H727" s="62">
        <f>getMinimalFocus('RawData (GH)'!F727)</f>
        <v>0</v>
      </c>
      <c r="I727" t="str">
        <f>getMount('RawData (GH)'!G727)</f>
        <v>Canon EF-M</v>
      </c>
      <c r="J727" t="str">
        <f>getSensorCompatibility('RawData (GH)'!H727)</f>
        <v>APS-C/ Kleinbild</v>
      </c>
      <c r="K727" s="45">
        <f>getWeightAsDouble('RawData (GH)'!I727)</f>
        <v>630</v>
      </c>
      <c r="L727" s="34">
        <f>getSizeDiameter('RawData (GH)'!J727)</f>
        <v>87</v>
      </c>
      <c r="M727" s="34">
        <f>getSizeLength('RawData (GH)'!J727)</f>
        <v>132</v>
      </c>
    </row>
    <row r="728" spans="1:13" x14ac:dyDescent="0.25">
      <c r="A728" t="str">
        <f>'RawData (GH)'!A728</f>
        <v>Samyang 10mm T3.1 ED AS NCS CS für Four-Thirds schwarz</v>
      </c>
      <c r="B728" s="5">
        <f>getFocalLengthStart('RawData (GH)'!B728)</f>
        <v>10</v>
      </c>
      <c r="C728" s="5">
        <f>getFocalLengthEnd('RawData (GH)'!B728)</f>
        <v>10</v>
      </c>
      <c r="D728" s="9">
        <f>getApertureStart('RawData (GH)'!C728)</f>
        <v>3.1</v>
      </c>
      <c r="E728" s="9">
        <f>getApertureEnd('RawData (GH)'!C728)</f>
        <v>3.1</v>
      </c>
      <c r="F728" s="2">
        <f>getFiltersizeAsDouble('RawData (GH)'!D728)</f>
        <v>0</v>
      </c>
      <c r="G728" s="35">
        <f>getMagnification('RawData (GH)'!E728)</f>
        <v>0</v>
      </c>
      <c r="H728" s="62">
        <f>getMinimalFocus('RawData (GH)'!F728)</f>
        <v>0</v>
      </c>
      <c r="I728" t="str">
        <f>getMount('RawData (GH)'!G728)</f>
        <v>Four-Thirds</v>
      </c>
      <c r="J728" t="str">
        <f>getSensorCompatibility('RawData (GH)'!H728)</f>
        <v>Four-Thirds</v>
      </c>
      <c r="K728" s="45">
        <f>getWeightAsDouble('RawData (GH)'!I728)</f>
        <v>620</v>
      </c>
      <c r="L728" s="34">
        <f>getSizeDiameter('RawData (GH)'!J728)</f>
        <v>87</v>
      </c>
      <c r="M728" s="34">
        <f>getSizeLength('RawData (GH)'!J728)</f>
        <v>111.4</v>
      </c>
    </row>
    <row r="729" spans="1:13" x14ac:dyDescent="0.25">
      <c r="A729" t="str">
        <f>'RawData (GH)'!A729</f>
        <v>Samyang 10mm T3.1 ED AS NCS CS für Pentax K schwarz</v>
      </c>
      <c r="B729" s="5">
        <f>getFocalLengthStart('RawData (GH)'!B729)</f>
        <v>10</v>
      </c>
      <c r="C729" s="5">
        <f>getFocalLengthEnd('RawData (GH)'!B729)</f>
        <v>10</v>
      </c>
      <c r="D729" s="9">
        <f>getApertureStart('RawData (GH)'!C729)</f>
        <v>3.1</v>
      </c>
      <c r="E729" s="9">
        <f>getApertureEnd('RawData (GH)'!C729)</f>
        <v>3.1</v>
      </c>
      <c r="F729" s="2">
        <f>getFiltersizeAsDouble('RawData (GH)'!D729)</f>
        <v>0</v>
      </c>
      <c r="G729" s="35">
        <f>getMagnification('RawData (GH)'!E729)</f>
        <v>0</v>
      </c>
      <c r="H729" s="62">
        <f>getMinimalFocus('RawData (GH)'!F729)</f>
        <v>0</v>
      </c>
      <c r="I729" t="str">
        <f>getMount('RawData (GH)'!G729)</f>
        <v>Pentax K</v>
      </c>
      <c r="J729" t="str">
        <f>getSensorCompatibility('RawData (GH)'!H729)</f>
        <v>APS-C</v>
      </c>
      <c r="K729" s="45">
        <f>getWeightAsDouble('RawData (GH)'!I729)</f>
        <v>590</v>
      </c>
      <c r="L729" s="34">
        <f>getSizeDiameter('RawData (GH)'!J729)</f>
        <v>87</v>
      </c>
      <c r="M729" s="34">
        <f>getSizeLength('RawData (GH)'!J729)</f>
        <v>104.6</v>
      </c>
    </row>
    <row r="730" spans="1:13" x14ac:dyDescent="0.25">
      <c r="A730" t="str">
        <f>'RawData (GH)'!A730</f>
        <v>Samyang 10mm T3.1 ED AS NCS CS II VDSLR für Canon EF schwarz</v>
      </c>
      <c r="B730" s="5">
        <f>getFocalLengthStart('RawData (GH)'!B730)</f>
        <v>10</v>
      </c>
      <c r="C730" s="5">
        <f>getFocalLengthEnd('RawData (GH)'!B730)</f>
        <v>10</v>
      </c>
      <c r="D730" s="9">
        <f>getApertureStart('RawData (GH)'!C730)</f>
        <v>3.1</v>
      </c>
      <c r="E730" s="9">
        <f>getApertureEnd('RawData (GH)'!C730)</f>
        <v>3.1</v>
      </c>
      <c r="F730" s="2">
        <f>getFiltersizeAsDouble('RawData (GH)'!D730)</f>
        <v>0</v>
      </c>
      <c r="G730" s="35">
        <f>getMagnification('RawData (GH)'!E730)</f>
        <v>0</v>
      </c>
      <c r="H730" s="62">
        <f>getMinimalFocus('RawData (GH)'!F730)</f>
        <v>0</v>
      </c>
      <c r="I730" t="str">
        <f>getMount('RawData (GH)'!G730)</f>
        <v>Canon EF</v>
      </c>
      <c r="J730" t="str">
        <f>getSensorCompatibility('RawData (GH)'!H730)</f>
        <v>APS-C/ Kleinbild</v>
      </c>
      <c r="K730" s="45">
        <f>getWeightAsDouble('RawData (GH)'!I730)</f>
        <v>600</v>
      </c>
      <c r="L730" s="34">
        <f>getSizeDiameter('RawData (GH)'!J730)</f>
        <v>87</v>
      </c>
      <c r="M730" s="34">
        <f>getSizeLength('RawData (GH)'!J730)</f>
        <v>106.1</v>
      </c>
    </row>
    <row r="731" spans="1:13" x14ac:dyDescent="0.25">
      <c r="A731" t="str">
        <f>'RawData (GH)'!A731</f>
        <v>Samyang 10mm T3.1 ED AS NCS CS II VDSLR für Canon EF-M schwarz</v>
      </c>
      <c r="B731" s="5">
        <f>getFocalLengthStart('RawData (GH)'!B731)</f>
        <v>10</v>
      </c>
      <c r="C731" s="5">
        <f>getFocalLengthEnd('RawData (GH)'!B731)</f>
        <v>10</v>
      </c>
      <c r="D731" s="9">
        <f>getApertureStart('RawData (GH)'!C731)</f>
        <v>3.1</v>
      </c>
      <c r="E731" s="9">
        <f>getApertureEnd('RawData (GH)'!C731)</f>
        <v>3.1</v>
      </c>
      <c r="F731" s="2">
        <f>getFiltersizeAsDouble('RawData (GH)'!D731)</f>
        <v>0</v>
      </c>
      <c r="G731" s="35">
        <f>getMagnification('RawData (GH)'!E731)</f>
        <v>0</v>
      </c>
      <c r="H731" s="62">
        <f>getMinimalFocus('RawData (GH)'!F731)</f>
        <v>0</v>
      </c>
      <c r="I731" t="str">
        <f>getMount('RawData (GH)'!G731)</f>
        <v>Canon EF-M</v>
      </c>
      <c r="J731" t="str">
        <f>getSensorCompatibility('RawData (GH)'!H731)</f>
        <v>APS-C</v>
      </c>
      <c r="K731" s="45">
        <f>getWeightAsDouble('RawData (GH)'!I731)</f>
        <v>630</v>
      </c>
      <c r="L731" s="34">
        <f>getSizeDiameter('RawData (GH)'!J731)</f>
        <v>87</v>
      </c>
      <c r="M731" s="34">
        <f>getSizeLength('RawData (GH)'!J731)</f>
        <v>132</v>
      </c>
    </row>
    <row r="732" spans="1:13" x14ac:dyDescent="0.25">
      <c r="A732" t="str">
        <f>'RawData (GH)'!A732</f>
        <v>Samyang 10mm T3.1 ED AS NCS CS II VDSLR für Four-Thirds schwarz</v>
      </c>
      <c r="B732" s="5">
        <f>getFocalLengthStart('RawData (GH)'!B732)</f>
        <v>10</v>
      </c>
      <c r="C732" s="5">
        <f>getFocalLengthEnd('RawData (GH)'!B732)</f>
        <v>10</v>
      </c>
      <c r="D732" s="9">
        <f>getApertureStart('RawData (GH)'!C732)</f>
        <v>3.1</v>
      </c>
      <c r="E732" s="9">
        <f>getApertureEnd('RawData (GH)'!C732)</f>
        <v>3.1</v>
      </c>
      <c r="F732" s="2">
        <f>getFiltersizeAsDouble('RawData (GH)'!D732)</f>
        <v>0</v>
      </c>
      <c r="G732" s="35">
        <f>getMagnification('RawData (GH)'!E732)</f>
        <v>0</v>
      </c>
      <c r="H732" s="62">
        <f>getMinimalFocus('RawData (GH)'!F732)</f>
        <v>0</v>
      </c>
      <c r="I732" t="str">
        <f>getMount('RawData (GH)'!G732)</f>
        <v>Four-Thirds</v>
      </c>
      <c r="J732" t="str">
        <f>getSensorCompatibility('RawData (GH)'!H732)</f>
        <v>Four-Thirds</v>
      </c>
      <c r="K732" s="45">
        <f>getWeightAsDouble('RawData (GH)'!I732)</f>
        <v>620</v>
      </c>
      <c r="L732" s="34">
        <f>getSizeDiameter('RawData (GH)'!J732)</f>
        <v>87</v>
      </c>
      <c r="M732" s="34">
        <f>getSizeLength('RawData (GH)'!J732)</f>
        <v>111.4</v>
      </c>
    </row>
    <row r="733" spans="1:13" x14ac:dyDescent="0.25">
      <c r="A733" t="str">
        <f>'RawData (GH)'!A733</f>
        <v>Samyang 10mm T3.1 ED AS NCS CS II VDSLR für Fujifilm X schwarz</v>
      </c>
      <c r="B733" s="5">
        <f>getFocalLengthStart('RawData (GH)'!B733)</f>
        <v>10</v>
      </c>
      <c r="C733" s="5">
        <f>getFocalLengthEnd('RawData (GH)'!B733)</f>
        <v>10</v>
      </c>
      <c r="D733" s="9">
        <f>getApertureStart('RawData (GH)'!C733)</f>
        <v>3.1</v>
      </c>
      <c r="E733" s="9">
        <f>getApertureEnd('RawData (GH)'!C733)</f>
        <v>3.1</v>
      </c>
      <c r="F733" s="2">
        <f>getFiltersizeAsDouble('RawData (GH)'!D733)</f>
        <v>0</v>
      </c>
      <c r="G733" s="35">
        <f>getMagnification('RawData (GH)'!E733)</f>
        <v>0</v>
      </c>
      <c r="H733" s="62">
        <f>getMinimalFocus('RawData (GH)'!F733)</f>
        <v>0</v>
      </c>
      <c r="I733" t="str">
        <f>getMount('RawData (GH)'!G733)</f>
        <v>Fujifilm X</v>
      </c>
      <c r="J733" t="str">
        <f>getSensorCompatibility('RawData (GH)'!H733)</f>
        <v>APS-C</v>
      </c>
      <c r="K733" s="45">
        <f>getWeightAsDouble('RawData (GH)'!I733)</f>
        <v>635</v>
      </c>
      <c r="L733" s="34">
        <f>getSizeDiameter('RawData (GH)'!J733)</f>
        <v>87</v>
      </c>
      <c r="M733" s="34">
        <f>getSizeLength('RawData (GH)'!J733)</f>
        <v>132.4</v>
      </c>
    </row>
    <row r="734" spans="1:13" x14ac:dyDescent="0.25">
      <c r="A734" t="str">
        <f>'RawData (GH)'!A734</f>
        <v>Samyang 10mm T3.1 ED AS NCS CS II VDSLR für Micro-Four-Thirds schwarz</v>
      </c>
      <c r="B734" s="5">
        <f>getFocalLengthStart('RawData (GH)'!B734)</f>
        <v>10</v>
      </c>
      <c r="C734" s="5">
        <f>getFocalLengthEnd('RawData (GH)'!B734)</f>
        <v>10</v>
      </c>
      <c r="D734" s="9">
        <f>getApertureStart('RawData (GH)'!C734)</f>
        <v>3.1</v>
      </c>
      <c r="E734" s="9">
        <f>getApertureEnd('RawData (GH)'!C734)</f>
        <v>3.1</v>
      </c>
      <c r="F734" s="2">
        <f>getFiltersizeAsDouble('RawData (GH)'!D734)</f>
        <v>0</v>
      </c>
      <c r="G734" s="35">
        <f>getMagnification('RawData (GH)'!E734)</f>
        <v>0</v>
      </c>
      <c r="H734" s="62">
        <f>getMinimalFocus('RawData (GH)'!F734)</f>
        <v>0</v>
      </c>
      <c r="I734" t="str">
        <f>getMount('RawData (GH)'!G734)</f>
        <v>Micro-Four-Thirds</v>
      </c>
      <c r="J734" t="str">
        <f>getSensorCompatibility('RawData (GH)'!H734)</f>
        <v>Four-Thirds</v>
      </c>
      <c r="K734" s="45">
        <f>getWeightAsDouble('RawData (GH)'!I734)</f>
        <v>620</v>
      </c>
      <c r="L734" s="34">
        <f>getSizeDiameter('RawData (GH)'!J734)</f>
        <v>87</v>
      </c>
      <c r="M734" s="34">
        <f>getSizeLength('RawData (GH)'!J734)</f>
        <v>111.4</v>
      </c>
    </row>
    <row r="735" spans="1:13" x14ac:dyDescent="0.25">
      <c r="A735" t="str">
        <f>'RawData (GH)'!A735</f>
        <v>Samyang 10mm T3.1 ED AS NCS CS II VDSLR für Nikon F schwarz</v>
      </c>
      <c r="B735" s="5">
        <f>getFocalLengthStart('RawData (GH)'!B735)</f>
        <v>10</v>
      </c>
      <c r="C735" s="5">
        <f>getFocalLengthEnd('RawData (GH)'!B735)</f>
        <v>10</v>
      </c>
      <c r="D735" s="9">
        <f>getApertureStart('RawData (GH)'!C735)</f>
        <v>3.1</v>
      </c>
      <c r="E735" s="9">
        <f>getApertureEnd('RawData (GH)'!C735)</f>
        <v>3.1</v>
      </c>
      <c r="F735" s="2">
        <f>getFiltersizeAsDouble('RawData (GH)'!D735)</f>
        <v>0</v>
      </c>
      <c r="G735" s="35">
        <f>getMagnification('RawData (GH)'!E735)</f>
        <v>0</v>
      </c>
      <c r="H735" s="62">
        <f>getMinimalFocus('RawData (GH)'!F735)</f>
        <v>0</v>
      </c>
      <c r="I735" t="str">
        <f>getMount('RawData (GH)'!G735)</f>
        <v>Nikon F</v>
      </c>
      <c r="J735" t="str">
        <f>getSensorCompatibility('RawData (GH)'!H735)</f>
        <v>APS-C/ Kleinbild</v>
      </c>
      <c r="K735" s="45">
        <f>getWeightAsDouble('RawData (GH)'!I735)</f>
        <v>590</v>
      </c>
      <c r="L735" s="34">
        <f>getSizeDiameter('RawData (GH)'!J735)</f>
        <v>87</v>
      </c>
      <c r="M735" s="34">
        <f>getSizeLength('RawData (GH)'!J735)</f>
        <v>103.6</v>
      </c>
    </row>
    <row r="736" spans="1:13" x14ac:dyDescent="0.25">
      <c r="A736" t="str">
        <f>'RawData (GH)'!A736</f>
        <v>Samyang 10mm T3.1 ED AS NCS CS II VDSLR für Samsung NX schwarz</v>
      </c>
      <c r="B736" s="5">
        <f>getFocalLengthStart('RawData (GH)'!B736)</f>
        <v>10</v>
      </c>
      <c r="C736" s="5">
        <f>getFocalLengthEnd('RawData (GH)'!B736)</f>
        <v>10</v>
      </c>
      <c r="D736" s="9">
        <f>getApertureStart('RawData (GH)'!C736)</f>
        <v>3.1</v>
      </c>
      <c r="E736" s="9">
        <f>getApertureEnd('RawData (GH)'!C736)</f>
        <v>3.1</v>
      </c>
      <c r="F736" s="2">
        <f>getFiltersizeAsDouble('RawData (GH)'!D736)</f>
        <v>0</v>
      </c>
      <c r="G736" s="35">
        <f>getMagnification('RawData (GH)'!E736)</f>
        <v>0</v>
      </c>
      <c r="H736" s="62">
        <f>getMinimalFocus('RawData (GH)'!F736)</f>
        <v>0</v>
      </c>
      <c r="I736" t="str">
        <f>getMount('RawData (GH)'!G736)</f>
        <v>Samsung NX</v>
      </c>
      <c r="J736" t="str">
        <f>getSensorCompatibility('RawData (GH)'!H736)</f>
        <v>APS-C</v>
      </c>
      <c r="K736" s="45">
        <f>getWeightAsDouble('RawData (GH)'!I736)</f>
        <v>625</v>
      </c>
      <c r="L736" s="34">
        <f>getSizeDiameter('RawData (GH)'!J736)</f>
        <v>87</v>
      </c>
      <c r="M736" s="34">
        <f>getSizeLength('RawData (GH)'!J736)</f>
        <v>124.6</v>
      </c>
    </row>
    <row r="737" spans="1:13" x14ac:dyDescent="0.25">
      <c r="A737" t="str">
        <f>'RawData (GH)'!A737</f>
        <v>Samyang 10mm T3.1 ED AS NCS CS II VDSLR für Sony A schwarz</v>
      </c>
      <c r="B737" s="5">
        <f>getFocalLengthStart('RawData (GH)'!B737)</f>
        <v>10</v>
      </c>
      <c r="C737" s="5">
        <f>getFocalLengthEnd('RawData (GH)'!B737)</f>
        <v>10</v>
      </c>
      <c r="D737" s="9">
        <f>getApertureStart('RawData (GH)'!C737)</f>
        <v>3.1</v>
      </c>
      <c r="E737" s="9">
        <f>getApertureEnd('RawData (GH)'!C737)</f>
        <v>3.1</v>
      </c>
      <c r="F737" s="2">
        <f>getFiltersizeAsDouble('RawData (GH)'!D737)</f>
        <v>0</v>
      </c>
      <c r="G737" s="35">
        <f>getMagnification('RawData (GH)'!E737)</f>
        <v>0</v>
      </c>
      <c r="H737" s="62">
        <f>getMinimalFocus('RawData (GH)'!F737)</f>
        <v>0</v>
      </c>
      <c r="I737" t="str">
        <f>getMount('RawData (GH)'!G737)</f>
        <v>Sony A</v>
      </c>
      <c r="J737" t="str">
        <f>getSensorCompatibility('RawData (GH)'!H737)</f>
        <v>APS-C/ Kleinbild</v>
      </c>
      <c r="K737" s="45">
        <f>getWeightAsDouble('RawData (GH)'!I737)</f>
        <v>595</v>
      </c>
      <c r="L737" s="34">
        <f>getSizeDiameter('RawData (GH)'!J737)</f>
        <v>87</v>
      </c>
      <c r="M737" s="34">
        <f>getSizeLength('RawData (GH)'!J737)</f>
        <v>105.6</v>
      </c>
    </row>
    <row r="738" spans="1:13" x14ac:dyDescent="0.25">
      <c r="A738" t="str">
        <f>'RawData (GH)'!A738</f>
        <v>Samyang 10mm T3.1 ED AS NCS CS II VDSLR für Sony E schwarz</v>
      </c>
      <c r="B738" s="5">
        <f>getFocalLengthStart('RawData (GH)'!B738)</f>
        <v>10</v>
      </c>
      <c r="C738" s="5">
        <f>getFocalLengthEnd('RawData (GH)'!B738)</f>
        <v>10</v>
      </c>
      <c r="D738" s="9">
        <f>getApertureStart('RawData (GH)'!C738)</f>
        <v>3.1</v>
      </c>
      <c r="E738" s="9">
        <f>getApertureEnd('RawData (GH)'!C738)</f>
        <v>3.1</v>
      </c>
      <c r="F738" s="2">
        <f>getFiltersizeAsDouble('RawData (GH)'!D738)</f>
        <v>0</v>
      </c>
      <c r="G738" s="35">
        <f>getMagnification('RawData (GH)'!E738)</f>
        <v>0</v>
      </c>
      <c r="H738" s="62">
        <f>getMinimalFocus('RawData (GH)'!F738)</f>
        <v>0</v>
      </c>
      <c r="I738" t="str">
        <f>getMount('RawData (GH)'!G738)</f>
        <v>Sony E</v>
      </c>
      <c r="J738" t="str">
        <f>getSensorCompatibility('RawData (GH)'!H738)</f>
        <v>APS-C/ Kleinbild</v>
      </c>
      <c r="K738" s="45">
        <f>getWeightAsDouble('RawData (GH)'!I738)</f>
        <v>630</v>
      </c>
      <c r="L738" s="34">
        <f>getSizeDiameter('RawData (GH)'!J738)</f>
        <v>87</v>
      </c>
      <c r="M738" s="34">
        <f>getSizeLength('RawData (GH)'!J738)</f>
        <v>132.1</v>
      </c>
    </row>
    <row r="739" spans="1:13" x14ac:dyDescent="0.25">
      <c r="A739" t="str">
        <f>'RawData (GH)'!A739</f>
        <v>Samyang 12mm 2.0 NCS CS für Canon EF-M schwarz</v>
      </c>
      <c r="B739" s="5">
        <f>getFocalLengthStart('RawData (GH)'!B739)</f>
        <v>12</v>
      </c>
      <c r="C739" s="5">
        <f>getFocalLengthEnd('RawData (GH)'!B739)</f>
        <v>12</v>
      </c>
      <c r="D739" s="9">
        <f>getApertureStart('RawData (GH)'!C739)</f>
        <v>2</v>
      </c>
      <c r="E739" s="9">
        <f>getApertureEnd('RawData (GH)'!C739)</f>
        <v>2</v>
      </c>
      <c r="F739" s="2">
        <f>getFiltersizeAsDouble('RawData (GH)'!D739)</f>
        <v>67</v>
      </c>
      <c r="G739" s="35">
        <f>getMagnification('RawData (GH)'!E739)</f>
        <v>0</v>
      </c>
      <c r="H739" s="62">
        <f>getMinimalFocus('RawData (GH)'!F739)</f>
        <v>0</v>
      </c>
      <c r="I739" t="str">
        <f>getMount('RawData (GH)'!G739)</f>
        <v>Canon EF-M</v>
      </c>
      <c r="J739" t="str">
        <f>getSensorCompatibility('RawData (GH)'!H739)</f>
        <v>APS-C</v>
      </c>
      <c r="K739" s="45">
        <f>getWeightAsDouble('RawData (GH)'!I739)</f>
        <v>245</v>
      </c>
      <c r="L739" s="34">
        <f>getSizeDiameter('RawData (GH)'!J739)</f>
        <v>73</v>
      </c>
      <c r="M739" s="34">
        <f>getSizeLength('RawData (GH)'!J739)</f>
        <v>59</v>
      </c>
    </row>
    <row r="740" spans="1:13" x14ac:dyDescent="0.25">
      <c r="A740" t="str">
        <f>'RawData (GH)'!A740</f>
        <v>Samyang 12mm 2.0 NCS CS für Canon EF-M silber</v>
      </c>
      <c r="B740" s="5">
        <f>getFocalLengthStart('RawData (GH)'!B740)</f>
        <v>12</v>
      </c>
      <c r="C740" s="5">
        <f>getFocalLengthEnd('RawData (GH)'!B740)</f>
        <v>12</v>
      </c>
      <c r="D740" s="9">
        <f>getApertureStart('RawData (GH)'!C740)</f>
        <v>2</v>
      </c>
      <c r="E740" s="9">
        <f>getApertureEnd('RawData (GH)'!C740)</f>
        <v>2</v>
      </c>
      <c r="F740" s="2">
        <f>getFiltersizeAsDouble('RawData (GH)'!D740)</f>
        <v>67</v>
      </c>
      <c r="G740" s="35">
        <f>getMagnification('RawData (GH)'!E740)</f>
        <v>0</v>
      </c>
      <c r="H740" s="62">
        <f>getMinimalFocus('RawData (GH)'!F740)</f>
        <v>0</v>
      </c>
      <c r="I740" t="str">
        <f>getMount('RawData (GH)'!G740)</f>
        <v>Canon EF-M</v>
      </c>
      <c r="J740" t="str">
        <f>getSensorCompatibility('RawData (GH)'!H740)</f>
        <v>APS-C</v>
      </c>
      <c r="K740" s="45">
        <f>getWeightAsDouble('RawData (GH)'!I740)</f>
        <v>245</v>
      </c>
      <c r="L740" s="34">
        <f>getSizeDiameter('RawData (GH)'!J740)</f>
        <v>73</v>
      </c>
      <c r="M740" s="34">
        <f>getSizeLength('RawData (GH)'!J740)</f>
        <v>59</v>
      </c>
    </row>
    <row r="741" spans="1:13" x14ac:dyDescent="0.25">
      <c r="A741" t="str">
        <f>'RawData (GH)'!A741</f>
        <v>Samyang 12mm 2.0 NCS CS für Fujifilm X schwarz</v>
      </c>
      <c r="B741" s="5">
        <f>getFocalLengthStart('RawData (GH)'!B741)</f>
        <v>12</v>
      </c>
      <c r="C741" s="5">
        <f>getFocalLengthEnd('RawData (GH)'!B741)</f>
        <v>12</v>
      </c>
      <c r="D741" s="9">
        <f>getApertureStart('RawData (GH)'!C741)</f>
        <v>2</v>
      </c>
      <c r="E741" s="9">
        <f>getApertureEnd('RawData (GH)'!C741)</f>
        <v>2</v>
      </c>
      <c r="F741" s="2">
        <f>getFiltersizeAsDouble('RawData (GH)'!D741)</f>
        <v>67</v>
      </c>
      <c r="G741" s="35">
        <f>getMagnification('RawData (GH)'!E741)</f>
        <v>0</v>
      </c>
      <c r="H741" s="62">
        <f>getMinimalFocus('RawData (GH)'!F741)</f>
        <v>0</v>
      </c>
      <c r="I741" t="str">
        <f>getMount('RawData (GH)'!G741)</f>
        <v>Fujifilm X</v>
      </c>
      <c r="J741" t="str">
        <f>getSensorCompatibility('RawData (GH)'!H741)</f>
        <v>APS-C</v>
      </c>
      <c r="K741" s="45">
        <f>getWeightAsDouble('RawData (GH)'!I741)</f>
        <v>260</v>
      </c>
      <c r="L741" s="34">
        <f>getSizeDiameter('RawData (GH)'!J741)</f>
        <v>73</v>
      </c>
      <c r="M741" s="34">
        <f>getSizeLength('RawData (GH)'!J741)</f>
        <v>59</v>
      </c>
    </row>
    <row r="742" spans="1:13" x14ac:dyDescent="0.25">
      <c r="A742" t="str">
        <f>'RawData (GH)'!A742</f>
        <v>Samyang 12mm 2.0 NCS CS für Fujifilm X silber</v>
      </c>
      <c r="B742" s="5">
        <f>getFocalLengthStart('RawData (GH)'!B742)</f>
        <v>12</v>
      </c>
      <c r="C742" s="5">
        <f>getFocalLengthEnd('RawData (GH)'!B742)</f>
        <v>12</v>
      </c>
      <c r="D742" s="9">
        <f>getApertureStart('RawData (GH)'!C742)</f>
        <v>2</v>
      </c>
      <c r="E742" s="9">
        <f>getApertureEnd('RawData (GH)'!C742)</f>
        <v>2</v>
      </c>
      <c r="F742" s="2">
        <f>getFiltersizeAsDouble('RawData (GH)'!D742)</f>
        <v>67</v>
      </c>
      <c r="G742" s="35">
        <f>getMagnification('RawData (GH)'!E742)</f>
        <v>0</v>
      </c>
      <c r="H742" s="62">
        <f>getMinimalFocus('RawData (GH)'!F742)</f>
        <v>0</v>
      </c>
      <c r="I742" t="str">
        <f>getMount('RawData (GH)'!G742)</f>
        <v>Fujifilm X</v>
      </c>
      <c r="J742" t="str">
        <f>getSensorCompatibility('RawData (GH)'!H742)</f>
        <v>APS-C</v>
      </c>
      <c r="K742" s="45">
        <f>getWeightAsDouble('RawData (GH)'!I742)</f>
        <v>260</v>
      </c>
      <c r="L742" s="34">
        <f>getSizeDiameter('RawData (GH)'!J742)</f>
        <v>73</v>
      </c>
      <c r="M742" s="34">
        <f>getSizeLength('RawData (GH)'!J742)</f>
        <v>59</v>
      </c>
    </row>
    <row r="743" spans="1:13" x14ac:dyDescent="0.25">
      <c r="A743" t="str">
        <f>'RawData (GH)'!A743</f>
        <v>Samyang 12mm 2.0 NCS CS für Micro-Four-Thirds schwarz</v>
      </c>
      <c r="B743" s="5">
        <f>getFocalLengthStart('RawData (GH)'!B743)</f>
        <v>12</v>
      </c>
      <c r="C743" s="5">
        <f>getFocalLengthEnd('RawData (GH)'!B743)</f>
        <v>12</v>
      </c>
      <c r="D743" s="9">
        <f>getApertureStart('RawData (GH)'!C743)</f>
        <v>2</v>
      </c>
      <c r="E743" s="9">
        <f>getApertureEnd('RawData (GH)'!C743)</f>
        <v>2</v>
      </c>
      <c r="F743" s="2">
        <f>getFiltersizeAsDouble('RawData (GH)'!D743)</f>
        <v>67</v>
      </c>
      <c r="G743" s="35">
        <f>getMagnification('RawData (GH)'!E743)</f>
        <v>0</v>
      </c>
      <c r="H743" s="62">
        <f>getMinimalFocus('RawData (GH)'!F743)</f>
        <v>0</v>
      </c>
      <c r="I743" t="str">
        <f>getMount('RawData (GH)'!G743)</f>
        <v>Micro-Four-Thirds</v>
      </c>
      <c r="J743" t="str">
        <f>getSensorCompatibility('RawData (GH)'!H743)</f>
        <v>Four-Thirds</v>
      </c>
      <c r="K743" s="45">
        <f>getWeightAsDouble('RawData (GH)'!I743)</f>
        <v>255</v>
      </c>
      <c r="L743" s="34">
        <f>getSizeDiameter('RawData (GH)'!J743)</f>
        <v>73</v>
      </c>
      <c r="M743" s="34">
        <f>getSizeLength('RawData (GH)'!J743)</f>
        <v>58</v>
      </c>
    </row>
    <row r="744" spans="1:13" x14ac:dyDescent="0.25">
      <c r="A744" t="str">
        <f>'RawData (GH)'!A744</f>
        <v>Samyang 12mm 2.0 NCS CS für Micro-Four-Thirds silber</v>
      </c>
      <c r="B744" s="5">
        <f>getFocalLengthStart('RawData (GH)'!B744)</f>
        <v>12</v>
      </c>
      <c r="C744" s="5">
        <f>getFocalLengthEnd('RawData (GH)'!B744)</f>
        <v>12</v>
      </c>
      <c r="D744" s="9">
        <f>getApertureStart('RawData (GH)'!C744)</f>
        <v>2</v>
      </c>
      <c r="E744" s="9">
        <f>getApertureEnd('RawData (GH)'!C744)</f>
        <v>2</v>
      </c>
      <c r="F744" s="2">
        <f>getFiltersizeAsDouble('RawData (GH)'!D744)</f>
        <v>67</v>
      </c>
      <c r="G744" s="35">
        <f>getMagnification('RawData (GH)'!E744)</f>
        <v>0</v>
      </c>
      <c r="H744" s="62">
        <f>getMinimalFocus('RawData (GH)'!F744)</f>
        <v>0</v>
      </c>
      <c r="I744" t="str">
        <f>getMount('RawData (GH)'!G744)</f>
        <v>Micro-Four-Thirds</v>
      </c>
      <c r="J744" t="str">
        <f>getSensorCompatibility('RawData (GH)'!H744)</f>
        <v>Four-Thirds</v>
      </c>
      <c r="K744" s="45">
        <f>getWeightAsDouble('RawData (GH)'!I744)</f>
        <v>255</v>
      </c>
      <c r="L744" s="34">
        <f>getSizeDiameter('RawData (GH)'!J744)</f>
        <v>73</v>
      </c>
      <c r="M744" s="34">
        <f>getSizeLength('RawData (GH)'!J744)</f>
        <v>58</v>
      </c>
    </row>
    <row r="745" spans="1:13" x14ac:dyDescent="0.25">
      <c r="A745" t="str">
        <f>'RawData (GH)'!A745</f>
        <v>Samyang 12mm 2.0 NCS CS für Samsung NX schwarz</v>
      </c>
      <c r="B745" s="5">
        <f>getFocalLengthStart('RawData (GH)'!B745)</f>
        <v>12</v>
      </c>
      <c r="C745" s="5">
        <f>getFocalLengthEnd('RawData (GH)'!B745)</f>
        <v>12</v>
      </c>
      <c r="D745" s="9">
        <f>getApertureStart('RawData (GH)'!C745)</f>
        <v>2</v>
      </c>
      <c r="E745" s="9">
        <f>getApertureEnd('RawData (GH)'!C745)</f>
        <v>2</v>
      </c>
      <c r="F745" s="2">
        <f>getFiltersizeAsDouble('RawData (GH)'!D745)</f>
        <v>67</v>
      </c>
      <c r="G745" s="35">
        <f>getMagnification('RawData (GH)'!E745)</f>
        <v>0</v>
      </c>
      <c r="H745" s="62">
        <f>getMinimalFocus('RawData (GH)'!F745)</f>
        <v>0</v>
      </c>
      <c r="I745" t="str">
        <f>getMount('RawData (GH)'!G745)</f>
        <v>Samsung NX</v>
      </c>
      <c r="J745" t="str">
        <f>getSensorCompatibility('RawData (GH)'!H745)</f>
        <v>APS-C</v>
      </c>
      <c r="K745" s="45">
        <f>getWeightAsDouble('RawData (GH)'!I745)</f>
        <v>235</v>
      </c>
      <c r="L745" s="34">
        <f>getSizeDiameter('RawData (GH)'!J745)</f>
        <v>73</v>
      </c>
      <c r="M745" s="34">
        <f>getSizeLength('RawData (GH)'!J745)</f>
        <v>52</v>
      </c>
    </row>
    <row r="746" spans="1:13" x14ac:dyDescent="0.25">
      <c r="A746" t="str">
        <f>'RawData (GH)'!A746</f>
        <v>Samyang 12mm 2.0 NCS CS für Samsung NX silber</v>
      </c>
      <c r="B746" s="5">
        <f>getFocalLengthStart('RawData (GH)'!B746)</f>
        <v>12</v>
      </c>
      <c r="C746" s="5">
        <f>getFocalLengthEnd('RawData (GH)'!B746)</f>
        <v>12</v>
      </c>
      <c r="D746" s="9">
        <f>getApertureStart('RawData (GH)'!C746)</f>
        <v>2</v>
      </c>
      <c r="E746" s="9">
        <f>getApertureEnd('RawData (GH)'!C746)</f>
        <v>2</v>
      </c>
      <c r="F746" s="2">
        <f>getFiltersizeAsDouble('RawData (GH)'!D746)</f>
        <v>67</v>
      </c>
      <c r="G746" s="35">
        <f>getMagnification('RawData (GH)'!E746)</f>
        <v>0</v>
      </c>
      <c r="H746" s="62">
        <f>getMinimalFocus('RawData (GH)'!F746)</f>
        <v>0</v>
      </c>
      <c r="I746" t="str">
        <f>getMount('RawData (GH)'!G746)</f>
        <v>Samsung NX</v>
      </c>
      <c r="J746" t="str">
        <f>getSensorCompatibility('RawData (GH)'!H746)</f>
        <v>APS-C</v>
      </c>
      <c r="K746" s="45">
        <f>getWeightAsDouble('RawData (GH)'!I746)</f>
        <v>235</v>
      </c>
      <c r="L746" s="34">
        <f>getSizeDiameter('RawData (GH)'!J746)</f>
        <v>73</v>
      </c>
      <c r="M746" s="34">
        <f>getSizeLength('RawData (GH)'!J746)</f>
        <v>52</v>
      </c>
    </row>
    <row r="747" spans="1:13" x14ac:dyDescent="0.25">
      <c r="A747" t="str">
        <f>'RawData (GH)'!A747</f>
        <v>Samyang 12mm 2.0 NCS CS für Sony E schwarz</v>
      </c>
      <c r="B747" s="5">
        <f>getFocalLengthStart('RawData (GH)'!B747)</f>
        <v>12</v>
      </c>
      <c r="C747" s="5">
        <f>getFocalLengthEnd('RawData (GH)'!B747)</f>
        <v>12</v>
      </c>
      <c r="D747" s="9">
        <f>getApertureStart('RawData (GH)'!C747)</f>
        <v>2</v>
      </c>
      <c r="E747" s="9">
        <f>getApertureEnd('RawData (GH)'!C747)</f>
        <v>2</v>
      </c>
      <c r="F747" s="2">
        <f>getFiltersizeAsDouble('RawData (GH)'!D747)</f>
        <v>67</v>
      </c>
      <c r="G747" s="35">
        <f>getMagnification('RawData (GH)'!E747)</f>
        <v>0</v>
      </c>
      <c r="H747" s="62">
        <f>getMinimalFocus('RawData (GH)'!F747)</f>
        <v>0</v>
      </c>
      <c r="I747" t="str">
        <f>getMount('RawData (GH)'!G747)</f>
        <v>Sony E</v>
      </c>
      <c r="J747" t="str">
        <f>getSensorCompatibility('RawData (GH)'!H747)</f>
        <v>APS-C</v>
      </c>
      <c r="K747" s="45">
        <f>getWeightAsDouble('RawData (GH)'!I747)</f>
        <v>245</v>
      </c>
      <c r="L747" s="34">
        <f>getSizeDiameter('RawData (GH)'!J747)</f>
        <v>73</v>
      </c>
      <c r="M747" s="34">
        <f>getSizeLength('RawData (GH)'!J747)</f>
        <v>59</v>
      </c>
    </row>
    <row r="748" spans="1:13" x14ac:dyDescent="0.25">
      <c r="A748" t="str">
        <f>'RawData (GH)'!A748</f>
        <v>Samyang 12mm 2.0 NCS CS für Sony E silber</v>
      </c>
      <c r="B748" s="5">
        <f>getFocalLengthStart('RawData (GH)'!B748)</f>
        <v>12</v>
      </c>
      <c r="C748" s="5">
        <f>getFocalLengthEnd('RawData (GH)'!B748)</f>
        <v>12</v>
      </c>
      <c r="D748" s="9">
        <f>getApertureStart('RawData (GH)'!C748)</f>
        <v>2</v>
      </c>
      <c r="E748" s="9">
        <f>getApertureEnd('RawData (GH)'!C748)</f>
        <v>2</v>
      </c>
      <c r="F748" s="2">
        <f>getFiltersizeAsDouble('RawData (GH)'!D748)</f>
        <v>67</v>
      </c>
      <c r="G748" s="35">
        <f>getMagnification('RawData (GH)'!E748)</f>
        <v>0</v>
      </c>
      <c r="H748" s="62">
        <f>getMinimalFocus('RawData (GH)'!F748)</f>
        <v>0</v>
      </c>
      <c r="I748" t="str">
        <f>getMount('RawData (GH)'!G748)</f>
        <v>Sony E</v>
      </c>
      <c r="J748" t="str">
        <f>getSensorCompatibility('RawData (GH)'!H748)</f>
        <v>APS-C</v>
      </c>
      <c r="K748" s="45">
        <f>getWeightAsDouble('RawData (GH)'!I748)</f>
        <v>245</v>
      </c>
      <c r="L748" s="34">
        <f>getSizeDiameter('RawData (GH)'!J748)</f>
        <v>73</v>
      </c>
      <c r="M748" s="34">
        <f>getSizeLength('RawData (GH)'!J748)</f>
        <v>59</v>
      </c>
    </row>
    <row r="749" spans="1:13" x14ac:dyDescent="0.25">
      <c r="A749" t="str">
        <f>'RawData (GH)'!A749</f>
        <v>Samyang 12mm 2.2 NCS CS für Canon EF-M schwarz</v>
      </c>
      <c r="B749" s="5">
        <f>getFocalLengthStart('RawData (GH)'!B749)</f>
        <v>12</v>
      </c>
      <c r="C749" s="5">
        <f>getFocalLengthEnd('RawData (GH)'!B749)</f>
        <v>12</v>
      </c>
      <c r="D749" s="9">
        <f>getApertureStart('RawData (GH)'!C749)</f>
        <v>2.2000000000000002</v>
      </c>
      <c r="E749" s="9">
        <f>getApertureEnd('RawData (GH)'!C749)</f>
        <v>2.2000000000000002</v>
      </c>
      <c r="F749" s="2">
        <f>getFiltersizeAsDouble('RawData (GH)'!D749)</f>
        <v>67</v>
      </c>
      <c r="G749" s="35">
        <f>getMagnification('RawData (GH)'!E749)</f>
        <v>0</v>
      </c>
      <c r="H749" s="62">
        <f>getMinimalFocus('RawData (GH)'!F749)</f>
        <v>0</v>
      </c>
      <c r="I749" t="str">
        <f>getMount('RawData (GH)'!G749)</f>
        <v>Canon EF-M</v>
      </c>
      <c r="J749" t="str">
        <f>getSensorCompatibility('RawData (GH)'!H749)</f>
        <v>APS-C</v>
      </c>
      <c r="K749" s="45">
        <f>getWeightAsDouble('RawData (GH)'!I749)</f>
        <v>250</v>
      </c>
      <c r="L749" s="34">
        <f>getSizeDiameter('RawData (GH)'!J749)</f>
        <v>73.599999999999994</v>
      </c>
      <c r="M749" s="34">
        <f>getSizeLength('RawData (GH)'!J749)</f>
        <v>59</v>
      </c>
    </row>
    <row r="750" spans="1:13" x14ac:dyDescent="0.25">
      <c r="A750" t="str">
        <f>'RawData (GH)'!A750</f>
        <v>Samyang 12mm 2.2 NCS CS für Fujifilm X schwarz</v>
      </c>
      <c r="B750" s="5">
        <f>getFocalLengthStart('RawData (GH)'!B750)</f>
        <v>12</v>
      </c>
      <c r="C750" s="5">
        <f>getFocalLengthEnd('RawData (GH)'!B750)</f>
        <v>12</v>
      </c>
      <c r="D750" s="9">
        <f>getApertureStart('RawData (GH)'!C750)</f>
        <v>2.2000000000000002</v>
      </c>
      <c r="E750" s="9">
        <f>getApertureEnd('RawData (GH)'!C750)</f>
        <v>2.2000000000000002</v>
      </c>
      <c r="F750" s="2">
        <f>getFiltersizeAsDouble('RawData (GH)'!D750)</f>
        <v>67</v>
      </c>
      <c r="G750" s="35">
        <f>getMagnification('RawData (GH)'!E750)</f>
        <v>0</v>
      </c>
      <c r="H750" s="62">
        <f>getMinimalFocus('RawData (GH)'!F750)</f>
        <v>0</v>
      </c>
      <c r="I750" t="str">
        <f>getMount('RawData (GH)'!G750)</f>
        <v>Fujifilm X</v>
      </c>
      <c r="J750" t="str">
        <f>getSensorCompatibility('RawData (GH)'!H750)</f>
        <v>APS-C</v>
      </c>
      <c r="K750" s="45">
        <f>getWeightAsDouble('RawData (GH)'!I750)</f>
        <v>265</v>
      </c>
      <c r="L750" s="34">
        <f>getSizeDiameter('RawData (GH)'!J750)</f>
        <v>73.599999999999994</v>
      </c>
      <c r="M750" s="34">
        <f>getSizeLength('RawData (GH)'!J750)</f>
        <v>59.4</v>
      </c>
    </row>
    <row r="751" spans="1:13" x14ac:dyDescent="0.25">
      <c r="A751" t="str">
        <f>'RawData (GH)'!A751</f>
        <v>Samyang 12mm 2.2 NCS CS für Micro-Four-Thirds schwarz</v>
      </c>
      <c r="B751" s="5">
        <f>getFocalLengthStart('RawData (GH)'!B751)</f>
        <v>12</v>
      </c>
      <c r="C751" s="5">
        <f>getFocalLengthEnd('RawData (GH)'!B751)</f>
        <v>12</v>
      </c>
      <c r="D751" s="9">
        <f>getApertureStart('RawData (GH)'!C751)</f>
        <v>2.2000000000000002</v>
      </c>
      <c r="E751" s="9">
        <f>getApertureEnd('RawData (GH)'!C751)</f>
        <v>2.2000000000000002</v>
      </c>
      <c r="F751" s="2">
        <f>getFiltersizeAsDouble('RawData (GH)'!D751)</f>
        <v>67</v>
      </c>
      <c r="G751" s="35">
        <f>getMagnification('RawData (GH)'!E751)</f>
        <v>0</v>
      </c>
      <c r="H751" s="62">
        <f>getMinimalFocus('RawData (GH)'!F751)</f>
        <v>0</v>
      </c>
      <c r="I751" t="str">
        <f>getMount('RawData (GH)'!G751)</f>
        <v>Micro-Four-Thirds</v>
      </c>
      <c r="J751" t="str">
        <f>getSensorCompatibility('RawData (GH)'!H751)</f>
        <v>Four-Thirds</v>
      </c>
      <c r="K751" s="45">
        <f>getWeightAsDouble('RawData (GH)'!I751)</f>
        <v>260</v>
      </c>
      <c r="L751" s="34">
        <f>getSizeDiameter('RawData (GH)'!J751)</f>
        <v>73.599999999999994</v>
      </c>
      <c r="M751" s="34">
        <f>getSizeLength('RawData (GH)'!J751)</f>
        <v>57.9</v>
      </c>
    </row>
    <row r="752" spans="1:13" x14ac:dyDescent="0.25">
      <c r="A752" t="str">
        <f>'RawData (GH)'!A752</f>
        <v>Samyang 12mm 2.2 NCS CS für Samsung NX schwarz</v>
      </c>
      <c r="B752" s="5">
        <f>getFocalLengthStart('RawData (GH)'!B752)</f>
        <v>12</v>
      </c>
      <c r="C752" s="5">
        <f>getFocalLengthEnd('RawData (GH)'!B752)</f>
        <v>12</v>
      </c>
      <c r="D752" s="9">
        <f>getApertureStart('RawData (GH)'!C752)</f>
        <v>2.2000000000000002</v>
      </c>
      <c r="E752" s="9">
        <f>getApertureEnd('RawData (GH)'!C752)</f>
        <v>2.2000000000000002</v>
      </c>
      <c r="F752" s="2">
        <f>getFiltersizeAsDouble('RawData (GH)'!D752)</f>
        <v>67</v>
      </c>
      <c r="G752" s="35">
        <f>getMagnification('RawData (GH)'!E752)</f>
        <v>0</v>
      </c>
      <c r="H752" s="62">
        <f>getMinimalFocus('RawData (GH)'!F752)</f>
        <v>0</v>
      </c>
      <c r="I752" t="str">
        <f>getMount('RawData (GH)'!G752)</f>
        <v>Samsung NX</v>
      </c>
      <c r="J752" t="str">
        <f>getSensorCompatibility('RawData (GH)'!H752)</f>
        <v>APS-C</v>
      </c>
      <c r="K752" s="45">
        <f>getWeightAsDouble('RawData (GH)'!I752)</f>
        <v>240</v>
      </c>
      <c r="L752" s="34">
        <f>getSizeDiameter('RawData (GH)'!J752)</f>
        <v>73.599999999999994</v>
      </c>
      <c r="M752" s="34">
        <f>getSizeLength('RawData (GH)'!J752)</f>
        <v>51.6</v>
      </c>
    </row>
    <row r="753" spans="1:13" x14ac:dyDescent="0.25">
      <c r="A753" t="str">
        <f>'RawData (GH)'!A753</f>
        <v>Samyang 12mm 2.2 NCS CS für Sony E schwarz</v>
      </c>
      <c r="B753" s="5">
        <f>getFocalLengthStart('RawData (GH)'!B753)</f>
        <v>12</v>
      </c>
      <c r="C753" s="5">
        <f>getFocalLengthEnd('RawData (GH)'!B753)</f>
        <v>12</v>
      </c>
      <c r="D753" s="9">
        <f>getApertureStart('RawData (GH)'!C753)</f>
        <v>2.2000000000000002</v>
      </c>
      <c r="E753" s="9">
        <f>getApertureEnd('RawData (GH)'!C753)</f>
        <v>2.2000000000000002</v>
      </c>
      <c r="F753" s="2">
        <f>getFiltersizeAsDouble('RawData (GH)'!D753)</f>
        <v>67</v>
      </c>
      <c r="G753" s="35">
        <f>getMagnification('RawData (GH)'!E753)</f>
        <v>0</v>
      </c>
      <c r="H753" s="62">
        <f>getMinimalFocus('RawData (GH)'!F753)</f>
        <v>0</v>
      </c>
      <c r="I753" t="str">
        <f>getMount('RawData (GH)'!G753)</f>
        <v>Sony E</v>
      </c>
      <c r="J753" t="str">
        <f>getSensorCompatibility('RawData (GH)'!H753)</f>
        <v>APS-C</v>
      </c>
      <c r="K753" s="45">
        <f>getWeightAsDouble('RawData (GH)'!I753)</f>
        <v>250</v>
      </c>
      <c r="L753" s="34">
        <f>getSizeDiameter('RawData (GH)'!J753)</f>
        <v>73.599999999999994</v>
      </c>
      <c r="M753" s="34">
        <f>getSizeLength('RawData (GH)'!J753)</f>
        <v>59.1</v>
      </c>
    </row>
    <row r="754" spans="1:13" x14ac:dyDescent="0.25">
      <c r="A754" t="str">
        <f>'RawData (GH)'!A754</f>
        <v>Samyang 12mm 2.8 ED AS NCS Fisheye für Canon EF schwarz</v>
      </c>
      <c r="B754" s="5">
        <f>getFocalLengthStart('RawData (GH)'!B754)</f>
        <v>12</v>
      </c>
      <c r="C754" s="5">
        <f>getFocalLengthEnd('RawData (GH)'!B754)</f>
        <v>12</v>
      </c>
      <c r="D754" s="9">
        <f>getApertureStart('RawData (GH)'!C754)</f>
        <v>2.8</v>
      </c>
      <c r="E754" s="9">
        <f>getApertureEnd('RawData (GH)'!C754)</f>
        <v>2.8</v>
      </c>
      <c r="F754" s="2">
        <f>getFiltersizeAsDouble('RawData (GH)'!D754)</f>
        <v>0</v>
      </c>
      <c r="G754" s="35">
        <f>getMagnification('RawData (GH)'!E754)</f>
        <v>0</v>
      </c>
      <c r="H754" s="62">
        <f>getMinimalFocus('RawData (GH)'!F754)</f>
        <v>0</v>
      </c>
      <c r="I754" t="str">
        <f>getMount('RawData (GH)'!G754)</f>
        <v>Canon EF</v>
      </c>
      <c r="J754" t="str">
        <f>getSensorCompatibility('RawData (GH)'!H754)</f>
        <v>APS-C/ Kleinbild</v>
      </c>
      <c r="K754" s="45">
        <f>getWeightAsDouble('RawData (GH)'!I754)</f>
        <v>515</v>
      </c>
      <c r="L754" s="34">
        <f>getSizeDiameter('RawData (GH)'!J754)</f>
        <v>77.3</v>
      </c>
      <c r="M754" s="34">
        <f>getSizeLength('RawData (GH)'!J754)</f>
        <v>72.7</v>
      </c>
    </row>
    <row r="755" spans="1:13" x14ac:dyDescent="0.25">
      <c r="A755" t="str">
        <f>'RawData (GH)'!A755</f>
        <v>Samyang 12mm 2.8 ED AS NCS Fisheye für Canon EF-M schwarz</v>
      </c>
      <c r="B755" s="5">
        <f>getFocalLengthStart('RawData (GH)'!B755)</f>
        <v>12</v>
      </c>
      <c r="C755" s="5">
        <f>getFocalLengthEnd('RawData (GH)'!B755)</f>
        <v>12</v>
      </c>
      <c r="D755" s="9">
        <f>getApertureStart('RawData (GH)'!C755)</f>
        <v>2.8</v>
      </c>
      <c r="E755" s="9">
        <f>getApertureEnd('RawData (GH)'!C755)</f>
        <v>2.8</v>
      </c>
      <c r="F755" s="2">
        <f>getFiltersizeAsDouble('RawData (GH)'!D755)</f>
        <v>0</v>
      </c>
      <c r="G755" s="35">
        <f>getMagnification('RawData (GH)'!E755)</f>
        <v>0</v>
      </c>
      <c r="H755" s="62">
        <f>getMinimalFocus('RawData (GH)'!F755)</f>
        <v>0</v>
      </c>
      <c r="I755" t="str">
        <f>getMount('RawData (GH)'!G755)</f>
        <v>Canon EF-M</v>
      </c>
      <c r="J755" t="str">
        <f>getSensorCompatibility('RawData (GH)'!H755)</f>
        <v>APS-C</v>
      </c>
      <c r="K755" s="45">
        <f>getWeightAsDouble('RawData (GH)'!I755)</f>
        <v>525</v>
      </c>
      <c r="L755" s="34">
        <f>getSizeDiameter('RawData (GH)'!J755)</f>
        <v>77.3</v>
      </c>
      <c r="M755" s="34">
        <f>getSizeLength('RawData (GH)'!J755)</f>
        <v>98.6</v>
      </c>
    </row>
    <row r="756" spans="1:13" x14ac:dyDescent="0.25">
      <c r="A756" t="str">
        <f>'RawData (GH)'!A756</f>
        <v>Samyang 12mm 2.8 ED AS NCS Fisheye für Four-Thirds schwarz</v>
      </c>
      <c r="B756" s="5">
        <f>getFocalLengthStart('RawData (GH)'!B756)</f>
        <v>12</v>
      </c>
      <c r="C756" s="5">
        <f>getFocalLengthEnd('RawData (GH)'!B756)</f>
        <v>12</v>
      </c>
      <c r="D756" s="9">
        <f>getApertureStart('RawData (GH)'!C756)</f>
        <v>2.8</v>
      </c>
      <c r="E756" s="9">
        <f>getApertureEnd('RawData (GH)'!C756)</f>
        <v>2.8</v>
      </c>
      <c r="F756" s="2">
        <f>getFiltersizeAsDouble('RawData (GH)'!D756)</f>
        <v>0</v>
      </c>
      <c r="G756" s="35">
        <f>getMagnification('RawData (GH)'!E756)</f>
        <v>0</v>
      </c>
      <c r="H756" s="62">
        <f>getMinimalFocus('RawData (GH)'!F756)</f>
        <v>0</v>
      </c>
      <c r="I756" t="str">
        <f>getMount('RawData (GH)'!G756)</f>
        <v>Four-Thirds</v>
      </c>
      <c r="J756" t="str">
        <f>getSensorCompatibility('RawData (GH)'!H756)</f>
        <v>Four-Thirds</v>
      </c>
      <c r="K756" s="45">
        <f>getWeightAsDouble('RawData (GH)'!I756)</f>
        <v>530</v>
      </c>
      <c r="L756" s="34">
        <f>getSizeDiameter('RawData (GH)'!J756)</f>
        <v>77.3</v>
      </c>
      <c r="M756" s="34">
        <f>getSizeLength('RawData (GH)'!J756)</f>
        <v>78</v>
      </c>
    </row>
    <row r="757" spans="1:13" x14ac:dyDescent="0.25">
      <c r="A757" t="str">
        <f>'RawData (GH)'!A757</f>
        <v>Samyang 12mm 2.8 ED AS NCS Fisheye für Fujifilm X schwarz</v>
      </c>
      <c r="B757" s="5">
        <f>getFocalLengthStart('RawData (GH)'!B757)</f>
        <v>12</v>
      </c>
      <c r="C757" s="5">
        <f>getFocalLengthEnd('RawData (GH)'!B757)</f>
        <v>12</v>
      </c>
      <c r="D757" s="9">
        <f>getApertureStart('RawData (GH)'!C757)</f>
        <v>2.8</v>
      </c>
      <c r="E757" s="9">
        <f>getApertureEnd('RawData (GH)'!C757)</f>
        <v>2.8</v>
      </c>
      <c r="F757" s="2">
        <f>getFiltersizeAsDouble('RawData (GH)'!D757)</f>
        <v>0</v>
      </c>
      <c r="G757" s="35">
        <f>getMagnification('RawData (GH)'!E757)</f>
        <v>0</v>
      </c>
      <c r="H757" s="62">
        <f>getMinimalFocus('RawData (GH)'!F757)</f>
        <v>0</v>
      </c>
      <c r="I757" t="str">
        <f>getMount('RawData (GH)'!G757)</f>
        <v>Fujifilm X</v>
      </c>
      <c r="J757" t="str">
        <f>getSensorCompatibility('RawData (GH)'!H757)</f>
        <v>APS-C</v>
      </c>
      <c r="K757" s="45">
        <f>getWeightAsDouble('RawData (GH)'!I757)</f>
        <v>565</v>
      </c>
      <c r="L757" s="34">
        <f>getSizeDiameter('RawData (GH)'!J757)</f>
        <v>77.3</v>
      </c>
      <c r="M757" s="34">
        <f>getSizeLength('RawData (GH)'!J757)</f>
        <v>99</v>
      </c>
    </row>
    <row r="758" spans="1:13" x14ac:dyDescent="0.25">
      <c r="A758" t="str">
        <f>'RawData (GH)'!A758</f>
        <v>Samyang 12mm 2.8 ED AS NCS Fisheye für Micro-Four-Thirds schwarz</v>
      </c>
      <c r="B758" s="5">
        <f>getFocalLengthStart('RawData (GH)'!B758)</f>
        <v>12</v>
      </c>
      <c r="C758" s="5">
        <f>getFocalLengthEnd('RawData (GH)'!B758)</f>
        <v>12</v>
      </c>
      <c r="D758" s="9">
        <f>getApertureStart('RawData (GH)'!C758)</f>
        <v>2.8</v>
      </c>
      <c r="E758" s="9">
        <f>getApertureEnd('RawData (GH)'!C758)</f>
        <v>2.8</v>
      </c>
      <c r="F758" s="2">
        <f>getFiltersizeAsDouble('RawData (GH)'!D758)</f>
        <v>0</v>
      </c>
      <c r="G758" s="35">
        <f>getMagnification('RawData (GH)'!E758)</f>
        <v>0</v>
      </c>
      <c r="H758" s="62">
        <f>getMinimalFocus('RawData (GH)'!F758)</f>
        <v>0</v>
      </c>
      <c r="I758" t="str">
        <f>getMount('RawData (GH)'!G758)</f>
        <v>Micro-Four-Thirds</v>
      </c>
      <c r="J758" t="str">
        <f>getSensorCompatibility('RawData (GH)'!H758)</f>
        <v>Four-Thirds</v>
      </c>
      <c r="K758" s="45">
        <f>getWeightAsDouble('RawData (GH)'!I758)</f>
        <v>520</v>
      </c>
      <c r="L758" s="34">
        <f>getSizeDiameter('RawData (GH)'!J758)</f>
        <v>77.3</v>
      </c>
      <c r="M758" s="34">
        <f>getSizeLength('RawData (GH)'!J758)</f>
        <v>97.5</v>
      </c>
    </row>
    <row r="759" spans="1:13" x14ac:dyDescent="0.25">
      <c r="A759" t="str">
        <f>'RawData (GH)'!A759</f>
        <v>Samyang 12mm 2.8 ED AS NCS Fisheye für Nikon F schwarz</v>
      </c>
      <c r="B759" s="5">
        <f>getFocalLengthStart('RawData (GH)'!B759)</f>
        <v>12</v>
      </c>
      <c r="C759" s="5">
        <f>getFocalLengthEnd('RawData (GH)'!B759)</f>
        <v>12</v>
      </c>
      <c r="D759" s="9">
        <f>getApertureStart('RawData (GH)'!C759)</f>
        <v>2.8</v>
      </c>
      <c r="E759" s="9">
        <f>getApertureEnd('RawData (GH)'!C759)</f>
        <v>2.8</v>
      </c>
      <c r="F759" s="2">
        <f>getFiltersizeAsDouble('RawData (GH)'!D759)</f>
        <v>0</v>
      </c>
      <c r="G759" s="35">
        <f>getMagnification('RawData (GH)'!E759)</f>
        <v>0</v>
      </c>
      <c r="H759" s="62">
        <f>getMinimalFocus('RawData (GH)'!F759)</f>
        <v>0</v>
      </c>
      <c r="I759" t="str">
        <f>getMount('RawData (GH)'!G759)</f>
        <v>Nikon F</v>
      </c>
      <c r="J759" t="str">
        <f>getSensorCompatibility('RawData (GH)'!H759)</f>
        <v>APS-C/ Kleinbild</v>
      </c>
      <c r="K759" s="45">
        <f>getWeightAsDouble('RawData (GH)'!I759)</f>
        <v>500</v>
      </c>
      <c r="L759" s="34">
        <f>getSizeDiameter('RawData (GH)'!J759)</f>
        <v>77.3</v>
      </c>
      <c r="M759" s="34">
        <f>getSizeLength('RawData (GH)'!J759)</f>
        <v>70.2</v>
      </c>
    </row>
    <row r="760" spans="1:13" x14ac:dyDescent="0.25">
      <c r="A760" t="str">
        <f>'RawData (GH)'!A760</f>
        <v>Samyang 12mm 2.8 ED AS NCS Fisheye für Pentax K schwarz</v>
      </c>
      <c r="B760" s="5">
        <f>getFocalLengthStart('RawData (GH)'!B760)</f>
        <v>12</v>
      </c>
      <c r="C760" s="5">
        <f>getFocalLengthEnd('RawData (GH)'!B760)</f>
        <v>12</v>
      </c>
      <c r="D760" s="9">
        <f>getApertureStart('RawData (GH)'!C760)</f>
        <v>2.8</v>
      </c>
      <c r="E760" s="9">
        <f>getApertureEnd('RawData (GH)'!C760)</f>
        <v>2.8</v>
      </c>
      <c r="F760" s="2">
        <f>getFiltersizeAsDouble('RawData (GH)'!D760)</f>
        <v>0</v>
      </c>
      <c r="G760" s="35">
        <f>getMagnification('RawData (GH)'!E760)</f>
        <v>0</v>
      </c>
      <c r="H760" s="62">
        <f>getMinimalFocus('RawData (GH)'!F760)</f>
        <v>0</v>
      </c>
      <c r="I760" t="str">
        <f>getMount('RawData (GH)'!G760)</f>
        <v>Pentax K</v>
      </c>
      <c r="J760" t="str">
        <f>getSensorCompatibility('RawData (GH)'!H760)</f>
        <v>APS-C/ Kleinbild</v>
      </c>
      <c r="K760" s="45">
        <f>getWeightAsDouble('RawData (GH)'!I760)</f>
        <v>505</v>
      </c>
      <c r="L760" s="34">
        <f>getSizeDiameter('RawData (GH)'!J760)</f>
        <v>77.3</v>
      </c>
      <c r="M760" s="34">
        <f>getSizeLength('RawData (GH)'!J760)</f>
        <v>71.2</v>
      </c>
    </row>
    <row r="761" spans="1:13" x14ac:dyDescent="0.25">
      <c r="A761" t="str">
        <f>'RawData (GH)'!A761</f>
        <v>Samyang 12mm 2.8 ED AS NCS Fisheye für Samsung NX schwarz</v>
      </c>
      <c r="B761" s="5">
        <f>getFocalLengthStart('RawData (GH)'!B761)</f>
        <v>12</v>
      </c>
      <c r="C761" s="5">
        <f>getFocalLengthEnd('RawData (GH)'!B761)</f>
        <v>12</v>
      </c>
      <c r="D761" s="9">
        <f>getApertureStart('RawData (GH)'!C761)</f>
        <v>2.8</v>
      </c>
      <c r="E761" s="9">
        <f>getApertureEnd('RawData (GH)'!C761)</f>
        <v>2.8</v>
      </c>
      <c r="F761" s="2">
        <f>getFiltersizeAsDouble('RawData (GH)'!D761)</f>
        <v>0</v>
      </c>
      <c r="G761" s="35">
        <f>getMagnification('RawData (GH)'!E761)</f>
        <v>0</v>
      </c>
      <c r="H761" s="62">
        <f>getMinimalFocus('RawData (GH)'!F761)</f>
        <v>0</v>
      </c>
      <c r="I761" t="str">
        <f>getMount('RawData (GH)'!G761)</f>
        <v>Samsung NX</v>
      </c>
      <c r="J761" t="str">
        <f>getSensorCompatibility('RawData (GH)'!H761)</f>
        <v>APS-C</v>
      </c>
      <c r="K761" s="45">
        <f>getWeightAsDouble('RawData (GH)'!I761)</f>
        <v>515</v>
      </c>
      <c r="L761" s="34">
        <f>getSizeDiameter('RawData (GH)'!J761)</f>
        <v>77.3</v>
      </c>
      <c r="M761" s="34">
        <f>getSizeLength('RawData (GH)'!J761)</f>
        <v>91.2</v>
      </c>
    </row>
    <row r="762" spans="1:13" x14ac:dyDescent="0.25">
      <c r="A762" t="str">
        <f>'RawData (GH)'!A762</f>
        <v>Samyang 12mm 2.8 ED AS NCS Fisheye für Sony A schwarz</v>
      </c>
      <c r="B762" s="5">
        <f>getFocalLengthStart('RawData (GH)'!B762)</f>
        <v>12</v>
      </c>
      <c r="C762" s="5">
        <f>getFocalLengthEnd('RawData (GH)'!B762)</f>
        <v>12</v>
      </c>
      <c r="D762" s="9">
        <f>getApertureStart('RawData (GH)'!C762)</f>
        <v>2.8</v>
      </c>
      <c r="E762" s="9">
        <f>getApertureEnd('RawData (GH)'!C762)</f>
        <v>2.8</v>
      </c>
      <c r="F762" s="2">
        <f>getFiltersizeAsDouble('RawData (GH)'!D762)</f>
        <v>0</v>
      </c>
      <c r="G762" s="35">
        <f>getMagnification('RawData (GH)'!E762)</f>
        <v>0</v>
      </c>
      <c r="H762" s="62">
        <f>getMinimalFocus('RawData (GH)'!F762)</f>
        <v>0</v>
      </c>
      <c r="I762" t="str">
        <f>getMount('RawData (GH)'!G762)</f>
        <v>Sony A</v>
      </c>
      <c r="J762" t="str">
        <f>getSensorCompatibility('RawData (GH)'!H762)</f>
        <v>APS-C/ Kleinbild</v>
      </c>
      <c r="K762" s="45">
        <f>getWeightAsDouble('RawData (GH)'!I762)</f>
        <v>510</v>
      </c>
      <c r="L762" s="34">
        <f>getSizeDiameter('RawData (GH)'!J762)</f>
        <v>77.3</v>
      </c>
      <c r="M762" s="34">
        <f>getSizeLength('RawData (GH)'!J762)</f>
        <v>72.2</v>
      </c>
    </row>
    <row r="763" spans="1:13" x14ac:dyDescent="0.25">
      <c r="A763" t="str">
        <f>'RawData (GH)'!A763</f>
        <v>Samyang 12mm 2.8 ED AS NCS Fisheye für Sony E schwarz</v>
      </c>
      <c r="B763" s="5">
        <f>getFocalLengthStart('RawData (GH)'!B763)</f>
        <v>12</v>
      </c>
      <c r="C763" s="5">
        <f>getFocalLengthEnd('RawData (GH)'!B763)</f>
        <v>12</v>
      </c>
      <c r="D763" s="9">
        <f>getApertureStart('RawData (GH)'!C763)</f>
        <v>2.8</v>
      </c>
      <c r="E763" s="9">
        <f>getApertureEnd('RawData (GH)'!C763)</f>
        <v>2.8</v>
      </c>
      <c r="F763" s="2">
        <f>getFiltersizeAsDouble('RawData (GH)'!D763)</f>
        <v>0</v>
      </c>
      <c r="G763" s="35">
        <f>getMagnification('RawData (GH)'!E763)</f>
        <v>0</v>
      </c>
      <c r="H763" s="62">
        <f>getMinimalFocus('RawData (GH)'!F763)</f>
        <v>0</v>
      </c>
      <c r="I763" t="str">
        <f>getMount('RawData (GH)'!G763)</f>
        <v>Sony E</v>
      </c>
      <c r="J763" t="str">
        <f>getSensorCompatibility('RawData (GH)'!H763)</f>
        <v>APS-C/ Kleinbild</v>
      </c>
      <c r="K763" s="45">
        <f>getWeightAsDouble('RawData (GH)'!I763)</f>
        <v>525</v>
      </c>
      <c r="L763" s="34">
        <f>getSizeDiameter('RawData (GH)'!J763)</f>
        <v>77.3</v>
      </c>
      <c r="M763" s="34">
        <f>getSizeLength('RawData (GH)'!J763)</f>
        <v>98.7</v>
      </c>
    </row>
    <row r="764" spans="1:13" x14ac:dyDescent="0.25">
      <c r="A764" t="str">
        <f>'RawData (GH)'!A764</f>
        <v>Samyang 12mm T3.1 VDSLR ED AS NCS Fisheye für Canon EF schwarz</v>
      </c>
      <c r="B764" s="5">
        <f>getFocalLengthStart('RawData (GH)'!B764)</f>
        <v>12</v>
      </c>
      <c r="C764" s="5">
        <f>getFocalLengthEnd('RawData (GH)'!B764)</f>
        <v>12</v>
      </c>
      <c r="D764" s="9">
        <f>getApertureStart('RawData (GH)'!C764)</f>
        <v>3.1</v>
      </c>
      <c r="E764" s="9">
        <f>getApertureEnd('RawData (GH)'!C764)</f>
        <v>3.1</v>
      </c>
      <c r="F764" s="2">
        <f>getFiltersizeAsDouble('RawData (GH)'!D764)</f>
        <v>0</v>
      </c>
      <c r="G764" s="35">
        <f>getMagnification('RawData (GH)'!E764)</f>
        <v>0</v>
      </c>
      <c r="H764" s="62">
        <f>getMinimalFocus('RawData (GH)'!F764)</f>
        <v>0</v>
      </c>
      <c r="I764" t="str">
        <f>getMount('RawData (GH)'!G764)</f>
        <v>Canon EF</v>
      </c>
      <c r="J764" t="str">
        <f>getSensorCompatibility('RawData (GH)'!H764)</f>
        <v>APS-C/ Kleinbild</v>
      </c>
      <c r="K764" s="45">
        <f>getWeightAsDouble('RawData (GH)'!I764)</f>
        <v>525</v>
      </c>
      <c r="L764" s="34">
        <f>getSizeDiameter('RawData (GH)'!J764)</f>
        <v>81.599999999999994</v>
      </c>
      <c r="M764" s="34">
        <f>getSizeLength('RawData (GH)'!J764)</f>
        <v>72.7</v>
      </c>
    </row>
    <row r="765" spans="1:13" x14ac:dyDescent="0.25">
      <c r="A765" t="str">
        <f>'RawData (GH)'!A765</f>
        <v>Samyang 12mm T3.1 VDSLR ED AS NCS Fisheye für Canon EF-M schwarz</v>
      </c>
      <c r="B765" s="5">
        <f>getFocalLengthStart('RawData (GH)'!B765)</f>
        <v>12</v>
      </c>
      <c r="C765" s="5">
        <f>getFocalLengthEnd('RawData (GH)'!B765)</f>
        <v>12</v>
      </c>
      <c r="D765" s="9">
        <f>getApertureStart('RawData (GH)'!C765)</f>
        <v>3.1</v>
      </c>
      <c r="E765" s="9">
        <f>getApertureEnd('RawData (GH)'!C765)</f>
        <v>3.1</v>
      </c>
      <c r="F765" s="2">
        <f>getFiltersizeAsDouble('RawData (GH)'!D765)</f>
        <v>0</v>
      </c>
      <c r="G765" s="35">
        <f>getMagnification('RawData (GH)'!E765)</f>
        <v>0</v>
      </c>
      <c r="H765" s="62">
        <f>getMinimalFocus('RawData (GH)'!F765)</f>
        <v>0</v>
      </c>
      <c r="I765" t="str">
        <f>getMount('RawData (GH)'!G765)</f>
        <v>Canon EF-M</v>
      </c>
      <c r="J765" t="str">
        <f>getSensorCompatibility('RawData (GH)'!H765)</f>
        <v>APS-C</v>
      </c>
      <c r="K765" s="45">
        <f>getWeightAsDouble('RawData (GH)'!I765)</f>
        <v>535</v>
      </c>
      <c r="L765" s="34">
        <f>getSizeDiameter('RawData (GH)'!J765)</f>
        <v>81.599999999999994</v>
      </c>
      <c r="M765" s="34">
        <f>getSizeLength('RawData (GH)'!J765)</f>
        <v>98.6</v>
      </c>
    </row>
    <row r="766" spans="1:13" x14ac:dyDescent="0.25">
      <c r="A766" t="str">
        <f>'RawData (GH)'!A766</f>
        <v>Samyang 12mm T3.1 VDSLR ED AS NCS Fisheye für Four-Thirds schwarz</v>
      </c>
      <c r="B766" s="5">
        <f>getFocalLengthStart('RawData (GH)'!B766)</f>
        <v>12</v>
      </c>
      <c r="C766" s="5">
        <f>getFocalLengthEnd('RawData (GH)'!B766)</f>
        <v>12</v>
      </c>
      <c r="D766" s="9">
        <f>getApertureStart('RawData (GH)'!C766)</f>
        <v>3.1</v>
      </c>
      <c r="E766" s="9">
        <f>getApertureEnd('RawData (GH)'!C766)</f>
        <v>3.1</v>
      </c>
      <c r="F766" s="2">
        <f>getFiltersizeAsDouble('RawData (GH)'!D766)</f>
        <v>0</v>
      </c>
      <c r="G766" s="35">
        <f>getMagnification('RawData (GH)'!E766)</f>
        <v>0</v>
      </c>
      <c r="H766" s="62">
        <f>getMinimalFocus('RawData (GH)'!F766)</f>
        <v>0</v>
      </c>
      <c r="I766" t="str">
        <f>getMount('RawData (GH)'!G766)</f>
        <v>Four-Thirds</v>
      </c>
      <c r="J766" t="str">
        <f>getSensorCompatibility('RawData (GH)'!H766)</f>
        <v>Four-Thirds</v>
      </c>
      <c r="K766" s="45">
        <f>getWeightAsDouble('RawData (GH)'!I766)</f>
        <v>540</v>
      </c>
      <c r="L766" s="34">
        <f>getSizeDiameter('RawData (GH)'!J766)</f>
        <v>81.599999999999994</v>
      </c>
      <c r="M766" s="34">
        <f>getSizeLength('RawData (GH)'!J766)</f>
        <v>78</v>
      </c>
    </row>
    <row r="767" spans="1:13" x14ac:dyDescent="0.25">
      <c r="A767" t="str">
        <f>'RawData (GH)'!A767</f>
        <v>Samyang 12mm T3.1 VDSLR ED AS NCS Fisheye für Fujifilm X schwarz</v>
      </c>
      <c r="B767" s="5">
        <f>getFocalLengthStart('RawData (GH)'!B767)</f>
        <v>12</v>
      </c>
      <c r="C767" s="5">
        <f>getFocalLengthEnd('RawData (GH)'!B767)</f>
        <v>12</v>
      </c>
      <c r="D767" s="9">
        <f>getApertureStart('RawData (GH)'!C767)</f>
        <v>3.1</v>
      </c>
      <c r="E767" s="9">
        <f>getApertureEnd('RawData (GH)'!C767)</f>
        <v>3.1</v>
      </c>
      <c r="F767" s="2">
        <f>getFiltersizeAsDouble('RawData (GH)'!D767)</f>
        <v>0</v>
      </c>
      <c r="G767" s="35">
        <f>getMagnification('RawData (GH)'!E767)</f>
        <v>0</v>
      </c>
      <c r="H767" s="62">
        <f>getMinimalFocus('RawData (GH)'!F767)</f>
        <v>0</v>
      </c>
      <c r="I767" t="str">
        <f>getMount('RawData (GH)'!G767)</f>
        <v>Fujifilm X</v>
      </c>
      <c r="J767" t="str">
        <f>getSensorCompatibility('RawData (GH)'!H767)</f>
        <v>APS-C</v>
      </c>
      <c r="K767" s="45">
        <f>getWeightAsDouble('RawData (GH)'!I767)</f>
        <v>575</v>
      </c>
      <c r="L767" s="34">
        <f>getSizeDiameter('RawData (GH)'!J767)</f>
        <v>81.599999999999994</v>
      </c>
      <c r="M767" s="34">
        <f>getSizeLength('RawData (GH)'!J767)</f>
        <v>99</v>
      </c>
    </row>
    <row r="768" spans="1:13" x14ac:dyDescent="0.25">
      <c r="A768" t="str">
        <f>'RawData (GH)'!A768</f>
        <v>Samyang 12mm T3.1 VDSLR ED AS NCS Fisheye für Micro-Four-Thirds schwarz</v>
      </c>
      <c r="B768" s="5">
        <f>getFocalLengthStart('RawData (GH)'!B768)</f>
        <v>12</v>
      </c>
      <c r="C768" s="5">
        <f>getFocalLengthEnd('RawData (GH)'!B768)</f>
        <v>12</v>
      </c>
      <c r="D768" s="9">
        <f>getApertureStart('RawData (GH)'!C768)</f>
        <v>3.1</v>
      </c>
      <c r="E768" s="9">
        <f>getApertureEnd('RawData (GH)'!C768)</f>
        <v>3.1</v>
      </c>
      <c r="F768" s="2">
        <f>getFiltersizeAsDouble('RawData (GH)'!D768)</f>
        <v>0</v>
      </c>
      <c r="G768" s="35">
        <f>getMagnification('RawData (GH)'!E768)</f>
        <v>0</v>
      </c>
      <c r="H768" s="62">
        <f>getMinimalFocus('RawData (GH)'!F768)</f>
        <v>0</v>
      </c>
      <c r="I768" t="str">
        <f>getMount('RawData (GH)'!G768)</f>
        <v>Micro-Four-Thirds</v>
      </c>
      <c r="J768" t="str">
        <f>getSensorCompatibility('RawData (GH)'!H768)</f>
        <v>Four-Thirds</v>
      </c>
      <c r="K768" s="45">
        <f>getWeightAsDouble('RawData (GH)'!I768)</f>
        <v>530</v>
      </c>
      <c r="L768" s="34">
        <f>getSizeDiameter('RawData (GH)'!J768)</f>
        <v>81.599999999999994</v>
      </c>
      <c r="M768" s="34">
        <f>getSizeLength('RawData (GH)'!J768)</f>
        <v>97.5</v>
      </c>
    </row>
    <row r="769" spans="1:13" x14ac:dyDescent="0.25">
      <c r="A769" t="str">
        <f>'RawData (GH)'!A769</f>
        <v>Samyang 12mm T3.1 VDSLR ED AS NCS Fisheye für Nikon F schwarz</v>
      </c>
      <c r="B769" s="5">
        <f>getFocalLengthStart('RawData (GH)'!B769)</f>
        <v>12</v>
      </c>
      <c r="C769" s="5">
        <f>getFocalLengthEnd('RawData (GH)'!B769)</f>
        <v>12</v>
      </c>
      <c r="D769" s="9">
        <f>getApertureStart('RawData (GH)'!C769)</f>
        <v>3.1</v>
      </c>
      <c r="E769" s="9">
        <f>getApertureEnd('RawData (GH)'!C769)</f>
        <v>3.1</v>
      </c>
      <c r="F769" s="2">
        <f>getFiltersizeAsDouble('RawData (GH)'!D769)</f>
        <v>0</v>
      </c>
      <c r="G769" s="35">
        <f>getMagnification('RawData (GH)'!E769)</f>
        <v>0</v>
      </c>
      <c r="H769" s="62">
        <f>getMinimalFocus('RawData (GH)'!F769)</f>
        <v>0</v>
      </c>
      <c r="I769" t="str">
        <f>getMount('RawData (GH)'!G769)</f>
        <v>Nikon F</v>
      </c>
      <c r="J769" t="str">
        <f>getSensorCompatibility('RawData (GH)'!H769)</f>
        <v>APS-C/ Kleinbild</v>
      </c>
      <c r="K769" s="45">
        <f>getWeightAsDouble('RawData (GH)'!I769)</f>
        <v>510</v>
      </c>
      <c r="L769" s="34">
        <f>getSizeDiameter('RawData (GH)'!J769)</f>
        <v>81.599999999999994</v>
      </c>
      <c r="M769" s="34">
        <f>getSizeLength('RawData (GH)'!J769)</f>
        <v>70.2</v>
      </c>
    </row>
    <row r="770" spans="1:13" x14ac:dyDescent="0.25">
      <c r="A770" t="str">
        <f>'RawData (GH)'!A770</f>
        <v>Samyang 12mm T3.1 VDSLR ED AS NCS Fisheye für Pentax K schwarz</v>
      </c>
      <c r="B770" s="5">
        <f>getFocalLengthStart('RawData (GH)'!B770)</f>
        <v>12</v>
      </c>
      <c r="C770" s="5">
        <f>getFocalLengthEnd('RawData (GH)'!B770)</f>
        <v>12</v>
      </c>
      <c r="D770" s="9">
        <f>getApertureStart('RawData (GH)'!C770)</f>
        <v>3.1</v>
      </c>
      <c r="E770" s="9">
        <f>getApertureEnd('RawData (GH)'!C770)</f>
        <v>3.1</v>
      </c>
      <c r="F770" s="2">
        <f>getFiltersizeAsDouble('RawData (GH)'!D770)</f>
        <v>0</v>
      </c>
      <c r="G770" s="35">
        <f>getMagnification('RawData (GH)'!E770)</f>
        <v>0</v>
      </c>
      <c r="H770" s="62">
        <f>getMinimalFocus('RawData (GH)'!F770)</f>
        <v>0</v>
      </c>
      <c r="I770" t="str">
        <f>getMount('RawData (GH)'!G770)</f>
        <v>Pentax K</v>
      </c>
      <c r="J770" t="str">
        <f>getSensorCompatibility('RawData (GH)'!H770)</f>
        <v>APS-C/ Kleinbild</v>
      </c>
      <c r="K770" s="45">
        <f>getWeightAsDouble('RawData (GH)'!I770)</f>
        <v>515</v>
      </c>
      <c r="L770" s="34">
        <f>getSizeDiameter('RawData (GH)'!J770)</f>
        <v>81.599999999999994</v>
      </c>
      <c r="M770" s="34">
        <f>getSizeLength('RawData (GH)'!J770)</f>
        <v>71.2</v>
      </c>
    </row>
    <row r="771" spans="1:13" x14ac:dyDescent="0.25">
      <c r="A771" t="str">
        <f>'RawData (GH)'!A771</f>
        <v>Samyang 12mm T3.1 VDSLR ED AS NCS Fisheye für Samsung NX schwarz</v>
      </c>
      <c r="B771" s="5">
        <f>getFocalLengthStart('RawData (GH)'!B771)</f>
        <v>12</v>
      </c>
      <c r="C771" s="5">
        <f>getFocalLengthEnd('RawData (GH)'!B771)</f>
        <v>12</v>
      </c>
      <c r="D771" s="9">
        <f>getApertureStart('RawData (GH)'!C771)</f>
        <v>3.1</v>
      </c>
      <c r="E771" s="9">
        <f>getApertureEnd('RawData (GH)'!C771)</f>
        <v>3.1</v>
      </c>
      <c r="F771" s="2">
        <f>getFiltersizeAsDouble('RawData (GH)'!D771)</f>
        <v>0</v>
      </c>
      <c r="G771" s="35">
        <f>getMagnification('RawData (GH)'!E771)</f>
        <v>0</v>
      </c>
      <c r="H771" s="62">
        <f>getMinimalFocus('RawData (GH)'!F771)</f>
        <v>0</v>
      </c>
      <c r="I771" t="str">
        <f>getMount('RawData (GH)'!G771)</f>
        <v>Samsung NX</v>
      </c>
      <c r="J771" t="str">
        <f>getSensorCompatibility('RawData (GH)'!H771)</f>
        <v>APS-C</v>
      </c>
      <c r="K771" s="45">
        <f>getWeightAsDouble('RawData (GH)'!I771)</f>
        <v>525</v>
      </c>
      <c r="L771" s="34">
        <f>getSizeDiameter('RawData (GH)'!J771)</f>
        <v>81.599999999999994</v>
      </c>
      <c r="M771" s="34">
        <f>getSizeLength('RawData (GH)'!J771)</f>
        <v>91.2</v>
      </c>
    </row>
    <row r="772" spans="1:13" x14ac:dyDescent="0.25">
      <c r="A772" t="str">
        <f>'RawData (GH)'!A772</f>
        <v>Samyang 12mm T3.1 VDSLR ED AS NCS Fisheye für Sony A schwarz</v>
      </c>
      <c r="B772" s="5">
        <f>getFocalLengthStart('RawData (GH)'!B772)</f>
        <v>12</v>
      </c>
      <c r="C772" s="5">
        <f>getFocalLengthEnd('RawData (GH)'!B772)</f>
        <v>12</v>
      </c>
      <c r="D772" s="9">
        <f>getApertureStart('RawData (GH)'!C772)</f>
        <v>3.1</v>
      </c>
      <c r="E772" s="9">
        <f>getApertureEnd('RawData (GH)'!C772)</f>
        <v>3.1</v>
      </c>
      <c r="F772" s="2">
        <f>getFiltersizeAsDouble('RawData (GH)'!D772)</f>
        <v>0</v>
      </c>
      <c r="G772" s="35">
        <f>getMagnification('RawData (GH)'!E772)</f>
        <v>0</v>
      </c>
      <c r="H772" s="62">
        <f>getMinimalFocus('RawData (GH)'!F772)</f>
        <v>0</v>
      </c>
      <c r="I772" t="str">
        <f>getMount('RawData (GH)'!G772)</f>
        <v>Sony A</v>
      </c>
      <c r="J772" t="str">
        <f>getSensorCompatibility('RawData (GH)'!H772)</f>
        <v>APS-C/ Kleinbild</v>
      </c>
      <c r="K772" s="45">
        <f>getWeightAsDouble('RawData (GH)'!I772)</f>
        <v>520</v>
      </c>
      <c r="L772" s="34">
        <f>getSizeDiameter('RawData (GH)'!J772)</f>
        <v>81.599999999999994</v>
      </c>
      <c r="M772" s="34">
        <f>getSizeLength('RawData (GH)'!J772)</f>
        <v>72.2</v>
      </c>
    </row>
    <row r="773" spans="1:13" x14ac:dyDescent="0.25">
      <c r="A773" t="str">
        <f>'RawData (GH)'!A773</f>
        <v>Samyang 12mm T3.1 VDSLR ED AS NCS Fisheye für Sony E schwarz</v>
      </c>
      <c r="B773" s="5">
        <f>getFocalLengthStart('RawData (GH)'!B773)</f>
        <v>12</v>
      </c>
      <c r="C773" s="5">
        <f>getFocalLengthEnd('RawData (GH)'!B773)</f>
        <v>12</v>
      </c>
      <c r="D773" s="9">
        <f>getApertureStart('RawData (GH)'!C773)</f>
        <v>3.1</v>
      </c>
      <c r="E773" s="9">
        <f>getApertureEnd('RawData (GH)'!C773)</f>
        <v>3.1</v>
      </c>
      <c r="F773" s="2">
        <f>getFiltersizeAsDouble('RawData (GH)'!D773)</f>
        <v>0</v>
      </c>
      <c r="G773" s="35">
        <f>getMagnification('RawData (GH)'!E773)</f>
        <v>0</v>
      </c>
      <c r="H773" s="62">
        <f>getMinimalFocus('RawData (GH)'!F773)</f>
        <v>0</v>
      </c>
      <c r="I773" t="str">
        <f>getMount('RawData (GH)'!G773)</f>
        <v>Sony E</v>
      </c>
      <c r="J773" t="str">
        <f>getSensorCompatibility('RawData (GH)'!H773)</f>
        <v>APS-C/ Kleinbild</v>
      </c>
      <c r="K773" s="45">
        <f>getWeightAsDouble('RawData (GH)'!I773)</f>
        <v>535</v>
      </c>
      <c r="L773" s="34">
        <f>getSizeDiameter('RawData (GH)'!J773)</f>
        <v>81.599999999999994</v>
      </c>
      <c r="M773" s="34">
        <f>getSizeLength('RawData (GH)'!J773)</f>
        <v>98.7</v>
      </c>
    </row>
    <row r="774" spans="1:13" x14ac:dyDescent="0.25">
      <c r="A774" t="str">
        <f>'RawData (GH)'!A774</f>
        <v>Samyang 135mm 2.0 ED UMC für Canon EF schwarz</v>
      </c>
      <c r="B774" s="5">
        <f>getFocalLengthStart('RawData (GH)'!B774)</f>
        <v>135</v>
      </c>
      <c r="C774" s="5">
        <f>getFocalLengthEnd('RawData (GH)'!B774)</f>
        <v>135</v>
      </c>
      <c r="D774" s="9">
        <f>getApertureStart('RawData (GH)'!C774)</f>
        <v>2</v>
      </c>
      <c r="E774" s="9">
        <f>getApertureEnd('RawData (GH)'!C774)</f>
        <v>2</v>
      </c>
      <c r="F774" s="2">
        <f>getFiltersizeAsDouble('RawData (GH)'!D774)</f>
        <v>77</v>
      </c>
      <c r="G774" s="35">
        <f>getMagnification('RawData (GH)'!E774)</f>
        <v>0</v>
      </c>
      <c r="H774" s="62">
        <f>getMinimalFocus('RawData (GH)'!F774)</f>
        <v>0</v>
      </c>
      <c r="I774" t="str">
        <f>getMount('RawData (GH)'!G774)</f>
        <v>Canon EF</v>
      </c>
      <c r="J774" t="str">
        <f>getSensorCompatibility('RawData (GH)'!H774)</f>
        <v>APS-C/ Kleinbild</v>
      </c>
      <c r="K774" s="45">
        <f>getWeightAsDouble('RawData (GH)'!I774)</f>
        <v>830</v>
      </c>
      <c r="L774" s="34">
        <f>getSizeDiameter('RawData (GH)'!J774)</f>
        <v>82</v>
      </c>
      <c r="M774" s="34">
        <f>getSizeLength('RawData (GH)'!J774)</f>
        <v>122</v>
      </c>
    </row>
    <row r="775" spans="1:13" x14ac:dyDescent="0.25">
      <c r="A775" t="str">
        <f>'RawData (GH)'!A775</f>
        <v>Samyang 135mm 2.0 ED UMC für Canon EF-M schwarz</v>
      </c>
      <c r="B775" s="5">
        <f>getFocalLengthStart('RawData (GH)'!B775)</f>
        <v>135</v>
      </c>
      <c r="C775" s="5">
        <f>getFocalLengthEnd('RawData (GH)'!B775)</f>
        <v>135</v>
      </c>
      <c r="D775" s="9">
        <f>getApertureStart('RawData (GH)'!C775)</f>
        <v>2</v>
      </c>
      <c r="E775" s="9">
        <f>getApertureEnd('RawData (GH)'!C775)</f>
        <v>2</v>
      </c>
      <c r="F775" s="2">
        <f>getFiltersizeAsDouble('RawData (GH)'!D775)</f>
        <v>77</v>
      </c>
      <c r="G775" s="35">
        <f>getMagnification('RawData (GH)'!E775)</f>
        <v>0</v>
      </c>
      <c r="H775" s="62">
        <f>getMinimalFocus('RawData (GH)'!F775)</f>
        <v>0</v>
      </c>
      <c r="I775" t="str">
        <f>getMount('RawData (GH)'!G775)</f>
        <v>Canon EF-M</v>
      </c>
      <c r="J775" t="str">
        <f>getSensorCompatibility('RawData (GH)'!H775)</f>
        <v>APS-C</v>
      </c>
      <c r="K775" s="45">
        <f>getWeightAsDouble('RawData (GH)'!I775)</f>
        <v>840</v>
      </c>
      <c r="L775" s="34">
        <f>getSizeDiameter('RawData (GH)'!J775)</f>
        <v>82</v>
      </c>
      <c r="M775" s="34">
        <f>getSizeLength('RawData (GH)'!J775)</f>
        <v>148</v>
      </c>
    </row>
    <row r="776" spans="1:13" x14ac:dyDescent="0.25">
      <c r="A776" t="str">
        <f>'RawData (GH)'!A776</f>
        <v>Samyang 135mm 2.0 ED UMC für Four-Thirds schwarz</v>
      </c>
      <c r="B776" s="5">
        <f>getFocalLengthStart('RawData (GH)'!B776)</f>
        <v>135</v>
      </c>
      <c r="C776" s="5">
        <f>getFocalLengthEnd('RawData (GH)'!B776)</f>
        <v>135</v>
      </c>
      <c r="D776" s="9">
        <f>getApertureStart('RawData (GH)'!C776)</f>
        <v>2</v>
      </c>
      <c r="E776" s="9">
        <f>getApertureEnd('RawData (GH)'!C776)</f>
        <v>2</v>
      </c>
      <c r="F776" s="2">
        <f>getFiltersizeAsDouble('RawData (GH)'!D776)</f>
        <v>77</v>
      </c>
      <c r="G776" s="35">
        <f>getMagnification('RawData (GH)'!E776)</f>
        <v>0</v>
      </c>
      <c r="H776" s="62">
        <f>getMinimalFocus('RawData (GH)'!F776)</f>
        <v>0</v>
      </c>
      <c r="I776" t="str">
        <f>getMount('RawData (GH)'!G776)</f>
        <v>Four-Thirds</v>
      </c>
      <c r="J776" t="str">
        <f>getSensorCompatibility('RawData (GH)'!H776)</f>
        <v>Four-Thirds</v>
      </c>
      <c r="K776" s="45">
        <f>getWeightAsDouble('RawData (GH)'!I776)</f>
        <v>845</v>
      </c>
      <c r="L776" s="34">
        <f>getSizeDiameter('RawData (GH)'!J776)</f>
        <v>82</v>
      </c>
      <c r="M776" s="34">
        <f>getSizeLength('RawData (GH)'!J776)</f>
        <v>127</v>
      </c>
    </row>
    <row r="777" spans="1:13" x14ac:dyDescent="0.25">
      <c r="A777" t="str">
        <f>'RawData (GH)'!A777</f>
        <v>Samyang 135mm 2.0 ED UMC für Fujifilm X schwarz</v>
      </c>
      <c r="B777" s="5">
        <f>getFocalLengthStart('RawData (GH)'!B777)</f>
        <v>135</v>
      </c>
      <c r="C777" s="5">
        <f>getFocalLengthEnd('RawData (GH)'!B777)</f>
        <v>135</v>
      </c>
      <c r="D777" s="9">
        <f>getApertureStart('RawData (GH)'!C777)</f>
        <v>2</v>
      </c>
      <c r="E777" s="9">
        <f>getApertureEnd('RawData (GH)'!C777)</f>
        <v>2</v>
      </c>
      <c r="F777" s="2">
        <f>getFiltersizeAsDouble('RawData (GH)'!D777)</f>
        <v>77</v>
      </c>
      <c r="G777" s="35">
        <f>getMagnification('RawData (GH)'!E777)</f>
        <v>0</v>
      </c>
      <c r="H777" s="62">
        <f>getMinimalFocus('RawData (GH)'!F777)</f>
        <v>0</v>
      </c>
      <c r="I777" t="str">
        <f>getMount('RawData (GH)'!G777)</f>
        <v>Fujifilm X</v>
      </c>
      <c r="J777" t="str">
        <f>getSensorCompatibility('RawData (GH)'!H777)</f>
        <v>APS-C</v>
      </c>
      <c r="K777" s="45">
        <f>getWeightAsDouble('RawData (GH)'!I777)</f>
        <v>880</v>
      </c>
      <c r="L777" s="34">
        <f>getSizeDiameter('RawData (GH)'!J777)</f>
        <v>82</v>
      </c>
      <c r="M777" s="34">
        <f>getSizeLength('RawData (GH)'!J777)</f>
        <v>148</v>
      </c>
    </row>
    <row r="778" spans="1:13" x14ac:dyDescent="0.25">
      <c r="A778" t="str">
        <f>'RawData (GH)'!A778</f>
        <v>Samyang 135mm 2.0 ED UMC für Micro-Four-Thirds schwarz</v>
      </c>
      <c r="B778" s="5">
        <f>getFocalLengthStart('RawData (GH)'!B778)</f>
        <v>135</v>
      </c>
      <c r="C778" s="5">
        <f>getFocalLengthEnd('RawData (GH)'!B778)</f>
        <v>135</v>
      </c>
      <c r="D778" s="9">
        <f>getApertureStart('RawData (GH)'!C778)</f>
        <v>2</v>
      </c>
      <c r="E778" s="9">
        <f>getApertureEnd('RawData (GH)'!C778)</f>
        <v>2</v>
      </c>
      <c r="F778" s="2">
        <f>getFiltersizeAsDouble('RawData (GH)'!D778)</f>
        <v>77</v>
      </c>
      <c r="G778" s="35">
        <f>getMagnification('RawData (GH)'!E778)</f>
        <v>0</v>
      </c>
      <c r="H778" s="62">
        <f>getMinimalFocus('RawData (GH)'!F778)</f>
        <v>0</v>
      </c>
      <c r="I778" t="str">
        <f>getMount('RawData (GH)'!G778)</f>
        <v>Micro-Four-Thirds</v>
      </c>
      <c r="J778" t="str">
        <f>getSensorCompatibility('RawData (GH)'!H778)</f>
        <v>Four-Thirds</v>
      </c>
      <c r="K778" s="45">
        <f>getWeightAsDouble('RawData (GH)'!I778)</f>
        <v>835</v>
      </c>
      <c r="L778" s="34">
        <f>getSizeDiameter('RawData (GH)'!J778)</f>
        <v>82</v>
      </c>
      <c r="M778" s="34">
        <f>getSizeLength('RawData (GH)'!J778)</f>
        <v>147</v>
      </c>
    </row>
    <row r="779" spans="1:13" x14ac:dyDescent="0.25">
      <c r="A779" t="str">
        <f>'RawData (GH)'!A779</f>
        <v>Samyang 135mm 2.0 ED UMC für Nikon F schwarz</v>
      </c>
      <c r="B779" s="5">
        <f>getFocalLengthStart('RawData (GH)'!B779)</f>
        <v>135</v>
      </c>
      <c r="C779" s="5">
        <f>getFocalLengthEnd('RawData (GH)'!B779)</f>
        <v>135</v>
      </c>
      <c r="D779" s="9">
        <f>getApertureStart('RawData (GH)'!C779)</f>
        <v>2</v>
      </c>
      <c r="E779" s="9">
        <f>getApertureEnd('RawData (GH)'!C779)</f>
        <v>2</v>
      </c>
      <c r="F779" s="2">
        <f>getFiltersizeAsDouble('RawData (GH)'!D779)</f>
        <v>77</v>
      </c>
      <c r="G779" s="35">
        <f>getMagnification('RawData (GH)'!E779)</f>
        <v>0</v>
      </c>
      <c r="H779" s="62">
        <f>getMinimalFocus('RawData (GH)'!F779)</f>
        <v>0</v>
      </c>
      <c r="I779" t="str">
        <f>getMount('RawData (GH)'!G779)</f>
        <v>Nikon F</v>
      </c>
      <c r="J779" t="str">
        <f>getSensorCompatibility('RawData (GH)'!H779)</f>
        <v>APS-C/ Kleinbild</v>
      </c>
      <c r="K779" s="45">
        <f>getWeightAsDouble('RawData (GH)'!I779)</f>
        <v>815</v>
      </c>
      <c r="L779" s="34">
        <f>getSizeDiameter('RawData (GH)'!J779)</f>
        <v>82</v>
      </c>
      <c r="M779" s="34">
        <f>getSizeLength('RawData (GH)'!J779)</f>
        <v>120</v>
      </c>
    </row>
    <row r="780" spans="1:13" x14ac:dyDescent="0.25">
      <c r="A780" t="str">
        <f>'RawData (GH)'!A780</f>
        <v>Samyang 135mm 2.0 ED UMC für Pentax K schwarz</v>
      </c>
      <c r="B780" s="5">
        <f>getFocalLengthStart('RawData (GH)'!B780)</f>
        <v>135</v>
      </c>
      <c r="C780" s="5">
        <f>getFocalLengthEnd('RawData (GH)'!B780)</f>
        <v>135</v>
      </c>
      <c r="D780" s="9">
        <f>getApertureStart('RawData (GH)'!C780)</f>
        <v>2</v>
      </c>
      <c r="E780" s="9">
        <f>getApertureEnd('RawData (GH)'!C780)</f>
        <v>2</v>
      </c>
      <c r="F780" s="2">
        <f>getFiltersizeAsDouble('RawData (GH)'!D780)</f>
        <v>77</v>
      </c>
      <c r="G780" s="35">
        <f>getMagnification('RawData (GH)'!E780)</f>
        <v>0</v>
      </c>
      <c r="H780" s="62">
        <f>getMinimalFocus('RawData (GH)'!F780)</f>
        <v>0</v>
      </c>
      <c r="I780" t="str">
        <f>getMount('RawData (GH)'!G780)</f>
        <v>Pentax K</v>
      </c>
      <c r="J780" t="str">
        <f>getSensorCompatibility('RawData (GH)'!H780)</f>
        <v>APS-C/ Kleinbild</v>
      </c>
      <c r="K780" s="45">
        <f>getWeightAsDouble('RawData (GH)'!I780)</f>
        <v>820</v>
      </c>
      <c r="L780" s="34">
        <f>getSizeDiameter('RawData (GH)'!J780)</f>
        <v>82</v>
      </c>
      <c r="M780" s="34">
        <f>getSizeLength('RawData (GH)'!J780)</f>
        <v>121</v>
      </c>
    </row>
    <row r="781" spans="1:13" x14ac:dyDescent="0.25">
      <c r="A781" t="str">
        <f>'RawData (GH)'!A781</f>
        <v>Samyang 135mm 2.0 ED UMC für Sony A schwarz</v>
      </c>
      <c r="B781" s="5">
        <f>getFocalLengthStart('RawData (GH)'!B781)</f>
        <v>135</v>
      </c>
      <c r="C781" s="5">
        <f>getFocalLengthEnd('RawData (GH)'!B781)</f>
        <v>135</v>
      </c>
      <c r="D781" s="9">
        <f>getApertureStart('RawData (GH)'!C781)</f>
        <v>2</v>
      </c>
      <c r="E781" s="9">
        <f>getApertureEnd('RawData (GH)'!C781)</f>
        <v>2</v>
      </c>
      <c r="F781" s="2">
        <f>getFiltersizeAsDouble('RawData (GH)'!D781)</f>
        <v>77</v>
      </c>
      <c r="G781" s="35">
        <f>getMagnification('RawData (GH)'!E781)</f>
        <v>0</v>
      </c>
      <c r="H781" s="62">
        <f>getMinimalFocus('RawData (GH)'!F781)</f>
        <v>0</v>
      </c>
      <c r="I781" t="str">
        <f>getMount('RawData (GH)'!G781)</f>
        <v>Sony A</v>
      </c>
      <c r="J781" t="str">
        <f>getSensorCompatibility('RawData (GH)'!H781)</f>
        <v>APS-C/ Kleinbild</v>
      </c>
      <c r="K781" s="45">
        <f>getWeightAsDouble('RawData (GH)'!I781)</f>
        <v>825</v>
      </c>
      <c r="L781" s="34">
        <f>getSizeDiameter('RawData (GH)'!J781)</f>
        <v>82</v>
      </c>
      <c r="M781" s="34">
        <f>getSizeLength('RawData (GH)'!J781)</f>
        <v>122</v>
      </c>
    </row>
    <row r="782" spans="1:13" x14ac:dyDescent="0.25">
      <c r="A782" t="str">
        <f>'RawData (GH)'!A782</f>
        <v>Samyang 135mm 2.0 ED UMC für Sony E schwarz</v>
      </c>
      <c r="B782" s="5">
        <f>getFocalLengthStart('RawData (GH)'!B782)</f>
        <v>135</v>
      </c>
      <c r="C782" s="5">
        <f>getFocalLengthEnd('RawData (GH)'!B782)</f>
        <v>135</v>
      </c>
      <c r="D782" s="9">
        <f>getApertureStart('RawData (GH)'!C782)</f>
        <v>2</v>
      </c>
      <c r="E782" s="9">
        <f>getApertureEnd('RawData (GH)'!C782)</f>
        <v>2</v>
      </c>
      <c r="F782" s="2">
        <f>getFiltersizeAsDouble('RawData (GH)'!D782)</f>
        <v>77</v>
      </c>
      <c r="G782" s="35">
        <f>getMagnification('RawData (GH)'!E782)</f>
        <v>0</v>
      </c>
      <c r="H782" s="62">
        <f>getMinimalFocus('RawData (GH)'!F782)</f>
        <v>0</v>
      </c>
      <c r="I782" t="str">
        <f>getMount('RawData (GH)'!G782)</f>
        <v>Sony E</v>
      </c>
      <c r="J782" t="str">
        <f>getSensorCompatibility('RawData (GH)'!H782)</f>
        <v>APS-C/ Kleinbild</v>
      </c>
      <c r="K782" s="45">
        <f>getWeightAsDouble('RawData (GH)'!I782)</f>
        <v>840</v>
      </c>
      <c r="L782" s="34">
        <f>getSizeDiameter('RawData (GH)'!J782)</f>
        <v>82</v>
      </c>
      <c r="M782" s="34">
        <f>getSizeLength('RawData (GH)'!J782)</f>
        <v>148</v>
      </c>
    </row>
    <row r="783" spans="1:13" x14ac:dyDescent="0.25">
      <c r="A783" t="str">
        <f>'RawData (GH)'!A783</f>
        <v>Samyang 135mm T2.2 VDSLR ED UMC für Canon EF schwarz</v>
      </c>
      <c r="B783" s="5">
        <f>getFocalLengthStart('RawData (GH)'!B783)</f>
        <v>135</v>
      </c>
      <c r="C783" s="5">
        <f>getFocalLengthEnd('RawData (GH)'!B783)</f>
        <v>135</v>
      </c>
      <c r="D783" s="9">
        <f>getApertureStart('RawData (GH)'!C783)</f>
        <v>2.2000000000000002</v>
      </c>
      <c r="E783" s="9">
        <f>getApertureEnd('RawData (GH)'!C783)</f>
        <v>2.2000000000000002</v>
      </c>
      <c r="F783" s="2">
        <f>getFiltersizeAsDouble('RawData (GH)'!D783)</f>
        <v>77</v>
      </c>
      <c r="G783" s="35">
        <f>getMagnification('RawData (GH)'!E783)</f>
        <v>0</v>
      </c>
      <c r="H783" s="62">
        <f>getMinimalFocus('RawData (GH)'!F783)</f>
        <v>0</v>
      </c>
      <c r="I783" t="str">
        <f>getMount('RawData (GH)'!G783)</f>
        <v>Canon EF</v>
      </c>
      <c r="J783" t="str">
        <f>getSensorCompatibility('RawData (GH)'!H783)</f>
        <v>APS-C/ Kleinbild</v>
      </c>
      <c r="K783" s="45">
        <f>getWeightAsDouble('RawData (GH)'!I783)</f>
        <v>835</v>
      </c>
      <c r="L783" s="34">
        <f>getSizeDiameter('RawData (GH)'!J783)</f>
        <v>82</v>
      </c>
      <c r="M783" s="34">
        <f>getSizeLength('RawData (GH)'!J783)</f>
        <v>122</v>
      </c>
    </row>
    <row r="784" spans="1:13" x14ac:dyDescent="0.25">
      <c r="A784" t="str">
        <f>'RawData (GH)'!A784</f>
        <v>Samyang 135mm T2.2 VDSLR ED UMC für Four-Thirds schwarz</v>
      </c>
      <c r="B784" s="5">
        <f>getFocalLengthStart('RawData (GH)'!B784)</f>
        <v>135</v>
      </c>
      <c r="C784" s="5">
        <f>getFocalLengthEnd('RawData (GH)'!B784)</f>
        <v>135</v>
      </c>
      <c r="D784" s="9">
        <f>getApertureStart('RawData (GH)'!C784)</f>
        <v>2.2000000000000002</v>
      </c>
      <c r="E784" s="9">
        <f>getApertureEnd('RawData (GH)'!C784)</f>
        <v>2.2000000000000002</v>
      </c>
      <c r="F784" s="2">
        <f>getFiltersizeAsDouble('RawData (GH)'!D784)</f>
        <v>77</v>
      </c>
      <c r="G784" s="35">
        <f>getMagnification('RawData (GH)'!E784)</f>
        <v>0</v>
      </c>
      <c r="H784" s="62">
        <f>getMinimalFocus('RawData (GH)'!F784)</f>
        <v>0</v>
      </c>
      <c r="I784" t="str">
        <f>getMount('RawData (GH)'!G784)</f>
        <v>Four-Thirds</v>
      </c>
      <c r="J784" t="str">
        <f>getSensorCompatibility('RawData (GH)'!H784)</f>
        <v>Four-Thirds</v>
      </c>
      <c r="K784" s="45">
        <f>getWeightAsDouble('RawData (GH)'!I784)</f>
        <v>850</v>
      </c>
      <c r="L784" s="34">
        <f>getSizeDiameter('RawData (GH)'!J784)</f>
        <v>82</v>
      </c>
      <c r="M784" s="34">
        <f>getSizeLength('RawData (GH)'!J784)</f>
        <v>127</v>
      </c>
    </row>
    <row r="785" spans="1:13" x14ac:dyDescent="0.25">
      <c r="A785" t="str">
        <f>'RawData (GH)'!A785</f>
        <v>Samyang 135mm T2.2 VDSLR ED UMC für Fujifilm X schwarz</v>
      </c>
      <c r="B785" s="5">
        <f>getFocalLengthStart('RawData (GH)'!B785)</f>
        <v>135</v>
      </c>
      <c r="C785" s="5">
        <f>getFocalLengthEnd('RawData (GH)'!B785)</f>
        <v>135</v>
      </c>
      <c r="D785" s="9">
        <f>getApertureStart('RawData (GH)'!C785)</f>
        <v>2.2000000000000002</v>
      </c>
      <c r="E785" s="9">
        <f>getApertureEnd('RawData (GH)'!C785)</f>
        <v>2.2000000000000002</v>
      </c>
      <c r="F785" s="2">
        <f>getFiltersizeAsDouble('RawData (GH)'!D785)</f>
        <v>77</v>
      </c>
      <c r="G785" s="35">
        <f>getMagnification('RawData (GH)'!E785)</f>
        <v>0</v>
      </c>
      <c r="H785" s="62">
        <f>getMinimalFocus('RawData (GH)'!F785)</f>
        <v>0</v>
      </c>
      <c r="I785" t="str">
        <f>getMount('RawData (GH)'!G785)</f>
        <v>Fujifilm X</v>
      </c>
      <c r="J785" t="str">
        <f>getSensorCompatibility('RawData (GH)'!H785)</f>
        <v>APS-C</v>
      </c>
      <c r="K785" s="45">
        <f>getWeightAsDouble('RawData (GH)'!I785)</f>
        <v>885</v>
      </c>
      <c r="L785" s="34">
        <f>getSizeDiameter('RawData (GH)'!J785)</f>
        <v>82</v>
      </c>
      <c r="M785" s="34">
        <f>getSizeLength('RawData (GH)'!J785)</f>
        <v>148</v>
      </c>
    </row>
    <row r="786" spans="1:13" x14ac:dyDescent="0.25">
      <c r="A786" t="str">
        <f>'RawData (GH)'!A786</f>
        <v>Samyang 135mm T2.2 VDSLR ED UMC für Micro-Four-Thirds schwarz</v>
      </c>
      <c r="B786" s="5">
        <f>getFocalLengthStart('RawData (GH)'!B786)</f>
        <v>135</v>
      </c>
      <c r="C786" s="5">
        <f>getFocalLengthEnd('RawData (GH)'!B786)</f>
        <v>135</v>
      </c>
      <c r="D786" s="9">
        <f>getApertureStart('RawData (GH)'!C786)</f>
        <v>2.2000000000000002</v>
      </c>
      <c r="E786" s="9">
        <f>getApertureEnd('RawData (GH)'!C786)</f>
        <v>2.2000000000000002</v>
      </c>
      <c r="F786" s="2">
        <f>getFiltersizeAsDouble('RawData (GH)'!D786)</f>
        <v>77</v>
      </c>
      <c r="G786" s="35">
        <f>getMagnification('RawData (GH)'!E786)</f>
        <v>0</v>
      </c>
      <c r="H786" s="62">
        <f>getMinimalFocus('RawData (GH)'!F786)</f>
        <v>0</v>
      </c>
      <c r="I786" t="str">
        <f>getMount('RawData (GH)'!G786)</f>
        <v>Micro-Four-Thirds</v>
      </c>
      <c r="J786" t="str">
        <f>getSensorCompatibility('RawData (GH)'!H786)</f>
        <v>Four-Thirds</v>
      </c>
      <c r="K786" s="45">
        <f>getWeightAsDouble('RawData (GH)'!I786)</f>
        <v>840</v>
      </c>
      <c r="L786" s="34">
        <f>getSizeDiameter('RawData (GH)'!J786)</f>
        <v>82</v>
      </c>
      <c r="M786" s="34">
        <f>getSizeLength('RawData (GH)'!J786)</f>
        <v>147</v>
      </c>
    </row>
    <row r="787" spans="1:13" x14ac:dyDescent="0.25">
      <c r="A787" t="str">
        <f>'RawData (GH)'!A787</f>
        <v>Samyang 135mm T2.2 VDSLR ED UMC für Nikon F schwarz</v>
      </c>
      <c r="B787" s="5">
        <f>getFocalLengthStart('RawData (GH)'!B787)</f>
        <v>135</v>
      </c>
      <c r="C787" s="5">
        <f>getFocalLengthEnd('RawData (GH)'!B787)</f>
        <v>135</v>
      </c>
      <c r="D787" s="9">
        <f>getApertureStart('RawData (GH)'!C787)</f>
        <v>2.2000000000000002</v>
      </c>
      <c r="E787" s="9">
        <f>getApertureEnd('RawData (GH)'!C787)</f>
        <v>2.2000000000000002</v>
      </c>
      <c r="F787" s="2">
        <f>getFiltersizeAsDouble('RawData (GH)'!D787)</f>
        <v>77</v>
      </c>
      <c r="G787" s="35">
        <f>getMagnification('RawData (GH)'!E787)</f>
        <v>0</v>
      </c>
      <c r="H787" s="62">
        <f>getMinimalFocus('RawData (GH)'!F787)</f>
        <v>0</v>
      </c>
      <c r="I787" t="str">
        <f>getMount('RawData (GH)'!G787)</f>
        <v>Nikon F</v>
      </c>
      <c r="J787" t="str">
        <f>getSensorCompatibility('RawData (GH)'!H787)</f>
        <v>APS-C/ Kleinbild</v>
      </c>
      <c r="K787" s="45">
        <f>getWeightAsDouble('RawData (GH)'!I787)</f>
        <v>820</v>
      </c>
      <c r="L787" s="34">
        <f>getSizeDiameter('RawData (GH)'!J787)</f>
        <v>82</v>
      </c>
      <c r="M787" s="34">
        <f>getSizeLength('RawData (GH)'!J787)</f>
        <v>120</v>
      </c>
    </row>
    <row r="788" spans="1:13" x14ac:dyDescent="0.25">
      <c r="A788" t="str">
        <f>'RawData (GH)'!A788</f>
        <v>Samyang 135mm T2.2 VDSLR ED UMC für Pentax K schwarz</v>
      </c>
      <c r="B788" s="5">
        <f>getFocalLengthStart('RawData (GH)'!B788)</f>
        <v>135</v>
      </c>
      <c r="C788" s="5">
        <f>getFocalLengthEnd('RawData (GH)'!B788)</f>
        <v>135</v>
      </c>
      <c r="D788" s="9">
        <f>getApertureStart('RawData (GH)'!C788)</f>
        <v>2.2000000000000002</v>
      </c>
      <c r="E788" s="9">
        <f>getApertureEnd('RawData (GH)'!C788)</f>
        <v>2.2000000000000002</v>
      </c>
      <c r="F788" s="2">
        <f>getFiltersizeAsDouble('RawData (GH)'!D788)</f>
        <v>77</v>
      </c>
      <c r="G788" s="35">
        <f>getMagnification('RawData (GH)'!E788)</f>
        <v>0</v>
      </c>
      <c r="H788" s="62">
        <f>getMinimalFocus('RawData (GH)'!F788)</f>
        <v>0</v>
      </c>
      <c r="I788" t="str">
        <f>getMount('RawData (GH)'!G788)</f>
        <v>Pentax K</v>
      </c>
      <c r="J788" t="str">
        <f>getSensorCompatibility('RawData (GH)'!H788)</f>
        <v>APS-C/ Kleinbild</v>
      </c>
      <c r="K788" s="45">
        <f>getWeightAsDouble('RawData (GH)'!I788)</f>
        <v>825</v>
      </c>
      <c r="L788" s="34">
        <f>getSizeDiameter('RawData (GH)'!J788)</f>
        <v>82</v>
      </c>
      <c r="M788" s="34">
        <f>getSizeLength('RawData (GH)'!J788)</f>
        <v>121</v>
      </c>
    </row>
    <row r="789" spans="1:13" x14ac:dyDescent="0.25">
      <c r="A789" t="str">
        <f>'RawData (GH)'!A789</f>
        <v>Samyang 135mm T2.2 VDSLR ED UMC für Sony A schwarz</v>
      </c>
      <c r="B789" s="5">
        <f>getFocalLengthStart('RawData (GH)'!B789)</f>
        <v>135</v>
      </c>
      <c r="C789" s="5">
        <f>getFocalLengthEnd('RawData (GH)'!B789)</f>
        <v>135</v>
      </c>
      <c r="D789" s="9">
        <f>getApertureStart('RawData (GH)'!C789)</f>
        <v>2.2000000000000002</v>
      </c>
      <c r="E789" s="9">
        <f>getApertureEnd('RawData (GH)'!C789)</f>
        <v>2.2000000000000002</v>
      </c>
      <c r="F789" s="2">
        <f>getFiltersizeAsDouble('RawData (GH)'!D789)</f>
        <v>77</v>
      </c>
      <c r="G789" s="35">
        <f>getMagnification('RawData (GH)'!E789)</f>
        <v>0</v>
      </c>
      <c r="H789" s="62">
        <f>getMinimalFocus('RawData (GH)'!F789)</f>
        <v>0</v>
      </c>
      <c r="I789" t="str">
        <f>getMount('RawData (GH)'!G789)</f>
        <v>Sony A</v>
      </c>
      <c r="J789" t="str">
        <f>getSensorCompatibility('RawData (GH)'!H789)</f>
        <v>APS-C/ Kleinbild</v>
      </c>
      <c r="K789" s="45">
        <f>getWeightAsDouble('RawData (GH)'!I789)</f>
        <v>830</v>
      </c>
      <c r="L789" s="34">
        <f>getSizeDiameter('RawData (GH)'!J789)</f>
        <v>82</v>
      </c>
      <c r="M789" s="34">
        <f>getSizeLength('RawData (GH)'!J789)</f>
        <v>122</v>
      </c>
    </row>
    <row r="790" spans="1:13" x14ac:dyDescent="0.25">
      <c r="A790" t="str">
        <f>'RawData (GH)'!A790</f>
        <v>Samyang 135mm T2.2 VDSLR ED UMC für Sony E schwarz</v>
      </c>
      <c r="B790" s="5">
        <f>getFocalLengthStart('RawData (GH)'!B790)</f>
        <v>135</v>
      </c>
      <c r="C790" s="5">
        <f>getFocalLengthEnd('RawData (GH)'!B790)</f>
        <v>135</v>
      </c>
      <c r="D790" s="9">
        <f>getApertureStart('RawData (GH)'!C790)</f>
        <v>2.2000000000000002</v>
      </c>
      <c r="E790" s="9">
        <f>getApertureEnd('RawData (GH)'!C790)</f>
        <v>2.2000000000000002</v>
      </c>
      <c r="F790" s="2">
        <f>getFiltersizeAsDouble('RawData (GH)'!D790)</f>
        <v>77</v>
      </c>
      <c r="G790" s="35">
        <f>getMagnification('RawData (GH)'!E790)</f>
        <v>0</v>
      </c>
      <c r="H790" s="62">
        <f>getMinimalFocus('RawData (GH)'!F790)</f>
        <v>0</v>
      </c>
      <c r="I790" t="str">
        <f>getMount('RawData (GH)'!G790)</f>
        <v>Sony E</v>
      </c>
      <c r="J790" t="str">
        <f>getSensorCompatibility('RawData (GH)'!H790)</f>
        <v>APS-C/ Kleinbild</v>
      </c>
      <c r="K790" s="45">
        <f>getWeightAsDouble('RawData (GH)'!I790)</f>
        <v>845</v>
      </c>
      <c r="L790" s="34">
        <f>getSizeDiameter('RawData (GH)'!J790)</f>
        <v>82</v>
      </c>
      <c r="M790" s="34">
        <f>getSizeLength('RawData (GH)'!J790)</f>
        <v>148</v>
      </c>
    </row>
    <row r="791" spans="1:13" x14ac:dyDescent="0.25">
      <c r="A791" t="str">
        <f>'RawData (GH)'!A791</f>
        <v>Samyang 14mm 2.8 Asph IF ED MC für Canon EF schwarz</v>
      </c>
      <c r="B791" s="5">
        <f>getFocalLengthStart('RawData (GH)'!B791)</f>
        <v>14</v>
      </c>
      <c r="C791" s="5">
        <f>getFocalLengthEnd('RawData (GH)'!B791)</f>
        <v>14</v>
      </c>
      <c r="D791" s="9">
        <f>getApertureStart('RawData (GH)'!C791)</f>
        <v>2.8</v>
      </c>
      <c r="E791" s="9">
        <f>getApertureEnd('RawData (GH)'!C791)</f>
        <v>2.8</v>
      </c>
      <c r="F791" s="2">
        <f>getFiltersizeAsDouble('RawData (GH)'!D791)</f>
        <v>0</v>
      </c>
      <c r="G791" s="35">
        <f>getMagnification('RawData (GH)'!E791)</f>
        <v>0</v>
      </c>
      <c r="H791" s="62">
        <f>getMinimalFocus('RawData (GH)'!F791)</f>
        <v>0</v>
      </c>
      <c r="I791" t="str">
        <f>getMount('RawData (GH)'!G791)</f>
        <v>Canon EF</v>
      </c>
      <c r="J791" t="str">
        <f>getSensorCompatibility('RawData (GH)'!H791)</f>
        <v>APS-C/ Kleinbild</v>
      </c>
      <c r="K791" s="45">
        <f>getWeightAsDouble('RawData (GH)'!I791)</f>
        <v>0</v>
      </c>
      <c r="L791" s="34">
        <f>getSizeDiameter('RawData (GH)'!J791)</f>
        <v>0</v>
      </c>
      <c r="M791" s="34">
        <f>getSizeLength('RawData (GH)'!J791)</f>
        <v>0</v>
      </c>
    </row>
    <row r="792" spans="1:13" x14ac:dyDescent="0.25">
      <c r="A792" t="str">
        <f>'RawData (GH)'!A792</f>
        <v>Samyang 14mm 2.8 Asph IF ED MC für Pentax K schwarz</v>
      </c>
      <c r="B792" s="5">
        <f>getFocalLengthStart('RawData (GH)'!B792)</f>
        <v>14</v>
      </c>
      <c r="C792" s="5">
        <f>getFocalLengthEnd('RawData (GH)'!B792)</f>
        <v>14</v>
      </c>
      <c r="D792" s="9">
        <f>getApertureStart('RawData (GH)'!C792)</f>
        <v>2.8</v>
      </c>
      <c r="E792" s="9">
        <f>getApertureEnd('RawData (GH)'!C792)</f>
        <v>2.8</v>
      </c>
      <c r="F792" s="2">
        <f>getFiltersizeAsDouble('RawData (GH)'!D792)</f>
        <v>0</v>
      </c>
      <c r="G792" s="35">
        <f>getMagnification('RawData (GH)'!E792)</f>
        <v>0</v>
      </c>
      <c r="H792" s="62">
        <f>getMinimalFocus('RawData (GH)'!F792)</f>
        <v>0</v>
      </c>
      <c r="I792" t="str">
        <f>getMount('RawData (GH)'!G792)</f>
        <v>Pentax K</v>
      </c>
      <c r="J792" t="str">
        <f>getSensorCompatibility('RawData (GH)'!H792)</f>
        <v>APS-C/ Kleinbild</v>
      </c>
      <c r="K792" s="45">
        <f>getWeightAsDouble('RawData (GH)'!I792)</f>
        <v>0</v>
      </c>
      <c r="L792" s="34">
        <f>getSizeDiameter('RawData (GH)'!J792)</f>
        <v>0</v>
      </c>
      <c r="M792" s="34">
        <f>getSizeLength('RawData (GH)'!J792)</f>
        <v>0</v>
      </c>
    </row>
    <row r="793" spans="1:13" x14ac:dyDescent="0.25">
      <c r="A793" t="str">
        <f>'RawData (GH)'!A793</f>
        <v>Samyang 14mm 2.8 Asph IF ED UMC für Canon EF schwarz</v>
      </c>
      <c r="B793" s="5">
        <f>getFocalLengthStart('RawData (GH)'!B793)</f>
        <v>14</v>
      </c>
      <c r="C793" s="5">
        <f>getFocalLengthEnd('RawData (GH)'!B793)</f>
        <v>14</v>
      </c>
      <c r="D793" s="9">
        <f>getApertureStart('RawData (GH)'!C793)</f>
        <v>2.8</v>
      </c>
      <c r="E793" s="9">
        <f>getApertureEnd('RawData (GH)'!C793)</f>
        <v>2.8</v>
      </c>
      <c r="F793" s="2">
        <f>getFiltersizeAsDouble('RawData (GH)'!D793)</f>
        <v>0</v>
      </c>
      <c r="G793" s="35">
        <f>getMagnification('RawData (GH)'!E793)</f>
        <v>0</v>
      </c>
      <c r="H793" s="62">
        <f>getMinimalFocus('RawData (GH)'!F793)</f>
        <v>0</v>
      </c>
      <c r="I793" t="str">
        <f>getMount('RawData (GH)'!G793)</f>
        <v>Canon EF</v>
      </c>
      <c r="J793" t="str">
        <f>getSensorCompatibility('RawData (GH)'!H793)</f>
        <v>APS-C/ Kleinbild</v>
      </c>
      <c r="K793" s="45">
        <f>getWeightAsDouble('RawData (GH)'!I793)</f>
        <v>555</v>
      </c>
      <c r="L793" s="34">
        <f>getSizeDiameter('RawData (GH)'!J793)</f>
        <v>92</v>
      </c>
      <c r="M793" s="34">
        <f>getSizeLength('RawData (GH)'!J793)</f>
        <v>86</v>
      </c>
    </row>
    <row r="794" spans="1:13" x14ac:dyDescent="0.25">
      <c r="A794" t="str">
        <f>'RawData (GH)'!A794</f>
        <v>Samyang 14mm 2.8 Asph IF ED UMC für Four-Thirds schwarz</v>
      </c>
      <c r="B794" s="5">
        <f>getFocalLengthStart('RawData (GH)'!B794)</f>
        <v>14</v>
      </c>
      <c r="C794" s="5">
        <f>getFocalLengthEnd('RawData (GH)'!B794)</f>
        <v>14</v>
      </c>
      <c r="D794" s="9">
        <f>getApertureStart('RawData (GH)'!C794)</f>
        <v>2.8</v>
      </c>
      <c r="E794" s="9">
        <f>getApertureEnd('RawData (GH)'!C794)</f>
        <v>2.8</v>
      </c>
      <c r="F794" s="2">
        <f>getFiltersizeAsDouble('RawData (GH)'!D794)</f>
        <v>0</v>
      </c>
      <c r="G794" s="35">
        <f>getMagnification('RawData (GH)'!E794)</f>
        <v>0</v>
      </c>
      <c r="H794" s="62">
        <f>getMinimalFocus('RawData (GH)'!F794)</f>
        <v>0</v>
      </c>
      <c r="I794" t="str">
        <f>getMount('RawData (GH)'!G794)</f>
        <v>Four-Thirds</v>
      </c>
      <c r="J794" t="str">
        <f>getSensorCompatibility('RawData (GH)'!H794)</f>
        <v>Four-Thirds</v>
      </c>
      <c r="K794" s="45">
        <f>getWeightAsDouble('RawData (GH)'!I794)</f>
        <v>555</v>
      </c>
      <c r="L794" s="34">
        <f>getSizeDiameter('RawData (GH)'!J794)</f>
        <v>92</v>
      </c>
      <c r="M794" s="34">
        <f>getSizeLength('RawData (GH)'!J794)</f>
        <v>86</v>
      </c>
    </row>
    <row r="795" spans="1:13" x14ac:dyDescent="0.25">
      <c r="A795" t="str">
        <f>'RawData (GH)'!A795</f>
        <v>Samyang 14mm 2.8 Asph IF ED UMC für Fujifilm X schwarz</v>
      </c>
      <c r="B795" s="5">
        <f>getFocalLengthStart('RawData (GH)'!B795)</f>
        <v>14</v>
      </c>
      <c r="C795" s="5">
        <f>getFocalLengthEnd('RawData (GH)'!B795)</f>
        <v>14</v>
      </c>
      <c r="D795" s="9">
        <f>getApertureStart('RawData (GH)'!C795)</f>
        <v>2.8</v>
      </c>
      <c r="E795" s="9">
        <f>getApertureEnd('RawData (GH)'!C795)</f>
        <v>2.8</v>
      </c>
      <c r="F795" s="2">
        <f>getFiltersizeAsDouble('RawData (GH)'!D795)</f>
        <v>0</v>
      </c>
      <c r="G795" s="35">
        <f>getMagnification('RawData (GH)'!E795)</f>
        <v>0</v>
      </c>
      <c r="H795" s="62">
        <f>getMinimalFocus('RawData (GH)'!F795)</f>
        <v>0</v>
      </c>
      <c r="I795" t="str">
        <f>getMount('RawData (GH)'!G795)</f>
        <v>Fujifilm X</v>
      </c>
      <c r="J795" t="str">
        <f>getSensorCompatibility('RawData (GH)'!H795)</f>
        <v>APS-C</v>
      </c>
      <c r="K795" s="45">
        <f>getWeightAsDouble('RawData (GH)'!I795)</f>
        <v>575</v>
      </c>
      <c r="L795" s="34">
        <f>getSizeDiameter('RawData (GH)'!J795)</f>
        <v>92</v>
      </c>
      <c r="M795" s="34">
        <f>getSizeLength('RawData (GH)'!J795)</f>
        <v>122.4</v>
      </c>
    </row>
    <row r="796" spans="1:13" x14ac:dyDescent="0.25">
      <c r="A796" t="str">
        <f>'RawData (GH)'!A796</f>
        <v>Samyang 14mm 2.8 Asph IF ED UMC für Micro-Four-Thirds schwarz</v>
      </c>
      <c r="B796" s="5">
        <f>getFocalLengthStart('RawData (GH)'!B796)</f>
        <v>14</v>
      </c>
      <c r="C796" s="5">
        <f>getFocalLengthEnd('RawData (GH)'!B796)</f>
        <v>14</v>
      </c>
      <c r="D796" s="9">
        <f>getApertureStart('RawData (GH)'!C796)</f>
        <v>2.8</v>
      </c>
      <c r="E796" s="9">
        <f>getApertureEnd('RawData (GH)'!C796)</f>
        <v>2.8</v>
      </c>
      <c r="F796" s="2">
        <f>getFiltersizeAsDouble('RawData (GH)'!D796)</f>
        <v>0</v>
      </c>
      <c r="G796" s="35">
        <f>getMagnification('RawData (GH)'!E796)</f>
        <v>0</v>
      </c>
      <c r="H796" s="62">
        <f>getMinimalFocus('RawData (GH)'!F796)</f>
        <v>0</v>
      </c>
      <c r="I796" t="str">
        <f>getMount('RawData (GH)'!G796)</f>
        <v>Micro-Four-Thirds</v>
      </c>
      <c r="J796" t="str">
        <f>getSensorCompatibility('RawData (GH)'!H796)</f>
        <v>Four-Thirds</v>
      </c>
      <c r="K796" s="45">
        <f>getWeightAsDouble('RawData (GH)'!I796)</f>
        <v>570</v>
      </c>
      <c r="L796" s="34">
        <f>getSizeDiameter('RawData (GH)'!J796)</f>
        <v>92</v>
      </c>
      <c r="M796" s="34">
        <f>getSizeLength('RawData (GH)'!J796)</f>
        <v>120.9</v>
      </c>
    </row>
    <row r="797" spans="1:13" x14ac:dyDescent="0.25">
      <c r="A797" t="str">
        <f>'RawData (GH)'!A797</f>
        <v>Samyang 14mm 2.8 Asph IF ED UMC für Nikon F schwarz</v>
      </c>
      <c r="B797" s="5">
        <f>getFocalLengthStart('RawData (GH)'!B797)</f>
        <v>14</v>
      </c>
      <c r="C797" s="5">
        <f>getFocalLengthEnd('RawData (GH)'!B797)</f>
        <v>14</v>
      </c>
      <c r="D797" s="9">
        <f>getApertureStart('RawData (GH)'!C797)</f>
        <v>2.8</v>
      </c>
      <c r="E797" s="9">
        <f>getApertureEnd('RawData (GH)'!C797)</f>
        <v>2.8</v>
      </c>
      <c r="F797" s="2">
        <f>getFiltersizeAsDouble('RawData (GH)'!D797)</f>
        <v>0</v>
      </c>
      <c r="G797" s="35">
        <f>getMagnification('RawData (GH)'!E797)</f>
        <v>0</v>
      </c>
      <c r="H797" s="62">
        <f>getMinimalFocus('RawData (GH)'!F797)</f>
        <v>0</v>
      </c>
      <c r="I797" t="str">
        <f>getMount('RawData (GH)'!G797)</f>
        <v>Nikon F</v>
      </c>
      <c r="J797" t="str">
        <f>getSensorCompatibility('RawData (GH)'!H797)</f>
        <v>APS-C/ Kleinbild</v>
      </c>
      <c r="K797" s="45">
        <f>getWeightAsDouble('RawData (GH)'!I797)</f>
        <v>555</v>
      </c>
      <c r="L797" s="34">
        <f>getSizeDiameter('RawData (GH)'!J797)</f>
        <v>92</v>
      </c>
      <c r="M797" s="34">
        <f>getSizeLength('RawData (GH)'!J797)</f>
        <v>86</v>
      </c>
    </row>
    <row r="798" spans="1:13" x14ac:dyDescent="0.25">
      <c r="A798" t="str">
        <f>'RawData (GH)'!A798</f>
        <v>Samyang 14mm 2.8 Asph IF ED UMC für Pentax K schwarz</v>
      </c>
      <c r="B798" s="5">
        <f>getFocalLengthStart('RawData (GH)'!B798)</f>
        <v>14</v>
      </c>
      <c r="C798" s="5">
        <f>getFocalLengthEnd('RawData (GH)'!B798)</f>
        <v>14</v>
      </c>
      <c r="D798" s="9">
        <f>getApertureStart('RawData (GH)'!C798)</f>
        <v>2.8</v>
      </c>
      <c r="E798" s="9">
        <f>getApertureEnd('RawData (GH)'!C798)</f>
        <v>2.8</v>
      </c>
      <c r="F798" s="2">
        <f>getFiltersizeAsDouble('RawData (GH)'!D798)</f>
        <v>0</v>
      </c>
      <c r="G798" s="35">
        <f>getMagnification('RawData (GH)'!E798)</f>
        <v>0</v>
      </c>
      <c r="H798" s="62">
        <f>getMinimalFocus('RawData (GH)'!F798)</f>
        <v>0</v>
      </c>
      <c r="I798" t="str">
        <f>getMount('RawData (GH)'!G798)</f>
        <v>Pentax K</v>
      </c>
      <c r="J798" t="str">
        <f>getSensorCompatibility('RawData (GH)'!H798)</f>
        <v>APS-C/ Kleinbild</v>
      </c>
      <c r="K798" s="45">
        <f>getWeightAsDouble('RawData (GH)'!I798)</f>
        <v>555</v>
      </c>
      <c r="L798" s="34">
        <f>getSizeDiameter('RawData (GH)'!J798)</f>
        <v>92</v>
      </c>
      <c r="M798" s="34">
        <f>getSizeLength('RawData (GH)'!J798)</f>
        <v>86</v>
      </c>
    </row>
    <row r="799" spans="1:13" x14ac:dyDescent="0.25">
      <c r="A799" t="str">
        <f>'RawData (GH)'!A799</f>
        <v>Samyang 14mm 2.8 Asph IF ED UMC für Samsung NX schwarz</v>
      </c>
      <c r="B799" s="5">
        <f>getFocalLengthStart('RawData (GH)'!B799)</f>
        <v>14</v>
      </c>
      <c r="C799" s="5">
        <f>getFocalLengthEnd('RawData (GH)'!B799)</f>
        <v>14</v>
      </c>
      <c r="D799" s="9">
        <f>getApertureStart('RawData (GH)'!C799)</f>
        <v>2.8</v>
      </c>
      <c r="E799" s="9">
        <f>getApertureEnd('RawData (GH)'!C799)</f>
        <v>2.8</v>
      </c>
      <c r="F799" s="2">
        <f>getFiltersizeAsDouble('RawData (GH)'!D799)</f>
        <v>0</v>
      </c>
      <c r="G799" s="35">
        <f>getMagnification('RawData (GH)'!E799)</f>
        <v>0</v>
      </c>
      <c r="H799" s="62">
        <f>getMinimalFocus('RawData (GH)'!F799)</f>
        <v>0</v>
      </c>
      <c r="I799" t="str">
        <f>getMount('RawData (GH)'!G799)</f>
        <v>Samsung NX</v>
      </c>
      <c r="J799" t="str">
        <f>getSensorCompatibility('RawData (GH)'!H799)</f>
        <v>APS-C</v>
      </c>
      <c r="K799" s="45">
        <f>getWeightAsDouble('RawData (GH)'!I799)</f>
        <v>570</v>
      </c>
      <c r="L799" s="34">
        <f>getSizeDiameter('RawData (GH)'!J799)</f>
        <v>92</v>
      </c>
      <c r="M799" s="34">
        <f>getSizeLength('RawData (GH)'!J799)</f>
        <v>122</v>
      </c>
    </row>
    <row r="800" spans="1:13" x14ac:dyDescent="0.25">
      <c r="A800" t="str">
        <f>'RawData (GH)'!A800</f>
        <v>Samyang 14mm 2.8 Asph IF ED UMC für Sony A schwarz</v>
      </c>
      <c r="B800" s="5">
        <f>getFocalLengthStart('RawData (GH)'!B800)</f>
        <v>14</v>
      </c>
      <c r="C800" s="5">
        <f>getFocalLengthEnd('RawData (GH)'!B800)</f>
        <v>14</v>
      </c>
      <c r="D800" s="9">
        <f>getApertureStart('RawData (GH)'!C800)</f>
        <v>2.8</v>
      </c>
      <c r="E800" s="9">
        <f>getApertureEnd('RawData (GH)'!C800)</f>
        <v>2.8</v>
      </c>
      <c r="F800" s="2">
        <f>getFiltersizeAsDouble('RawData (GH)'!D800)</f>
        <v>0</v>
      </c>
      <c r="G800" s="35">
        <f>getMagnification('RawData (GH)'!E800)</f>
        <v>0</v>
      </c>
      <c r="H800" s="62">
        <f>getMinimalFocus('RawData (GH)'!F800)</f>
        <v>0</v>
      </c>
      <c r="I800" t="str">
        <f>getMount('RawData (GH)'!G800)</f>
        <v>Sony A</v>
      </c>
      <c r="J800" t="str">
        <f>getSensorCompatibility('RawData (GH)'!H800)</f>
        <v>APS-C/ Kleinbild</v>
      </c>
      <c r="K800" s="45">
        <f>getWeightAsDouble('RawData (GH)'!I800)</f>
        <v>555</v>
      </c>
      <c r="L800" s="34">
        <f>getSizeDiameter('RawData (GH)'!J800)</f>
        <v>92</v>
      </c>
      <c r="M800" s="34">
        <f>getSizeLength('RawData (GH)'!J800)</f>
        <v>86</v>
      </c>
    </row>
    <row r="801" spans="1:13" x14ac:dyDescent="0.25">
      <c r="A801" t="str">
        <f>'RawData (GH)'!A801</f>
        <v>Samyang 14mm 2.8 Asph IF ED UMC für Sony E schwarz</v>
      </c>
      <c r="B801" s="5">
        <f>getFocalLengthStart('RawData (GH)'!B801)</f>
        <v>14</v>
      </c>
      <c r="C801" s="5">
        <f>getFocalLengthEnd('RawData (GH)'!B801)</f>
        <v>14</v>
      </c>
      <c r="D801" s="9">
        <f>getApertureStart('RawData (GH)'!C801)</f>
        <v>2.8</v>
      </c>
      <c r="E801" s="9">
        <f>getApertureEnd('RawData (GH)'!C801)</f>
        <v>2.8</v>
      </c>
      <c r="F801" s="2">
        <f>getFiltersizeAsDouble('RawData (GH)'!D801)</f>
        <v>0</v>
      </c>
      <c r="G801" s="35">
        <f>getMagnification('RawData (GH)'!E801)</f>
        <v>0</v>
      </c>
      <c r="H801" s="62">
        <f>getMinimalFocus('RawData (GH)'!F801)</f>
        <v>0</v>
      </c>
      <c r="I801" t="str">
        <f>getMount('RawData (GH)'!G801)</f>
        <v>Sony E</v>
      </c>
      <c r="J801" t="str">
        <f>getSensorCompatibility('RawData (GH)'!H801)</f>
        <v>APS-C/ Kleinbild</v>
      </c>
      <c r="K801" s="45">
        <f>getWeightAsDouble('RawData (GH)'!I801)</f>
        <v>555</v>
      </c>
      <c r="L801" s="34">
        <f>getSizeDiameter('RawData (GH)'!J801)</f>
        <v>92</v>
      </c>
      <c r="M801" s="34">
        <f>getSizeLength('RawData (GH)'!J801)</f>
        <v>86</v>
      </c>
    </row>
    <row r="802" spans="1:13" x14ac:dyDescent="0.25">
      <c r="A802" t="str">
        <f>'RawData (GH)'!A802</f>
        <v>Samyang 14mm 3.1 AS IF UMC VDSLR für Canon EF schwarz</v>
      </c>
      <c r="B802" s="5">
        <f>getFocalLengthStart('RawData (GH)'!B802)</f>
        <v>14</v>
      </c>
      <c r="C802" s="5">
        <f>getFocalLengthEnd('RawData (GH)'!B802)</f>
        <v>14</v>
      </c>
      <c r="D802" s="9">
        <f>getApertureStart('RawData (GH)'!C802)</f>
        <v>3.1</v>
      </c>
      <c r="E802" s="9">
        <f>getApertureEnd('RawData (GH)'!C802)</f>
        <v>3.1</v>
      </c>
      <c r="F802" s="2">
        <f>getFiltersizeAsDouble('RawData (GH)'!D802)</f>
        <v>0</v>
      </c>
      <c r="G802" s="35">
        <f>getMagnification('RawData (GH)'!E802)</f>
        <v>0</v>
      </c>
      <c r="H802" s="62">
        <f>getMinimalFocus('RawData (GH)'!F802)</f>
        <v>0</v>
      </c>
      <c r="I802" t="str">
        <f>getMount('RawData (GH)'!G802)</f>
        <v>Canon EF</v>
      </c>
      <c r="J802" t="str">
        <f>getSensorCompatibility('RawData (GH)'!H802)</f>
        <v>APS-C/ Kleinbild</v>
      </c>
      <c r="K802" s="45">
        <f>getWeightAsDouble('RawData (GH)'!I802)</f>
        <v>552</v>
      </c>
      <c r="L802" s="34">
        <f>getSizeDiameter('RawData (GH)'!J802)</f>
        <v>94</v>
      </c>
      <c r="M802" s="34">
        <f>getSizeLength('RawData (GH)'!J802)</f>
        <v>87</v>
      </c>
    </row>
    <row r="803" spans="1:13" x14ac:dyDescent="0.25">
      <c r="A803" t="str">
        <f>'RawData (GH)'!A803</f>
        <v>Samyang 14mm 3.1 AS IF UMC VDSLR für Nikon F schwarz</v>
      </c>
      <c r="B803" s="5">
        <f>getFocalLengthStart('RawData (GH)'!B803)</f>
        <v>14</v>
      </c>
      <c r="C803" s="5">
        <f>getFocalLengthEnd('RawData (GH)'!B803)</f>
        <v>14</v>
      </c>
      <c r="D803" s="9">
        <f>getApertureStart('RawData (GH)'!C803)</f>
        <v>3.1</v>
      </c>
      <c r="E803" s="9">
        <f>getApertureEnd('RawData (GH)'!C803)</f>
        <v>3.1</v>
      </c>
      <c r="F803" s="2">
        <f>getFiltersizeAsDouble('RawData (GH)'!D803)</f>
        <v>0</v>
      </c>
      <c r="G803" s="35">
        <f>getMagnification('RawData (GH)'!E803)</f>
        <v>0</v>
      </c>
      <c r="H803" s="62">
        <f>getMinimalFocus('RawData (GH)'!F803)</f>
        <v>0</v>
      </c>
      <c r="I803" t="str">
        <f>getMount('RawData (GH)'!G803)</f>
        <v>Nikon F</v>
      </c>
      <c r="J803" t="str">
        <f>getSensorCompatibility('RawData (GH)'!H803)</f>
        <v>APS-C/ Kleinbild</v>
      </c>
      <c r="K803" s="45">
        <f>getWeightAsDouble('RawData (GH)'!I803)</f>
        <v>552</v>
      </c>
      <c r="L803" s="34">
        <f>getSizeDiameter('RawData (GH)'!J803)</f>
        <v>94</v>
      </c>
      <c r="M803" s="34">
        <f>getSizeLength('RawData (GH)'!J803)</f>
        <v>87</v>
      </c>
    </row>
    <row r="804" spans="1:13" x14ac:dyDescent="0.25">
      <c r="A804" t="str">
        <f>'RawData (GH)'!A804</f>
        <v>Samyang 14mm 3.1 AS IF UMC VDSLR für Pentax K schwarz</v>
      </c>
      <c r="B804" s="5">
        <f>getFocalLengthStart('RawData (GH)'!B804)</f>
        <v>14</v>
      </c>
      <c r="C804" s="5">
        <f>getFocalLengthEnd('RawData (GH)'!B804)</f>
        <v>14</v>
      </c>
      <c r="D804" s="9">
        <f>getApertureStart('RawData (GH)'!C804)</f>
        <v>3.1</v>
      </c>
      <c r="E804" s="9">
        <f>getApertureEnd('RawData (GH)'!C804)</f>
        <v>3.1</v>
      </c>
      <c r="F804" s="2">
        <f>getFiltersizeAsDouble('RawData (GH)'!D804)</f>
        <v>0</v>
      </c>
      <c r="G804" s="35">
        <f>getMagnification('RawData (GH)'!E804)</f>
        <v>0</v>
      </c>
      <c r="H804" s="62">
        <f>getMinimalFocus('RawData (GH)'!F804)</f>
        <v>0</v>
      </c>
      <c r="I804" t="str">
        <f>getMount('RawData (GH)'!G804)</f>
        <v>Pentax K</v>
      </c>
      <c r="J804" t="str">
        <f>getSensorCompatibility('RawData (GH)'!H804)</f>
        <v>APS-C/ Kleinbild</v>
      </c>
      <c r="K804" s="45">
        <f>getWeightAsDouble('RawData (GH)'!I804)</f>
        <v>552</v>
      </c>
      <c r="L804" s="34">
        <f>getSizeDiameter('RawData (GH)'!J804)</f>
        <v>94</v>
      </c>
      <c r="M804" s="34">
        <f>getSizeLength('RawData (GH)'!J804)</f>
        <v>87</v>
      </c>
    </row>
    <row r="805" spans="1:13" x14ac:dyDescent="0.25">
      <c r="A805" t="str">
        <f>'RawData (GH)'!A805</f>
        <v>Samyang 14mm T3.1 AS IF UMC II VDSLR für Canon EF schwarz</v>
      </c>
      <c r="B805" s="5">
        <f>getFocalLengthStart('RawData (GH)'!B805)</f>
        <v>14</v>
      </c>
      <c r="C805" s="5">
        <f>getFocalLengthEnd('RawData (GH)'!B805)</f>
        <v>14</v>
      </c>
      <c r="D805" s="9">
        <f>getApertureStart('RawData (GH)'!C805)</f>
        <v>3.1</v>
      </c>
      <c r="E805" s="9">
        <f>getApertureEnd('RawData (GH)'!C805)</f>
        <v>3.1</v>
      </c>
      <c r="F805" s="2">
        <f>getFiltersizeAsDouble('RawData (GH)'!D805)</f>
        <v>0</v>
      </c>
      <c r="G805" s="35">
        <f>getMagnification('RawData (GH)'!E805)</f>
        <v>0</v>
      </c>
      <c r="H805" s="62">
        <f>getMinimalFocus('RawData (GH)'!F805)</f>
        <v>0</v>
      </c>
      <c r="I805" t="str">
        <f>getMount('RawData (GH)'!G805)</f>
        <v>Canon EF</v>
      </c>
      <c r="J805" t="str">
        <f>getSensorCompatibility('RawData (GH)'!H805)</f>
        <v>APS-C/ Kleinbild</v>
      </c>
      <c r="K805" s="45">
        <f>getWeightAsDouble('RawData (GH)'!I805)</f>
        <v>620</v>
      </c>
      <c r="L805" s="34">
        <f>getSizeDiameter('RawData (GH)'!J805)</f>
        <v>87</v>
      </c>
      <c r="M805" s="34">
        <f>getSizeLength('RawData (GH)'!J805)</f>
        <v>96.1</v>
      </c>
    </row>
    <row r="806" spans="1:13" x14ac:dyDescent="0.25">
      <c r="A806" t="str">
        <f>'RawData (GH)'!A806</f>
        <v>Samyang 14mm T3.1 AS IF UMC II VDSLR für Canon EF-M schwarz</v>
      </c>
      <c r="B806" s="5">
        <f>getFocalLengthStart('RawData (GH)'!B806)</f>
        <v>14</v>
      </c>
      <c r="C806" s="5">
        <f>getFocalLengthEnd('RawData (GH)'!B806)</f>
        <v>14</v>
      </c>
      <c r="D806" s="9">
        <f>getApertureStart('RawData (GH)'!C806)</f>
        <v>3.1</v>
      </c>
      <c r="E806" s="9">
        <f>getApertureEnd('RawData (GH)'!C806)</f>
        <v>3.1</v>
      </c>
      <c r="F806" s="2">
        <f>getFiltersizeAsDouble('RawData (GH)'!D806)</f>
        <v>0</v>
      </c>
      <c r="G806" s="35">
        <f>getMagnification('RawData (GH)'!E806)</f>
        <v>0</v>
      </c>
      <c r="H806" s="62">
        <f>getMinimalFocus('RawData (GH)'!F806)</f>
        <v>0</v>
      </c>
      <c r="I806" t="str">
        <f>getMount('RawData (GH)'!G806)</f>
        <v>Canon EF-M</v>
      </c>
      <c r="J806" t="str">
        <f>getSensorCompatibility('RawData (GH)'!H806)</f>
        <v>APS-C</v>
      </c>
      <c r="K806" s="45">
        <f>getWeightAsDouble('RawData (GH)'!I806)</f>
        <v>690</v>
      </c>
      <c r="L806" s="34">
        <f>getSizeDiameter('RawData (GH)'!J806)</f>
        <v>87</v>
      </c>
      <c r="M806" s="34">
        <f>getSizeLength('RawData (GH)'!J806)</f>
        <v>122</v>
      </c>
    </row>
    <row r="807" spans="1:13" x14ac:dyDescent="0.25">
      <c r="A807" t="str">
        <f>'RawData (GH)'!A807</f>
        <v>Samyang 14mm T3.1 AS IF UMC II VDSLR für Four-Thirds schwarz</v>
      </c>
      <c r="B807" s="5">
        <f>getFocalLengthStart('RawData (GH)'!B807)</f>
        <v>14</v>
      </c>
      <c r="C807" s="5">
        <f>getFocalLengthEnd('RawData (GH)'!B807)</f>
        <v>14</v>
      </c>
      <c r="D807" s="9">
        <f>getApertureStart('RawData (GH)'!C807)</f>
        <v>3.1</v>
      </c>
      <c r="E807" s="9">
        <f>getApertureEnd('RawData (GH)'!C807)</f>
        <v>3.1</v>
      </c>
      <c r="F807" s="2">
        <f>getFiltersizeAsDouble('RawData (GH)'!D807)</f>
        <v>0</v>
      </c>
      <c r="G807" s="35">
        <f>getMagnification('RawData (GH)'!E807)</f>
        <v>0</v>
      </c>
      <c r="H807" s="62">
        <f>getMinimalFocus('RawData (GH)'!F807)</f>
        <v>0</v>
      </c>
      <c r="I807" t="str">
        <f>getMount('RawData (GH)'!G807)</f>
        <v>Four-Thirds</v>
      </c>
      <c r="J807" t="str">
        <f>getSensorCompatibility('RawData (GH)'!H807)</f>
        <v>Four-Thirds</v>
      </c>
      <c r="K807" s="45">
        <f>getWeightAsDouble('RawData (GH)'!I807)</f>
        <v>640</v>
      </c>
      <c r="L807" s="34">
        <f>getSizeDiameter('RawData (GH)'!J807)</f>
        <v>87</v>
      </c>
      <c r="M807" s="34">
        <f>getSizeLength('RawData (GH)'!J807)</f>
        <v>101.4</v>
      </c>
    </row>
    <row r="808" spans="1:13" x14ac:dyDescent="0.25">
      <c r="A808" t="str">
        <f>'RawData (GH)'!A808</f>
        <v>Samyang 14mm T3.1 AS IF UMC II VDSLR für Fujifilm X schwarz</v>
      </c>
      <c r="B808" s="5">
        <f>getFocalLengthStart('RawData (GH)'!B808)</f>
        <v>14</v>
      </c>
      <c r="C808" s="5">
        <f>getFocalLengthEnd('RawData (GH)'!B808)</f>
        <v>14</v>
      </c>
      <c r="D808" s="9">
        <f>getApertureStart('RawData (GH)'!C808)</f>
        <v>3.1</v>
      </c>
      <c r="E808" s="9">
        <f>getApertureEnd('RawData (GH)'!C808)</f>
        <v>3.1</v>
      </c>
      <c r="F808" s="2">
        <f>getFiltersizeAsDouble('RawData (GH)'!D808)</f>
        <v>0</v>
      </c>
      <c r="G808" s="35">
        <f>getMagnification('RawData (GH)'!E808)</f>
        <v>0</v>
      </c>
      <c r="H808" s="62">
        <f>getMinimalFocus('RawData (GH)'!F808)</f>
        <v>0</v>
      </c>
      <c r="I808" t="str">
        <f>getMount('RawData (GH)'!G808)</f>
        <v>Fujifilm X</v>
      </c>
      <c r="J808" t="str">
        <f>getSensorCompatibility('RawData (GH)'!H808)</f>
        <v>APS-C</v>
      </c>
      <c r="K808" s="45">
        <f>getWeightAsDouble('RawData (GH)'!I808)</f>
        <v>695</v>
      </c>
      <c r="L808" s="34">
        <f>getSizeDiameter('RawData (GH)'!J808)</f>
        <v>87</v>
      </c>
      <c r="M808" s="34">
        <f>getSizeLength('RawData (GH)'!J808)</f>
        <v>122.2</v>
      </c>
    </row>
    <row r="809" spans="1:13" x14ac:dyDescent="0.25">
      <c r="A809" t="str">
        <f>'RawData (GH)'!A809</f>
        <v>Samyang 14mm T3.1 AS IF UMC II VDSLR für Micro-Four-Thirds schwarz</v>
      </c>
      <c r="B809" s="5">
        <f>getFocalLengthStart('RawData (GH)'!B809)</f>
        <v>14</v>
      </c>
      <c r="C809" s="5">
        <f>getFocalLengthEnd('RawData (GH)'!B809)</f>
        <v>14</v>
      </c>
      <c r="D809" s="9">
        <f>getApertureStart('RawData (GH)'!C809)</f>
        <v>3.1</v>
      </c>
      <c r="E809" s="9">
        <f>getApertureEnd('RawData (GH)'!C809)</f>
        <v>3.1</v>
      </c>
      <c r="F809" s="2">
        <f>getFiltersizeAsDouble('RawData (GH)'!D809)</f>
        <v>0</v>
      </c>
      <c r="G809" s="35">
        <f>getMagnification('RawData (GH)'!E809)</f>
        <v>0</v>
      </c>
      <c r="H809" s="62">
        <f>getMinimalFocus('RawData (GH)'!F809)</f>
        <v>0</v>
      </c>
      <c r="I809" t="str">
        <f>getMount('RawData (GH)'!G809)</f>
        <v>Micro-Four-Thirds</v>
      </c>
      <c r="J809" t="str">
        <f>getSensorCompatibility('RawData (GH)'!H809)</f>
        <v>Four-Thirds</v>
      </c>
      <c r="K809" s="45">
        <f>getWeightAsDouble('RawData (GH)'!I809)</f>
        <v>650</v>
      </c>
      <c r="L809" s="34">
        <f>getSizeDiameter('RawData (GH)'!J809)</f>
        <v>87</v>
      </c>
      <c r="M809" s="34">
        <f>getSizeLength('RawData (GH)'!J809)</f>
        <v>120.9</v>
      </c>
    </row>
    <row r="810" spans="1:13" x14ac:dyDescent="0.25">
      <c r="A810" t="str">
        <f>'RawData (GH)'!A810</f>
        <v>Samyang 14mm T3.1 AS IF UMC II VDSLR für Nikon F schwarz</v>
      </c>
      <c r="B810" s="5">
        <f>getFocalLengthStart('RawData (GH)'!B810)</f>
        <v>14</v>
      </c>
      <c r="C810" s="5">
        <f>getFocalLengthEnd('RawData (GH)'!B810)</f>
        <v>14</v>
      </c>
      <c r="D810" s="9">
        <f>getApertureStart('RawData (GH)'!C810)</f>
        <v>3.1</v>
      </c>
      <c r="E810" s="9">
        <f>getApertureEnd('RawData (GH)'!C810)</f>
        <v>3.1</v>
      </c>
      <c r="F810" s="2">
        <f>getFiltersizeAsDouble('RawData (GH)'!D810)</f>
        <v>0</v>
      </c>
      <c r="G810" s="35">
        <f>getMagnification('RawData (GH)'!E810)</f>
        <v>0</v>
      </c>
      <c r="H810" s="62">
        <f>getMinimalFocus('RawData (GH)'!F810)</f>
        <v>0</v>
      </c>
      <c r="I810" t="str">
        <f>getMount('RawData (GH)'!G810)</f>
        <v>Nikon F</v>
      </c>
      <c r="J810" t="str">
        <f>getSensorCompatibility('RawData (GH)'!H810)</f>
        <v>APS-C/ Kleinbild</v>
      </c>
      <c r="K810" s="45">
        <f>getWeightAsDouble('RawData (GH)'!I810)</f>
        <v>605</v>
      </c>
      <c r="L810" s="34">
        <f>getSizeDiameter('RawData (GH)'!J810)</f>
        <v>87</v>
      </c>
      <c r="M810" s="34">
        <f>getSizeLength('RawData (GH)'!J810)</f>
        <v>93.6</v>
      </c>
    </row>
    <row r="811" spans="1:13" x14ac:dyDescent="0.25">
      <c r="A811" t="str">
        <f>'RawData (GH)'!A811</f>
        <v>Samyang 14mm T3.1 AS IF UMC II VDSLR für Pentax K schwarz</v>
      </c>
      <c r="B811" s="5">
        <f>getFocalLengthStart('RawData (GH)'!B811)</f>
        <v>14</v>
      </c>
      <c r="C811" s="5">
        <f>getFocalLengthEnd('RawData (GH)'!B811)</f>
        <v>14</v>
      </c>
      <c r="D811" s="9">
        <f>getApertureStart('RawData (GH)'!C811)</f>
        <v>3.1</v>
      </c>
      <c r="E811" s="9">
        <f>getApertureEnd('RawData (GH)'!C811)</f>
        <v>3.1</v>
      </c>
      <c r="F811" s="2">
        <f>getFiltersizeAsDouble('RawData (GH)'!D811)</f>
        <v>0</v>
      </c>
      <c r="G811" s="35">
        <f>getMagnification('RawData (GH)'!E811)</f>
        <v>0</v>
      </c>
      <c r="H811" s="62">
        <f>getMinimalFocus('RawData (GH)'!F811)</f>
        <v>0</v>
      </c>
      <c r="I811" t="str">
        <f>getMount('RawData (GH)'!G811)</f>
        <v>Pentax K</v>
      </c>
      <c r="J811" t="str">
        <f>getSensorCompatibility('RawData (GH)'!H811)</f>
        <v>APS-C/ Kleinbild</v>
      </c>
      <c r="K811" s="45">
        <f>getWeightAsDouble('RawData (GH)'!I811)</f>
        <v>595</v>
      </c>
      <c r="L811" s="34">
        <f>getSizeDiameter('RawData (GH)'!J811)</f>
        <v>87</v>
      </c>
      <c r="M811" s="34">
        <f>getSizeLength('RawData (GH)'!J811)</f>
        <v>94.6</v>
      </c>
    </row>
    <row r="812" spans="1:13" x14ac:dyDescent="0.25">
      <c r="A812" t="str">
        <f>'RawData (GH)'!A812</f>
        <v>Samyang 14mm T3.1 AS IF UMC II VDSLR für Sony A schwarz</v>
      </c>
      <c r="B812" s="5">
        <f>getFocalLengthStart('RawData (GH)'!B812)</f>
        <v>14</v>
      </c>
      <c r="C812" s="5">
        <f>getFocalLengthEnd('RawData (GH)'!B812)</f>
        <v>14</v>
      </c>
      <c r="D812" s="9">
        <f>getApertureStart('RawData (GH)'!C812)</f>
        <v>3.1</v>
      </c>
      <c r="E812" s="9">
        <f>getApertureEnd('RawData (GH)'!C812)</f>
        <v>3.1</v>
      </c>
      <c r="F812" s="2">
        <f>getFiltersizeAsDouble('RawData (GH)'!D812)</f>
        <v>0</v>
      </c>
      <c r="G812" s="35">
        <f>getMagnification('RawData (GH)'!E812)</f>
        <v>0</v>
      </c>
      <c r="H812" s="62">
        <f>getMinimalFocus('RawData (GH)'!F812)</f>
        <v>0</v>
      </c>
      <c r="I812" t="str">
        <f>getMount('RawData (GH)'!G812)</f>
        <v>Sony A</v>
      </c>
      <c r="J812" t="str">
        <f>getSensorCompatibility('RawData (GH)'!H812)</f>
        <v>APS-C/ Kleinbild</v>
      </c>
      <c r="K812" s="45">
        <f>getWeightAsDouble('RawData (GH)'!I812)</f>
        <v>615</v>
      </c>
      <c r="L812" s="34">
        <f>getSizeDiameter('RawData (GH)'!J812)</f>
        <v>87</v>
      </c>
      <c r="M812" s="34">
        <f>getSizeLength('RawData (GH)'!J812)</f>
        <v>95.6</v>
      </c>
    </row>
    <row r="813" spans="1:13" x14ac:dyDescent="0.25">
      <c r="A813" t="str">
        <f>'RawData (GH)'!A813</f>
        <v>Samyang 14mm T3.1 AS IF UMC II VDSLR für Sony E schwarz</v>
      </c>
      <c r="B813" s="5">
        <f>getFocalLengthStart('RawData (GH)'!B813)</f>
        <v>14</v>
      </c>
      <c r="C813" s="5">
        <f>getFocalLengthEnd('RawData (GH)'!B813)</f>
        <v>14</v>
      </c>
      <c r="D813" s="9">
        <f>getApertureStart('RawData (GH)'!C813)</f>
        <v>3.1</v>
      </c>
      <c r="E813" s="9">
        <f>getApertureEnd('RawData (GH)'!C813)</f>
        <v>3.1</v>
      </c>
      <c r="F813" s="2">
        <f>getFiltersizeAsDouble('RawData (GH)'!D813)</f>
        <v>0</v>
      </c>
      <c r="G813" s="35">
        <f>getMagnification('RawData (GH)'!E813)</f>
        <v>0</v>
      </c>
      <c r="H813" s="62">
        <f>getMinimalFocus('RawData (GH)'!F813)</f>
        <v>0</v>
      </c>
      <c r="I813" t="str">
        <f>getMount('RawData (GH)'!G813)</f>
        <v>Sony E</v>
      </c>
      <c r="J813" t="str">
        <f>getSensorCompatibility('RawData (GH)'!H813)</f>
        <v>APS-C/ Kleinbild</v>
      </c>
      <c r="K813" s="45">
        <f>getWeightAsDouble('RawData (GH)'!I813)</f>
        <v>640</v>
      </c>
      <c r="L813" s="34">
        <f>getSizeDiameter('RawData (GH)'!J813)</f>
        <v>87</v>
      </c>
      <c r="M813" s="34">
        <f>getSizeLength('RawData (GH)'!J813)</f>
        <v>122.1</v>
      </c>
    </row>
    <row r="814" spans="1:13" x14ac:dyDescent="0.25">
      <c r="A814" t="str">
        <f>'RawData (GH)'!A814</f>
        <v>Samyang 16mm 2.0 ED AS UMC CS für Canon EF schwarz</v>
      </c>
      <c r="B814" s="5">
        <f>getFocalLengthStart('RawData (GH)'!B814)</f>
        <v>16</v>
      </c>
      <c r="C814" s="5">
        <f>getFocalLengthEnd('RawData (GH)'!B814)</f>
        <v>16</v>
      </c>
      <c r="D814" s="9">
        <f>getApertureStart('RawData (GH)'!C814)</f>
        <v>2</v>
      </c>
      <c r="E814" s="9">
        <f>getApertureEnd('RawData (GH)'!C814)</f>
        <v>2</v>
      </c>
      <c r="F814" s="2">
        <f>getFiltersizeAsDouble('RawData (GH)'!D814)</f>
        <v>77</v>
      </c>
      <c r="G814" s="35">
        <f>getMagnification('RawData (GH)'!E814)</f>
        <v>0</v>
      </c>
      <c r="H814" s="62">
        <f>getMinimalFocus('RawData (GH)'!F814)</f>
        <v>0</v>
      </c>
      <c r="I814" t="str">
        <f>getMount('RawData (GH)'!G814)</f>
        <v>Canon EF</v>
      </c>
      <c r="J814" t="str">
        <f>getSensorCompatibility('RawData (GH)'!H814)</f>
        <v>APS-C</v>
      </c>
      <c r="K814" s="45">
        <f>getWeightAsDouble('RawData (GH)'!I814)</f>
        <v>583</v>
      </c>
      <c r="L814" s="34">
        <f>getSizeDiameter('RawData (GH)'!J814)</f>
        <v>83</v>
      </c>
      <c r="M814" s="34">
        <f>getSizeLength('RawData (GH)'!J814)</f>
        <v>89.4</v>
      </c>
    </row>
    <row r="815" spans="1:13" x14ac:dyDescent="0.25">
      <c r="A815" t="str">
        <f>'RawData (GH)'!A815</f>
        <v>Samyang 16mm 2.0 ED AS UMC CS für Canon EF-M schwarz</v>
      </c>
      <c r="B815" s="5">
        <f>getFocalLengthStart('RawData (GH)'!B815)</f>
        <v>16</v>
      </c>
      <c r="C815" s="5">
        <f>getFocalLengthEnd('RawData (GH)'!B815)</f>
        <v>16</v>
      </c>
      <c r="D815" s="9">
        <f>getApertureStart('RawData (GH)'!C815)</f>
        <v>2</v>
      </c>
      <c r="E815" s="9">
        <f>getApertureEnd('RawData (GH)'!C815)</f>
        <v>2</v>
      </c>
      <c r="F815" s="2">
        <f>getFiltersizeAsDouble('RawData (GH)'!D815)</f>
        <v>77</v>
      </c>
      <c r="G815" s="35">
        <f>getMagnification('RawData (GH)'!E815)</f>
        <v>0</v>
      </c>
      <c r="H815" s="62">
        <f>getMinimalFocus('RawData (GH)'!F815)</f>
        <v>0</v>
      </c>
      <c r="I815" t="str">
        <f>getMount('RawData (GH)'!G815)</f>
        <v>Canon EF-M</v>
      </c>
      <c r="J815" t="str">
        <f>getSensorCompatibility('RawData (GH)'!H815)</f>
        <v>APS-C</v>
      </c>
      <c r="K815" s="45">
        <f>getWeightAsDouble('RawData (GH)'!I815)</f>
        <v>583</v>
      </c>
      <c r="L815" s="34">
        <f>getSizeDiameter('RawData (GH)'!J815)</f>
        <v>83</v>
      </c>
      <c r="M815" s="34">
        <f>getSizeLength('RawData (GH)'!J815)</f>
        <v>89.4</v>
      </c>
    </row>
    <row r="816" spans="1:13" x14ac:dyDescent="0.25">
      <c r="A816" t="str">
        <f>'RawData (GH)'!A816</f>
        <v>Samyang 16mm 2.0 ED AS UMC CS für Four-Thirds schwarz</v>
      </c>
      <c r="B816" s="5">
        <f>getFocalLengthStart('RawData (GH)'!B816)</f>
        <v>16</v>
      </c>
      <c r="C816" s="5">
        <f>getFocalLengthEnd('RawData (GH)'!B816)</f>
        <v>16</v>
      </c>
      <c r="D816" s="9">
        <f>getApertureStart('RawData (GH)'!C816)</f>
        <v>2</v>
      </c>
      <c r="E816" s="9">
        <f>getApertureEnd('RawData (GH)'!C816)</f>
        <v>2</v>
      </c>
      <c r="F816" s="2">
        <f>getFiltersizeAsDouble('RawData (GH)'!D816)</f>
        <v>77</v>
      </c>
      <c r="G816" s="35">
        <f>getMagnification('RawData (GH)'!E816)</f>
        <v>0</v>
      </c>
      <c r="H816" s="62">
        <f>getMinimalFocus('RawData (GH)'!F816)</f>
        <v>0</v>
      </c>
      <c r="I816" t="str">
        <f>getMount('RawData (GH)'!G816)</f>
        <v>Four-Thirds</v>
      </c>
      <c r="J816" t="str">
        <f>getSensorCompatibility('RawData (GH)'!H816)</f>
        <v>Four-Thirds</v>
      </c>
      <c r="K816" s="45">
        <f>getWeightAsDouble('RawData (GH)'!I816)</f>
        <v>583</v>
      </c>
      <c r="L816" s="34">
        <f>getSizeDiameter('RawData (GH)'!J816)</f>
        <v>83</v>
      </c>
      <c r="M816" s="34">
        <f>getSizeLength('RawData (GH)'!J816)</f>
        <v>89.4</v>
      </c>
    </row>
    <row r="817" spans="1:13" x14ac:dyDescent="0.25">
      <c r="A817" t="str">
        <f>'RawData (GH)'!A817</f>
        <v>Samyang 16mm 2.0 ED AS UMC CS für Fujifilm X schwarz</v>
      </c>
      <c r="B817" s="5">
        <f>getFocalLengthStart('RawData (GH)'!B817)</f>
        <v>16</v>
      </c>
      <c r="C817" s="5">
        <f>getFocalLengthEnd('RawData (GH)'!B817)</f>
        <v>16</v>
      </c>
      <c r="D817" s="9">
        <f>getApertureStart('RawData (GH)'!C817)</f>
        <v>2</v>
      </c>
      <c r="E817" s="9">
        <f>getApertureEnd('RawData (GH)'!C817)</f>
        <v>2</v>
      </c>
      <c r="F817" s="2">
        <f>getFiltersizeAsDouble('RawData (GH)'!D817)</f>
        <v>77</v>
      </c>
      <c r="G817" s="35">
        <f>getMagnification('RawData (GH)'!E817)</f>
        <v>0</v>
      </c>
      <c r="H817" s="62">
        <f>getMinimalFocus('RawData (GH)'!F817)</f>
        <v>0</v>
      </c>
      <c r="I817" t="str">
        <f>getMount('RawData (GH)'!G817)</f>
        <v>Fujifilm X</v>
      </c>
      <c r="J817" t="str">
        <f>getSensorCompatibility('RawData (GH)'!H817)</f>
        <v>APS-C</v>
      </c>
      <c r="K817" s="45">
        <f>getWeightAsDouble('RawData (GH)'!I817)</f>
        <v>583</v>
      </c>
      <c r="L817" s="34">
        <f>getSizeDiameter('RawData (GH)'!J817)</f>
        <v>83</v>
      </c>
      <c r="M817" s="34">
        <f>getSizeLength('RawData (GH)'!J817)</f>
        <v>89.4</v>
      </c>
    </row>
    <row r="818" spans="1:13" x14ac:dyDescent="0.25">
      <c r="A818" t="str">
        <f>'RawData (GH)'!A818</f>
        <v>Samyang 16mm 2.0 ED AS UMC CS für Micro-Four-Thirds schwarz</v>
      </c>
      <c r="B818" s="5">
        <f>getFocalLengthStart('RawData (GH)'!B818)</f>
        <v>16</v>
      </c>
      <c r="C818" s="5">
        <f>getFocalLengthEnd('RawData (GH)'!B818)</f>
        <v>16</v>
      </c>
      <c r="D818" s="9">
        <f>getApertureStart('RawData (GH)'!C818)</f>
        <v>2</v>
      </c>
      <c r="E818" s="9">
        <f>getApertureEnd('RawData (GH)'!C818)</f>
        <v>2</v>
      </c>
      <c r="F818" s="2">
        <f>getFiltersizeAsDouble('RawData (GH)'!D818)</f>
        <v>77</v>
      </c>
      <c r="G818" s="35">
        <f>getMagnification('RawData (GH)'!E818)</f>
        <v>0</v>
      </c>
      <c r="H818" s="62">
        <f>getMinimalFocus('RawData (GH)'!F818)</f>
        <v>0</v>
      </c>
      <c r="I818" t="str">
        <f>getMount('RawData (GH)'!G818)</f>
        <v>Micro-Four-Thirds</v>
      </c>
      <c r="J818" t="str">
        <f>getSensorCompatibility('RawData (GH)'!H818)</f>
        <v>Four-Thirds</v>
      </c>
      <c r="K818" s="45">
        <f>getWeightAsDouble('RawData (GH)'!I818)</f>
        <v>583</v>
      </c>
      <c r="L818" s="34">
        <f>getSizeDiameter('RawData (GH)'!J818)</f>
        <v>83</v>
      </c>
      <c r="M818" s="34">
        <f>getSizeLength('RawData (GH)'!J818)</f>
        <v>89.4</v>
      </c>
    </row>
    <row r="819" spans="1:13" x14ac:dyDescent="0.25">
      <c r="A819" t="str">
        <f>'RawData (GH)'!A819</f>
        <v>Samyang 16mm 2.0 ED AS UMC CS für Pentax K schwarz</v>
      </c>
      <c r="B819" s="5">
        <f>getFocalLengthStart('RawData (GH)'!B819)</f>
        <v>16</v>
      </c>
      <c r="C819" s="5">
        <f>getFocalLengthEnd('RawData (GH)'!B819)</f>
        <v>16</v>
      </c>
      <c r="D819" s="9">
        <f>getApertureStart('RawData (GH)'!C819)</f>
        <v>2</v>
      </c>
      <c r="E819" s="9">
        <f>getApertureEnd('RawData (GH)'!C819)</f>
        <v>2</v>
      </c>
      <c r="F819" s="2">
        <f>getFiltersizeAsDouble('RawData (GH)'!D819)</f>
        <v>77</v>
      </c>
      <c r="G819" s="35">
        <f>getMagnification('RawData (GH)'!E819)</f>
        <v>0</v>
      </c>
      <c r="H819" s="62">
        <f>getMinimalFocus('RawData (GH)'!F819)</f>
        <v>0</v>
      </c>
      <c r="I819" t="str">
        <f>getMount('RawData (GH)'!G819)</f>
        <v>Pentax K</v>
      </c>
      <c r="J819" t="str">
        <f>getSensorCompatibility('RawData (GH)'!H819)</f>
        <v>APS-C</v>
      </c>
      <c r="K819" s="45">
        <f>getWeightAsDouble('RawData (GH)'!I819)</f>
        <v>583</v>
      </c>
      <c r="L819" s="34">
        <f>getSizeDiameter('RawData (GH)'!J819)</f>
        <v>83</v>
      </c>
      <c r="M819" s="34">
        <f>getSizeLength('RawData (GH)'!J819)</f>
        <v>89.4</v>
      </c>
    </row>
    <row r="820" spans="1:13" x14ac:dyDescent="0.25">
      <c r="A820" t="str">
        <f>'RawData (GH)'!A820</f>
        <v>Samyang 16mm 2.0 ED AS UMC CS für Samsung NX schwarz</v>
      </c>
      <c r="B820" s="5">
        <f>getFocalLengthStart('RawData (GH)'!B820)</f>
        <v>16</v>
      </c>
      <c r="C820" s="5">
        <f>getFocalLengthEnd('RawData (GH)'!B820)</f>
        <v>16</v>
      </c>
      <c r="D820" s="9">
        <f>getApertureStart('RawData (GH)'!C820)</f>
        <v>2</v>
      </c>
      <c r="E820" s="9">
        <f>getApertureEnd('RawData (GH)'!C820)</f>
        <v>2</v>
      </c>
      <c r="F820" s="2">
        <f>getFiltersizeAsDouble('RawData (GH)'!D820)</f>
        <v>77</v>
      </c>
      <c r="G820" s="35">
        <f>getMagnification('RawData (GH)'!E820)</f>
        <v>0</v>
      </c>
      <c r="H820" s="62">
        <f>getMinimalFocus('RawData (GH)'!F820)</f>
        <v>0</v>
      </c>
      <c r="I820" t="str">
        <f>getMount('RawData (GH)'!G820)</f>
        <v>Samsung NX</v>
      </c>
      <c r="J820" t="str">
        <f>getSensorCompatibility('RawData (GH)'!H820)</f>
        <v>APS-C</v>
      </c>
      <c r="K820" s="45">
        <f>getWeightAsDouble('RawData (GH)'!I820)</f>
        <v>583</v>
      </c>
      <c r="L820" s="34">
        <f>getSizeDiameter('RawData (GH)'!J820)</f>
        <v>83</v>
      </c>
      <c r="M820" s="34">
        <f>getSizeLength('RawData (GH)'!J820)</f>
        <v>89.4</v>
      </c>
    </row>
    <row r="821" spans="1:13" x14ac:dyDescent="0.25">
      <c r="A821" t="str">
        <f>'RawData (GH)'!A821</f>
        <v>Samyang 16mm 2.0 ED AS UMC CS für Sony A schwarz</v>
      </c>
      <c r="B821" s="5">
        <f>getFocalLengthStart('RawData (GH)'!B821)</f>
        <v>16</v>
      </c>
      <c r="C821" s="5">
        <f>getFocalLengthEnd('RawData (GH)'!B821)</f>
        <v>16</v>
      </c>
      <c r="D821" s="9">
        <f>getApertureStart('RawData (GH)'!C821)</f>
        <v>2</v>
      </c>
      <c r="E821" s="9">
        <f>getApertureEnd('RawData (GH)'!C821)</f>
        <v>2</v>
      </c>
      <c r="F821" s="2">
        <f>getFiltersizeAsDouble('RawData (GH)'!D821)</f>
        <v>77</v>
      </c>
      <c r="G821" s="35">
        <f>getMagnification('RawData (GH)'!E821)</f>
        <v>0</v>
      </c>
      <c r="H821" s="62">
        <f>getMinimalFocus('RawData (GH)'!F821)</f>
        <v>0</v>
      </c>
      <c r="I821" t="str">
        <f>getMount('RawData (GH)'!G821)</f>
        <v>Sony A</v>
      </c>
      <c r="J821" t="str">
        <f>getSensorCompatibility('RawData (GH)'!H821)</f>
        <v>APS-C</v>
      </c>
      <c r="K821" s="45">
        <f>getWeightAsDouble('RawData (GH)'!I821)</f>
        <v>583</v>
      </c>
      <c r="L821" s="34">
        <f>getSizeDiameter('RawData (GH)'!J821)</f>
        <v>83</v>
      </c>
      <c r="M821" s="34">
        <f>getSizeLength('RawData (GH)'!J821)</f>
        <v>89.4</v>
      </c>
    </row>
    <row r="822" spans="1:13" x14ac:dyDescent="0.25">
      <c r="A822" t="str">
        <f>'RawData (GH)'!A822</f>
        <v>Samyang 16mm 2.0 ED AS UMC CS für Sony E schwarz</v>
      </c>
      <c r="B822" s="5">
        <f>getFocalLengthStart('RawData (GH)'!B822)</f>
        <v>16</v>
      </c>
      <c r="C822" s="5">
        <f>getFocalLengthEnd('RawData (GH)'!B822)</f>
        <v>16</v>
      </c>
      <c r="D822" s="9">
        <f>getApertureStart('RawData (GH)'!C822)</f>
        <v>2</v>
      </c>
      <c r="E822" s="9">
        <f>getApertureEnd('RawData (GH)'!C822)</f>
        <v>2</v>
      </c>
      <c r="F822" s="2">
        <f>getFiltersizeAsDouble('RawData (GH)'!D822)</f>
        <v>77</v>
      </c>
      <c r="G822" s="35">
        <f>getMagnification('RawData (GH)'!E822)</f>
        <v>0</v>
      </c>
      <c r="H822" s="62">
        <f>getMinimalFocus('RawData (GH)'!F822)</f>
        <v>0</v>
      </c>
      <c r="I822" t="str">
        <f>getMount('RawData (GH)'!G822)</f>
        <v>Sony E</v>
      </c>
      <c r="J822" t="str">
        <f>getSensorCompatibility('RawData (GH)'!H822)</f>
        <v>APS-C</v>
      </c>
      <c r="K822" s="45">
        <f>getWeightAsDouble('RawData (GH)'!I822)</f>
        <v>583</v>
      </c>
      <c r="L822" s="34">
        <f>getSizeDiameter('RawData (GH)'!J822)</f>
        <v>83</v>
      </c>
      <c r="M822" s="34">
        <f>getSizeLength('RawData (GH)'!J822)</f>
        <v>89.4</v>
      </c>
    </row>
    <row r="823" spans="1:13" x14ac:dyDescent="0.25">
      <c r="A823" t="str">
        <f>'RawData (GH)'!A823</f>
        <v>Samyang 16mm T2.2 VDSLR ED AS UMC CS II für Canon EF schwarz</v>
      </c>
      <c r="B823" s="5">
        <f>getFocalLengthStart('RawData (GH)'!B823)</f>
        <v>16</v>
      </c>
      <c r="C823" s="5">
        <f>getFocalLengthEnd('RawData (GH)'!B823)</f>
        <v>16</v>
      </c>
      <c r="D823" s="9">
        <f>getApertureStart('RawData (GH)'!C823)</f>
        <v>2.2000000000000002</v>
      </c>
      <c r="E823" s="9">
        <f>getApertureEnd('RawData (GH)'!C823)</f>
        <v>2.2000000000000002</v>
      </c>
      <c r="F823" s="2">
        <f>getFiltersizeAsDouble('RawData (GH)'!D823)</f>
        <v>77</v>
      </c>
      <c r="G823" s="35">
        <f>getMagnification('RawData (GH)'!E823)</f>
        <v>0</v>
      </c>
      <c r="H823" s="62">
        <f>getMinimalFocus('RawData (GH)'!F823)</f>
        <v>0</v>
      </c>
      <c r="I823" t="str">
        <f>getMount('RawData (GH)'!G823)</f>
        <v>Canon EF</v>
      </c>
      <c r="J823" t="str">
        <f>getSensorCompatibility('RawData (GH)'!H823)</f>
        <v>APS-C</v>
      </c>
      <c r="K823" s="45">
        <f>getWeightAsDouble('RawData (GH)'!I823)</f>
        <v>590</v>
      </c>
      <c r="L823" s="34">
        <f>getSizeDiameter('RawData (GH)'!J823)</f>
        <v>83</v>
      </c>
      <c r="M823" s="34">
        <f>getSizeLength('RawData (GH)'!J823)</f>
        <v>89.4</v>
      </c>
    </row>
    <row r="824" spans="1:13" x14ac:dyDescent="0.25">
      <c r="A824" t="str">
        <f>'RawData (GH)'!A824</f>
        <v>Samyang 16mm T2.2 VDSLR ED AS UMC CS II für Canon EF-M schwarz</v>
      </c>
      <c r="B824" s="5">
        <f>getFocalLengthStart('RawData (GH)'!B824)</f>
        <v>16</v>
      </c>
      <c r="C824" s="5">
        <f>getFocalLengthEnd('RawData (GH)'!B824)</f>
        <v>16</v>
      </c>
      <c r="D824" s="9">
        <f>getApertureStart('RawData (GH)'!C824)</f>
        <v>2.2000000000000002</v>
      </c>
      <c r="E824" s="9">
        <f>getApertureEnd('RawData (GH)'!C824)</f>
        <v>2.2000000000000002</v>
      </c>
      <c r="F824" s="2">
        <f>getFiltersizeAsDouble('RawData (GH)'!D824)</f>
        <v>77</v>
      </c>
      <c r="G824" s="35">
        <f>getMagnification('RawData (GH)'!E824)</f>
        <v>0</v>
      </c>
      <c r="H824" s="62">
        <f>getMinimalFocus('RawData (GH)'!F824)</f>
        <v>0</v>
      </c>
      <c r="I824" t="str">
        <f>getMount('RawData (GH)'!G824)</f>
        <v>Canon EF-M</v>
      </c>
      <c r="J824" t="str">
        <f>getSensorCompatibility('RawData (GH)'!H824)</f>
        <v>APS-C</v>
      </c>
      <c r="K824" s="45">
        <f>getWeightAsDouble('RawData (GH)'!I824)</f>
        <v>620</v>
      </c>
      <c r="L824" s="34">
        <f>getSizeDiameter('RawData (GH)'!J824)</f>
        <v>83</v>
      </c>
      <c r="M824" s="34">
        <f>getSizeLength('RawData (GH)'!J824)</f>
        <v>115.7</v>
      </c>
    </row>
    <row r="825" spans="1:13" x14ac:dyDescent="0.25">
      <c r="A825" t="str">
        <f>'RawData (GH)'!A825</f>
        <v>Samyang 16mm T2.2 VDSLR ED AS UMC CS II für Four-Thirds schwarz</v>
      </c>
      <c r="B825" s="5">
        <f>getFocalLengthStart('RawData (GH)'!B825)</f>
        <v>16</v>
      </c>
      <c r="C825" s="5">
        <f>getFocalLengthEnd('RawData (GH)'!B825)</f>
        <v>16</v>
      </c>
      <c r="D825" s="9">
        <f>getApertureStart('RawData (GH)'!C825)</f>
        <v>2.2000000000000002</v>
      </c>
      <c r="E825" s="9">
        <f>getApertureEnd('RawData (GH)'!C825)</f>
        <v>2.2000000000000002</v>
      </c>
      <c r="F825" s="2">
        <f>getFiltersizeAsDouble('RawData (GH)'!D825)</f>
        <v>77</v>
      </c>
      <c r="G825" s="35">
        <f>getMagnification('RawData (GH)'!E825)</f>
        <v>0</v>
      </c>
      <c r="H825" s="62">
        <f>getMinimalFocus('RawData (GH)'!F825)</f>
        <v>0</v>
      </c>
      <c r="I825" t="str">
        <f>getMount('RawData (GH)'!G825)</f>
        <v>Four-Thirds</v>
      </c>
      <c r="J825" t="str">
        <f>getSensorCompatibility('RawData (GH)'!H825)</f>
        <v>Four-Thirds</v>
      </c>
      <c r="K825" s="45">
        <f>getWeightAsDouble('RawData (GH)'!I825)</f>
        <v>610</v>
      </c>
      <c r="L825" s="34">
        <f>getSizeDiameter('RawData (GH)'!J825)</f>
        <v>83</v>
      </c>
      <c r="M825" s="34">
        <f>getSizeLength('RawData (GH)'!J825)</f>
        <v>94.7</v>
      </c>
    </row>
    <row r="826" spans="1:13" x14ac:dyDescent="0.25">
      <c r="A826" t="str">
        <f>'RawData (GH)'!A826</f>
        <v>Samyang 16mm T2.2 VDSLR ED AS UMC CS II für Fujifilm X schwarz</v>
      </c>
      <c r="B826" s="5">
        <f>getFocalLengthStart('RawData (GH)'!B826)</f>
        <v>16</v>
      </c>
      <c r="C826" s="5">
        <f>getFocalLengthEnd('RawData (GH)'!B826)</f>
        <v>16</v>
      </c>
      <c r="D826" s="9">
        <f>getApertureStart('RawData (GH)'!C826)</f>
        <v>2.2000000000000002</v>
      </c>
      <c r="E826" s="9">
        <f>getApertureEnd('RawData (GH)'!C826)</f>
        <v>2.2000000000000002</v>
      </c>
      <c r="F826" s="2">
        <f>getFiltersizeAsDouble('RawData (GH)'!D826)</f>
        <v>77</v>
      </c>
      <c r="G826" s="35">
        <f>getMagnification('RawData (GH)'!E826)</f>
        <v>0</v>
      </c>
      <c r="H826" s="62">
        <f>getMinimalFocus('RawData (GH)'!F826)</f>
        <v>0</v>
      </c>
      <c r="I826" t="str">
        <f>getMount('RawData (GH)'!G826)</f>
        <v>Fujifilm X</v>
      </c>
      <c r="J826" t="str">
        <f>getSensorCompatibility('RawData (GH)'!H826)</f>
        <v>APS-C</v>
      </c>
      <c r="K826" s="45">
        <f>getWeightAsDouble('RawData (GH)'!I826)</f>
        <v>625</v>
      </c>
      <c r="L826" s="34">
        <f>getSizeDiameter('RawData (GH)'!J826)</f>
        <v>83</v>
      </c>
      <c r="M826" s="34">
        <f>getSizeLength('RawData (GH)'!J826)</f>
        <v>115.7</v>
      </c>
    </row>
    <row r="827" spans="1:13" x14ac:dyDescent="0.25">
      <c r="A827" t="str">
        <f>'RawData (GH)'!A827</f>
        <v>Samyang 16mm T2.2 VDSLR ED AS UMC CS II für Micro-Four-Thirds schwarz</v>
      </c>
      <c r="B827" s="5">
        <f>getFocalLengthStart('RawData (GH)'!B827)</f>
        <v>16</v>
      </c>
      <c r="C827" s="5">
        <f>getFocalLengthEnd('RawData (GH)'!B827)</f>
        <v>16</v>
      </c>
      <c r="D827" s="9">
        <f>getApertureStart('RawData (GH)'!C827)</f>
        <v>2.2000000000000002</v>
      </c>
      <c r="E827" s="9">
        <f>getApertureEnd('RawData (GH)'!C827)</f>
        <v>2.2000000000000002</v>
      </c>
      <c r="F827" s="2">
        <f>getFiltersizeAsDouble('RawData (GH)'!D827)</f>
        <v>77</v>
      </c>
      <c r="G827" s="35">
        <f>getMagnification('RawData (GH)'!E827)</f>
        <v>0</v>
      </c>
      <c r="H827" s="62">
        <f>getMinimalFocus('RawData (GH)'!F827)</f>
        <v>0</v>
      </c>
      <c r="I827" t="str">
        <f>getMount('RawData (GH)'!G827)</f>
        <v>Micro-Four-Thirds</v>
      </c>
      <c r="J827" t="str">
        <f>getSensorCompatibility('RawData (GH)'!H827)</f>
        <v>Four-Thirds</v>
      </c>
      <c r="K827" s="45">
        <f>getWeightAsDouble('RawData (GH)'!I827)</f>
        <v>620</v>
      </c>
      <c r="L827" s="34">
        <f>getSizeDiameter('RawData (GH)'!J827)</f>
        <v>83</v>
      </c>
      <c r="M827" s="34">
        <f>getSizeLength('RawData (GH)'!J827)</f>
        <v>114.2</v>
      </c>
    </row>
    <row r="828" spans="1:13" x14ac:dyDescent="0.25">
      <c r="A828" t="str">
        <f>'RawData (GH)'!A828</f>
        <v>Samyang 16mm T2.2 VDSLR ED AS UMC CS II für Nikon F schwarz</v>
      </c>
      <c r="B828" s="5">
        <f>getFocalLengthStart('RawData (GH)'!B828)</f>
        <v>16</v>
      </c>
      <c r="C828" s="5">
        <f>getFocalLengthEnd('RawData (GH)'!B828)</f>
        <v>16</v>
      </c>
      <c r="D828" s="9">
        <f>getApertureStart('RawData (GH)'!C828)</f>
        <v>2.2000000000000002</v>
      </c>
      <c r="E828" s="9">
        <f>getApertureEnd('RawData (GH)'!C828)</f>
        <v>2.2000000000000002</v>
      </c>
      <c r="F828" s="2">
        <f>getFiltersizeAsDouble('RawData (GH)'!D828)</f>
        <v>77</v>
      </c>
      <c r="G828" s="35">
        <f>getMagnification('RawData (GH)'!E828)</f>
        <v>0</v>
      </c>
      <c r="H828" s="62">
        <f>getMinimalFocus('RawData (GH)'!F828)</f>
        <v>0</v>
      </c>
      <c r="I828" t="str">
        <f>getMount('RawData (GH)'!G828)</f>
        <v>Nikon F</v>
      </c>
      <c r="J828" t="str">
        <f>getSensorCompatibility('RawData (GH)'!H828)</f>
        <v>APS-C</v>
      </c>
      <c r="K828" s="45">
        <f>getWeightAsDouble('RawData (GH)'!I828)</f>
        <v>580</v>
      </c>
      <c r="L828" s="34">
        <f>getSizeDiameter('RawData (GH)'!J828)</f>
        <v>83</v>
      </c>
      <c r="M828" s="34">
        <f>getSizeLength('RawData (GH)'!J828)</f>
        <v>86.9</v>
      </c>
    </row>
    <row r="829" spans="1:13" x14ac:dyDescent="0.25">
      <c r="A829" t="str">
        <f>'RawData (GH)'!A829</f>
        <v>Samyang 16mm T2.2 VDSLR ED AS UMC CS II für Samsung NX schwarz</v>
      </c>
      <c r="B829" s="5">
        <f>getFocalLengthStart('RawData (GH)'!B829)</f>
        <v>16</v>
      </c>
      <c r="C829" s="5">
        <f>getFocalLengthEnd('RawData (GH)'!B829)</f>
        <v>16</v>
      </c>
      <c r="D829" s="9">
        <f>getApertureStart('RawData (GH)'!C829)</f>
        <v>2.2000000000000002</v>
      </c>
      <c r="E829" s="9">
        <f>getApertureEnd('RawData (GH)'!C829)</f>
        <v>2.2000000000000002</v>
      </c>
      <c r="F829" s="2">
        <f>getFiltersizeAsDouble('RawData (GH)'!D829)</f>
        <v>77</v>
      </c>
      <c r="G829" s="35">
        <f>getMagnification('RawData (GH)'!E829)</f>
        <v>0</v>
      </c>
      <c r="H829" s="62">
        <f>getMinimalFocus('RawData (GH)'!F829)</f>
        <v>0</v>
      </c>
      <c r="I829" t="str">
        <f>getMount('RawData (GH)'!G829)</f>
        <v>Samsung NX</v>
      </c>
      <c r="J829" t="str">
        <f>getSensorCompatibility('RawData (GH)'!H829)</f>
        <v>APS-C</v>
      </c>
      <c r="K829" s="45">
        <f>getWeightAsDouble('RawData (GH)'!I829)</f>
        <v>615</v>
      </c>
      <c r="L829" s="34">
        <f>getSizeDiameter('RawData (GH)'!J829)</f>
        <v>83</v>
      </c>
      <c r="M829" s="34">
        <f>getSizeLength('RawData (GH)'!J829)</f>
        <v>107.9</v>
      </c>
    </row>
    <row r="830" spans="1:13" x14ac:dyDescent="0.25">
      <c r="A830" t="str">
        <f>'RawData (GH)'!A830</f>
        <v>Samyang 16mm T2.2 VDSLR ED AS UMC CS II für Sony A schwarz</v>
      </c>
      <c r="B830" s="5">
        <f>getFocalLengthStart('RawData (GH)'!B830)</f>
        <v>16</v>
      </c>
      <c r="C830" s="5">
        <f>getFocalLengthEnd('RawData (GH)'!B830)</f>
        <v>16</v>
      </c>
      <c r="D830" s="9">
        <f>getApertureStart('RawData (GH)'!C830)</f>
        <v>2.2000000000000002</v>
      </c>
      <c r="E830" s="9">
        <f>getApertureEnd('RawData (GH)'!C830)</f>
        <v>2.2000000000000002</v>
      </c>
      <c r="F830" s="2">
        <f>getFiltersizeAsDouble('RawData (GH)'!D830)</f>
        <v>77</v>
      </c>
      <c r="G830" s="35">
        <f>getMagnification('RawData (GH)'!E830)</f>
        <v>0</v>
      </c>
      <c r="H830" s="62">
        <f>getMinimalFocus('RawData (GH)'!F830)</f>
        <v>0</v>
      </c>
      <c r="I830" t="str">
        <f>getMount('RawData (GH)'!G830)</f>
        <v>Sony A</v>
      </c>
      <c r="J830" t="str">
        <f>getSensorCompatibility('RawData (GH)'!H830)</f>
        <v>APS-C</v>
      </c>
      <c r="K830" s="45">
        <f>getWeightAsDouble('RawData (GH)'!I830)</f>
        <v>585</v>
      </c>
      <c r="L830" s="34">
        <f>getSizeDiameter('RawData (GH)'!J830)</f>
        <v>83</v>
      </c>
      <c r="M830" s="34">
        <f>getSizeLength('RawData (GH)'!J830)</f>
        <v>88.9</v>
      </c>
    </row>
    <row r="831" spans="1:13" x14ac:dyDescent="0.25">
      <c r="A831" t="str">
        <f>'RawData (GH)'!A831</f>
        <v>Samyang 16mm T2.2 VDSLR ED AS UMC CS II für Sony E schwarz</v>
      </c>
      <c r="B831" s="5">
        <f>getFocalLengthStart('RawData (GH)'!B831)</f>
        <v>16</v>
      </c>
      <c r="C831" s="5">
        <f>getFocalLengthEnd('RawData (GH)'!B831)</f>
        <v>16</v>
      </c>
      <c r="D831" s="9">
        <f>getApertureStart('RawData (GH)'!C831)</f>
        <v>2.2000000000000002</v>
      </c>
      <c r="E831" s="9">
        <f>getApertureEnd('RawData (GH)'!C831)</f>
        <v>2.2000000000000002</v>
      </c>
      <c r="F831" s="2">
        <f>getFiltersizeAsDouble('RawData (GH)'!D831)</f>
        <v>77</v>
      </c>
      <c r="G831" s="35">
        <f>getMagnification('RawData (GH)'!E831)</f>
        <v>0</v>
      </c>
      <c r="H831" s="62">
        <f>getMinimalFocus('RawData (GH)'!F831)</f>
        <v>0</v>
      </c>
      <c r="I831" t="str">
        <f>getMount('RawData (GH)'!G831)</f>
        <v>Sony E</v>
      </c>
      <c r="J831" t="str">
        <f>getSensorCompatibility('RawData (GH)'!H831)</f>
        <v>APS-C</v>
      </c>
      <c r="K831" s="45">
        <f>getWeightAsDouble('RawData (GH)'!I831)</f>
        <v>620</v>
      </c>
      <c r="L831" s="34">
        <f>getSizeDiameter('RawData (GH)'!J831)</f>
        <v>83</v>
      </c>
      <c r="M831" s="34">
        <f>getSizeLength('RawData (GH)'!J831)</f>
        <v>115.4</v>
      </c>
    </row>
    <row r="832" spans="1:13" x14ac:dyDescent="0.25">
      <c r="A832" t="str">
        <f>'RawData (GH)'!A832</f>
        <v>Samyang 16mm T2.6 VDSLR ED AS UMC für Canon EF schwarz</v>
      </c>
      <c r="B832" s="5">
        <f>getFocalLengthStart('RawData (GH)'!B832)</f>
        <v>16</v>
      </c>
      <c r="C832" s="5">
        <f>getFocalLengthEnd('RawData (GH)'!B832)</f>
        <v>16</v>
      </c>
      <c r="D832" s="9">
        <f>getApertureStart('RawData (GH)'!C832)</f>
        <v>2.6</v>
      </c>
      <c r="E832" s="9">
        <f>getApertureEnd('RawData (GH)'!C832)</f>
        <v>2.6</v>
      </c>
      <c r="F832" s="2">
        <f>getFiltersizeAsDouble('RawData (GH)'!D832)</f>
        <v>77</v>
      </c>
      <c r="G832" s="35">
        <f>getMagnification('RawData (GH)'!E832)</f>
        <v>0</v>
      </c>
      <c r="H832" s="62">
        <f>getMinimalFocus('RawData (GH)'!F832)</f>
        <v>0</v>
      </c>
      <c r="I832" t="str">
        <f>getMount('RawData (GH)'!G832)</f>
        <v>Canon EF</v>
      </c>
      <c r="J832" t="str">
        <f>getSensorCompatibility('RawData (GH)'!H832)</f>
        <v>APS-C/ Kleinbild</v>
      </c>
      <c r="K832" s="45">
        <f>getWeightAsDouble('RawData (GH)'!I832)</f>
        <v>530</v>
      </c>
      <c r="L832" s="34">
        <f>getSizeDiameter('RawData (GH)'!J832)</f>
        <v>81.7</v>
      </c>
      <c r="M832" s="34">
        <f>getSizeLength('RawData (GH)'!J832)</f>
        <v>96.1</v>
      </c>
    </row>
    <row r="833" spans="1:13" x14ac:dyDescent="0.25">
      <c r="A833" t="str">
        <f>'RawData (GH)'!A833</f>
        <v>Samyang 16mm T2.6 VDSLR ED AS UMC für Canon EF-M schwarz</v>
      </c>
      <c r="B833" s="5">
        <f>getFocalLengthStart('RawData (GH)'!B833)</f>
        <v>16</v>
      </c>
      <c r="C833" s="5">
        <f>getFocalLengthEnd('RawData (GH)'!B833)</f>
        <v>16</v>
      </c>
      <c r="D833" s="9">
        <f>getApertureStart('RawData (GH)'!C833)</f>
        <v>2.6</v>
      </c>
      <c r="E833" s="9">
        <f>getApertureEnd('RawData (GH)'!C833)</f>
        <v>2.6</v>
      </c>
      <c r="F833" s="2">
        <f>getFiltersizeAsDouble('RawData (GH)'!D833)</f>
        <v>77</v>
      </c>
      <c r="G833" s="35">
        <f>getMagnification('RawData (GH)'!E833)</f>
        <v>0</v>
      </c>
      <c r="H833" s="62">
        <f>getMinimalFocus('RawData (GH)'!F833)</f>
        <v>0</v>
      </c>
      <c r="I833" t="str">
        <f>getMount('RawData (GH)'!G833)</f>
        <v>Canon EF-M</v>
      </c>
      <c r="J833" t="str">
        <f>getSensorCompatibility('RawData (GH)'!H833)</f>
        <v>APS-C</v>
      </c>
      <c r="K833" s="45">
        <f>getWeightAsDouble('RawData (GH)'!I833)</f>
        <v>540</v>
      </c>
      <c r="L833" s="34">
        <f>getSizeDiameter('RawData (GH)'!J833)</f>
        <v>81.7</v>
      </c>
      <c r="M833" s="34">
        <f>getSizeLength('RawData (GH)'!J833)</f>
        <v>122</v>
      </c>
    </row>
    <row r="834" spans="1:13" x14ac:dyDescent="0.25">
      <c r="A834" t="str">
        <f>'RawData (GH)'!A834</f>
        <v>Samyang 16mm T2.6 VDSLR ED AS UMC für Nikon F schwarz</v>
      </c>
      <c r="B834" s="5">
        <f>getFocalLengthStart('RawData (GH)'!B834)</f>
        <v>16</v>
      </c>
      <c r="C834" s="5">
        <f>getFocalLengthEnd('RawData (GH)'!B834)</f>
        <v>16</v>
      </c>
      <c r="D834" s="9">
        <f>getApertureStart('RawData (GH)'!C834)</f>
        <v>2.6</v>
      </c>
      <c r="E834" s="9">
        <f>getApertureEnd('RawData (GH)'!C834)</f>
        <v>2.6</v>
      </c>
      <c r="F834" s="2">
        <f>getFiltersizeAsDouble('RawData (GH)'!D834)</f>
        <v>77</v>
      </c>
      <c r="G834" s="35">
        <f>getMagnification('RawData (GH)'!E834)</f>
        <v>0</v>
      </c>
      <c r="H834" s="62">
        <f>getMinimalFocus('RawData (GH)'!F834)</f>
        <v>0</v>
      </c>
      <c r="I834" t="str">
        <f>getMount('RawData (GH)'!G834)</f>
        <v>Nikon F</v>
      </c>
      <c r="J834" t="str">
        <f>getSensorCompatibility('RawData (GH)'!H834)</f>
        <v>APS-C/ Kleinbild</v>
      </c>
      <c r="K834" s="45">
        <f>getWeightAsDouble('RawData (GH)'!I834)</f>
        <v>515</v>
      </c>
      <c r="L834" s="34">
        <f>getSizeDiameter('RawData (GH)'!J834)</f>
        <v>81.7</v>
      </c>
      <c r="M834" s="34">
        <f>getSizeLength('RawData (GH)'!J834)</f>
        <v>93.6</v>
      </c>
    </row>
    <row r="835" spans="1:13" x14ac:dyDescent="0.25">
      <c r="A835" t="str">
        <f>'RawData (GH)'!A835</f>
        <v>Samyang 16mm T2.6 VDSLR ED AS UMC für Sony E schwarz</v>
      </c>
      <c r="B835" s="5">
        <f>getFocalLengthStart('RawData (GH)'!B835)</f>
        <v>16</v>
      </c>
      <c r="C835" s="5">
        <f>getFocalLengthEnd('RawData (GH)'!B835)</f>
        <v>16</v>
      </c>
      <c r="D835" s="9">
        <f>getApertureStart('RawData (GH)'!C835)</f>
        <v>2.6</v>
      </c>
      <c r="E835" s="9">
        <f>getApertureEnd('RawData (GH)'!C835)</f>
        <v>2.6</v>
      </c>
      <c r="F835" s="2">
        <f>getFiltersizeAsDouble('RawData (GH)'!D835)</f>
        <v>77</v>
      </c>
      <c r="G835" s="35">
        <f>getMagnification('RawData (GH)'!E835)</f>
        <v>0</v>
      </c>
      <c r="H835" s="62">
        <f>getMinimalFocus('RawData (GH)'!F835)</f>
        <v>0</v>
      </c>
      <c r="I835" t="str">
        <f>getMount('RawData (GH)'!G835)</f>
        <v>Sony E</v>
      </c>
      <c r="J835" t="str">
        <f>getSensorCompatibility('RawData (GH)'!H835)</f>
        <v>APS-C/ Kleinbild</v>
      </c>
      <c r="K835" s="45">
        <f>getWeightAsDouble('RawData (GH)'!I835)</f>
        <v>540</v>
      </c>
      <c r="L835" s="34">
        <f>getSizeDiameter('RawData (GH)'!J835)</f>
        <v>81.7</v>
      </c>
      <c r="M835" s="34">
        <f>getSizeLength('RawData (GH)'!J835)</f>
        <v>122.1</v>
      </c>
    </row>
    <row r="836" spans="1:13" x14ac:dyDescent="0.25">
      <c r="A836" t="str">
        <f>'RawData (GH)'!A836</f>
        <v>Samyang 20mm 1.8 ED AS UMC für Canon EF schwarz</v>
      </c>
      <c r="B836" s="5">
        <f>getFocalLengthStart('RawData (GH)'!B836)</f>
        <v>20</v>
      </c>
      <c r="C836" s="5">
        <f>getFocalLengthEnd('RawData (GH)'!B836)</f>
        <v>20</v>
      </c>
      <c r="D836" s="9">
        <f>getApertureStart('RawData (GH)'!C836)</f>
        <v>1.8</v>
      </c>
      <c r="E836" s="9">
        <f>getApertureEnd('RawData (GH)'!C836)</f>
        <v>1.8</v>
      </c>
      <c r="F836" s="2">
        <f>getFiltersizeAsDouble('RawData (GH)'!D836)</f>
        <v>77</v>
      </c>
      <c r="G836" s="35">
        <f>getMagnification('RawData (GH)'!E836)</f>
        <v>0</v>
      </c>
      <c r="H836" s="62">
        <f>getMinimalFocus('RawData (GH)'!F836)</f>
        <v>0</v>
      </c>
      <c r="I836" t="str">
        <f>getMount('RawData (GH)'!G836)</f>
        <v>Canon EF</v>
      </c>
      <c r="J836" t="str">
        <f>getSensorCompatibility('RawData (GH)'!H836)</f>
        <v>APS-C/ Kleinbild</v>
      </c>
      <c r="K836" s="45">
        <f>getWeightAsDouble('RawData (GH)'!I836)</f>
        <v>497</v>
      </c>
      <c r="L836" s="34">
        <f>getSizeDiameter('RawData (GH)'!J836)</f>
        <v>83</v>
      </c>
      <c r="M836" s="34">
        <f>getSizeLength('RawData (GH)'!J836)</f>
        <v>88.4</v>
      </c>
    </row>
    <row r="837" spans="1:13" x14ac:dyDescent="0.25">
      <c r="A837" t="str">
        <f>'RawData (GH)'!A837</f>
        <v>Samyang 20mm 1.8 ED AS UMC für Canon EF-M schwarz</v>
      </c>
      <c r="B837" s="5">
        <f>getFocalLengthStart('RawData (GH)'!B837)</f>
        <v>20</v>
      </c>
      <c r="C837" s="5">
        <f>getFocalLengthEnd('RawData (GH)'!B837)</f>
        <v>20</v>
      </c>
      <c r="D837" s="9">
        <f>getApertureStart('RawData (GH)'!C837)</f>
        <v>1.8</v>
      </c>
      <c r="E837" s="9">
        <f>getApertureEnd('RawData (GH)'!C837)</f>
        <v>1.8</v>
      </c>
      <c r="F837" s="2">
        <f>getFiltersizeAsDouble('RawData (GH)'!D837)</f>
        <v>77</v>
      </c>
      <c r="G837" s="35">
        <f>getMagnification('RawData (GH)'!E837)</f>
        <v>0</v>
      </c>
      <c r="H837" s="62">
        <f>getMinimalFocus('RawData (GH)'!F837)</f>
        <v>0</v>
      </c>
      <c r="I837" t="str">
        <f>getMount('RawData (GH)'!G837)</f>
        <v>Canon EF-M</v>
      </c>
      <c r="J837" t="str">
        <f>getSensorCompatibility('RawData (GH)'!H837)</f>
        <v>APS-C</v>
      </c>
      <c r="K837" s="45">
        <f>getWeightAsDouble('RawData (GH)'!I837)</f>
        <v>525</v>
      </c>
      <c r="L837" s="34">
        <f>getSizeDiameter('RawData (GH)'!J837)</f>
        <v>83</v>
      </c>
      <c r="M837" s="34">
        <f>getSizeLength('RawData (GH)'!J837)</f>
        <v>114.3</v>
      </c>
    </row>
    <row r="838" spans="1:13" x14ac:dyDescent="0.25">
      <c r="A838" t="str">
        <f>'RawData (GH)'!A838</f>
        <v>Samyang 20mm 1.8 ED AS UMC für Four-Thirds schwarz</v>
      </c>
      <c r="B838" s="5">
        <f>getFocalLengthStart('RawData (GH)'!B838)</f>
        <v>20</v>
      </c>
      <c r="C838" s="5">
        <f>getFocalLengthEnd('RawData (GH)'!B838)</f>
        <v>20</v>
      </c>
      <c r="D838" s="9">
        <f>getApertureStart('RawData (GH)'!C838)</f>
        <v>1.8</v>
      </c>
      <c r="E838" s="9">
        <f>getApertureEnd('RawData (GH)'!C838)</f>
        <v>1.8</v>
      </c>
      <c r="F838" s="2">
        <f>getFiltersizeAsDouble('RawData (GH)'!D838)</f>
        <v>77</v>
      </c>
      <c r="G838" s="35">
        <f>getMagnification('RawData (GH)'!E838)</f>
        <v>0</v>
      </c>
      <c r="H838" s="62">
        <f>getMinimalFocus('RawData (GH)'!F838)</f>
        <v>0</v>
      </c>
      <c r="I838" t="str">
        <f>getMount('RawData (GH)'!G838)</f>
        <v>Four-Thirds</v>
      </c>
      <c r="J838" t="str">
        <f>getSensorCompatibility('RawData (GH)'!H838)</f>
        <v>Four-Thirds</v>
      </c>
      <c r="K838" s="45">
        <f>getWeightAsDouble('RawData (GH)'!I838)</f>
        <v>530</v>
      </c>
      <c r="L838" s="34">
        <f>getSizeDiameter('RawData (GH)'!J838)</f>
        <v>83</v>
      </c>
      <c r="M838" s="34">
        <f>getSizeLength('RawData (GH)'!J838)</f>
        <v>93.7</v>
      </c>
    </row>
    <row r="839" spans="1:13" x14ac:dyDescent="0.25">
      <c r="A839" t="str">
        <f>'RawData (GH)'!A839</f>
        <v>Samyang 20mm 1.8 ED AS UMC für Fujifilm X schwarz</v>
      </c>
      <c r="B839" s="5">
        <f>getFocalLengthStart('RawData (GH)'!B839)</f>
        <v>20</v>
      </c>
      <c r="C839" s="5">
        <f>getFocalLengthEnd('RawData (GH)'!B839)</f>
        <v>20</v>
      </c>
      <c r="D839" s="9">
        <f>getApertureStart('RawData (GH)'!C839)</f>
        <v>1.8</v>
      </c>
      <c r="E839" s="9">
        <f>getApertureEnd('RawData (GH)'!C839)</f>
        <v>1.8</v>
      </c>
      <c r="F839" s="2">
        <f>getFiltersizeAsDouble('RawData (GH)'!D839)</f>
        <v>77</v>
      </c>
      <c r="G839" s="35">
        <f>getMagnification('RawData (GH)'!E839)</f>
        <v>0</v>
      </c>
      <c r="H839" s="62">
        <f>getMinimalFocus('RawData (GH)'!F839)</f>
        <v>0</v>
      </c>
      <c r="I839" t="str">
        <f>getMount('RawData (GH)'!G839)</f>
        <v>Fujifilm X</v>
      </c>
      <c r="J839" t="str">
        <f>getSensorCompatibility('RawData (GH)'!H839)</f>
        <v>APS-C</v>
      </c>
      <c r="K839" s="45">
        <f>getWeightAsDouble('RawData (GH)'!I839)</f>
        <v>565</v>
      </c>
      <c r="L839" s="34">
        <f>getSizeDiameter('RawData (GH)'!J839)</f>
        <v>83</v>
      </c>
      <c r="M839" s="34">
        <f>getSizeLength('RawData (GH)'!J839)</f>
        <v>114.7</v>
      </c>
    </row>
    <row r="840" spans="1:13" x14ac:dyDescent="0.25">
      <c r="A840" t="str">
        <f>'RawData (GH)'!A840</f>
        <v>Samyang 20mm 1.8 ED AS UMC für Micro-Four-Thirds schwarz</v>
      </c>
      <c r="B840" s="5">
        <f>getFocalLengthStart('RawData (GH)'!B840)</f>
        <v>20</v>
      </c>
      <c r="C840" s="5">
        <f>getFocalLengthEnd('RawData (GH)'!B840)</f>
        <v>20</v>
      </c>
      <c r="D840" s="9">
        <f>getApertureStart('RawData (GH)'!C840)</f>
        <v>1.8</v>
      </c>
      <c r="E840" s="9">
        <f>getApertureEnd('RawData (GH)'!C840)</f>
        <v>1.8</v>
      </c>
      <c r="F840" s="2">
        <f>getFiltersizeAsDouble('RawData (GH)'!D840)</f>
        <v>77</v>
      </c>
      <c r="G840" s="35">
        <f>getMagnification('RawData (GH)'!E840)</f>
        <v>0</v>
      </c>
      <c r="H840" s="62">
        <f>getMinimalFocus('RawData (GH)'!F840)</f>
        <v>0</v>
      </c>
      <c r="I840" t="str">
        <f>getMount('RawData (GH)'!G840)</f>
        <v>Micro-Four-Thirds</v>
      </c>
      <c r="J840" t="str">
        <f>getSensorCompatibility('RawData (GH)'!H840)</f>
        <v>Four-Thirds</v>
      </c>
      <c r="K840" s="45">
        <f>getWeightAsDouble('RawData (GH)'!I840)</f>
        <v>520</v>
      </c>
      <c r="L840" s="34">
        <f>getSizeDiameter('RawData (GH)'!J840)</f>
        <v>83</v>
      </c>
      <c r="M840" s="34">
        <f>getSizeLength('RawData (GH)'!J840)</f>
        <v>113.2</v>
      </c>
    </row>
    <row r="841" spans="1:13" x14ac:dyDescent="0.25">
      <c r="A841" t="str">
        <f>'RawData (GH)'!A841</f>
        <v>Samyang 20mm 1.8 ED AS UMC für Nikon F schwarz</v>
      </c>
      <c r="B841" s="5">
        <f>getFocalLengthStart('RawData (GH)'!B841)</f>
        <v>20</v>
      </c>
      <c r="C841" s="5">
        <f>getFocalLengthEnd('RawData (GH)'!B841)</f>
        <v>20</v>
      </c>
      <c r="D841" s="9">
        <f>getApertureStart('RawData (GH)'!C841)</f>
        <v>1.8</v>
      </c>
      <c r="E841" s="9">
        <f>getApertureEnd('RawData (GH)'!C841)</f>
        <v>1.8</v>
      </c>
      <c r="F841" s="2">
        <f>getFiltersizeAsDouble('RawData (GH)'!D841)</f>
        <v>77</v>
      </c>
      <c r="G841" s="35">
        <f>getMagnification('RawData (GH)'!E841)</f>
        <v>0</v>
      </c>
      <c r="H841" s="62">
        <f>getMinimalFocus('RawData (GH)'!F841)</f>
        <v>0</v>
      </c>
      <c r="I841" t="str">
        <f>getMount('RawData (GH)'!G841)</f>
        <v>Nikon F</v>
      </c>
      <c r="J841" t="str">
        <f>getSensorCompatibility('RawData (GH)'!H841)</f>
        <v>APS-C/ Kleinbild</v>
      </c>
      <c r="K841" s="45">
        <f>getWeightAsDouble('RawData (GH)'!I841)</f>
        <v>488</v>
      </c>
      <c r="L841" s="34">
        <f>getSizeDiameter('RawData (GH)'!J841)</f>
        <v>83</v>
      </c>
      <c r="M841" s="34">
        <f>getSizeLength('RawData (GH)'!J841)</f>
        <v>85.9</v>
      </c>
    </row>
    <row r="842" spans="1:13" x14ac:dyDescent="0.25">
      <c r="A842" t="str">
        <f>'RawData (GH)'!A842</f>
        <v>Samyang 20mm 1.8 ED AS UMC für Pentax K schwarz</v>
      </c>
      <c r="B842" s="5">
        <f>getFocalLengthStart('RawData (GH)'!B842)</f>
        <v>20</v>
      </c>
      <c r="C842" s="5">
        <f>getFocalLengthEnd('RawData (GH)'!B842)</f>
        <v>20</v>
      </c>
      <c r="D842" s="9">
        <f>getApertureStart('RawData (GH)'!C842)</f>
        <v>1.8</v>
      </c>
      <c r="E842" s="9">
        <f>getApertureEnd('RawData (GH)'!C842)</f>
        <v>1.8</v>
      </c>
      <c r="F842" s="2">
        <f>getFiltersizeAsDouble('RawData (GH)'!D842)</f>
        <v>77</v>
      </c>
      <c r="G842" s="35">
        <f>getMagnification('RawData (GH)'!E842)</f>
        <v>0</v>
      </c>
      <c r="H842" s="62">
        <f>getMinimalFocus('RawData (GH)'!F842)</f>
        <v>0</v>
      </c>
      <c r="I842" t="str">
        <f>getMount('RawData (GH)'!G842)</f>
        <v>Pentax K</v>
      </c>
      <c r="J842" t="str">
        <f>getSensorCompatibility('RawData (GH)'!H842)</f>
        <v>APS-C/ Kleinbild</v>
      </c>
      <c r="K842" s="45">
        <f>getWeightAsDouble('RawData (GH)'!I842)</f>
        <v>493</v>
      </c>
      <c r="L842" s="34">
        <f>getSizeDiameter('RawData (GH)'!J842)</f>
        <v>83</v>
      </c>
      <c r="M842" s="34">
        <f>getSizeLength('RawData (GH)'!J842)</f>
        <v>86.9</v>
      </c>
    </row>
    <row r="843" spans="1:13" x14ac:dyDescent="0.25">
      <c r="A843" t="str">
        <f>'RawData (GH)'!A843</f>
        <v>Samyang 20mm 1.8 ED AS UMC für Samsung NX schwarz</v>
      </c>
      <c r="B843" s="5">
        <f>getFocalLengthStart('RawData (GH)'!B843)</f>
        <v>20</v>
      </c>
      <c r="C843" s="5">
        <f>getFocalLengthEnd('RawData (GH)'!B843)</f>
        <v>20</v>
      </c>
      <c r="D843" s="9">
        <f>getApertureStart('RawData (GH)'!C843)</f>
        <v>1.8</v>
      </c>
      <c r="E843" s="9">
        <f>getApertureEnd('RawData (GH)'!C843)</f>
        <v>1.8</v>
      </c>
      <c r="F843" s="2">
        <f>getFiltersizeAsDouble('RawData (GH)'!D843)</f>
        <v>77</v>
      </c>
      <c r="G843" s="35">
        <f>getMagnification('RawData (GH)'!E843)</f>
        <v>0</v>
      </c>
      <c r="H843" s="62">
        <f>getMinimalFocus('RawData (GH)'!F843)</f>
        <v>0</v>
      </c>
      <c r="I843" t="str">
        <f>getMount('RawData (GH)'!G843)</f>
        <v>Samsung NX</v>
      </c>
      <c r="J843" t="str">
        <f>getSensorCompatibility('RawData (GH)'!H843)</f>
        <v>APS-C</v>
      </c>
      <c r="K843" s="45">
        <f>getWeightAsDouble('RawData (GH)'!I843)</f>
        <v>515</v>
      </c>
      <c r="L843" s="34">
        <f>getSizeDiameter('RawData (GH)'!J843)</f>
        <v>83</v>
      </c>
      <c r="M843" s="34">
        <f>getSizeLength('RawData (GH)'!J843)</f>
        <v>106.9</v>
      </c>
    </row>
    <row r="844" spans="1:13" x14ac:dyDescent="0.25">
      <c r="A844" t="str">
        <f>'RawData (GH)'!A844</f>
        <v>Samyang 20mm 1.8 ED AS UMC für Sony A schwarz</v>
      </c>
      <c r="B844" s="5">
        <f>getFocalLengthStart('RawData (GH)'!B844)</f>
        <v>20</v>
      </c>
      <c r="C844" s="5">
        <f>getFocalLengthEnd('RawData (GH)'!B844)</f>
        <v>20</v>
      </c>
      <c r="D844" s="9">
        <f>getApertureStart('RawData (GH)'!C844)</f>
        <v>1.8</v>
      </c>
      <c r="E844" s="9">
        <f>getApertureEnd('RawData (GH)'!C844)</f>
        <v>1.8</v>
      </c>
      <c r="F844" s="2">
        <f>getFiltersizeAsDouble('RawData (GH)'!D844)</f>
        <v>77</v>
      </c>
      <c r="G844" s="35">
        <f>getMagnification('RawData (GH)'!E844)</f>
        <v>0</v>
      </c>
      <c r="H844" s="62">
        <f>getMinimalFocus('RawData (GH)'!F844)</f>
        <v>0</v>
      </c>
      <c r="I844" t="str">
        <f>getMount('RawData (GH)'!G844)</f>
        <v>Sony A</v>
      </c>
      <c r="J844" t="str">
        <f>getSensorCompatibility('RawData (GH)'!H844)</f>
        <v>APS-C/ Kleinbild</v>
      </c>
      <c r="K844" s="45">
        <f>getWeightAsDouble('RawData (GH)'!I844)</f>
        <v>498</v>
      </c>
      <c r="L844" s="34">
        <f>getSizeDiameter('RawData (GH)'!J844)</f>
        <v>83</v>
      </c>
      <c r="M844" s="34">
        <f>getSizeLength('RawData (GH)'!J844)</f>
        <v>87.9</v>
      </c>
    </row>
    <row r="845" spans="1:13" x14ac:dyDescent="0.25">
      <c r="A845" t="str">
        <f>'RawData (GH)'!A845</f>
        <v>Samyang 20mm 1.8 ED AS UMC für Sony E schwarz</v>
      </c>
      <c r="B845" s="5">
        <f>getFocalLengthStart('RawData (GH)'!B845)</f>
        <v>20</v>
      </c>
      <c r="C845" s="5">
        <f>getFocalLengthEnd('RawData (GH)'!B845)</f>
        <v>20</v>
      </c>
      <c r="D845" s="9">
        <f>getApertureStart('RawData (GH)'!C845)</f>
        <v>1.8</v>
      </c>
      <c r="E845" s="9">
        <f>getApertureEnd('RawData (GH)'!C845)</f>
        <v>1.8</v>
      </c>
      <c r="F845" s="2">
        <f>getFiltersizeAsDouble('RawData (GH)'!D845)</f>
        <v>77</v>
      </c>
      <c r="G845" s="35">
        <f>getMagnification('RawData (GH)'!E845)</f>
        <v>0</v>
      </c>
      <c r="H845" s="62">
        <f>getMinimalFocus('RawData (GH)'!F845)</f>
        <v>0</v>
      </c>
      <c r="I845" t="str">
        <f>getMount('RawData (GH)'!G845)</f>
        <v>Sony E</v>
      </c>
      <c r="J845" t="str">
        <f>getSensorCompatibility('RawData (GH)'!H845)</f>
        <v>APS-C/ Kleinbild</v>
      </c>
      <c r="K845" s="45">
        <f>getWeightAsDouble('RawData (GH)'!I845)</f>
        <v>525</v>
      </c>
      <c r="L845" s="34">
        <f>getSizeDiameter('RawData (GH)'!J845)</f>
        <v>83</v>
      </c>
      <c r="M845" s="34">
        <f>getSizeLength('RawData (GH)'!J845)</f>
        <v>114.4</v>
      </c>
    </row>
    <row r="846" spans="1:13" x14ac:dyDescent="0.25">
      <c r="A846" t="str">
        <f>'RawData (GH)'!A846</f>
        <v>Samyang 20mm T1.9 ED AS UMC für Canon EF schwarz</v>
      </c>
      <c r="B846" s="5">
        <f>getFocalLengthStart('RawData (GH)'!B846)</f>
        <v>20</v>
      </c>
      <c r="C846" s="5">
        <f>getFocalLengthEnd('RawData (GH)'!B846)</f>
        <v>20</v>
      </c>
      <c r="D846" s="9">
        <f>getApertureStart('RawData (GH)'!C846)</f>
        <v>1.9</v>
      </c>
      <c r="E846" s="9">
        <f>getApertureEnd('RawData (GH)'!C846)</f>
        <v>1.9</v>
      </c>
      <c r="F846" s="2">
        <f>getFiltersizeAsDouble('RawData (GH)'!D846)</f>
        <v>77</v>
      </c>
      <c r="G846" s="35">
        <f>getMagnification('RawData (GH)'!E846)</f>
        <v>0</v>
      </c>
      <c r="H846" s="62">
        <f>getMinimalFocus('RawData (GH)'!F846)</f>
        <v>0</v>
      </c>
      <c r="I846" t="str">
        <f>getMount('RawData (GH)'!G846)</f>
        <v>Canon EF</v>
      </c>
      <c r="J846" t="str">
        <f>getSensorCompatibility('RawData (GH)'!H846)</f>
        <v>APS-C/ Kleinbild</v>
      </c>
      <c r="K846" s="45">
        <f>getWeightAsDouble('RawData (GH)'!I846)</f>
        <v>518</v>
      </c>
      <c r="L846" s="34">
        <f>getSizeDiameter('RawData (GH)'!J846)</f>
        <v>83</v>
      </c>
      <c r="M846" s="34">
        <f>getSizeLength('RawData (GH)'!J846)</f>
        <v>88.4</v>
      </c>
    </row>
    <row r="847" spans="1:13" x14ac:dyDescent="0.25">
      <c r="A847" t="str">
        <f>'RawData (GH)'!A847</f>
        <v>Samyang 20mm T1.9 ED AS UMC für Canon EF-M schwarz</v>
      </c>
      <c r="B847" s="5">
        <f>getFocalLengthStart('RawData (GH)'!B847)</f>
        <v>20</v>
      </c>
      <c r="C847" s="5">
        <f>getFocalLengthEnd('RawData (GH)'!B847)</f>
        <v>20</v>
      </c>
      <c r="D847" s="9">
        <f>getApertureStart('RawData (GH)'!C847)</f>
        <v>1.9</v>
      </c>
      <c r="E847" s="9">
        <f>getApertureEnd('RawData (GH)'!C847)</f>
        <v>1.9</v>
      </c>
      <c r="F847" s="2">
        <f>getFiltersizeAsDouble('RawData (GH)'!D847)</f>
        <v>77</v>
      </c>
      <c r="G847" s="35">
        <f>getMagnification('RawData (GH)'!E847)</f>
        <v>0</v>
      </c>
      <c r="H847" s="62">
        <f>getMinimalFocus('RawData (GH)'!F847)</f>
        <v>0</v>
      </c>
      <c r="I847" t="str">
        <f>getMount('RawData (GH)'!G847)</f>
        <v>Canon EF-M</v>
      </c>
      <c r="J847" t="str">
        <f>getSensorCompatibility('RawData (GH)'!H847)</f>
        <v>APS-C</v>
      </c>
      <c r="K847" s="45">
        <f>getWeightAsDouble('RawData (GH)'!I847)</f>
        <v>546</v>
      </c>
      <c r="L847" s="34">
        <f>getSizeDiameter('RawData (GH)'!J847)</f>
        <v>83</v>
      </c>
      <c r="M847" s="34">
        <f>getSizeLength('RawData (GH)'!J847)</f>
        <v>114.3</v>
      </c>
    </row>
    <row r="848" spans="1:13" x14ac:dyDescent="0.25">
      <c r="A848" t="str">
        <f>'RawData (GH)'!A848</f>
        <v>Samyang 20mm T1.9 ED AS UMC für Four-Thirds schwarz</v>
      </c>
      <c r="B848" s="5">
        <f>getFocalLengthStart('RawData (GH)'!B848)</f>
        <v>20</v>
      </c>
      <c r="C848" s="5">
        <f>getFocalLengthEnd('RawData (GH)'!B848)</f>
        <v>20</v>
      </c>
      <c r="D848" s="9">
        <f>getApertureStart('RawData (GH)'!C848)</f>
        <v>1.9</v>
      </c>
      <c r="E848" s="9">
        <f>getApertureEnd('RawData (GH)'!C848)</f>
        <v>1.9</v>
      </c>
      <c r="F848" s="2">
        <f>getFiltersizeAsDouble('RawData (GH)'!D848)</f>
        <v>77</v>
      </c>
      <c r="G848" s="35">
        <f>getMagnification('RawData (GH)'!E848)</f>
        <v>0</v>
      </c>
      <c r="H848" s="62">
        <f>getMinimalFocus('RawData (GH)'!F848)</f>
        <v>0</v>
      </c>
      <c r="I848" t="str">
        <f>getMount('RawData (GH)'!G848)</f>
        <v>Four-Thirds</v>
      </c>
      <c r="J848" t="str">
        <f>getSensorCompatibility('RawData (GH)'!H848)</f>
        <v>Four-Thirds</v>
      </c>
      <c r="K848" s="45">
        <f>getWeightAsDouble('RawData (GH)'!I848)</f>
        <v>551</v>
      </c>
      <c r="L848" s="34">
        <f>getSizeDiameter('RawData (GH)'!J848)</f>
        <v>83</v>
      </c>
      <c r="M848" s="34">
        <f>getSizeLength('RawData (GH)'!J848)</f>
        <v>93.7</v>
      </c>
    </row>
    <row r="849" spans="1:13" x14ac:dyDescent="0.25">
      <c r="A849" t="str">
        <f>'RawData (GH)'!A849</f>
        <v>Samyang 20mm T1.9 ED AS UMC für Fujifilm X schwarz</v>
      </c>
      <c r="B849" s="5">
        <f>getFocalLengthStart('RawData (GH)'!B849)</f>
        <v>20</v>
      </c>
      <c r="C849" s="5">
        <f>getFocalLengthEnd('RawData (GH)'!B849)</f>
        <v>20</v>
      </c>
      <c r="D849" s="9">
        <f>getApertureStart('RawData (GH)'!C849)</f>
        <v>1.9</v>
      </c>
      <c r="E849" s="9">
        <f>getApertureEnd('RawData (GH)'!C849)</f>
        <v>1.9</v>
      </c>
      <c r="F849" s="2">
        <f>getFiltersizeAsDouble('RawData (GH)'!D849)</f>
        <v>77</v>
      </c>
      <c r="G849" s="35">
        <f>getMagnification('RawData (GH)'!E849)</f>
        <v>0</v>
      </c>
      <c r="H849" s="62">
        <f>getMinimalFocus('RawData (GH)'!F849)</f>
        <v>0</v>
      </c>
      <c r="I849" t="str">
        <f>getMount('RawData (GH)'!G849)</f>
        <v>Fujifilm X</v>
      </c>
      <c r="J849" t="str">
        <f>getSensorCompatibility('RawData (GH)'!H849)</f>
        <v>APS-C</v>
      </c>
      <c r="K849" s="45">
        <f>getWeightAsDouble('RawData (GH)'!I849)</f>
        <v>586</v>
      </c>
      <c r="L849" s="34">
        <f>getSizeDiameter('RawData (GH)'!J849)</f>
        <v>83</v>
      </c>
      <c r="M849" s="34">
        <f>getSizeLength('RawData (GH)'!J849)</f>
        <v>114.7</v>
      </c>
    </row>
    <row r="850" spans="1:13" x14ac:dyDescent="0.25">
      <c r="A850" t="str">
        <f>'RawData (GH)'!A850</f>
        <v>Samyang 20mm T1.9 ED AS UMC für Micro-Four-Thirds schwarz</v>
      </c>
      <c r="B850" s="5">
        <f>getFocalLengthStart('RawData (GH)'!B850)</f>
        <v>20</v>
      </c>
      <c r="C850" s="5">
        <f>getFocalLengthEnd('RawData (GH)'!B850)</f>
        <v>20</v>
      </c>
      <c r="D850" s="9">
        <f>getApertureStart('RawData (GH)'!C850)</f>
        <v>1.9</v>
      </c>
      <c r="E850" s="9">
        <f>getApertureEnd('RawData (GH)'!C850)</f>
        <v>1.9</v>
      </c>
      <c r="F850" s="2">
        <f>getFiltersizeAsDouble('RawData (GH)'!D850)</f>
        <v>77</v>
      </c>
      <c r="G850" s="35">
        <f>getMagnification('RawData (GH)'!E850)</f>
        <v>0</v>
      </c>
      <c r="H850" s="62">
        <f>getMinimalFocus('RawData (GH)'!F850)</f>
        <v>0</v>
      </c>
      <c r="I850" t="str">
        <f>getMount('RawData (GH)'!G850)</f>
        <v>Micro-Four-Thirds</v>
      </c>
      <c r="J850" t="str">
        <f>getSensorCompatibility('RawData (GH)'!H850)</f>
        <v>Four-Thirds</v>
      </c>
      <c r="K850" s="45">
        <f>getWeightAsDouble('RawData (GH)'!I850)</f>
        <v>541</v>
      </c>
      <c r="L850" s="34">
        <f>getSizeDiameter('RawData (GH)'!J850)</f>
        <v>83</v>
      </c>
      <c r="M850" s="34">
        <f>getSizeLength('RawData (GH)'!J850)</f>
        <v>113.2</v>
      </c>
    </row>
    <row r="851" spans="1:13" x14ac:dyDescent="0.25">
      <c r="A851" t="str">
        <f>'RawData (GH)'!A851</f>
        <v>Samyang 20mm T1.9 ED AS UMC für Nikon F schwarz</v>
      </c>
      <c r="B851" s="5">
        <f>getFocalLengthStart('RawData (GH)'!B851)</f>
        <v>20</v>
      </c>
      <c r="C851" s="5">
        <f>getFocalLengthEnd('RawData (GH)'!B851)</f>
        <v>20</v>
      </c>
      <c r="D851" s="9">
        <f>getApertureStart('RawData (GH)'!C851)</f>
        <v>1.9</v>
      </c>
      <c r="E851" s="9">
        <f>getApertureEnd('RawData (GH)'!C851)</f>
        <v>1.9</v>
      </c>
      <c r="F851" s="2">
        <f>getFiltersizeAsDouble('RawData (GH)'!D851)</f>
        <v>77</v>
      </c>
      <c r="G851" s="35">
        <f>getMagnification('RawData (GH)'!E851)</f>
        <v>0</v>
      </c>
      <c r="H851" s="62">
        <f>getMinimalFocus('RawData (GH)'!F851)</f>
        <v>0</v>
      </c>
      <c r="I851" t="str">
        <f>getMount('RawData (GH)'!G851)</f>
        <v>Nikon F</v>
      </c>
      <c r="J851" t="str">
        <f>getSensorCompatibility('RawData (GH)'!H851)</f>
        <v>APS-C/ Kleinbild</v>
      </c>
      <c r="K851" s="45">
        <f>getWeightAsDouble('RawData (GH)'!I851)</f>
        <v>508</v>
      </c>
      <c r="L851" s="34">
        <f>getSizeDiameter('RawData (GH)'!J851)</f>
        <v>83</v>
      </c>
      <c r="M851" s="34">
        <f>getSizeLength('RawData (GH)'!J851)</f>
        <v>85.9</v>
      </c>
    </row>
    <row r="852" spans="1:13" x14ac:dyDescent="0.25">
      <c r="A852" t="str">
        <f>'RawData (GH)'!A852</f>
        <v>Samyang 20mm T1.9 ED AS UMC für Pentax K schwarz</v>
      </c>
      <c r="B852" s="5">
        <f>getFocalLengthStart('RawData (GH)'!B852)</f>
        <v>20</v>
      </c>
      <c r="C852" s="5">
        <f>getFocalLengthEnd('RawData (GH)'!B852)</f>
        <v>20</v>
      </c>
      <c r="D852" s="9">
        <f>getApertureStart('RawData (GH)'!C852)</f>
        <v>1.9</v>
      </c>
      <c r="E852" s="9">
        <f>getApertureEnd('RawData (GH)'!C852)</f>
        <v>1.9</v>
      </c>
      <c r="F852" s="2">
        <f>getFiltersizeAsDouble('RawData (GH)'!D852)</f>
        <v>77</v>
      </c>
      <c r="G852" s="35">
        <f>getMagnification('RawData (GH)'!E852)</f>
        <v>0</v>
      </c>
      <c r="H852" s="62">
        <f>getMinimalFocus('RawData (GH)'!F852)</f>
        <v>0</v>
      </c>
      <c r="I852" t="str">
        <f>getMount('RawData (GH)'!G852)</f>
        <v>Pentax K</v>
      </c>
      <c r="J852" t="str">
        <f>getSensorCompatibility('RawData (GH)'!H852)</f>
        <v>APS-C/ Kleinbild</v>
      </c>
      <c r="K852" s="45">
        <f>getWeightAsDouble('RawData (GH)'!I852)</f>
        <v>513</v>
      </c>
      <c r="L852" s="34">
        <f>getSizeDiameter('RawData (GH)'!J852)</f>
        <v>83</v>
      </c>
      <c r="M852" s="34">
        <f>getSizeLength('RawData (GH)'!J852)</f>
        <v>86.9</v>
      </c>
    </row>
    <row r="853" spans="1:13" x14ac:dyDescent="0.25">
      <c r="A853" t="str">
        <f>'RawData (GH)'!A853</f>
        <v>Samyang 20mm T1.9 ED AS UMC für Samsung NX schwarz</v>
      </c>
      <c r="B853" s="5">
        <f>getFocalLengthStart('RawData (GH)'!B853)</f>
        <v>20</v>
      </c>
      <c r="C853" s="5">
        <f>getFocalLengthEnd('RawData (GH)'!B853)</f>
        <v>20</v>
      </c>
      <c r="D853" s="9">
        <f>getApertureStart('RawData (GH)'!C853)</f>
        <v>1.9</v>
      </c>
      <c r="E853" s="9">
        <f>getApertureEnd('RawData (GH)'!C853)</f>
        <v>1.9</v>
      </c>
      <c r="F853" s="2">
        <f>getFiltersizeAsDouble('RawData (GH)'!D853)</f>
        <v>77</v>
      </c>
      <c r="G853" s="35">
        <f>getMagnification('RawData (GH)'!E853)</f>
        <v>0</v>
      </c>
      <c r="H853" s="62">
        <f>getMinimalFocus('RawData (GH)'!F853)</f>
        <v>0</v>
      </c>
      <c r="I853" t="str">
        <f>getMount('RawData (GH)'!G853)</f>
        <v>Samsung NX</v>
      </c>
      <c r="J853" t="str">
        <f>getSensorCompatibility('RawData (GH)'!H853)</f>
        <v>APS-C</v>
      </c>
      <c r="K853" s="45">
        <f>getWeightAsDouble('RawData (GH)'!I853)</f>
        <v>536</v>
      </c>
      <c r="L853" s="34">
        <f>getSizeDiameter('RawData (GH)'!J853)</f>
        <v>83</v>
      </c>
      <c r="M853" s="34">
        <f>getSizeLength('RawData (GH)'!J853)</f>
        <v>106.9</v>
      </c>
    </row>
    <row r="854" spans="1:13" x14ac:dyDescent="0.25">
      <c r="A854" t="str">
        <f>'RawData (GH)'!A854</f>
        <v>Samyang 20mm T1.9 ED AS UMC für Sony A schwarz</v>
      </c>
      <c r="B854" s="5">
        <f>getFocalLengthStart('RawData (GH)'!B854)</f>
        <v>20</v>
      </c>
      <c r="C854" s="5">
        <f>getFocalLengthEnd('RawData (GH)'!B854)</f>
        <v>20</v>
      </c>
      <c r="D854" s="9">
        <f>getApertureStart('RawData (GH)'!C854)</f>
        <v>1.9</v>
      </c>
      <c r="E854" s="9">
        <f>getApertureEnd('RawData (GH)'!C854)</f>
        <v>1.9</v>
      </c>
      <c r="F854" s="2">
        <f>getFiltersizeAsDouble('RawData (GH)'!D854)</f>
        <v>77</v>
      </c>
      <c r="G854" s="35">
        <f>getMagnification('RawData (GH)'!E854)</f>
        <v>0</v>
      </c>
      <c r="H854" s="62">
        <f>getMinimalFocus('RawData (GH)'!F854)</f>
        <v>0</v>
      </c>
      <c r="I854" t="str">
        <f>getMount('RawData (GH)'!G854)</f>
        <v>Sony A</v>
      </c>
      <c r="J854" t="str">
        <f>getSensorCompatibility('RawData (GH)'!H854)</f>
        <v>APS-C/ Kleinbild</v>
      </c>
      <c r="K854" s="45">
        <f>getWeightAsDouble('RawData (GH)'!I854)</f>
        <v>518</v>
      </c>
      <c r="L854" s="34">
        <f>getSizeDiameter('RawData (GH)'!J854)</f>
        <v>83</v>
      </c>
      <c r="M854" s="34">
        <f>getSizeLength('RawData (GH)'!J854)</f>
        <v>87.9</v>
      </c>
    </row>
    <row r="855" spans="1:13" x14ac:dyDescent="0.25">
      <c r="A855" t="str">
        <f>'RawData (GH)'!A855</f>
        <v>Samyang 20mm T1.9 ED AS UMC für Sony E schwarz</v>
      </c>
      <c r="B855" s="5">
        <f>getFocalLengthStart('RawData (GH)'!B855)</f>
        <v>20</v>
      </c>
      <c r="C855" s="5">
        <f>getFocalLengthEnd('RawData (GH)'!B855)</f>
        <v>20</v>
      </c>
      <c r="D855" s="9">
        <f>getApertureStart('RawData (GH)'!C855)</f>
        <v>1.9</v>
      </c>
      <c r="E855" s="9">
        <f>getApertureEnd('RawData (GH)'!C855)</f>
        <v>1.9</v>
      </c>
      <c r="F855" s="2">
        <f>getFiltersizeAsDouble('RawData (GH)'!D855)</f>
        <v>77</v>
      </c>
      <c r="G855" s="35">
        <f>getMagnification('RawData (GH)'!E855)</f>
        <v>0</v>
      </c>
      <c r="H855" s="62">
        <f>getMinimalFocus('RawData (GH)'!F855)</f>
        <v>0</v>
      </c>
      <c r="I855" t="str">
        <f>getMount('RawData (GH)'!G855)</f>
        <v>Sony E</v>
      </c>
      <c r="J855" t="str">
        <f>getSensorCompatibility('RawData (GH)'!H855)</f>
        <v>APS-C/ Kleinbild</v>
      </c>
      <c r="K855" s="45">
        <f>getWeightAsDouble('RawData (GH)'!I855)</f>
        <v>546</v>
      </c>
      <c r="L855" s="34">
        <f>getSizeDiameter('RawData (GH)'!J855)</f>
        <v>83</v>
      </c>
      <c r="M855" s="34">
        <f>getSizeLength('RawData (GH)'!J855)</f>
        <v>114.4</v>
      </c>
    </row>
    <row r="856" spans="1:13" x14ac:dyDescent="0.25">
      <c r="A856" t="str">
        <f>'RawData (GH)'!A856</f>
        <v>Samyang 21mm 1.4 ED AS UMC CS für Canon EF-M schwarz</v>
      </c>
      <c r="B856" s="5">
        <f>getFocalLengthStart('RawData (GH)'!B856)</f>
        <v>21</v>
      </c>
      <c r="C856" s="5">
        <f>getFocalLengthEnd('RawData (GH)'!B856)</f>
        <v>21</v>
      </c>
      <c r="D856" s="9">
        <f>getApertureStart('RawData (GH)'!C856)</f>
        <v>1.4</v>
      </c>
      <c r="E856" s="9">
        <f>getApertureEnd('RawData (GH)'!C856)</f>
        <v>1.4</v>
      </c>
      <c r="F856" s="2">
        <f>getFiltersizeAsDouble('RawData (GH)'!D856)</f>
        <v>58</v>
      </c>
      <c r="G856" s="35">
        <f>getMagnification('RawData (GH)'!E856)</f>
        <v>0</v>
      </c>
      <c r="H856" s="62">
        <f>getMinimalFocus('RawData (GH)'!F856)</f>
        <v>0</v>
      </c>
      <c r="I856" t="str">
        <f>getMount('RawData (GH)'!G856)</f>
        <v>Canon EF-M</v>
      </c>
      <c r="J856" t="str">
        <f>getSensorCompatibility('RawData (GH)'!H856)</f>
        <v>APS-C</v>
      </c>
      <c r="K856" s="45">
        <f>getWeightAsDouble('RawData (GH)'!I856)</f>
        <v>275</v>
      </c>
      <c r="L856" s="34">
        <f>getSizeDiameter('RawData (GH)'!J856)</f>
        <v>58</v>
      </c>
      <c r="M856" s="34">
        <f>getSizeLength('RawData (GH)'!J856)</f>
        <v>67.5</v>
      </c>
    </row>
    <row r="857" spans="1:13" x14ac:dyDescent="0.25">
      <c r="A857" t="str">
        <f>'RawData (GH)'!A857</f>
        <v>Samyang 21mm 1.4 ED AS UMC CS für Canon EF-M silber</v>
      </c>
      <c r="B857" s="5">
        <f>getFocalLengthStart('RawData (GH)'!B857)</f>
        <v>21</v>
      </c>
      <c r="C857" s="5">
        <f>getFocalLengthEnd('RawData (GH)'!B857)</f>
        <v>21</v>
      </c>
      <c r="D857" s="9">
        <f>getApertureStart('RawData (GH)'!C857)</f>
        <v>1.4</v>
      </c>
      <c r="E857" s="9">
        <f>getApertureEnd('RawData (GH)'!C857)</f>
        <v>1.4</v>
      </c>
      <c r="F857" s="2">
        <f>getFiltersizeAsDouble('RawData (GH)'!D857)</f>
        <v>58</v>
      </c>
      <c r="G857" s="35">
        <f>getMagnification('RawData (GH)'!E857)</f>
        <v>0</v>
      </c>
      <c r="H857" s="62">
        <f>getMinimalFocus('RawData (GH)'!F857)</f>
        <v>0</v>
      </c>
      <c r="I857" t="str">
        <f>getMount('RawData (GH)'!G857)</f>
        <v>Canon EF-M</v>
      </c>
      <c r="J857" t="str">
        <f>getSensorCompatibility('RawData (GH)'!H857)</f>
        <v>APS-C</v>
      </c>
      <c r="K857" s="45">
        <f>getWeightAsDouble('RawData (GH)'!I857)</f>
        <v>275</v>
      </c>
      <c r="L857" s="34">
        <f>getSizeDiameter('RawData (GH)'!J857)</f>
        <v>58</v>
      </c>
      <c r="M857" s="34">
        <f>getSizeLength('RawData (GH)'!J857)</f>
        <v>67.5</v>
      </c>
    </row>
    <row r="858" spans="1:13" x14ac:dyDescent="0.25">
      <c r="A858" t="str">
        <f>'RawData (GH)'!A858</f>
        <v>Samyang 21mm 1.4 ED AS UMC CS für Fujifilm X schwarz</v>
      </c>
      <c r="B858" s="5">
        <f>getFocalLengthStart('RawData (GH)'!B858)</f>
        <v>21</v>
      </c>
      <c r="C858" s="5">
        <f>getFocalLengthEnd('RawData (GH)'!B858)</f>
        <v>21</v>
      </c>
      <c r="D858" s="9">
        <f>getApertureStart('RawData (GH)'!C858)</f>
        <v>1.4</v>
      </c>
      <c r="E858" s="9">
        <f>getApertureEnd('RawData (GH)'!C858)</f>
        <v>1.4</v>
      </c>
      <c r="F858" s="2">
        <f>getFiltersizeAsDouble('RawData (GH)'!D858)</f>
        <v>58</v>
      </c>
      <c r="G858" s="35">
        <f>getMagnification('RawData (GH)'!E858)</f>
        <v>0</v>
      </c>
      <c r="H858" s="62">
        <f>getMinimalFocus('RawData (GH)'!F858)</f>
        <v>0</v>
      </c>
      <c r="I858" t="str">
        <f>getMount('RawData (GH)'!G858)</f>
        <v>Fujifilm X</v>
      </c>
      <c r="J858" t="str">
        <f>getSensorCompatibility('RawData (GH)'!H858)</f>
        <v>APS-C</v>
      </c>
      <c r="K858" s="45">
        <f>getWeightAsDouble('RawData (GH)'!I858)</f>
        <v>290</v>
      </c>
      <c r="L858" s="34">
        <f>getSizeDiameter('RawData (GH)'!J858)</f>
        <v>58</v>
      </c>
      <c r="M858" s="34">
        <f>getSizeLength('RawData (GH)'!J858)</f>
        <v>67.900000000000006</v>
      </c>
    </row>
    <row r="859" spans="1:13" x14ac:dyDescent="0.25">
      <c r="A859" t="str">
        <f>'RawData (GH)'!A859</f>
        <v>Samyang 21mm 1.4 ED AS UMC CS für Fujifilm X silber</v>
      </c>
      <c r="B859" s="5">
        <f>getFocalLengthStart('RawData (GH)'!B859)</f>
        <v>21</v>
      </c>
      <c r="C859" s="5">
        <f>getFocalLengthEnd('RawData (GH)'!B859)</f>
        <v>21</v>
      </c>
      <c r="D859" s="9">
        <f>getApertureStart('RawData (GH)'!C859)</f>
        <v>1.4</v>
      </c>
      <c r="E859" s="9">
        <f>getApertureEnd('RawData (GH)'!C859)</f>
        <v>1.4</v>
      </c>
      <c r="F859" s="2">
        <f>getFiltersizeAsDouble('RawData (GH)'!D859)</f>
        <v>58</v>
      </c>
      <c r="G859" s="35">
        <f>getMagnification('RawData (GH)'!E859)</f>
        <v>0</v>
      </c>
      <c r="H859" s="62">
        <f>getMinimalFocus('RawData (GH)'!F859)</f>
        <v>0</v>
      </c>
      <c r="I859" t="str">
        <f>getMount('RawData (GH)'!G859)</f>
        <v>Fujifilm X</v>
      </c>
      <c r="J859" t="str">
        <f>getSensorCompatibility('RawData (GH)'!H859)</f>
        <v>APS-C</v>
      </c>
      <c r="K859" s="45">
        <f>getWeightAsDouble('RawData (GH)'!I859)</f>
        <v>290</v>
      </c>
      <c r="L859" s="34">
        <f>getSizeDiameter('RawData (GH)'!J859)</f>
        <v>58</v>
      </c>
      <c r="M859" s="34">
        <f>getSizeLength('RawData (GH)'!J859)</f>
        <v>67.900000000000006</v>
      </c>
    </row>
    <row r="860" spans="1:13" x14ac:dyDescent="0.25">
      <c r="A860" t="str">
        <f>'RawData (GH)'!A860</f>
        <v>Samyang 21mm 1.4 ED AS UMC CS für Micro-Four-Thirds schwarz</v>
      </c>
      <c r="B860" s="5">
        <f>getFocalLengthStart('RawData (GH)'!B860)</f>
        <v>21</v>
      </c>
      <c r="C860" s="5">
        <f>getFocalLengthEnd('RawData (GH)'!B860)</f>
        <v>21</v>
      </c>
      <c r="D860" s="9">
        <f>getApertureStart('RawData (GH)'!C860)</f>
        <v>1.4</v>
      </c>
      <c r="E860" s="9">
        <f>getApertureEnd('RawData (GH)'!C860)</f>
        <v>1.4</v>
      </c>
      <c r="F860" s="2">
        <f>getFiltersizeAsDouble('RawData (GH)'!D860)</f>
        <v>58</v>
      </c>
      <c r="G860" s="35">
        <f>getMagnification('RawData (GH)'!E860)</f>
        <v>0</v>
      </c>
      <c r="H860" s="62">
        <f>getMinimalFocus('RawData (GH)'!F860)</f>
        <v>0</v>
      </c>
      <c r="I860" t="str">
        <f>getMount('RawData (GH)'!G860)</f>
        <v>Micro-Four-Thirds</v>
      </c>
      <c r="J860" t="str">
        <f>getSensorCompatibility('RawData (GH)'!H860)</f>
        <v>Four-Thirds</v>
      </c>
      <c r="K860" s="45">
        <f>getWeightAsDouble('RawData (GH)'!I860)</f>
        <v>285</v>
      </c>
      <c r="L860" s="34">
        <f>getSizeDiameter('RawData (GH)'!J860)</f>
        <v>58</v>
      </c>
      <c r="M860" s="34">
        <f>getSizeLength('RawData (GH)'!J860)</f>
        <v>66.400000000000006</v>
      </c>
    </row>
    <row r="861" spans="1:13" x14ac:dyDescent="0.25">
      <c r="A861" t="str">
        <f>'RawData (GH)'!A861</f>
        <v>Samyang 21mm 1.4 ED AS UMC CS für Micro-Four-Thirds silber</v>
      </c>
      <c r="B861" s="5">
        <f>getFocalLengthStart('RawData (GH)'!B861)</f>
        <v>21</v>
      </c>
      <c r="C861" s="5">
        <f>getFocalLengthEnd('RawData (GH)'!B861)</f>
        <v>21</v>
      </c>
      <c r="D861" s="9">
        <f>getApertureStart('RawData (GH)'!C861)</f>
        <v>1.4</v>
      </c>
      <c r="E861" s="9">
        <f>getApertureEnd('RawData (GH)'!C861)</f>
        <v>1.4</v>
      </c>
      <c r="F861" s="2">
        <f>getFiltersizeAsDouble('RawData (GH)'!D861)</f>
        <v>58</v>
      </c>
      <c r="G861" s="35">
        <f>getMagnification('RawData (GH)'!E861)</f>
        <v>0</v>
      </c>
      <c r="H861" s="62">
        <f>getMinimalFocus('RawData (GH)'!F861)</f>
        <v>0</v>
      </c>
      <c r="I861" t="str">
        <f>getMount('RawData (GH)'!G861)</f>
        <v>Micro-Four-Thirds</v>
      </c>
      <c r="J861" t="str">
        <f>getSensorCompatibility('RawData (GH)'!H861)</f>
        <v>Four-Thirds</v>
      </c>
      <c r="K861" s="45">
        <f>getWeightAsDouble('RawData (GH)'!I861)</f>
        <v>285</v>
      </c>
      <c r="L861" s="34">
        <f>getSizeDiameter('RawData (GH)'!J861)</f>
        <v>58</v>
      </c>
      <c r="M861" s="34">
        <f>getSizeLength('RawData (GH)'!J861)</f>
        <v>66.400000000000006</v>
      </c>
    </row>
    <row r="862" spans="1:13" x14ac:dyDescent="0.25">
      <c r="A862" t="str">
        <f>'RawData (GH)'!A862</f>
        <v>Samyang 21mm 1.4 ED AS UMC CS für Sony E schwarz</v>
      </c>
      <c r="B862" s="5">
        <f>getFocalLengthStart('RawData (GH)'!B862)</f>
        <v>21</v>
      </c>
      <c r="C862" s="5">
        <f>getFocalLengthEnd('RawData (GH)'!B862)</f>
        <v>21</v>
      </c>
      <c r="D862" s="9">
        <f>getApertureStart('RawData (GH)'!C862)</f>
        <v>1.4</v>
      </c>
      <c r="E862" s="9">
        <f>getApertureEnd('RawData (GH)'!C862)</f>
        <v>1.4</v>
      </c>
      <c r="F862" s="2">
        <f>getFiltersizeAsDouble('RawData (GH)'!D862)</f>
        <v>58</v>
      </c>
      <c r="G862" s="35">
        <f>getMagnification('RawData (GH)'!E862)</f>
        <v>0</v>
      </c>
      <c r="H862" s="62">
        <f>getMinimalFocus('RawData (GH)'!F862)</f>
        <v>0</v>
      </c>
      <c r="I862" t="str">
        <f>getMount('RawData (GH)'!G862)</f>
        <v>Sony E</v>
      </c>
      <c r="J862" t="str">
        <f>getSensorCompatibility('RawData (GH)'!H862)</f>
        <v>APS-C</v>
      </c>
      <c r="K862" s="45">
        <f>getWeightAsDouble('RawData (GH)'!I862)</f>
        <v>275</v>
      </c>
      <c r="L862" s="34">
        <f>getSizeDiameter('RawData (GH)'!J862)</f>
        <v>58</v>
      </c>
      <c r="M862" s="34">
        <f>getSizeLength('RawData (GH)'!J862)</f>
        <v>67.599999999999994</v>
      </c>
    </row>
    <row r="863" spans="1:13" x14ac:dyDescent="0.25">
      <c r="A863" t="str">
        <f>'RawData (GH)'!A863</f>
        <v>Samyang 21mm 1.4 ED AS UMC CS für Sony E silber</v>
      </c>
      <c r="B863" s="5">
        <f>getFocalLengthStart('RawData (GH)'!B863)</f>
        <v>21</v>
      </c>
      <c r="C863" s="5">
        <f>getFocalLengthEnd('RawData (GH)'!B863)</f>
        <v>21</v>
      </c>
      <c r="D863" s="9">
        <f>getApertureStart('RawData (GH)'!C863)</f>
        <v>1.4</v>
      </c>
      <c r="E863" s="9">
        <f>getApertureEnd('RawData (GH)'!C863)</f>
        <v>1.4</v>
      </c>
      <c r="F863" s="2">
        <f>getFiltersizeAsDouble('RawData (GH)'!D863)</f>
        <v>58</v>
      </c>
      <c r="G863" s="35">
        <f>getMagnification('RawData (GH)'!E863)</f>
        <v>0</v>
      </c>
      <c r="H863" s="62">
        <f>getMinimalFocus('RawData (GH)'!F863)</f>
        <v>0</v>
      </c>
      <c r="I863" t="str">
        <f>getMount('RawData (GH)'!G863)</f>
        <v>Sony E</v>
      </c>
      <c r="J863" t="str">
        <f>getSensorCompatibility('RawData (GH)'!H863)</f>
        <v>APS-C</v>
      </c>
      <c r="K863" s="45">
        <f>getWeightAsDouble('RawData (GH)'!I863)</f>
        <v>275</v>
      </c>
      <c r="L863" s="34">
        <f>getSizeDiameter('RawData (GH)'!J863)</f>
        <v>58</v>
      </c>
      <c r="M863" s="34">
        <f>getSizeLength('RawData (GH)'!J863)</f>
        <v>67.599999999999994</v>
      </c>
    </row>
    <row r="864" spans="1:13" x14ac:dyDescent="0.25">
      <c r="A864" t="str">
        <f>'RawData (GH)'!A864</f>
        <v>Samyang 21mm T1.5 ED AS UMC CS für Fujifilm X schwarz</v>
      </c>
      <c r="B864" s="5">
        <f>getFocalLengthStart('RawData (GH)'!B864)</f>
        <v>21</v>
      </c>
      <c r="C864" s="5">
        <f>getFocalLengthEnd('RawData (GH)'!B864)</f>
        <v>21</v>
      </c>
      <c r="D864" s="9">
        <f>getApertureStart('RawData (GH)'!C864)</f>
        <v>1.5</v>
      </c>
      <c r="E864" s="9">
        <f>getApertureEnd('RawData (GH)'!C864)</f>
        <v>1.5</v>
      </c>
      <c r="F864" s="2">
        <f>getFiltersizeAsDouble('RawData (GH)'!D864)</f>
        <v>58</v>
      </c>
      <c r="G864" s="35">
        <f>getMagnification('RawData (GH)'!E864)</f>
        <v>0</v>
      </c>
      <c r="H864" s="62">
        <f>getMinimalFocus('RawData (GH)'!F864)</f>
        <v>0</v>
      </c>
      <c r="I864" t="str">
        <f>getMount('RawData (GH)'!G864)</f>
        <v>Fujifilm X</v>
      </c>
      <c r="J864" t="str">
        <f>getSensorCompatibility('RawData (GH)'!H864)</f>
        <v>APS-C</v>
      </c>
      <c r="K864" s="45">
        <f>getWeightAsDouble('RawData (GH)'!I864)</f>
        <v>305</v>
      </c>
      <c r="L864" s="34">
        <f>getSizeDiameter('RawData (GH)'!J864)</f>
        <v>73.599999999999994</v>
      </c>
      <c r="M864" s="34">
        <f>getSizeLength('RawData (GH)'!J864)</f>
        <v>67.900000000000006</v>
      </c>
    </row>
    <row r="865" spans="1:13" x14ac:dyDescent="0.25">
      <c r="A865" t="str">
        <f>'RawData (GH)'!A865</f>
        <v>Samyang 21mm T1.5 ED AS UMC CS für Micro-Four-Thirds schwarz</v>
      </c>
      <c r="B865" s="5">
        <f>getFocalLengthStart('RawData (GH)'!B865)</f>
        <v>21</v>
      </c>
      <c r="C865" s="5">
        <f>getFocalLengthEnd('RawData (GH)'!B865)</f>
        <v>21</v>
      </c>
      <c r="D865" s="9">
        <f>getApertureStart('RawData (GH)'!C865)</f>
        <v>1.5</v>
      </c>
      <c r="E865" s="9">
        <f>getApertureEnd('RawData (GH)'!C865)</f>
        <v>1.5</v>
      </c>
      <c r="F865" s="2">
        <f>getFiltersizeAsDouble('RawData (GH)'!D865)</f>
        <v>58</v>
      </c>
      <c r="G865" s="35">
        <f>getMagnification('RawData (GH)'!E865)</f>
        <v>0</v>
      </c>
      <c r="H865" s="62">
        <f>getMinimalFocus('RawData (GH)'!F865)</f>
        <v>0</v>
      </c>
      <c r="I865" t="str">
        <f>getMount('RawData (GH)'!G865)</f>
        <v>Micro-Four-Thirds</v>
      </c>
      <c r="J865" t="str">
        <f>getSensorCompatibility('RawData (GH)'!H865)</f>
        <v>Four-Thirds</v>
      </c>
      <c r="K865" s="45">
        <f>getWeightAsDouble('RawData (GH)'!I865)</f>
        <v>300</v>
      </c>
      <c r="L865" s="34">
        <f>getSizeDiameter('RawData (GH)'!J865)</f>
        <v>73.599999999999994</v>
      </c>
      <c r="M865" s="34">
        <f>getSizeLength('RawData (GH)'!J865)</f>
        <v>66.400000000000006</v>
      </c>
    </row>
    <row r="866" spans="1:13" x14ac:dyDescent="0.25">
      <c r="A866" t="str">
        <f>'RawData (GH)'!A866</f>
        <v>Samyang 21mm T1.5 ED AS UMC CS für Sony E schwarz</v>
      </c>
      <c r="B866" s="5">
        <f>getFocalLengthStart('RawData (GH)'!B866)</f>
        <v>21</v>
      </c>
      <c r="C866" s="5">
        <f>getFocalLengthEnd('RawData (GH)'!B866)</f>
        <v>21</v>
      </c>
      <c r="D866" s="9">
        <f>getApertureStart('RawData (GH)'!C866)</f>
        <v>1.5</v>
      </c>
      <c r="E866" s="9">
        <f>getApertureEnd('RawData (GH)'!C866)</f>
        <v>1.5</v>
      </c>
      <c r="F866" s="2">
        <f>getFiltersizeAsDouble('RawData (GH)'!D866)</f>
        <v>58</v>
      </c>
      <c r="G866" s="35">
        <f>getMagnification('RawData (GH)'!E866)</f>
        <v>0</v>
      </c>
      <c r="H866" s="62">
        <f>getMinimalFocus('RawData (GH)'!F866)</f>
        <v>0</v>
      </c>
      <c r="I866" t="str">
        <f>getMount('RawData (GH)'!G866)</f>
        <v>Sony E</v>
      </c>
      <c r="J866" t="str">
        <f>getSensorCompatibility('RawData (GH)'!H866)</f>
        <v>APS-C</v>
      </c>
      <c r="K866" s="45">
        <f>getWeightAsDouble('RawData (GH)'!I866)</f>
        <v>290</v>
      </c>
      <c r="L866" s="34">
        <f>getSizeDiameter('RawData (GH)'!J866)</f>
        <v>73.599999999999994</v>
      </c>
      <c r="M866" s="34">
        <f>getSizeLength('RawData (GH)'!J866)</f>
        <v>67.599999999999994</v>
      </c>
    </row>
    <row r="867" spans="1:13" x14ac:dyDescent="0.25">
      <c r="A867" t="str">
        <f>'RawData (GH)'!A867</f>
        <v>Samyang 24mm 1.4 ED AS UMC für Canon EF schwarz</v>
      </c>
      <c r="B867" s="5">
        <f>getFocalLengthStart('RawData (GH)'!B867)</f>
        <v>24</v>
      </c>
      <c r="C867" s="5">
        <f>getFocalLengthEnd('RawData (GH)'!B867)</f>
        <v>24</v>
      </c>
      <c r="D867" s="9">
        <f>getApertureStart('RawData (GH)'!C867)</f>
        <v>1.4</v>
      </c>
      <c r="E867" s="9">
        <f>getApertureEnd('RawData (GH)'!C867)</f>
        <v>1.4</v>
      </c>
      <c r="F867" s="2">
        <f>getFiltersizeAsDouble('RawData (GH)'!D867)</f>
        <v>77</v>
      </c>
      <c r="G867" s="35">
        <f>getMagnification('RawData (GH)'!E867)</f>
        <v>0</v>
      </c>
      <c r="H867" s="62">
        <f>getMinimalFocus('RawData (GH)'!F867)</f>
        <v>0</v>
      </c>
      <c r="I867" t="str">
        <f>getMount('RawData (GH)'!G867)</f>
        <v>Canon EF</v>
      </c>
      <c r="J867" t="str">
        <f>getSensorCompatibility('RawData (GH)'!H867)</f>
        <v>APS-C/ Kleinbild</v>
      </c>
      <c r="K867" s="45">
        <f>getWeightAsDouble('RawData (GH)'!I867)</f>
        <v>580</v>
      </c>
      <c r="L867" s="34">
        <f>getSizeDiameter('RawData (GH)'!J867)</f>
        <v>83</v>
      </c>
      <c r="M867" s="34">
        <f>getSizeLength('RawData (GH)'!J867)</f>
        <v>95</v>
      </c>
    </row>
    <row r="868" spans="1:13" x14ac:dyDescent="0.25">
      <c r="A868" t="str">
        <f>'RawData (GH)'!A868</f>
        <v>Samyang 24mm 1.4 ED AS UMC für Canon EF-M schwarz</v>
      </c>
      <c r="B868" s="5">
        <f>getFocalLengthStart('RawData (GH)'!B868)</f>
        <v>24</v>
      </c>
      <c r="C868" s="5">
        <f>getFocalLengthEnd('RawData (GH)'!B868)</f>
        <v>24</v>
      </c>
      <c r="D868" s="9">
        <f>getApertureStart('RawData (GH)'!C868)</f>
        <v>1.4</v>
      </c>
      <c r="E868" s="9">
        <f>getApertureEnd('RawData (GH)'!C868)</f>
        <v>1.4</v>
      </c>
      <c r="F868" s="2">
        <f>getFiltersizeAsDouble('RawData (GH)'!D868)</f>
        <v>77</v>
      </c>
      <c r="G868" s="35">
        <f>getMagnification('RawData (GH)'!E868)</f>
        <v>0</v>
      </c>
      <c r="H868" s="62">
        <f>getMinimalFocus('RawData (GH)'!F868)</f>
        <v>0</v>
      </c>
      <c r="I868" t="str">
        <f>getMount('RawData (GH)'!G868)</f>
        <v>Canon EF-M</v>
      </c>
      <c r="J868" t="str">
        <f>getSensorCompatibility('RawData (GH)'!H868)</f>
        <v>APS-C</v>
      </c>
      <c r="K868" s="45">
        <f>getWeightAsDouble('RawData (GH)'!I868)</f>
        <v>580</v>
      </c>
      <c r="L868" s="34">
        <f>getSizeDiameter('RawData (GH)'!J868)</f>
        <v>83</v>
      </c>
      <c r="M868" s="34">
        <f>getSizeLength('RawData (GH)'!J868)</f>
        <v>123.4</v>
      </c>
    </row>
    <row r="869" spans="1:13" x14ac:dyDescent="0.25">
      <c r="A869" t="str">
        <f>'RawData (GH)'!A869</f>
        <v>Samyang 24mm 1.4 ED AS UMC für Four-Thirds schwarz</v>
      </c>
      <c r="B869" s="5">
        <f>getFocalLengthStart('RawData (GH)'!B869)</f>
        <v>24</v>
      </c>
      <c r="C869" s="5">
        <f>getFocalLengthEnd('RawData (GH)'!B869)</f>
        <v>24</v>
      </c>
      <c r="D869" s="9">
        <f>getApertureStart('RawData (GH)'!C869)</f>
        <v>1.4</v>
      </c>
      <c r="E869" s="9">
        <f>getApertureEnd('RawData (GH)'!C869)</f>
        <v>1.4</v>
      </c>
      <c r="F869" s="2">
        <f>getFiltersizeAsDouble('RawData (GH)'!D869)</f>
        <v>77</v>
      </c>
      <c r="G869" s="35">
        <f>getMagnification('RawData (GH)'!E869)</f>
        <v>0</v>
      </c>
      <c r="H869" s="62">
        <f>getMinimalFocus('RawData (GH)'!F869)</f>
        <v>0</v>
      </c>
      <c r="I869" t="str">
        <f>getMount('RawData (GH)'!G869)</f>
        <v>Four-Thirds</v>
      </c>
      <c r="J869" t="str">
        <f>getSensorCompatibility('RawData (GH)'!H869)</f>
        <v>Four-Thirds</v>
      </c>
      <c r="K869" s="45">
        <f>getWeightAsDouble('RawData (GH)'!I869)</f>
        <v>580</v>
      </c>
      <c r="L869" s="34">
        <f>getSizeDiameter('RawData (GH)'!J869)</f>
        <v>83</v>
      </c>
      <c r="M869" s="34">
        <f>getSizeLength('RawData (GH)'!J869)</f>
        <v>95</v>
      </c>
    </row>
    <row r="870" spans="1:13" x14ac:dyDescent="0.25">
      <c r="A870" t="str">
        <f>'RawData (GH)'!A870</f>
        <v>Samyang 24mm 1.4 ED AS UMC für Fujifilm X schwarz</v>
      </c>
      <c r="B870" s="5">
        <f>getFocalLengthStart('RawData (GH)'!B870)</f>
        <v>24</v>
      </c>
      <c r="C870" s="5">
        <f>getFocalLengthEnd('RawData (GH)'!B870)</f>
        <v>24</v>
      </c>
      <c r="D870" s="9">
        <f>getApertureStart('RawData (GH)'!C870)</f>
        <v>1.4</v>
      </c>
      <c r="E870" s="9">
        <f>getApertureEnd('RawData (GH)'!C870)</f>
        <v>1.4</v>
      </c>
      <c r="F870" s="2">
        <f>getFiltersizeAsDouble('RawData (GH)'!D870)</f>
        <v>77</v>
      </c>
      <c r="G870" s="35">
        <f>getMagnification('RawData (GH)'!E870)</f>
        <v>0</v>
      </c>
      <c r="H870" s="62">
        <f>getMinimalFocus('RawData (GH)'!F870)</f>
        <v>0</v>
      </c>
      <c r="I870" t="str">
        <f>getMount('RawData (GH)'!G870)</f>
        <v>Fujifilm X</v>
      </c>
      <c r="J870" t="str">
        <f>getSensorCompatibility('RawData (GH)'!H870)</f>
        <v>Four-Thirds</v>
      </c>
      <c r="K870" s="45">
        <f>getWeightAsDouble('RawData (GH)'!I870)</f>
        <v>630</v>
      </c>
      <c r="L870" s="34">
        <f>getSizeDiameter('RawData (GH)'!J870)</f>
        <v>83</v>
      </c>
      <c r="M870" s="34">
        <f>getSizeLength('RawData (GH)'!J870)</f>
        <v>123.8</v>
      </c>
    </row>
    <row r="871" spans="1:13" x14ac:dyDescent="0.25">
      <c r="A871" t="str">
        <f>'RawData (GH)'!A871</f>
        <v>Samyang 24mm 1.4 ED AS UMC für Micro-Four-Thirds schwarz</v>
      </c>
      <c r="B871" s="5">
        <f>getFocalLengthStart('RawData (GH)'!B871)</f>
        <v>24</v>
      </c>
      <c r="C871" s="5">
        <f>getFocalLengthEnd('RawData (GH)'!B871)</f>
        <v>24</v>
      </c>
      <c r="D871" s="9">
        <f>getApertureStart('RawData (GH)'!C871)</f>
        <v>1.4</v>
      </c>
      <c r="E871" s="9">
        <f>getApertureEnd('RawData (GH)'!C871)</f>
        <v>1.4</v>
      </c>
      <c r="F871" s="2">
        <f>getFiltersizeAsDouble('RawData (GH)'!D871)</f>
        <v>77</v>
      </c>
      <c r="G871" s="35">
        <f>getMagnification('RawData (GH)'!E871)</f>
        <v>0</v>
      </c>
      <c r="H871" s="62">
        <f>getMinimalFocus('RawData (GH)'!F871)</f>
        <v>0</v>
      </c>
      <c r="I871" t="str">
        <f>getMount('RawData (GH)'!G871)</f>
        <v>Micro-Four-Thirds</v>
      </c>
      <c r="J871" t="str">
        <f>getSensorCompatibility('RawData (GH)'!H871)</f>
        <v>Four-Thirds</v>
      </c>
      <c r="K871" s="45">
        <f>getWeightAsDouble('RawData (GH)'!I871)</f>
        <v>585</v>
      </c>
      <c r="L871" s="34">
        <f>getSizeDiameter('RawData (GH)'!J871)</f>
        <v>83</v>
      </c>
      <c r="M871" s="34">
        <f>getSizeLength('RawData (GH)'!J871)</f>
        <v>122.3</v>
      </c>
    </row>
    <row r="872" spans="1:13" x14ac:dyDescent="0.25">
      <c r="A872" t="str">
        <f>'RawData (GH)'!A872</f>
        <v>Samyang 24mm 1.4 ED AS UMC für Nikon F schwarz</v>
      </c>
      <c r="B872" s="5">
        <f>getFocalLengthStart('RawData (GH)'!B872)</f>
        <v>24</v>
      </c>
      <c r="C872" s="5">
        <f>getFocalLengthEnd('RawData (GH)'!B872)</f>
        <v>24</v>
      </c>
      <c r="D872" s="9">
        <f>getApertureStart('RawData (GH)'!C872)</f>
        <v>1.4</v>
      </c>
      <c r="E872" s="9">
        <f>getApertureEnd('RawData (GH)'!C872)</f>
        <v>1.4</v>
      </c>
      <c r="F872" s="2">
        <f>getFiltersizeAsDouble('RawData (GH)'!D872)</f>
        <v>77</v>
      </c>
      <c r="G872" s="35">
        <f>getMagnification('RawData (GH)'!E872)</f>
        <v>0</v>
      </c>
      <c r="H872" s="62">
        <f>getMinimalFocus('RawData (GH)'!F872)</f>
        <v>0</v>
      </c>
      <c r="I872" t="str">
        <f>getMount('RawData (GH)'!G872)</f>
        <v>Nikon F</v>
      </c>
      <c r="J872" t="str">
        <f>getSensorCompatibility('RawData (GH)'!H872)</f>
        <v>APS-C/ Kleinbild</v>
      </c>
      <c r="K872" s="45">
        <f>getWeightAsDouble('RawData (GH)'!I872)</f>
        <v>580</v>
      </c>
      <c r="L872" s="34">
        <f>getSizeDiameter('RawData (GH)'!J872)</f>
        <v>83</v>
      </c>
      <c r="M872" s="34">
        <f>getSizeLength('RawData (GH)'!J872)</f>
        <v>95</v>
      </c>
    </row>
    <row r="873" spans="1:13" x14ac:dyDescent="0.25">
      <c r="A873" t="str">
        <f>'RawData (GH)'!A873</f>
        <v>Samyang 24mm 1.4 ED AS UMC für Pentax K schwarz</v>
      </c>
      <c r="B873" s="5">
        <f>getFocalLengthStart('RawData (GH)'!B873)</f>
        <v>24</v>
      </c>
      <c r="C873" s="5">
        <f>getFocalLengthEnd('RawData (GH)'!B873)</f>
        <v>24</v>
      </c>
      <c r="D873" s="9">
        <f>getApertureStart('RawData (GH)'!C873)</f>
        <v>1.4</v>
      </c>
      <c r="E873" s="9">
        <f>getApertureEnd('RawData (GH)'!C873)</f>
        <v>1.4</v>
      </c>
      <c r="F873" s="2">
        <f>getFiltersizeAsDouble('RawData (GH)'!D873)</f>
        <v>77</v>
      </c>
      <c r="G873" s="35">
        <f>getMagnification('RawData (GH)'!E873)</f>
        <v>0</v>
      </c>
      <c r="H873" s="62">
        <f>getMinimalFocus('RawData (GH)'!F873)</f>
        <v>0</v>
      </c>
      <c r="I873" t="str">
        <f>getMount('RawData (GH)'!G873)</f>
        <v>Pentax K</v>
      </c>
      <c r="J873" t="str">
        <f>getSensorCompatibility('RawData (GH)'!H873)</f>
        <v>APS-C/ Kleinbild</v>
      </c>
      <c r="K873" s="45">
        <f>getWeightAsDouble('RawData (GH)'!I873)</f>
        <v>580</v>
      </c>
      <c r="L873" s="34">
        <f>getSizeDiameter('RawData (GH)'!J873)</f>
        <v>83</v>
      </c>
      <c r="M873" s="34">
        <f>getSizeLength('RawData (GH)'!J873)</f>
        <v>95</v>
      </c>
    </row>
    <row r="874" spans="1:13" x14ac:dyDescent="0.25">
      <c r="A874" t="str">
        <f>'RawData (GH)'!A874</f>
        <v>Samyang 24mm 1.4 ED AS UMC für Samsung NX schwarz</v>
      </c>
      <c r="B874" s="5">
        <f>getFocalLengthStart('RawData (GH)'!B874)</f>
        <v>24</v>
      </c>
      <c r="C874" s="5">
        <f>getFocalLengthEnd('RawData (GH)'!B874)</f>
        <v>24</v>
      </c>
      <c r="D874" s="9">
        <f>getApertureStart('RawData (GH)'!C874)</f>
        <v>1.4</v>
      </c>
      <c r="E874" s="9">
        <f>getApertureEnd('RawData (GH)'!C874)</f>
        <v>1.4</v>
      </c>
      <c r="F874" s="2">
        <f>getFiltersizeAsDouble('RawData (GH)'!D874)</f>
        <v>77</v>
      </c>
      <c r="G874" s="35">
        <f>getMagnification('RawData (GH)'!E874)</f>
        <v>0</v>
      </c>
      <c r="H874" s="62">
        <f>getMinimalFocus('RawData (GH)'!F874)</f>
        <v>0</v>
      </c>
      <c r="I874" t="str">
        <f>getMount('RawData (GH)'!G874)</f>
        <v>Samsung NX</v>
      </c>
      <c r="J874" t="str">
        <f>getSensorCompatibility('RawData (GH)'!H874)</f>
        <v>APS-C</v>
      </c>
      <c r="K874" s="45">
        <f>getWeightAsDouble('RawData (GH)'!I874)</f>
        <v>580</v>
      </c>
      <c r="L874" s="34">
        <f>getSizeDiameter('RawData (GH)'!J874)</f>
        <v>83</v>
      </c>
      <c r="M874" s="34">
        <f>getSizeLength('RawData (GH)'!J874)</f>
        <v>95</v>
      </c>
    </row>
    <row r="875" spans="1:13" x14ac:dyDescent="0.25">
      <c r="A875" t="str">
        <f>'RawData (GH)'!A875</f>
        <v>Samyang 24mm 1.4 ED AS UMC für Sony A schwarz</v>
      </c>
      <c r="B875" s="5">
        <f>getFocalLengthStart('RawData (GH)'!B875)</f>
        <v>24</v>
      </c>
      <c r="C875" s="5">
        <f>getFocalLengthEnd('RawData (GH)'!B875)</f>
        <v>24</v>
      </c>
      <c r="D875" s="9">
        <f>getApertureStart('RawData (GH)'!C875)</f>
        <v>1.4</v>
      </c>
      <c r="E875" s="9">
        <f>getApertureEnd('RawData (GH)'!C875)</f>
        <v>1.4</v>
      </c>
      <c r="F875" s="2">
        <f>getFiltersizeAsDouble('RawData (GH)'!D875)</f>
        <v>77</v>
      </c>
      <c r="G875" s="35">
        <f>getMagnification('RawData (GH)'!E875)</f>
        <v>0</v>
      </c>
      <c r="H875" s="62">
        <f>getMinimalFocus('RawData (GH)'!F875)</f>
        <v>0</v>
      </c>
      <c r="I875" t="str">
        <f>getMount('RawData (GH)'!G875)</f>
        <v>Sony A</v>
      </c>
      <c r="J875" t="str">
        <f>getSensorCompatibility('RawData (GH)'!H875)</f>
        <v>APS-C/ Kleinbild</v>
      </c>
      <c r="K875" s="45">
        <f>getWeightAsDouble('RawData (GH)'!I875)</f>
        <v>580</v>
      </c>
      <c r="L875" s="34">
        <f>getSizeDiameter('RawData (GH)'!J875)</f>
        <v>83</v>
      </c>
      <c r="M875" s="34">
        <f>getSizeLength('RawData (GH)'!J875)</f>
        <v>95</v>
      </c>
    </row>
    <row r="876" spans="1:13" x14ac:dyDescent="0.25">
      <c r="A876" t="str">
        <f>'RawData (GH)'!A876</f>
        <v>Samyang 24mm 1.4 ED AS UMC für Sony E schwarz</v>
      </c>
      <c r="B876" s="5">
        <f>getFocalLengthStart('RawData (GH)'!B876)</f>
        <v>24</v>
      </c>
      <c r="C876" s="5">
        <f>getFocalLengthEnd('RawData (GH)'!B876)</f>
        <v>24</v>
      </c>
      <c r="D876" s="9">
        <f>getApertureStart('RawData (GH)'!C876)</f>
        <v>1.4</v>
      </c>
      <c r="E876" s="9">
        <f>getApertureEnd('RawData (GH)'!C876)</f>
        <v>1.4</v>
      </c>
      <c r="F876" s="2">
        <f>getFiltersizeAsDouble('RawData (GH)'!D876)</f>
        <v>77</v>
      </c>
      <c r="G876" s="35">
        <f>getMagnification('RawData (GH)'!E876)</f>
        <v>0</v>
      </c>
      <c r="H876" s="62">
        <f>getMinimalFocus('RawData (GH)'!F876)</f>
        <v>0</v>
      </c>
      <c r="I876" t="str">
        <f>getMount('RawData (GH)'!G876)</f>
        <v>Sony E</v>
      </c>
      <c r="J876" t="str">
        <f>getSensorCompatibility('RawData (GH)'!H876)</f>
        <v>APS-C</v>
      </c>
      <c r="K876" s="45">
        <f>getWeightAsDouble('RawData (GH)'!I876)</f>
        <v>580</v>
      </c>
      <c r="L876" s="34">
        <f>getSizeDiameter('RawData (GH)'!J876)</f>
        <v>83</v>
      </c>
      <c r="M876" s="34">
        <f>getSizeLength('RawData (GH)'!J876)</f>
        <v>95</v>
      </c>
    </row>
    <row r="877" spans="1:13" x14ac:dyDescent="0.25">
      <c r="A877" t="str">
        <f>'RawData (GH)'!A877</f>
        <v>Samyang 24mm 1.5 ED AS UMC VDSLR für Nikon F schwarz</v>
      </c>
      <c r="B877" s="5">
        <f>getFocalLengthStart('RawData (GH)'!B877)</f>
        <v>24</v>
      </c>
      <c r="C877" s="5">
        <f>getFocalLengthEnd('RawData (GH)'!B877)</f>
        <v>24</v>
      </c>
      <c r="D877" s="9">
        <f>getApertureStart('RawData (GH)'!C877)</f>
        <v>1.5</v>
      </c>
      <c r="E877" s="9">
        <f>getApertureEnd('RawData (GH)'!C877)</f>
        <v>1.5</v>
      </c>
      <c r="F877" s="2">
        <f>getFiltersizeAsDouble('RawData (GH)'!D877)</f>
        <v>77</v>
      </c>
      <c r="G877" s="35">
        <f>getMagnification('RawData (GH)'!E877)</f>
        <v>0</v>
      </c>
      <c r="H877" s="62">
        <f>getMinimalFocus('RawData (GH)'!F877)</f>
        <v>0</v>
      </c>
      <c r="I877" t="str">
        <f>getMount('RawData (GH)'!G877)</f>
        <v>Nikon F</v>
      </c>
      <c r="J877" t="str">
        <f>getSensorCompatibility('RawData (GH)'!H877)</f>
        <v>APS-C/ Kleinbild</v>
      </c>
      <c r="K877" s="45">
        <f>getWeightAsDouble('RawData (GH)'!I877)</f>
        <v>680</v>
      </c>
      <c r="L877" s="34">
        <f>getSizeDiameter('RawData (GH)'!J877)</f>
        <v>83</v>
      </c>
      <c r="M877" s="34">
        <f>getSizeLength('RawData (GH)'!J877)</f>
        <v>97</v>
      </c>
    </row>
    <row r="878" spans="1:13" x14ac:dyDescent="0.25">
      <c r="A878" t="str">
        <f>'RawData (GH)'!A878</f>
        <v>Samyang 24mm T1.5 AS IF UMC II VDSLR für Canon EF schwarz</v>
      </c>
      <c r="B878" s="5">
        <f>getFocalLengthStart('RawData (GH)'!B878)</f>
        <v>24</v>
      </c>
      <c r="C878" s="5">
        <f>getFocalLengthEnd('RawData (GH)'!B878)</f>
        <v>24</v>
      </c>
      <c r="D878" s="9">
        <f>getApertureStart('RawData (GH)'!C878)</f>
        <v>1.5</v>
      </c>
      <c r="E878" s="9">
        <f>getApertureEnd('RawData (GH)'!C878)</f>
        <v>1.5</v>
      </c>
      <c r="F878" s="2">
        <f>getFiltersizeAsDouble('RawData (GH)'!D878)</f>
        <v>77</v>
      </c>
      <c r="G878" s="35">
        <f>getMagnification('RawData (GH)'!E878)</f>
        <v>0</v>
      </c>
      <c r="H878" s="62">
        <f>getMinimalFocus('RawData (GH)'!F878)</f>
        <v>0</v>
      </c>
      <c r="I878" t="str">
        <f>getMount('RawData (GH)'!G878)</f>
        <v>Canon EF</v>
      </c>
      <c r="J878" t="str">
        <f>getSensorCompatibility('RawData (GH)'!H878)</f>
        <v>APS-C/ Kleinbild</v>
      </c>
      <c r="K878" s="45">
        <f>getWeightAsDouble('RawData (GH)'!I878)</f>
        <v>615</v>
      </c>
      <c r="L878" s="34">
        <f>getSizeDiameter('RawData (GH)'!J878)</f>
        <v>83</v>
      </c>
      <c r="M878" s="34">
        <f>getSizeLength('RawData (GH)'!J878)</f>
        <v>97.5</v>
      </c>
    </row>
    <row r="879" spans="1:13" x14ac:dyDescent="0.25">
      <c r="A879" t="str">
        <f>'RawData (GH)'!A879</f>
        <v>Samyang 24mm T1.5 AS IF UMC II VDSLR für Canon EF-M schwarz</v>
      </c>
      <c r="B879" s="5">
        <f>getFocalLengthStart('RawData (GH)'!B879)</f>
        <v>24</v>
      </c>
      <c r="C879" s="5">
        <f>getFocalLengthEnd('RawData (GH)'!B879)</f>
        <v>24</v>
      </c>
      <c r="D879" s="9">
        <f>getApertureStart('RawData (GH)'!C879)</f>
        <v>1.5</v>
      </c>
      <c r="E879" s="9">
        <f>getApertureEnd('RawData (GH)'!C879)</f>
        <v>1.5</v>
      </c>
      <c r="F879" s="2">
        <f>getFiltersizeAsDouble('RawData (GH)'!D879)</f>
        <v>77</v>
      </c>
      <c r="G879" s="35">
        <f>getMagnification('RawData (GH)'!E879)</f>
        <v>0</v>
      </c>
      <c r="H879" s="62">
        <f>getMinimalFocus('RawData (GH)'!F879)</f>
        <v>0</v>
      </c>
      <c r="I879" t="str">
        <f>getMount('RawData (GH)'!G879)</f>
        <v>Canon EF-M</v>
      </c>
      <c r="J879" t="str">
        <f>getSensorCompatibility('RawData (GH)'!H879)</f>
        <v>APS-C</v>
      </c>
      <c r="K879" s="45">
        <f>getWeightAsDouble('RawData (GH)'!I879)</f>
        <v>630</v>
      </c>
      <c r="L879" s="34">
        <f>getSizeDiameter('RawData (GH)'!J879)</f>
        <v>83</v>
      </c>
      <c r="M879" s="34">
        <f>getSizeLength('RawData (GH)'!J879)</f>
        <v>123.4</v>
      </c>
    </row>
    <row r="880" spans="1:13" x14ac:dyDescent="0.25">
      <c r="A880" t="str">
        <f>'RawData (GH)'!A880</f>
        <v>Samyang 24mm T1.5 AS IF UMC II VDSLR für Four-Thirds schwarz</v>
      </c>
      <c r="B880" s="5">
        <f>getFocalLengthStart('RawData (GH)'!B880)</f>
        <v>24</v>
      </c>
      <c r="C880" s="5">
        <f>getFocalLengthEnd('RawData (GH)'!B880)</f>
        <v>24</v>
      </c>
      <c r="D880" s="9">
        <f>getApertureStart('RawData (GH)'!C880)</f>
        <v>1.5</v>
      </c>
      <c r="E880" s="9">
        <f>getApertureEnd('RawData (GH)'!C880)</f>
        <v>1.5</v>
      </c>
      <c r="F880" s="2">
        <f>getFiltersizeAsDouble('RawData (GH)'!D880)</f>
        <v>77</v>
      </c>
      <c r="G880" s="35">
        <f>getMagnification('RawData (GH)'!E880)</f>
        <v>0</v>
      </c>
      <c r="H880" s="62">
        <f>getMinimalFocus('RawData (GH)'!F880)</f>
        <v>0</v>
      </c>
      <c r="I880" t="str">
        <f>getMount('RawData (GH)'!G880)</f>
        <v>Four-Thirds</v>
      </c>
      <c r="J880" t="str">
        <f>getSensorCompatibility('RawData (GH)'!H880)</f>
        <v>Four-Thirds</v>
      </c>
      <c r="K880" s="45">
        <f>getWeightAsDouble('RawData (GH)'!I880)</f>
        <v>630</v>
      </c>
      <c r="L880" s="34">
        <f>getSizeDiameter('RawData (GH)'!J880)</f>
        <v>83</v>
      </c>
      <c r="M880" s="34">
        <f>getSizeLength('RawData (GH)'!J880)</f>
        <v>102.8</v>
      </c>
    </row>
    <row r="881" spans="1:13" x14ac:dyDescent="0.25">
      <c r="A881" t="str">
        <f>'RawData (GH)'!A881</f>
        <v>Samyang 24mm T1.5 AS IF UMC II VDSLR für Fujifilm X schwarz</v>
      </c>
      <c r="B881" s="5">
        <f>getFocalLengthStart('RawData (GH)'!B881)</f>
        <v>24</v>
      </c>
      <c r="C881" s="5">
        <f>getFocalLengthEnd('RawData (GH)'!B881)</f>
        <v>24</v>
      </c>
      <c r="D881" s="9">
        <f>getApertureStart('RawData (GH)'!C881)</f>
        <v>1.5</v>
      </c>
      <c r="E881" s="9">
        <f>getApertureEnd('RawData (GH)'!C881)</f>
        <v>1.5</v>
      </c>
      <c r="F881" s="2">
        <f>getFiltersizeAsDouble('RawData (GH)'!D881)</f>
        <v>77</v>
      </c>
      <c r="G881" s="35">
        <f>getMagnification('RawData (GH)'!E881)</f>
        <v>0</v>
      </c>
      <c r="H881" s="62">
        <f>getMinimalFocus('RawData (GH)'!F881)</f>
        <v>0</v>
      </c>
      <c r="I881" t="str">
        <f>getMount('RawData (GH)'!G881)</f>
        <v>Fujifilm X</v>
      </c>
      <c r="J881" t="str">
        <f>getSensorCompatibility('RawData (GH)'!H881)</f>
        <v>APS-C</v>
      </c>
      <c r="K881" s="45">
        <f>getWeightAsDouble('RawData (GH)'!I881)</f>
        <v>640</v>
      </c>
      <c r="L881" s="34">
        <f>getSizeDiameter('RawData (GH)'!J881)</f>
        <v>83</v>
      </c>
      <c r="M881" s="34">
        <f>getSizeLength('RawData (GH)'!J881)</f>
        <v>123.8</v>
      </c>
    </row>
    <row r="882" spans="1:13" x14ac:dyDescent="0.25">
      <c r="A882" t="str">
        <f>'RawData (GH)'!A882</f>
        <v>Samyang 24mm T1.5 AS IF UMC II VDSLR für Micro-Four-Thirds schwarz</v>
      </c>
      <c r="B882" s="5">
        <f>getFocalLengthStart('RawData (GH)'!B882)</f>
        <v>24</v>
      </c>
      <c r="C882" s="5">
        <f>getFocalLengthEnd('RawData (GH)'!B882)</f>
        <v>24</v>
      </c>
      <c r="D882" s="9">
        <f>getApertureStart('RawData (GH)'!C882)</f>
        <v>1.5</v>
      </c>
      <c r="E882" s="9">
        <f>getApertureEnd('RawData (GH)'!C882)</f>
        <v>1.5</v>
      </c>
      <c r="F882" s="2">
        <f>getFiltersizeAsDouble('RawData (GH)'!D882)</f>
        <v>77</v>
      </c>
      <c r="G882" s="35">
        <f>getMagnification('RawData (GH)'!E882)</f>
        <v>0</v>
      </c>
      <c r="H882" s="62">
        <f>getMinimalFocus('RawData (GH)'!F882)</f>
        <v>0</v>
      </c>
      <c r="I882" t="str">
        <f>getMount('RawData (GH)'!G882)</f>
        <v>Micro-Four-Thirds</v>
      </c>
      <c r="J882" t="str">
        <f>getSensorCompatibility('RawData (GH)'!H882)</f>
        <v>Four-Thirds</v>
      </c>
      <c r="K882" s="45">
        <f>getWeightAsDouble('RawData (GH)'!I882)</f>
        <v>635</v>
      </c>
      <c r="L882" s="34">
        <f>getSizeDiameter('RawData (GH)'!J882)</f>
        <v>83</v>
      </c>
      <c r="M882" s="34">
        <f>getSizeLength('RawData (GH)'!J882)</f>
        <v>122.3</v>
      </c>
    </row>
    <row r="883" spans="1:13" x14ac:dyDescent="0.25">
      <c r="A883" t="str">
        <f>'RawData (GH)'!A883</f>
        <v>Samyang 24mm T1.5 AS IF UMC II VDSLR für Nikon F schwarz</v>
      </c>
      <c r="B883" s="5">
        <f>getFocalLengthStart('RawData (GH)'!B883)</f>
        <v>24</v>
      </c>
      <c r="C883" s="5">
        <f>getFocalLengthEnd('RawData (GH)'!B883)</f>
        <v>24</v>
      </c>
      <c r="D883" s="9">
        <f>getApertureStart('RawData (GH)'!C883)</f>
        <v>1.5</v>
      </c>
      <c r="E883" s="9">
        <f>getApertureEnd('RawData (GH)'!C883)</f>
        <v>1.5</v>
      </c>
      <c r="F883" s="2">
        <f>getFiltersizeAsDouble('RawData (GH)'!D883)</f>
        <v>77</v>
      </c>
      <c r="G883" s="35">
        <f>getMagnification('RawData (GH)'!E883)</f>
        <v>0</v>
      </c>
      <c r="H883" s="62">
        <f>getMinimalFocus('RawData (GH)'!F883)</f>
        <v>0</v>
      </c>
      <c r="I883" t="str">
        <f>getMount('RawData (GH)'!G883)</f>
        <v>Nikon F</v>
      </c>
      <c r="J883" t="str">
        <f>getSensorCompatibility('RawData (GH)'!H883)</f>
        <v>APS-C/ Kleinbild</v>
      </c>
      <c r="K883" s="45">
        <f>getWeightAsDouble('RawData (GH)'!I883)</f>
        <v>600</v>
      </c>
      <c r="L883" s="34">
        <f>getSizeDiameter('RawData (GH)'!J883)</f>
        <v>83</v>
      </c>
      <c r="M883" s="34">
        <f>getSizeLength('RawData (GH)'!J883)</f>
        <v>95</v>
      </c>
    </row>
    <row r="884" spans="1:13" x14ac:dyDescent="0.25">
      <c r="A884" t="str">
        <f>'RawData (GH)'!A884</f>
        <v>Samyang 24mm T1.5 AS IF UMC II VDSLR für Pentax K schwarz</v>
      </c>
      <c r="B884" s="5">
        <f>getFocalLengthStart('RawData (GH)'!B884)</f>
        <v>24</v>
      </c>
      <c r="C884" s="5">
        <f>getFocalLengthEnd('RawData (GH)'!B884)</f>
        <v>24</v>
      </c>
      <c r="D884" s="9">
        <f>getApertureStart('RawData (GH)'!C884)</f>
        <v>1.5</v>
      </c>
      <c r="E884" s="9">
        <f>getApertureEnd('RawData (GH)'!C884)</f>
        <v>1.5</v>
      </c>
      <c r="F884" s="2">
        <f>getFiltersizeAsDouble('RawData (GH)'!D884)</f>
        <v>77</v>
      </c>
      <c r="G884" s="35">
        <f>getMagnification('RawData (GH)'!E884)</f>
        <v>0</v>
      </c>
      <c r="H884" s="62">
        <f>getMinimalFocus('RawData (GH)'!F884)</f>
        <v>0</v>
      </c>
      <c r="I884" t="str">
        <f>getMount('RawData (GH)'!G884)</f>
        <v>Pentax K</v>
      </c>
      <c r="J884" t="str">
        <f>getSensorCompatibility('RawData (GH)'!H884)</f>
        <v>APS-C/ Kleinbild</v>
      </c>
      <c r="K884" s="45">
        <f>getWeightAsDouble('RawData (GH)'!I884)</f>
        <v>600</v>
      </c>
      <c r="L884" s="34">
        <f>getSizeDiameter('RawData (GH)'!J884)</f>
        <v>83</v>
      </c>
      <c r="M884" s="34">
        <f>getSizeLength('RawData (GH)'!J884)</f>
        <v>96</v>
      </c>
    </row>
    <row r="885" spans="1:13" x14ac:dyDescent="0.25">
      <c r="A885" t="str">
        <f>'RawData (GH)'!A885</f>
        <v>Samyang 24mm T1.5 AS IF UMC II VDSLR für Samsung NX schwarz</v>
      </c>
      <c r="B885" s="5">
        <f>getFocalLengthStart('RawData (GH)'!B885)</f>
        <v>24</v>
      </c>
      <c r="C885" s="5">
        <f>getFocalLengthEnd('RawData (GH)'!B885)</f>
        <v>24</v>
      </c>
      <c r="D885" s="9">
        <f>getApertureStart('RawData (GH)'!C885)</f>
        <v>1.5</v>
      </c>
      <c r="E885" s="9">
        <f>getApertureEnd('RawData (GH)'!C885)</f>
        <v>1.5</v>
      </c>
      <c r="F885" s="2">
        <f>getFiltersizeAsDouble('RawData (GH)'!D885)</f>
        <v>77</v>
      </c>
      <c r="G885" s="35">
        <f>getMagnification('RawData (GH)'!E885)</f>
        <v>0</v>
      </c>
      <c r="H885" s="62">
        <f>getMinimalFocus('RawData (GH)'!F885)</f>
        <v>0</v>
      </c>
      <c r="I885" t="str">
        <f>getMount('RawData (GH)'!G885)</f>
        <v>Samsung NX</v>
      </c>
      <c r="J885" t="str">
        <f>getSensorCompatibility('RawData (GH)'!H885)</f>
        <v>APS-C</v>
      </c>
      <c r="K885" s="45">
        <f>getWeightAsDouble('RawData (GH)'!I885)</f>
        <v>630</v>
      </c>
      <c r="L885" s="34">
        <f>getSizeDiameter('RawData (GH)'!J885)</f>
        <v>83</v>
      </c>
      <c r="M885" s="34">
        <f>getSizeLength('RawData (GH)'!J885)</f>
        <v>116</v>
      </c>
    </row>
    <row r="886" spans="1:13" x14ac:dyDescent="0.25">
      <c r="A886" t="str">
        <f>'RawData (GH)'!A886</f>
        <v>Samyang 24mm T1.5 AS IF UMC II VDSLR für Sony A schwarz</v>
      </c>
      <c r="B886" s="5">
        <f>getFocalLengthStart('RawData (GH)'!B886)</f>
        <v>24</v>
      </c>
      <c r="C886" s="5">
        <f>getFocalLengthEnd('RawData (GH)'!B886)</f>
        <v>24</v>
      </c>
      <c r="D886" s="9">
        <f>getApertureStart('RawData (GH)'!C886)</f>
        <v>1.5</v>
      </c>
      <c r="E886" s="9">
        <f>getApertureEnd('RawData (GH)'!C886)</f>
        <v>1.5</v>
      </c>
      <c r="F886" s="2">
        <f>getFiltersizeAsDouble('RawData (GH)'!D886)</f>
        <v>77</v>
      </c>
      <c r="G886" s="35">
        <f>getMagnification('RawData (GH)'!E886)</f>
        <v>0</v>
      </c>
      <c r="H886" s="62">
        <f>getMinimalFocus('RawData (GH)'!F886)</f>
        <v>0</v>
      </c>
      <c r="I886" t="str">
        <f>getMount('RawData (GH)'!G886)</f>
        <v>Sony A</v>
      </c>
      <c r="J886" t="str">
        <f>getSensorCompatibility('RawData (GH)'!H886)</f>
        <v>APS-C/ Kleinbild</v>
      </c>
      <c r="K886" s="45">
        <f>getWeightAsDouble('RawData (GH)'!I886)</f>
        <v>609</v>
      </c>
      <c r="L886" s="34">
        <f>getSizeDiameter('RawData (GH)'!J886)</f>
        <v>83</v>
      </c>
      <c r="M886" s="34">
        <f>getSizeLength('RawData (GH)'!J886)</f>
        <v>97</v>
      </c>
    </row>
    <row r="887" spans="1:13" x14ac:dyDescent="0.25">
      <c r="A887" t="str">
        <f>'RawData (GH)'!A887</f>
        <v>Samyang 24mm T1.5 AS IF UMC II VDSLR für Sony E schwarz</v>
      </c>
      <c r="B887" s="5">
        <f>getFocalLengthStart('RawData (GH)'!B887)</f>
        <v>24</v>
      </c>
      <c r="C887" s="5">
        <f>getFocalLengthEnd('RawData (GH)'!B887)</f>
        <v>24</v>
      </c>
      <c r="D887" s="9">
        <f>getApertureStart('RawData (GH)'!C887)</f>
        <v>1.5</v>
      </c>
      <c r="E887" s="9">
        <f>getApertureEnd('RawData (GH)'!C887)</f>
        <v>1.5</v>
      </c>
      <c r="F887" s="2">
        <f>getFiltersizeAsDouble('RawData (GH)'!D887)</f>
        <v>77</v>
      </c>
      <c r="G887" s="35">
        <f>getMagnification('RawData (GH)'!E887)</f>
        <v>0</v>
      </c>
      <c r="H887" s="62">
        <f>getMinimalFocus('RawData (GH)'!F887)</f>
        <v>0</v>
      </c>
      <c r="I887" t="str">
        <f>getMount('RawData (GH)'!G887)</f>
        <v>Sony E</v>
      </c>
      <c r="J887" t="str">
        <f>getSensorCompatibility('RawData (GH)'!H887)</f>
        <v>APS-C</v>
      </c>
      <c r="K887" s="45">
        <f>getWeightAsDouble('RawData (GH)'!I887)</f>
        <v>640</v>
      </c>
      <c r="L887" s="34">
        <f>getSizeDiameter('RawData (GH)'!J887)</f>
        <v>83</v>
      </c>
      <c r="M887" s="34">
        <f>getSizeLength('RawData (GH)'!J887)</f>
        <v>123.5</v>
      </c>
    </row>
    <row r="888" spans="1:13" x14ac:dyDescent="0.25">
      <c r="A888" t="str">
        <f>'RawData (GH)'!A888</f>
        <v>Samyang 300mm 6.3 ED UMC CS Reflex für Canon EF-M schwarz</v>
      </c>
      <c r="B888" s="5">
        <f>getFocalLengthStart('RawData (GH)'!B888)</f>
        <v>300</v>
      </c>
      <c r="C888" s="5">
        <f>getFocalLengthEnd('RawData (GH)'!B888)</f>
        <v>300</v>
      </c>
      <c r="D888" s="9">
        <f>getApertureStart('RawData (GH)'!C888)</f>
        <v>6.3</v>
      </c>
      <c r="E888" s="9">
        <f>getApertureEnd('RawData (GH)'!C888)</f>
        <v>6.3</v>
      </c>
      <c r="F888" s="2">
        <f>getFiltersizeAsDouble('RawData (GH)'!D888)</f>
        <v>0</v>
      </c>
      <c r="G888" s="35">
        <f>getMagnification('RawData (GH)'!E888)</f>
        <v>0</v>
      </c>
      <c r="H888" s="62">
        <f>getMinimalFocus('RawData (GH)'!F888)</f>
        <v>0</v>
      </c>
      <c r="I888" t="str">
        <f>getMount('RawData (GH)'!G888)</f>
        <v>Canon EF-M</v>
      </c>
      <c r="J888" t="str">
        <f>getSensorCompatibility('RawData (GH)'!H888)</f>
        <v>APS-C/ Kleinbild</v>
      </c>
      <c r="K888" s="45">
        <f>getWeightAsDouble('RawData (GH)'!I888)</f>
        <v>318</v>
      </c>
      <c r="L888" s="34">
        <f>getSizeDiameter('RawData (GH)'!J888)</f>
        <v>64.5</v>
      </c>
      <c r="M888" s="34">
        <f>getSizeLength('RawData (GH)'!J888)</f>
        <v>73.7</v>
      </c>
    </row>
    <row r="889" spans="1:13" x14ac:dyDescent="0.25">
      <c r="A889" t="str">
        <f>'RawData (GH)'!A889</f>
        <v>Samyang 300mm 6.3 ED UMC CS Reflex für Canon EF-M silber</v>
      </c>
      <c r="B889" s="5">
        <f>getFocalLengthStart('RawData (GH)'!B889)</f>
        <v>300</v>
      </c>
      <c r="C889" s="5">
        <f>getFocalLengthEnd('RawData (GH)'!B889)</f>
        <v>300</v>
      </c>
      <c r="D889" s="9">
        <f>getApertureStart('RawData (GH)'!C889)</f>
        <v>6.3</v>
      </c>
      <c r="E889" s="9">
        <f>getApertureEnd('RawData (GH)'!C889)</f>
        <v>6.3</v>
      </c>
      <c r="F889" s="2">
        <f>getFiltersizeAsDouble('RawData (GH)'!D889)</f>
        <v>0</v>
      </c>
      <c r="G889" s="35">
        <f>getMagnification('RawData (GH)'!E889)</f>
        <v>0</v>
      </c>
      <c r="H889" s="62">
        <f>getMinimalFocus('RawData (GH)'!F889)</f>
        <v>0</v>
      </c>
      <c r="I889" t="str">
        <f>getMount('RawData (GH)'!G889)</f>
        <v>Canon EF-M</v>
      </c>
      <c r="J889" t="str">
        <f>getSensorCompatibility('RawData (GH)'!H889)</f>
        <v>APS-C/ Kleinbild</v>
      </c>
      <c r="K889" s="45">
        <f>getWeightAsDouble('RawData (GH)'!I889)</f>
        <v>318</v>
      </c>
      <c r="L889" s="34">
        <f>getSizeDiameter('RawData (GH)'!J889)</f>
        <v>64.5</v>
      </c>
      <c r="M889" s="34">
        <f>getSizeLength('RawData (GH)'!J889)</f>
        <v>73.7</v>
      </c>
    </row>
    <row r="890" spans="1:13" x14ac:dyDescent="0.25">
      <c r="A890" t="str">
        <f>'RawData (GH)'!A890</f>
        <v>Samyang 300mm 6.3 ED UMC CS Reflex für Fujifilm X schwarz</v>
      </c>
      <c r="B890" s="5">
        <f>getFocalLengthStart('RawData (GH)'!B890)</f>
        <v>300</v>
      </c>
      <c r="C890" s="5">
        <f>getFocalLengthEnd('RawData (GH)'!B890)</f>
        <v>300</v>
      </c>
      <c r="D890" s="9">
        <f>getApertureStart('RawData (GH)'!C890)</f>
        <v>6.3</v>
      </c>
      <c r="E890" s="9">
        <f>getApertureEnd('RawData (GH)'!C890)</f>
        <v>6.3</v>
      </c>
      <c r="F890" s="2">
        <f>getFiltersizeAsDouble('RawData (GH)'!D890)</f>
        <v>0</v>
      </c>
      <c r="G890" s="35">
        <f>getMagnification('RawData (GH)'!E890)</f>
        <v>0</v>
      </c>
      <c r="H890" s="62">
        <f>getMinimalFocus('RawData (GH)'!F890)</f>
        <v>0</v>
      </c>
      <c r="I890" t="str">
        <f>getMount('RawData (GH)'!G890)</f>
        <v>Fujifilm X</v>
      </c>
      <c r="J890" t="str">
        <f>getSensorCompatibility('RawData (GH)'!H890)</f>
        <v>APS-C</v>
      </c>
      <c r="K890" s="45">
        <f>getWeightAsDouble('RawData (GH)'!I890)</f>
        <v>318</v>
      </c>
      <c r="L890" s="34">
        <f>getSizeDiameter('RawData (GH)'!J890)</f>
        <v>64.5</v>
      </c>
      <c r="M890" s="34">
        <f>getSizeLength('RawData (GH)'!J890)</f>
        <v>73.7</v>
      </c>
    </row>
    <row r="891" spans="1:13" x14ac:dyDescent="0.25">
      <c r="A891" t="str">
        <f>'RawData (GH)'!A891</f>
        <v>Samyang 300mm 6.3 ED UMC CS Reflex für Fujifilm X silber</v>
      </c>
      <c r="B891" s="5">
        <f>getFocalLengthStart('RawData (GH)'!B891)</f>
        <v>300</v>
      </c>
      <c r="C891" s="5">
        <f>getFocalLengthEnd('RawData (GH)'!B891)</f>
        <v>300</v>
      </c>
      <c r="D891" s="9">
        <f>getApertureStart('RawData (GH)'!C891)</f>
        <v>6.3</v>
      </c>
      <c r="E891" s="9">
        <f>getApertureEnd('RawData (GH)'!C891)</f>
        <v>6.3</v>
      </c>
      <c r="F891" s="2">
        <f>getFiltersizeAsDouble('RawData (GH)'!D891)</f>
        <v>0</v>
      </c>
      <c r="G891" s="35">
        <f>getMagnification('RawData (GH)'!E891)</f>
        <v>0</v>
      </c>
      <c r="H891" s="62">
        <f>getMinimalFocus('RawData (GH)'!F891)</f>
        <v>0</v>
      </c>
      <c r="I891" t="str">
        <f>getMount('RawData (GH)'!G891)</f>
        <v>Fujifilm X</v>
      </c>
      <c r="J891" t="str">
        <f>getSensorCompatibility('RawData (GH)'!H891)</f>
        <v>APS-C</v>
      </c>
      <c r="K891" s="45">
        <f>getWeightAsDouble('RawData (GH)'!I891)</f>
        <v>318</v>
      </c>
      <c r="L891" s="34">
        <f>getSizeDiameter('RawData (GH)'!J891)</f>
        <v>64.5</v>
      </c>
      <c r="M891" s="34">
        <f>getSizeLength('RawData (GH)'!J891)</f>
        <v>73.7</v>
      </c>
    </row>
    <row r="892" spans="1:13" x14ac:dyDescent="0.25">
      <c r="A892" t="str">
        <f>'RawData (GH)'!A892</f>
        <v>Samyang 300mm 6.3 ED UMC CS Reflex für Micro-Four-Thirds schwarz</v>
      </c>
      <c r="B892" s="5">
        <f>getFocalLengthStart('RawData (GH)'!B892)</f>
        <v>300</v>
      </c>
      <c r="C892" s="5">
        <f>getFocalLengthEnd('RawData (GH)'!B892)</f>
        <v>300</v>
      </c>
      <c r="D892" s="9">
        <f>getApertureStart('RawData (GH)'!C892)</f>
        <v>6.3</v>
      </c>
      <c r="E892" s="9">
        <f>getApertureEnd('RawData (GH)'!C892)</f>
        <v>6.3</v>
      </c>
      <c r="F892" s="2">
        <f>getFiltersizeAsDouble('RawData (GH)'!D892)</f>
        <v>0</v>
      </c>
      <c r="G892" s="35">
        <f>getMagnification('RawData (GH)'!E892)</f>
        <v>0</v>
      </c>
      <c r="H892" s="62">
        <f>getMinimalFocus('RawData (GH)'!F892)</f>
        <v>0</v>
      </c>
      <c r="I892" t="str">
        <f>getMount('RawData (GH)'!G892)</f>
        <v>Micro-Four-Thirds</v>
      </c>
      <c r="J892" t="str">
        <f>getSensorCompatibility('RawData (GH)'!H892)</f>
        <v>Four-Thirds</v>
      </c>
      <c r="K892" s="45">
        <f>getWeightAsDouble('RawData (GH)'!I892)</f>
        <v>318</v>
      </c>
      <c r="L892" s="34">
        <f>getSizeDiameter('RawData (GH)'!J892)</f>
        <v>64.5</v>
      </c>
      <c r="M892" s="34">
        <f>getSizeLength('RawData (GH)'!J892)</f>
        <v>73.7</v>
      </c>
    </row>
    <row r="893" spans="1:13" x14ac:dyDescent="0.25">
      <c r="A893" t="str">
        <f>'RawData (GH)'!A893</f>
        <v>Samyang 300mm 6.3 ED UMC CS Reflex für Micro-Four-Thirds silber</v>
      </c>
      <c r="B893" s="5">
        <f>getFocalLengthStart('RawData (GH)'!B893)</f>
        <v>300</v>
      </c>
      <c r="C893" s="5">
        <f>getFocalLengthEnd('RawData (GH)'!B893)</f>
        <v>300</v>
      </c>
      <c r="D893" s="9">
        <f>getApertureStart('RawData (GH)'!C893)</f>
        <v>6.3</v>
      </c>
      <c r="E893" s="9">
        <f>getApertureEnd('RawData (GH)'!C893)</f>
        <v>6.3</v>
      </c>
      <c r="F893" s="2">
        <f>getFiltersizeAsDouble('RawData (GH)'!D893)</f>
        <v>0</v>
      </c>
      <c r="G893" s="35">
        <f>getMagnification('RawData (GH)'!E893)</f>
        <v>0</v>
      </c>
      <c r="H893" s="62">
        <f>getMinimalFocus('RawData (GH)'!F893)</f>
        <v>0</v>
      </c>
      <c r="I893" t="str">
        <f>getMount('RawData (GH)'!G893)</f>
        <v>Micro-Four-Thirds</v>
      </c>
      <c r="J893" t="str">
        <f>getSensorCompatibility('RawData (GH)'!H893)</f>
        <v>Four-Thirds</v>
      </c>
      <c r="K893" s="45">
        <f>getWeightAsDouble('RawData (GH)'!I893)</f>
        <v>318</v>
      </c>
      <c r="L893" s="34">
        <f>getSizeDiameter('RawData (GH)'!J893)</f>
        <v>64.5</v>
      </c>
      <c r="M893" s="34">
        <f>getSizeLength('RawData (GH)'!J893)</f>
        <v>73.7</v>
      </c>
    </row>
    <row r="894" spans="1:13" x14ac:dyDescent="0.25">
      <c r="A894" t="str">
        <f>'RawData (GH)'!A894</f>
        <v>Samyang 300mm 6.3 ED UMC CS Reflex für Sony E schwarz</v>
      </c>
      <c r="B894" s="5">
        <f>getFocalLengthStart('RawData (GH)'!B894)</f>
        <v>300</v>
      </c>
      <c r="C894" s="5">
        <f>getFocalLengthEnd('RawData (GH)'!B894)</f>
        <v>300</v>
      </c>
      <c r="D894" s="9">
        <f>getApertureStart('RawData (GH)'!C894)</f>
        <v>6.3</v>
      </c>
      <c r="E894" s="9">
        <f>getApertureEnd('RawData (GH)'!C894)</f>
        <v>6.3</v>
      </c>
      <c r="F894" s="2">
        <f>getFiltersizeAsDouble('RawData (GH)'!D894)</f>
        <v>0</v>
      </c>
      <c r="G894" s="35">
        <f>getMagnification('RawData (GH)'!E894)</f>
        <v>0</v>
      </c>
      <c r="H894" s="62">
        <f>getMinimalFocus('RawData (GH)'!F894)</f>
        <v>0</v>
      </c>
      <c r="I894" t="str">
        <f>getMount('RawData (GH)'!G894)</f>
        <v>Sony E</v>
      </c>
      <c r="J894" t="str">
        <f>getSensorCompatibility('RawData (GH)'!H894)</f>
        <v>APS-C</v>
      </c>
      <c r="K894" s="45">
        <f>getWeightAsDouble('RawData (GH)'!I894)</f>
        <v>318</v>
      </c>
      <c r="L894" s="34">
        <f>getSizeDiameter('RawData (GH)'!J894)</f>
        <v>64.5</v>
      </c>
      <c r="M894" s="34">
        <f>getSizeLength('RawData (GH)'!J894)</f>
        <v>73.7</v>
      </c>
    </row>
    <row r="895" spans="1:13" x14ac:dyDescent="0.25">
      <c r="A895" t="str">
        <f>'RawData (GH)'!A895</f>
        <v>Samyang 300mm 6.3 ED UMC CS Reflex für Sony E silber</v>
      </c>
      <c r="B895" s="5">
        <f>getFocalLengthStart('RawData (GH)'!B895)</f>
        <v>300</v>
      </c>
      <c r="C895" s="5">
        <f>getFocalLengthEnd('RawData (GH)'!B895)</f>
        <v>300</v>
      </c>
      <c r="D895" s="9">
        <f>getApertureStart('RawData (GH)'!C895)</f>
        <v>6.3</v>
      </c>
      <c r="E895" s="9">
        <f>getApertureEnd('RawData (GH)'!C895)</f>
        <v>6.3</v>
      </c>
      <c r="F895" s="2">
        <f>getFiltersizeAsDouble('RawData (GH)'!D895)</f>
        <v>0</v>
      </c>
      <c r="G895" s="35">
        <f>getMagnification('RawData (GH)'!E895)</f>
        <v>0</v>
      </c>
      <c r="H895" s="62">
        <f>getMinimalFocus('RawData (GH)'!F895)</f>
        <v>0</v>
      </c>
      <c r="I895" t="str">
        <f>getMount('RawData (GH)'!G895)</f>
        <v>Sony E</v>
      </c>
      <c r="J895" t="str">
        <f>getSensorCompatibility('RawData (GH)'!H895)</f>
        <v>APS-C</v>
      </c>
      <c r="K895" s="45">
        <f>getWeightAsDouble('RawData (GH)'!I895)</f>
        <v>318</v>
      </c>
      <c r="L895" s="34">
        <f>getSizeDiameter('RawData (GH)'!J895)</f>
        <v>64.5</v>
      </c>
      <c r="M895" s="34">
        <f>getSizeLength('RawData (GH)'!J895)</f>
        <v>73.7</v>
      </c>
    </row>
    <row r="896" spans="1:13" x14ac:dyDescent="0.25">
      <c r="A896" t="str">
        <f>'RawData (GH)'!A896</f>
        <v>Samyang 300mm 6.3 UMC CS Reflex für Canon EF schwarz</v>
      </c>
      <c r="B896" s="5">
        <f>getFocalLengthStart('RawData (GH)'!B896)</f>
        <v>300</v>
      </c>
      <c r="C896" s="5">
        <f>getFocalLengthEnd('RawData (GH)'!B896)</f>
        <v>300</v>
      </c>
      <c r="D896" s="9">
        <f>getApertureStart('RawData (GH)'!C896)</f>
        <v>6.3</v>
      </c>
      <c r="E896" s="9">
        <f>getApertureEnd('RawData (GH)'!C896)</f>
        <v>6.3</v>
      </c>
      <c r="F896" s="2">
        <f>getFiltersizeAsDouble('RawData (GH)'!D896)</f>
        <v>25.5</v>
      </c>
      <c r="G896" s="35">
        <f>getMagnification('RawData (GH)'!E896)</f>
        <v>0</v>
      </c>
      <c r="H896" s="62">
        <f>getMinimalFocus('RawData (GH)'!F896)</f>
        <v>0</v>
      </c>
      <c r="I896" t="str">
        <f>getMount('RawData (GH)'!G896)</f>
        <v>Canon EF</v>
      </c>
      <c r="J896" t="str">
        <f>getSensorCompatibility('RawData (GH)'!H896)</f>
        <v>APS-C/ Kleinbild</v>
      </c>
      <c r="K896" s="45">
        <f>getWeightAsDouble('RawData (GH)'!I896)</f>
        <v>270</v>
      </c>
      <c r="L896" s="34">
        <f>getSizeDiameter('RawData (GH)'!J896)</f>
        <v>64.5</v>
      </c>
      <c r="M896" s="34">
        <f>getSizeLength('RawData (GH)'!J896)</f>
        <v>76.099999999999994</v>
      </c>
    </row>
    <row r="897" spans="1:13" x14ac:dyDescent="0.25">
      <c r="A897" t="str">
        <f>'RawData (GH)'!A897</f>
        <v>Samyang 300mm 6.3 UMC CS Reflex für Nikon F schwarz</v>
      </c>
      <c r="B897" s="5">
        <f>getFocalLengthStart('RawData (GH)'!B897)</f>
        <v>300</v>
      </c>
      <c r="C897" s="5">
        <f>getFocalLengthEnd('RawData (GH)'!B897)</f>
        <v>300</v>
      </c>
      <c r="D897" s="9">
        <f>getApertureStart('RawData (GH)'!C897)</f>
        <v>6.3</v>
      </c>
      <c r="E897" s="9">
        <f>getApertureEnd('RawData (GH)'!C897)</f>
        <v>6.3</v>
      </c>
      <c r="F897" s="2">
        <f>getFiltersizeAsDouble('RawData (GH)'!D897)</f>
        <v>25.5</v>
      </c>
      <c r="G897" s="35">
        <f>getMagnification('RawData (GH)'!E897)</f>
        <v>0</v>
      </c>
      <c r="H897" s="62">
        <f>getMinimalFocus('RawData (GH)'!F897)</f>
        <v>0</v>
      </c>
      <c r="I897" t="str">
        <f>getMount('RawData (GH)'!G897)</f>
        <v>Nikon F</v>
      </c>
      <c r="J897" t="str">
        <f>getSensorCompatibility('RawData (GH)'!H897)</f>
        <v>APS-C/ Kleinbild</v>
      </c>
      <c r="K897" s="45">
        <f>getWeightAsDouble('RawData (GH)'!I897)</f>
        <v>260</v>
      </c>
      <c r="L897" s="34">
        <f>getSizeDiameter('RawData (GH)'!J897)</f>
        <v>64.5</v>
      </c>
      <c r="M897" s="34">
        <f>getSizeLength('RawData (GH)'!J897)</f>
        <v>73.599999999999994</v>
      </c>
    </row>
    <row r="898" spans="1:13" x14ac:dyDescent="0.25">
      <c r="A898" t="str">
        <f>'RawData (GH)'!A898</f>
        <v>Samyang 300mm 6.3 UMC CS Reflex für Sony A schwarz</v>
      </c>
      <c r="B898" s="5">
        <f>getFocalLengthStart('RawData (GH)'!B898)</f>
        <v>300</v>
      </c>
      <c r="C898" s="5">
        <f>getFocalLengthEnd('RawData (GH)'!B898)</f>
        <v>300</v>
      </c>
      <c r="D898" s="9">
        <f>getApertureStart('RawData (GH)'!C898)</f>
        <v>6.3</v>
      </c>
      <c r="E898" s="9">
        <f>getApertureEnd('RawData (GH)'!C898)</f>
        <v>6.3</v>
      </c>
      <c r="F898" s="2">
        <f>getFiltersizeAsDouble('RawData (GH)'!D898)</f>
        <v>25.5</v>
      </c>
      <c r="G898" s="35">
        <f>getMagnification('RawData (GH)'!E898)</f>
        <v>0</v>
      </c>
      <c r="H898" s="62">
        <f>getMinimalFocus('RawData (GH)'!F898)</f>
        <v>0</v>
      </c>
      <c r="I898" t="str">
        <f>getMount('RawData (GH)'!G898)</f>
        <v>Sony A</v>
      </c>
      <c r="J898" t="str">
        <f>getSensorCompatibility('RawData (GH)'!H898)</f>
        <v>APS-C</v>
      </c>
      <c r="K898" s="45">
        <f>getWeightAsDouble('RawData (GH)'!I898)</f>
        <v>260</v>
      </c>
      <c r="L898" s="34">
        <f>getSizeDiameter('RawData (GH)'!J898)</f>
        <v>64.5</v>
      </c>
      <c r="M898" s="34">
        <f>getSizeLength('RawData (GH)'!J898)</f>
        <v>75.599999999999994</v>
      </c>
    </row>
    <row r="899" spans="1:13" x14ac:dyDescent="0.25">
      <c r="A899" t="str">
        <f>'RawData (GH)'!A899</f>
        <v>Samyang 35mm 1.2 ED AS UMC CS für Canon EF-M schwarz</v>
      </c>
      <c r="B899" s="5">
        <f>getFocalLengthStart('RawData (GH)'!B899)</f>
        <v>35</v>
      </c>
      <c r="C899" s="5">
        <f>getFocalLengthEnd('RawData (GH)'!B899)</f>
        <v>35</v>
      </c>
      <c r="D899" s="9">
        <f>getApertureStart('RawData (GH)'!C899)</f>
        <v>1.2</v>
      </c>
      <c r="E899" s="9">
        <f>getApertureEnd('RawData (GH)'!C899)</f>
        <v>1.2</v>
      </c>
      <c r="F899" s="2">
        <f>getFiltersizeAsDouble('RawData (GH)'!D899)</f>
        <v>62</v>
      </c>
      <c r="G899" s="35">
        <f>getMagnification('RawData (GH)'!E899)</f>
        <v>0</v>
      </c>
      <c r="H899" s="62">
        <f>getMinimalFocus('RawData (GH)'!F899)</f>
        <v>0</v>
      </c>
      <c r="I899" t="str">
        <f>getMount('RawData (GH)'!G899)</f>
        <v>Canon EF-M</v>
      </c>
      <c r="J899" t="str">
        <f>getSensorCompatibility('RawData (GH)'!H899)</f>
        <v>APS-C</v>
      </c>
      <c r="K899" s="45">
        <f>getWeightAsDouble('RawData (GH)'!I899)</f>
        <v>420</v>
      </c>
      <c r="L899" s="34">
        <f>getSizeDiameter('RawData (GH)'!J899)</f>
        <v>67.5</v>
      </c>
      <c r="M899" s="34">
        <f>getSizeLength('RawData (GH)'!J899)</f>
        <v>74.099999999999994</v>
      </c>
    </row>
    <row r="900" spans="1:13" x14ac:dyDescent="0.25">
      <c r="A900" t="str">
        <f>'RawData (GH)'!A900</f>
        <v>Samyang 35mm 1.2 ED AS UMC CS für Fujifilm X schwarz</v>
      </c>
      <c r="B900" s="5">
        <f>getFocalLengthStart('RawData (GH)'!B900)</f>
        <v>35</v>
      </c>
      <c r="C900" s="5">
        <f>getFocalLengthEnd('RawData (GH)'!B900)</f>
        <v>35</v>
      </c>
      <c r="D900" s="9">
        <f>getApertureStart('RawData (GH)'!C900)</f>
        <v>1.2</v>
      </c>
      <c r="E900" s="9">
        <f>getApertureEnd('RawData (GH)'!C900)</f>
        <v>1.2</v>
      </c>
      <c r="F900" s="2">
        <f>getFiltersizeAsDouble('RawData (GH)'!D900)</f>
        <v>62</v>
      </c>
      <c r="G900" s="35">
        <f>getMagnification('RawData (GH)'!E900)</f>
        <v>0</v>
      </c>
      <c r="H900" s="62">
        <f>getMinimalFocus('RawData (GH)'!F900)</f>
        <v>0</v>
      </c>
      <c r="I900" t="str">
        <f>getMount('RawData (GH)'!G900)</f>
        <v>Fujifilm X</v>
      </c>
      <c r="J900" t="str">
        <f>getSensorCompatibility('RawData (GH)'!H900)</f>
        <v>APS-C</v>
      </c>
      <c r="K900" s="45">
        <f>getWeightAsDouble('RawData (GH)'!I900)</f>
        <v>433</v>
      </c>
      <c r="L900" s="34">
        <f>getSizeDiameter('RawData (GH)'!J900)</f>
        <v>67.5</v>
      </c>
      <c r="M900" s="34">
        <f>getSizeLength('RawData (GH)'!J900)</f>
        <v>74.5</v>
      </c>
    </row>
    <row r="901" spans="1:13" x14ac:dyDescent="0.25">
      <c r="A901" t="str">
        <f>'RawData (GH)'!A901</f>
        <v>Samyang 35mm 1.2 ED AS UMC CS für Micro-Four-Thirds schwarz</v>
      </c>
      <c r="B901" s="5">
        <f>getFocalLengthStart('RawData (GH)'!B901)</f>
        <v>35</v>
      </c>
      <c r="C901" s="5">
        <f>getFocalLengthEnd('RawData (GH)'!B901)</f>
        <v>35</v>
      </c>
      <c r="D901" s="9">
        <f>getApertureStart('RawData (GH)'!C901)</f>
        <v>1.2</v>
      </c>
      <c r="E901" s="9">
        <f>getApertureEnd('RawData (GH)'!C901)</f>
        <v>1.2</v>
      </c>
      <c r="F901" s="2">
        <f>getFiltersizeAsDouble('RawData (GH)'!D901)</f>
        <v>62</v>
      </c>
      <c r="G901" s="35">
        <f>getMagnification('RawData (GH)'!E901)</f>
        <v>0</v>
      </c>
      <c r="H901" s="62">
        <f>getMinimalFocus('RawData (GH)'!F901)</f>
        <v>0</v>
      </c>
      <c r="I901" t="str">
        <f>getMount('RawData (GH)'!G901)</f>
        <v>Micro-Four-Thirds</v>
      </c>
      <c r="J901" t="str">
        <f>getSensorCompatibility('RawData (GH)'!H901)</f>
        <v>Four-Thirds</v>
      </c>
      <c r="K901" s="45">
        <f>getWeightAsDouble('RawData (GH)'!I901)</f>
        <v>426</v>
      </c>
      <c r="L901" s="34">
        <f>getSizeDiameter('RawData (GH)'!J901)</f>
        <v>67.5</v>
      </c>
      <c r="M901" s="34">
        <f>getSizeLength('RawData (GH)'!J901)</f>
        <v>73</v>
      </c>
    </row>
    <row r="902" spans="1:13" x14ac:dyDescent="0.25">
      <c r="A902" t="str">
        <f>'RawData (GH)'!A902</f>
        <v>Samyang 35mm 1.2 ED AS UMC CS für Sony E schwarz</v>
      </c>
      <c r="B902" s="5">
        <f>getFocalLengthStart('RawData (GH)'!B902)</f>
        <v>35</v>
      </c>
      <c r="C902" s="5">
        <f>getFocalLengthEnd('RawData (GH)'!B902)</f>
        <v>35</v>
      </c>
      <c r="D902" s="9">
        <f>getApertureStart('RawData (GH)'!C902)</f>
        <v>1.2</v>
      </c>
      <c r="E902" s="9">
        <f>getApertureEnd('RawData (GH)'!C902)</f>
        <v>1.2</v>
      </c>
      <c r="F902" s="2">
        <f>getFiltersizeAsDouble('RawData (GH)'!D902)</f>
        <v>62</v>
      </c>
      <c r="G902" s="35">
        <f>getMagnification('RawData (GH)'!E902)</f>
        <v>0</v>
      </c>
      <c r="H902" s="62">
        <f>getMinimalFocus('RawData (GH)'!F902)</f>
        <v>0</v>
      </c>
      <c r="I902" t="str">
        <f>getMount('RawData (GH)'!G902)</f>
        <v>Sony E</v>
      </c>
      <c r="J902" t="str">
        <f>getSensorCompatibility('RawData (GH)'!H902)</f>
        <v>APS-C</v>
      </c>
      <c r="K902" s="45">
        <f>getWeightAsDouble('RawData (GH)'!I902)</f>
        <v>420</v>
      </c>
      <c r="L902" s="34">
        <f>getSizeDiameter('RawData (GH)'!J902)</f>
        <v>67.5</v>
      </c>
      <c r="M902" s="34">
        <f>getSizeLength('RawData (GH)'!J902)</f>
        <v>74.2</v>
      </c>
    </row>
    <row r="903" spans="1:13" x14ac:dyDescent="0.25">
      <c r="A903" t="str">
        <f>'RawData (GH)'!A903</f>
        <v>Samyang 35mm 1.4 AS UMC für Canon EF schwarz</v>
      </c>
      <c r="B903" s="5">
        <f>getFocalLengthStart('RawData (GH)'!B903)</f>
        <v>35</v>
      </c>
      <c r="C903" s="5">
        <f>getFocalLengthEnd('RawData (GH)'!B903)</f>
        <v>35</v>
      </c>
      <c r="D903" s="9">
        <f>getApertureStart('RawData (GH)'!C903)</f>
        <v>1.4</v>
      </c>
      <c r="E903" s="9">
        <f>getApertureEnd('RawData (GH)'!C903)</f>
        <v>1.4</v>
      </c>
      <c r="F903" s="2">
        <f>getFiltersizeAsDouble('RawData (GH)'!D903)</f>
        <v>77</v>
      </c>
      <c r="G903" s="35">
        <f>getMagnification('RawData (GH)'!E903)</f>
        <v>0</v>
      </c>
      <c r="H903" s="62">
        <f>getMinimalFocus('RawData (GH)'!F903)</f>
        <v>0</v>
      </c>
      <c r="I903" t="str">
        <f>getMount('RawData (GH)'!G903)</f>
        <v>Canon EF</v>
      </c>
      <c r="J903" t="str">
        <f>getSensorCompatibility('RawData (GH)'!H903)</f>
        <v>APS-C/ Kleinbild</v>
      </c>
      <c r="K903" s="45">
        <f>getWeightAsDouble('RawData (GH)'!I903)</f>
        <v>660</v>
      </c>
      <c r="L903" s="34">
        <f>getSizeDiameter('RawData (GH)'!J903)</f>
        <v>83</v>
      </c>
      <c r="M903" s="34">
        <f>getSizeLength('RawData (GH)'!J903)</f>
        <v>111</v>
      </c>
    </row>
    <row r="904" spans="1:13" x14ac:dyDescent="0.25">
      <c r="A904" t="str">
        <f>'RawData (GH)'!A904</f>
        <v>Samyang 35mm 1.4 AS UMC für Canon EF-M schwarz</v>
      </c>
      <c r="B904" s="5">
        <f>getFocalLengthStart('RawData (GH)'!B904)</f>
        <v>35</v>
      </c>
      <c r="C904" s="5">
        <f>getFocalLengthEnd('RawData (GH)'!B904)</f>
        <v>35</v>
      </c>
      <c r="D904" s="9">
        <f>getApertureStart('RawData (GH)'!C904)</f>
        <v>1.4</v>
      </c>
      <c r="E904" s="9">
        <f>getApertureEnd('RawData (GH)'!C904)</f>
        <v>1.4</v>
      </c>
      <c r="F904" s="2">
        <f>getFiltersizeAsDouble('RawData (GH)'!D904)</f>
        <v>77</v>
      </c>
      <c r="G904" s="35">
        <f>getMagnification('RawData (GH)'!E904)</f>
        <v>0</v>
      </c>
      <c r="H904" s="62">
        <f>getMinimalFocus('RawData (GH)'!F904)</f>
        <v>0</v>
      </c>
      <c r="I904" t="str">
        <f>getMount('RawData (GH)'!G904)</f>
        <v>Canon EF-M</v>
      </c>
      <c r="J904" t="str">
        <f>getSensorCompatibility('RawData (GH)'!H904)</f>
        <v>APS-C/ Kleinbild</v>
      </c>
      <c r="K904" s="45">
        <f>getWeightAsDouble('RawData (GH)'!I904)</f>
        <v>660</v>
      </c>
      <c r="L904" s="34">
        <f>getSizeDiameter('RawData (GH)'!J904)</f>
        <v>83</v>
      </c>
      <c r="M904" s="34">
        <f>getSizeLength('RawData (GH)'!J904)</f>
        <v>111</v>
      </c>
    </row>
    <row r="905" spans="1:13" x14ac:dyDescent="0.25">
      <c r="A905" t="str">
        <f>'RawData (GH)'!A905</f>
        <v>Samyang 35mm 1.4 AS UMC für Four-Thirds schwarz</v>
      </c>
      <c r="B905" s="5">
        <f>getFocalLengthStart('RawData (GH)'!B905)</f>
        <v>35</v>
      </c>
      <c r="C905" s="5">
        <f>getFocalLengthEnd('RawData (GH)'!B905)</f>
        <v>35</v>
      </c>
      <c r="D905" s="9">
        <f>getApertureStart('RawData (GH)'!C905)</f>
        <v>1.4</v>
      </c>
      <c r="E905" s="9">
        <f>getApertureEnd('RawData (GH)'!C905)</f>
        <v>1.4</v>
      </c>
      <c r="F905" s="2">
        <f>getFiltersizeAsDouble('RawData (GH)'!D905)</f>
        <v>77</v>
      </c>
      <c r="G905" s="35">
        <f>getMagnification('RawData (GH)'!E905)</f>
        <v>0</v>
      </c>
      <c r="H905" s="62">
        <f>getMinimalFocus('RawData (GH)'!F905)</f>
        <v>0</v>
      </c>
      <c r="I905" t="str">
        <f>getMount('RawData (GH)'!G905)</f>
        <v>Four-Thirds</v>
      </c>
      <c r="J905" t="str">
        <f>getSensorCompatibility('RawData (GH)'!H905)</f>
        <v>Four-Thirds</v>
      </c>
      <c r="K905" s="45">
        <f>getWeightAsDouble('RawData (GH)'!I905)</f>
        <v>660</v>
      </c>
      <c r="L905" s="34">
        <f>getSizeDiameter('RawData (GH)'!J905)</f>
        <v>83</v>
      </c>
      <c r="M905" s="34">
        <f>getSizeLength('RawData (GH)'!J905)</f>
        <v>111</v>
      </c>
    </row>
    <row r="906" spans="1:13" x14ac:dyDescent="0.25">
      <c r="A906" t="str">
        <f>'RawData (GH)'!A906</f>
        <v>Samyang 35mm 1.4 AS UMC für Fujifilm X schwarz</v>
      </c>
      <c r="B906" s="5">
        <f>getFocalLengthStart('RawData (GH)'!B906)</f>
        <v>35</v>
      </c>
      <c r="C906" s="5">
        <f>getFocalLengthEnd('RawData (GH)'!B906)</f>
        <v>35</v>
      </c>
      <c r="D906" s="9">
        <f>getApertureStart('RawData (GH)'!C906)</f>
        <v>1.4</v>
      </c>
      <c r="E906" s="9">
        <f>getApertureEnd('RawData (GH)'!C906)</f>
        <v>1.4</v>
      </c>
      <c r="F906" s="2">
        <f>getFiltersizeAsDouble('RawData (GH)'!D906)</f>
        <v>77</v>
      </c>
      <c r="G906" s="35">
        <f>getMagnification('RawData (GH)'!E906)</f>
        <v>0</v>
      </c>
      <c r="H906" s="62">
        <f>getMinimalFocus('RawData (GH)'!F906)</f>
        <v>0</v>
      </c>
      <c r="I906" t="str">
        <f>getMount('RawData (GH)'!G906)</f>
        <v>Fujifilm X</v>
      </c>
      <c r="J906" t="str">
        <f>getSensorCompatibility('RawData (GH)'!H906)</f>
        <v>APS-C</v>
      </c>
      <c r="K906" s="45">
        <f>getWeightAsDouble('RawData (GH)'!I906)</f>
        <v>780</v>
      </c>
      <c r="L906" s="34">
        <f>getSizeDiameter('RawData (GH)'!J906)</f>
        <v>83</v>
      </c>
      <c r="M906" s="34">
        <f>getSizeLength('RawData (GH)'!J906)</f>
        <v>137.80000000000001</v>
      </c>
    </row>
    <row r="907" spans="1:13" x14ac:dyDescent="0.25">
      <c r="A907" t="str">
        <f>'RawData (GH)'!A907</f>
        <v>Samyang 35mm 1.4 AS UMC für Nikon F schwarz</v>
      </c>
      <c r="B907" s="5">
        <f>getFocalLengthStart('RawData (GH)'!B907)</f>
        <v>35</v>
      </c>
      <c r="C907" s="5">
        <f>getFocalLengthEnd('RawData (GH)'!B907)</f>
        <v>35</v>
      </c>
      <c r="D907" s="9">
        <f>getApertureStart('RawData (GH)'!C907)</f>
        <v>1.4</v>
      </c>
      <c r="E907" s="9">
        <f>getApertureEnd('RawData (GH)'!C907)</f>
        <v>1.4</v>
      </c>
      <c r="F907" s="2">
        <f>getFiltersizeAsDouble('RawData (GH)'!D907)</f>
        <v>77</v>
      </c>
      <c r="G907" s="35">
        <f>getMagnification('RawData (GH)'!E907)</f>
        <v>0</v>
      </c>
      <c r="H907" s="62">
        <f>getMinimalFocus('RawData (GH)'!F907)</f>
        <v>0</v>
      </c>
      <c r="I907" t="str">
        <f>getMount('RawData (GH)'!G907)</f>
        <v>Nikon F</v>
      </c>
      <c r="J907" t="str">
        <f>getSensorCompatibility('RawData (GH)'!H907)</f>
        <v>APS-C/ Kleinbild</v>
      </c>
      <c r="K907" s="45">
        <f>getWeightAsDouble('RawData (GH)'!I907)</f>
        <v>660</v>
      </c>
      <c r="L907" s="34">
        <f>getSizeDiameter('RawData (GH)'!J907)</f>
        <v>83</v>
      </c>
      <c r="M907" s="34">
        <f>getSizeLength('RawData (GH)'!J907)</f>
        <v>111</v>
      </c>
    </row>
    <row r="908" spans="1:13" x14ac:dyDescent="0.25">
      <c r="A908" t="str">
        <f>'RawData (GH)'!A908</f>
        <v>Samyang 35mm 1.4 AS UMC für Pentax K schwarz</v>
      </c>
      <c r="B908" s="5">
        <f>getFocalLengthStart('RawData (GH)'!B908)</f>
        <v>35</v>
      </c>
      <c r="C908" s="5">
        <f>getFocalLengthEnd('RawData (GH)'!B908)</f>
        <v>35</v>
      </c>
      <c r="D908" s="9">
        <f>getApertureStart('RawData (GH)'!C908)</f>
        <v>1.4</v>
      </c>
      <c r="E908" s="9">
        <f>getApertureEnd('RawData (GH)'!C908)</f>
        <v>1.4</v>
      </c>
      <c r="F908" s="2">
        <f>getFiltersizeAsDouble('RawData (GH)'!D908)</f>
        <v>77</v>
      </c>
      <c r="G908" s="35">
        <f>getMagnification('RawData (GH)'!E908)</f>
        <v>0</v>
      </c>
      <c r="H908" s="62">
        <f>getMinimalFocus('RawData (GH)'!F908)</f>
        <v>0</v>
      </c>
      <c r="I908" t="str">
        <f>getMount('RawData (GH)'!G908)</f>
        <v>Pentax K</v>
      </c>
      <c r="J908" t="str">
        <f>getSensorCompatibility('RawData (GH)'!H908)</f>
        <v>APS-C/ Kleinbild</v>
      </c>
      <c r="K908" s="45">
        <f>getWeightAsDouble('RawData (GH)'!I908)</f>
        <v>660</v>
      </c>
      <c r="L908" s="34">
        <f>getSizeDiameter('RawData (GH)'!J908)</f>
        <v>83</v>
      </c>
      <c r="M908" s="34">
        <f>getSizeLength('RawData (GH)'!J908)</f>
        <v>111</v>
      </c>
    </row>
    <row r="909" spans="1:13" x14ac:dyDescent="0.25">
      <c r="A909" t="str">
        <f>'RawData (GH)'!A909</f>
        <v>Samyang 35mm 1.4 AS UMC für Samsung NX schwarz</v>
      </c>
      <c r="B909" s="5">
        <f>getFocalLengthStart('RawData (GH)'!B909)</f>
        <v>35</v>
      </c>
      <c r="C909" s="5">
        <f>getFocalLengthEnd('RawData (GH)'!B909)</f>
        <v>35</v>
      </c>
      <c r="D909" s="9">
        <f>getApertureStart('RawData (GH)'!C909)</f>
        <v>1.4</v>
      </c>
      <c r="E909" s="9">
        <f>getApertureEnd('RawData (GH)'!C909)</f>
        <v>1.4</v>
      </c>
      <c r="F909" s="2">
        <f>getFiltersizeAsDouble('RawData (GH)'!D909)</f>
        <v>77</v>
      </c>
      <c r="G909" s="35">
        <f>getMagnification('RawData (GH)'!E909)</f>
        <v>0</v>
      </c>
      <c r="H909" s="62">
        <f>getMinimalFocus('RawData (GH)'!F909)</f>
        <v>0</v>
      </c>
      <c r="I909" t="str">
        <f>getMount('RawData (GH)'!G909)</f>
        <v>Samsung NX</v>
      </c>
      <c r="J909" t="str">
        <f>getSensorCompatibility('RawData (GH)'!H909)</f>
        <v>APS-C</v>
      </c>
      <c r="K909" s="45">
        <f>getWeightAsDouble('RawData (GH)'!I909)</f>
        <v>660</v>
      </c>
      <c r="L909" s="34">
        <f>getSizeDiameter('RawData (GH)'!J909)</f>
        <v>83</v>
      </c>
      <c r="M909" s="34">
        <f>getSizeLength('RawData (GH)'!J909)</f>
        <v>111</v>
      </c>
    </row>
    <row r="910" spans="1:13" x14ac:dyDescent="0.25">
      <c r="A910" t="str">
        <f>'RawData (GH)'!A910</f>
        <v>Samyang 35mm 1.4 AS UMC für Sony A schwarz</v>
      </c>
      <c r="B910" s="5">
        <f>getFocalLengthStart('RawData (GH)'!B910)</f>
        <v>35</v>
      </c>
      <c r="C910" s="5">
        <f>getFocalLengthEnd('RawData (GH)'!B910)</f>
        <v>35</v>
      </c>
      <c r="D910" s="9">
        <f>getApertureStart('RawData (GH)'!C910)</f>
        <v>1.4</v>
      </c>
      <c r="E910" s="9">
        <f>getApertureEnd('RawData (GH)'!C910)</f>
        <v>1.4</v>
      </c>
      <c r="F910" s="2">
        <f>getFiltersizeAsDouble('RawData (GH)'!D910)</f>
        <v>77</v>
      </c>
      <c r="G910" s="35">
        <f>getMagnification('RawData (GH)'!E910)</f>
        <v>0</v>
      </c>
      <c r="H910" s="62">
        <f>getMinimalFocus('RawData (GH)'!F910)</f>
        <v>0</v>
      </c>
      <c r="I910" t="str">
        <f>getMount('RawData (GH)'!G910)</f>
        <v>Sony A</v>
      </c>
      <c r="J910" t="str">
        <f>getSensorCompatibility('RawData (GH)'!H910)</f>
        <v>APS-C/ Kleinbild</v>
      </c>
      <c r="K910" s="45">
        <f>getWeightAsDouble('RawData (GH)'!I910)</f>
        <v>660</v>
      </c>
      <c r="L910" s="34">
        <f>getSizeDiameter('RawData (GH)'!J910)</f>
        <v>83</v>
      </c>
      <c r="M910" s="34">
        <f>getSizeLength('RawData (GH)'!J910)</f>
        <v>111</v>
      </c>
    </row>
    <row r="911" spans="1:13" x14ac:dyDescent="0.25">
      <c r="A911" t="str">
        <f>'RawData (GH)'!A911</f>
        <v>Samyang 35mm 1.4 AS UMC für Sony E schwarz</v>
      </c>
      <c r="B911" s="5">
        <f>getFocalLengthStart('RawData (GH)'!B911)</f>
        <v>35</v>
      </c>
      <c r="C911" s="5">
        <f>getFocalLengthEnd('RawData (GH)'!B911)</f>
        <v>35</v>
      </c>
      <c r="D911" s="9">
        <f>getApertureStart('RawData (GH)'!C911)</f>
        <v>1.4</v>
      </c>
      <c r="E911" s="9">
        <f>getApertureEnd('RawData (GH)'!C911)</f>
        <v>1.4</v>
      </c>
      <c r="F911" s="2">
        <f>getFiltersizeAsDouble('RawData (GH)'!D911)</f>
        <v>77</v>
      </c>
      <c r="G911" s="35">
        <f>getMagnification('RawData (GH)'!E911)</f>
        <v>0</v>
      </c>
      <c r="H911" s="62">
        <f>getMinimalFocus('RawData (GH)'!F911)</f>
        <v>0</v>
      </c>
      <c r="I911" t="str">
        <f>getMount('RawData (GH)'!G911)</f>
        <v>Sony E</v>
      </c>
      <c r="J911" t="str">
        <f>getSensorCompatibility('RawData (GH)'!H911)</f>
        <v>APS-C</v>
      </c>
      <c r="K911" s="45">
        <f>getWeightAsDouble('RawData (GH)'!I911)</f>
        <v>660</v>
      </c>
      <c r="L911" s="34">
        <f>getSizeDiameter('RawData (GH)'!J911)</f>
        <v>83</v>
      </c>
      <c r="M911" s="34">
        <f>getSizeLength('RawData (GH)'!J911)</f>
        <v>111</v>
      </c>
    </row>
    <row r="912" spans="1:13" x14ac:dyDescent="0.25">
      <c r="A912" t="str">
        <f>'RawData (GH)'!A912</f>
        <v>Samyang 35mm 1.5 AS UMC VDSLR für Nikon F schwarz</v>
      </c>
      <c r="B912" s="5">
        <f>getFocalLengthStart('RawData (GH)'!B912)</f>
        <v>35</v>
      </c>
      <c r="C912" s="5">
        <f>getFocalLengthEnd('RawData (GH)'!B912)</f>
        <v>35</v>
      </c>
      <c r="D912" s="9">
        <f>getApertureStart('RawData (GH)'!C912)</f>
        <v>1.5</v>
      </c>
      <c r="E912" s="9">
        <f>getApertureEnd('RawData (GH)'!C912)</f>
        <v>1.5</v>
      </c>
      <c r="F912" s="2">
        <f>getFiltersizeAsDouble('RawData (GH)'!D912)</f>
        <v>77</v>
      </c>
      <c r="G912" s="35">
        <f>getMagnification('RawData (GH)'!E912)</f>
        <v>0</v>
      </c>
      <c r="H912" s="62">
        <f>getMinimalFocus('RawData (GH)'!F912)</f>
        <v>0</v>
      </c>
      <c r="I912" t="str">
        <f>getMount('RawData (GH)'!G912)</f>
        <v>Nikon F</v>
      </c>
      <c r="J912" t="str">
        <f>getSensorCompatibility('RawData (GH)'!H912)</f>
        <v>APS-C/ Kleinbild</v>
      </c>
      <c r="K912" s="45">
        <f>getWeightAsDouble('RawData (GH)'!I912)</f>
        <v>660</v>
      </c>
      <c r="L912" s="34">
        <f>getSizeDiameter('RawData (GH)'!J912)</f>
        <v>83</v>
      </c>
      <c r="M912" s="34">
        <f>getSizeLength('RawData (GH)'!J912)</f>
        <v>111</v>
      </c>
    </row>
    <row r="913" spans="1:13" x14ac:dyDescent="0.25">
      <c r="A913" t="str">
        <f>'RawData (GH)'!A913</f>
        <v>Samyang 35mm T1.3 AS UMC CS für Canon EF-M schwarz</v>
      </c>
      <c r="B913" s="5">
        <f>getFocalLengthStart('RawData (GH)'!B913)</f>
        <v>35</v>
      </c>
      <c r="C913" s="5">
        <f>getFocalLengthEnd('RawData (GH)'!B913)</f>
        <v>35</v>
      </c>
      <c r="D913" s="9">
        <f>getApertureStart('RawData (GH)'!C913)</f>
        <v>1.3</v>
      </c>
      <c r="E913" s="9">
        <f>getApertureEnd('RawData (GH)'!C913)</f>
        <v>1.3</v>
      </c>
      <c r="F913" s="2">
        <f>getFiltersizeAsDouble('RawData (GH)'!D913)</f>
        <v>62</v>
      </c>
      <c r="G913" s="35">
        <f>getMagnification('RawData (GH)'!E913)</f>
        <v>0</v>
      </c>
      <c r="H913" s="62">
        <f>getMinimalFocus('RawData (GH)'!F913)</f>
        <v>0</v>
      </c>
      <c r="I913" t="str">
        <f>getMount('RawData (GH)'!G913)</f>
        <v>Canon EF-M</v>
      </c>
      <c r="J913" t="str">
        <f>getSensorCompatibility('RawData (GH)'!H913)</f>
        <v>APS-C</v>
      </c>
      <c r="K913" s="45">
        <f>getWeightAsDouble('RawData (GH)'!I913)</f>
        <v>430</v>
      </c>
      <c r="L913" s="34">
        <f>getSizeDiameter('RawData (GH)'!J913)</f>
        <v>73.599999999999994</v>
      </c>
      <c r="M913" s="34">
        <f>getSizeLength('RawData (GH)'!J913)</f>
        <v>74.099999999999994</v>
      </c>
    </row>
    <row r="914" spans="1:13" x14ac:dyDescent="0.25">
      <c r="A914" t="str">
        <f>'RawData (GH)'!A914</f>
        <v>Samyang 35mm T1.3 AS UMC CS für Fujifilm X schwarz</v>
      </c>
      <c r="B914" s="5">
        <f>getFocalLengthStart('RawData (GH)'!B914)</f>
        <v>35</v>
      </c>
      <c r="C914" s="5">
        <f>getFocalLengthEnd('RawData (GH)'!B914)</f>
        <v>35</v>
      </c>
      <c r="D914" s="9">
        <f>getApertureStart('RawData (GH)'!C914)</f>
        <v>1.3</v>
      </c>
      <c r="E914" s="9">
        <f>getApertureEnd('RawData (GH)'!C914)</f>
        <v>1.3</v>
      </c>
      <c r="F914" s="2">
        <f>getFiltersizeAsDouble('RawData (GH)'!D914)</f>
        <v>62</v>
      </c>
      <c r="G914" s="35">
        <f>getMagnification('RawData (GH)'!E914)</f>
        <v>0</v>
      </c>
      <c r="H914" s="62">
        <f>getMinimalFocus('RawData (GH)'!F914)</f>
        <v>0</v>
      </c>
      <c r="I914" t="str">
        <f>getMount('RawData (GH)'!G914)</f>
        <v>Fujifilm X</v>
      </c>
      <c r="J914" t="str">
        <f>getSensorCompatibility('RawData (GH)'!H914)</f>
        <v>APS-C</v>
      </c>
      <c r="K914" s="45">
        <f>getWeightAsDouble('RawData (GH)'!I914)</f>
        <v>443</v>
      </c>
      <c r="L914" s="34">
        <f>getSizeDiameter('RawData (GH)'!J914)</f>
        <v>73.599999999999994</v>
      </c>
      <c r="M914" s="34">
        <f>getSizeLength('RawData (GH)'!J914)</f>
        <v>74.5</v>
      </c>
    </row>
    <row r="915" spans="1:13" x14ac:dyDescent="0.25">
      <c r="A915" t="str">
        <f>'RawData (GH)'!A915</f>
        <v>Samyang 35mm T1.3 AS UMC CS für Micro-Four-Thirds schwarz</v>
      </c>
      <c r="B915" s="5">
        <f>getFocalLengthStart('RawData (GH)'!B915)</f>
        <v>35</v>
      </c>
      <c r="C915" s="5">
        <f>getFocalLengthEnd('RawData (GH)'!B915)</f>
        <v>35</v>
      </c>
      <c r="D915" s="9">
        <f>getApertureStart('RawData (GH)'!C915)</f>
        <v>1.3</v>
      </c>
      <c r="E915" s="9">
        <f>getApertureEnd('RawData (GH)'!C915)</f>
        <v>1.3</v>
      </c>
      <c r="F915" s="2">
        <f>getFiltersizeAsDouble('RawData (GH)'!D915)</f>
        <v>62</v>
      </c>
      <c r="G915" s="35">
        <f>getMagnification('RawData (GH)'!E915)</f>
        <v>0</v>
      </c>
      <c r="H915" s="62">
        <f>getMinimalFocus('RawData (GH)'!F915)</f>
        <v>0</v>
      </c>
      <c r="I915" t="str">
        <f>getMount('RawData (GH)'!G915)</f>
        <v>Micro-Four-Thirds</v>
      </c>
      <c r="J915" t="str">
        <f>getSensorCompatibility('RawData (GH)'!H915)</f>
        <v>Four-Thirds</v>
      </c>
      <c r="K915" s="45">
        <f>getWeightAsDouble('RawData (GH)'!I915)</f>
        <v>436</v>
      </c>
      <c r="L915" s="34">
        <f>getSizeDiameter('RawData (GH)'!J915)</f>
        <v>73.599999999999994</v>
      </c>
      <c r="M915" s="34">
        <f>getSizeLength('RawData (GH)'!J915)</f>
        <v>73</v>
      </c>
    </row>
    <row r="916" spans="1:13" x14ac:dyDescent="0.25">
      <c r="A916" t="str">
        <f>'RawData (GH)'!A916</f>
        <v>Samyang 35mm T1.3 AS UMC CS für Sony E schwarz</v>
      </c>
      <c r="B916" s="5">
        <f>getFocalLengthStart('RawData (GH)'!B916)</f>
        <v>35</v>
      </c>
      <c r="C916" s="5">
        <f>getFocalLengthEnd('RawData (GH)'!B916)</f>
        <v>35</v>
      </c>
      <c r="D916" s="9">
        <f>getApertureStart('RawData (GH)'!C916)</f>
        <v>1.3</v>
      </c>
      <c r="E916" s="9">
        <f>getApertureEnd('RawData (GH)'!C916)</f>
        <v>1.3</v>
      </c>
      <c r="F916" s="2">
        <f>getFiltersizeAsDouble('RawData (GH)'!D916)</f>
        <v>62</v>
      </c>
      <c r="G916" s="35">
        <f>getMagnification('RawData (GH)'!E916)</f>
        <v>0</v>
      </c>
      <c r="H916" s="62">
        <f>getMinimalFocus('RawData (GH)'!F916)</f>
        <v>0</v>
      </c>
      <c r="I916" t="str">
        <f>getMount('RawData (GH)'!G916)</f>
        <v>Sony E</v>
      </c>
      <c r="J916" t="str">
        <f>getSensorCompatibility('RawData (GH)'!H916)</f>
        <v>APS-C</v>
      </c>
      <c r="K916" s="45">
        <f>getWeightAsDouble('RawData (GH)'!I916)</f>
        <v>430</v>
      </c>
      <c r="L916" s="34">
        <f>getSizeDiameter('RawData (GH)'!J916)</f>
        <v>73.599999999999994</v>
      </c>
      <c r="M916" s="34">
        <f>getSizeLength('RawData (GH)'!J916)</f>
        <v>74.2</v>
      </c>
    </row>
    <row r="917" spans="1:13" x14ac:dyDescent="0.25">
      <c r="A917" t="str">
        <f>'RawData (GH)'!A917</f>
        <v>Samyang 35mm T1.5 VDSLR AS UMC II für Canon EF schwarz</v>
      </c>
      <c r="B917" s="5">
        <f>getFocalLengthStart('RawData (GH)'!B917)</f>
        <v>35</v>
      </c>
      <c r="C917" s="5">
        <f>getFocalLengthEnd('RawData (GH)'!B917)</f>
        <v>35</v>
      </c>
      <c r="D917" s="9">
        <f>getApertureStart('RawData (GH)'!C917)</f>
        <v>1.5</v>
      </c>
      <c r="E917" s="9">
        <f>getApertureEnd('RawData (GH)'!C917)</f>
        <v>1.5</v>
      </c>
      <c r="F917" s="2">
        <f>getFiltersizeAsDouble('RawData (GH)'!D917)</f>
        <v>77</v>
      </c>
      <c r="G917" s="35">
        <f>getMagnification('RawData (GH)'!E917)</f>
        <v>0</v>
      </c>
      <c r="H917" s="62">
        <f>getMinimalFocus('RawData (GH)'!F917)</f>
        <v>0</v>
      </c>
      <c r="I917" t="str">
        <f>getMount('RawData (GH)'!G917)</f>
        <v>Canon EF</v>
      </c>
      <c r="J917" t="str">
        <f>getSensorCompatibility('RawData (GH)'!H917)</f>
        <v>APS-C/ Kleinbild</v>
      </c>
      <c r="K917" s="45">
        <f>getWeightAsDouble('RawData (GH)'!I917)</f>
        <v>715</v>
      </c>
      <c r="L917" s="34">
        <f>getSizeDiameter('RawData (GH)'!J917)</f>
        <v>83</v>
      </c>
      <c r="M917" s="34">
        <f>getSizeLength('RawData (GH)'!J917)</f>
        <v>111.5</v>
      </c>
    </row>
    <row r="918" spans="1:13" x14ac:dyDescent="0.25">
      <c r="A918" t="str">
        <f>'RawData (GH)'!A918</f>
        <v>Samyang 35mm T1.5 VDSLR AS UMC II für Canon EF-M schwarz</v>
      </c>
      <c r="B918" s="5">
        <f>getFocalLengthStart('RawData (GH)'!B918)</f>
        <v>35</v>
      </c>
      <c r="C918" s="5">
        <f>getFocalLengthEnd('RawData (GH)'!B918)</f>
        <v>35</v>
      </c>
      <c r="D918" s="9">
        <f>getApertureStart('RawData (GH)'!C918)</f>
        <v>1.5</v>
      </c>
      <c r="E918" s="9">
        <f>getApertureEnd('RawData (GH)'!C918)</f>
        <v>1.5</v>
      </c>
      <c r="F918" s="2">
        <f>getFiltersizeAsDouble('RawData (GH)'!D918)</f>
        <v>77</v>
      </c>
      <c r="G918" s="35">
        <f>getMagnification('RawData (GH)'!E918)</f>
        <v>0</v>
      </c>
      <c r="H918" s="62">
        <f>getMinimalFocus('RawData (GH)'!F918)</f>
        <v>0</v>
      </c>
      <c r="I918" t="str">
        <f>getMount('RawData (GH)'!G918)</f>
        <v>Canon EF-M</v>
      </c>
      <c r="J918" t="str">
        <f>getSensorCompatibility('RawData (GH)'!H918)</f>
        <v>APS-C</v>
      </c>
      <c r="K918" s="45">
        <f>getWeightAsDouble('RawData (GH)'!I918)</f>
        <v>730</v>
      </c>
      <c r="L918" s="34">
        <f>getSizeDiameter('RawData (GH)'!J918)</f>
        <v>83</v>
      </c>
      <c r="M918" s="34">
        <f>getSizeLength('RawData (GH)'!J918)</f>
        <v>137.4</v>
      </c>
    </row>
    <row r="919" spans="1:13" x14ac:dyDescent="0.25">
      <c r="A919" t="str">
        <f>'RawData (GH)'!A919</f>
        <v>Samyang 35mm T1.5 VDSLR AS UMC II für Four-Thirds schwarz</v>
      </c>
      <c r="B919" s="5">
        <f>getFocalLengthStart('RawData (GH)'!B919)</f>
        <v>35</v>
      </c>
      <c r="C919" s="5">
        <f>getFocalLengthEnd('RawData (GH)'!B919)</f>
        <v>35</v>
      </c>
      <c r="D919" s="9">
        <f>getApertureStart('RawData (GH)'!C919)</f>
        <v>1.5</v>
      </c>
      <c r="E919" s="9">
        <f>getApertureEnd('RawData (GH)'!C919)</f>
        <v>1.5</v>
      </c>
      <c r="F919" s="2">
        <f>getFiltersizeAsDouble('RawData (GH)'!D919)</f>
        <v>77</v>
      </c>
      <c r="G919" s="35">
        <f>getMagnification('RawData (GH)'!E919)</f>
        <v>0</v>
      </c>
      <c r="H919" s="62">
        <f>getMinimalFocus('RawData (GH)'!F919)</f>
        <v>0</v>
      </c>
      <c r="I919" t="str">
        <f>getMount('RawData (GH)'!G919)</f>
        <v>Four-Thirds</v>
      </c>
      <c r="J919" t="str">
        <f>getSensorCompatibility('RawData (GH)'!H919)</f>
        <v>Four-Thirds</v>
      </c>
      <c r="K919" s="45">
        <f>getWeightAsDouble('RawData (GH)'!I919)</f>
        <v>720</v>
      </c>
      <c r="L919" s="34">
        <f>getSizeDiameter('RawData (GH)'!J919)</f>
        <v>83</v>
      </c>
      <c r="M919" s="34">
        <f>getSizeLength('RawData (GH)'!J919)</f>
        <v>116.8</v>
      </c>
    </row>
    <row r="920" spans="1:13" x14ac:dyDescent="0.25">
      <c r="A920" t="str">
        <f>'RawData (GH)'!A920</f>
        <v>Samyang 35mm T1.5 VDSLR AS UMC II für Fujifilm X schwarz</v>
      </c>
      <c r="B920" s="5">
        <f>getFocalLengthStart('RawData (GH)'!B920)</f>
        <v>35</v>
      </c>
      <c r="C920" s="5">
        <f>getFocalLengthEnd('RawData (GH)'!B920)</f>
        <v>35</v>
      </c>
      <c r="D920" s="9">
        <f>getApertureStart('RawData (GH)'!C920)</f>
        <v>1.5</v>
      </c>
      <c r="E920" s="9">
        <f>getApertureEnd('RawData (GH)'!C920)</f>
        <v>1.5</v>
      </c>
      <c r="F920" s="2">
        <f>getFiltersizeAsDouble('RawData (GH)'!D920)</f>
        <v>77</v>
      </c>
      <c r="G920" s="35">
        <f>getMagnification('RawData (GH)'!E920)</f>
        <v>0</v>
      </c>
      <c r="H920" s="62">
        <f>getMinimalFocus('RawData (GH)'!F920)</f>
        <v>0</v>
      </c>
      <c r="I920" t="str">
        <f>getMount('RawData (GH)'!G920)</f>
        <v>Fujifilm X</v>
      </c>
      <c r="J920" t="str">
        <f>getSensorCompatibility('RawData (GH)'!H920)</f>
        <v>APS-C</v>
      </c>
      <c r="K920" s="45">
        <f>getWeightAsDouble('RawData (GH)'!I920)</f>
        <v>775</v>
      </c>
      <c r="L920" s="34">
        <f>getSizeDiameter('RawData (GH)'!J920)</f>
        <v>83</v>
      </c>
      <c r="M920" s="34">
        <f>getSizeLength('RawData (GH)'!J920)</f>
        <v>137.80000000000001</v>
      </c>
    </row>
    <row r="921" spans="1:13" x14ac:dyDescent="0.25">
      <c r="A921" t="str">
        <f>'RawData (GH)'!A921</f>
        <v>Samyang 35mm T1.5 VDSLR AS UMC II für Micro-Four-Thirds schwarz</v>
      </c>
      <c r="B921" s="5">
        <f>getFocalLengthStart('RawData (GH)'!B921)</f>
        <v>35</v>
      </c>
      <c r="C921" s="5">
        <f>getFocalLengthEnd('RawData (GH)'!B921)</f>
        <v>35</v>
      </c>
      <c r="D921" s="9">
        <f>getApertureStart('RawData (GH)'!C921)</f>
        <v>1.5</v>
      </c>
      <c r="E921" s="9">
        <f>getApertureEnd('RawData (GH)'!C921)</f>
        <v>1.5</v>
      </c>
      <c r="F921" s="2">
        <f>getFiltersizeAsDouble('RawData (GH)'!D921)</f>
        <v>77</v>
      </c>
      <c r="G921" s="35">
        <f>getMagnification('RawData (GH)'!E921)</f>
        <v>0</v>
      </c>
      <c r="H921" s="62">
        <f>getMinimalFocus('RawData (GH)'!F921)</f>
        <v>0</v>
      </c>
      <c r="I921" t="str">
        <f>getMount('RawData (GH)'!G921)</f>
        <v>Micro-Four-Thirds</v>
      </c>
      <c r="J921" t="str">
        <f>getSensorCompatibility('RawData (GH)'!H921)</f>
        <v>Four-Thirds</v>
      </c>
      <c r="K921" s="45">
        <f>getWeightAsDouble('RawData (GH)'!I921)</f>
        <v>770</v>
      </c>
      <c r="L921" s="34">
        <f>getSizeDiameter('RawData (GH)'!J921)</f>
        <v>83</v>
      </c>
      <c r="M921" s="34">
        <f>getSizeLength('RawData (GH)'!J921)</f>
        <v>136.30000000000001</v>
      </c>
    </row>
    <row r="922" spans="1:13" x14ac:dyDescent="0.25">
      <c r="A922" t="str">
        <f>'RawData (GH)'!A922</f>
        <v>Samyang 35mm T1.5 VDSLR AS UMC II für Nikon F schwarz</v>
      </c>
      <c r="B922" s="5">
        <f>getFocalLengthStart('RawData (GH)'!B922)</f>
        <v>35</v>
      </c>
      <c r="C922" s="5">
        <f>getFocalLengthEnd('RawData (GH)'!B922)</f>
        <v>35</v>
      </c>
      <c r="D922" s="9">
        <f>getApertureStart('RawData (GH)'!C922)</f>
        <v>1.5</v>
      </c>
      <c r="E922" s="9">
        <f>getApertureEnd('RawData (GH)'!C922)</f>
        <v>1.5</v>
      </c>
      <c r="F922" s="2">
        <f>getFiltersizeAsDouble('RawData (GH)'!D922)</f>
        <v>77</v>
      </c>
      <c r="G922" s="35">
        <f>getMagnification('RawData (GH)'!E922)</f>
        <v>0</v>
      </c>
      <c r="H922" s="62">
        <f>getMinimalFocus('RawData (GH)'!F922)</f>
        <v>0</v>
      </c>
      <c r="I922" t="str">
        <f>getMount('RawData (GH)'!G922)</f>
        <v>Nikon F</v>
      </c>
      <c r="J922" t="str">
        <f>getSensorCompatibility('RawData (GH)'!H922)</f>
        <v>APS-C/ Kleinbild</v>
      </c>
      <c r="K922" s="45">
        <f>getWeightAsDouble('RawData (GH)'!I922)</f>
        <v>685</v>
      </c>
      <c r="L922" s="34">
        <f>getSizeDiameter('RawData (GH)'!J922)</f>
        <v>83</v>
      </c>
      <c r="M922" s="34">
        <f>getSizeLength('RawData (GH)'!J922)</f>
        <v>109</v>
      </c>
    </row>
    <row r="923" spans="1:13" x14ac:dyDescent="0.25">
      <c r="A923" t="str">
        <f>'RawData (GH)'!A923</f>
        <v>Samyang 35mm T1.5 VDSLR AS UMC II für Pentax K schwarz</v>
      </c>
      <c r="B923" s="5">
        <f>getFocalLengthStart('RawData (GH)'!B923)</f>
        <v>35</v>
      </c>
      <c r="C923" s="5">
        <f>getFocalLengthEnd('RawData (GH)'!B923)</f>
        <v>35</v>
      </c>
      <c r="D923" s="9">
        <f>getApertureStart('RawData (GH)'!C923)</f>
        <v>1.5</v>
      </c>
      <c r="E923" s="9">
        <f>getApertureEnd('RawData (GH)'!C923)</f>
        <v>1.5</v>
      </c>
      <c r="F923" s="2">
        <f>getFiltersizeAsDouble('RawData (GH)'!D923)</f>
        <v>77</v>
      </c>
      <c r="G923" s="35">
        <f>getMagnification('RawData (GH)'!E923)</f>
        <v>0</v>
      </c>
      <c r="H923" s="62">
        <f>getMinimalFocus('RawData (GH)'!F923)</f>
        <v>0</v>
      </c>
      <c r="I923" t="str">
        <f>getMount('RawData (GH)'!G923)</f>
        <v>Pentax K</v>
      </c>
      <c r="J923" t="str">
        <f>getSensorCompatibility('RawData (GH)'!H923)</f>
        <v>APS-C/ Kleinbild</v>
      </c>
      <c r="K923" s="45">
        <f>getWeightAsDouble('RawData (GH)'!I923)</f>
        <v>670</v>
      </c>
      <c r="L923" s="34">
        <f>getSizeDiameter('RawData (GH)'!J923)</f>
        <v>83</v>
      </c>
      <c r="M923" s="34">
        <f>getSizeLength('RawData (GH)'!J923)</f>
        <v>110</v>
      </c>
    </row>
    <row r="924" spans="1:13" x14ac:dyDescent="0.25">
      <c r="A924" t="str">
        <f>'RawData (GH)'!A924</f>
        <v>Samyang 35mm T1.5 VDSLR AS UMC II für Samsung NX schwarz</v>
      </c>
      <c r="B924" s="5">
        <f>getFocalLengthStart('RawData (GH)'!B924)</f>
        <v>35</v>
      </c>
      <c r="C924" s="5">
        <f>getFocalLengthEnd('RawData (GH)'!B924)</f>
        <v>35</v>
      </c>
      <c r="D924" s="9">
        <f>getApertureStart('RawData (GH)'!C924)</f>
        <v>1.5</v>
      </c>
      <c r="E924" s="9">
        <f>getApertureEnd('RawData (GH)'!C924)</f>
        <v>1.5</v>
      </c>
      <c r="F924" s="2">
        <f>getFiltersizeAsDouble('RawData (GH)'!D924)</f>
        <v>77</v>
      </c>
      <c r="G924" s="35">
        <f>getMagnification('RawData (GH)'!E924)</f>
        <v>0</v>
      </c>
      <c r="H924" s="62">
        <f>getMinimalFocus('RawData (GH)'!F924)</f>
        <v>0</v>
      </c>
      <c r="I924" t="str">
        <f>getMount('RawData (GH)'!G924)</f>
        <v>Samsung NX</v>
      </c>
      <c r="J924" t="str">
        <f>getSensorCompatibility('RawData (GH)'!H924)</f>
        <v>APS-C</v>
      </c>
      <c r="K924" s="45">
        <f>getWeightAsDouble('RawData (GH)'!I924)</f>
        <v>720</v>
      </c>
      <c r="L924" s="34">
        <f>getSizeDiameter('RawData (GH)'!J924)</f>
        <v>83</v>
      </c>
      <c r="M924" s="34">
        <f>getSizeLength('RawData (GH)'!J924)</f>
        <v>130</v>
      </c>
    </row>
    <row r="925" spans="1:13" x14ac:dyDescent="0.25">
      <c r="A925" t="str">
        <f>'RawData (GH)'!A925</f>
        <v>Samyang 35mm T1.5 VDSLR AS UMC II für Sony A schwarz</v>
      </c>
      <c r="B925" s="5">
        <f>getFocalLengthStart('RawData (GH)'!B925)</f>
        <v>35</v>
      </c>
      <c r="C925" s="5">
        <f>getFocalLengthEnd('RawData (GH)'!B925)</f>
        <v>35</v>
      </c>
      <c r="D925" s="9">
        <f>getApertureStart('RawData (GH)'!C925)</f>
        <v>1.5</v>
      </c>
      <c r="E925" s="9">
        <f>getApertureEnd('RawData (GH)'!C925)</f>
        <v>1.5</v>
      </c>
      <c r="F925" s="2">
        <f>getFiltersizeAsDouble('RawData (GH)'!D925)</f>
        <v>77</v>
      </c>
      <c r="G925" s="35">
        <f>getMagnification('RawData (GH)'!E925)</f>
        <v>0</v>
      </c>
      <c r="H925" s="62">
        <f>getMinimalFocus('RawData (GH)'!F925)</f>
        <v>0</v>
      </c>
      <c r="I925" t="str">
        <f>getMount('RawData (GH)'!G925)</f>
        <v>Sony A</v>
      </c>
      <c r="J925" t="str">
        <f>getSensorCompatibility('RawData (GH)'!H925)</f>
        <v>APS-C/ Kleinbild</v>
      </c>
      <c r="K925" s="45">
        <f>getWeightAsDouble('RawData (GH)'!I925)</f>
        <v>695</v>
      </c>
      <c r="L925" s="34">
        <f>getSizeDiameter('RawData (GH)'!J925)</f>
        <v>83</v>
      </c>
      <c r="M925" s="34">
        <f>getSizeLength('RawData (GH)'!J925)</f>
        <v>111</v>
      </c>
    </row>
    <row r="926" spans="1:13" x14ac:dyDescent="0.25">
      <c r="A926" t="str">
        <f>'RawData (GH)'!A926</f>
        <v>Samyang 35mm T1.5 VDSLR AS UMC II für Sony E schwarz</v>
      </c>
      <c r="B926" s="5">
        <f>getFocalLengthStart('RawData (GH)'!B926)</f>
        <v>35</v>
      </c>
      <c r="C926" s="5">
        <f>getFocalLengthEnd('RawData (GH)'!B926)</f>
        <v>35</v>
      </c>
      <c r="D926" s="9">
        <f>getApertureStart('RawData (GH)'!C926)</f>
        <v>1.5</v>
      </c>
      <c r="E926" s="9">
        <f>getApertureEnd('RawData (GH)'!C926)</f>
        <v>1.5</v>
      </c>
      <c r="F926" s="2">
        <f>getFiltersizeAsDouble('RawData (GH)'!D926)</f>
        <v>77</v>
      </c>
      <c r="G926" s="35">
        <f>getMagnification('RawData (GH)'!E926)</f>
        <v>0</v>
      </c>
      <c r="H926" s="62">
        <f>getMinimalFocus('RawData (GH)'!F926)</f>
        <v>0</v>
      </c>
      <c r="I926" t="str">
        <f>getMount('RawData (GH)'!G926)</f>
        <v>Sony E</v>
      </c>
      <c r="J926" t="str">
        <f>getSensorCompatibility('RawData (GH)'!H926)</f>
        <v>APS-C/ Kleinbild</v>
      </c>
      <c r="K926" s="45">
        <f>getWeightAsDouble('RawData (GH)'!I926)</f>
        <v>720</v>
      </c>
      <c r="L926" s="34">
        <f>getSizeDiameter('RawData (GH)'!J926)</f>
        <v>83</v>
      </c>
      <c r="M926" s="34">
        <f>getSizeLength('RawData (GH)'!J926)</f>
        <v>137.5</v>
      </c>
    </row>
    <row r="927" spans="1:13" x14ac:dyDescent="0.25">
      <c r="A927" t="str">
        <f>'RawData (GH)'!A927</f>
        <v>Samyang 500mm 8.0 IF MC Mirror schwarz</v>
      </c>
      <c r="B927" s="5">
        <f>getFocalLengthStart('RawData (GH)'!B927)</f>
        <v>500</v>
      </c>
      <c r="C927" s="5">
        <f>getFocalLengthEnd('RawData (GH)'!B927)</f>
        <v>500</v>
      </c>
      <c r="D927" s="9">
        <f>getApertureStart('RawData (GH)'!C927)</f>
        <v>8</v>
      </c>
      <c r="E927" s="9">
        <f>getApertureEnd('RawData (GH)'!C927)</f>
        <v>8</v>
      </c>
      <c r="F927" s="2">
        <f>getFiltersizeAsDouble('RawData (GH)'!D927)</f>
        <v>30.5</v>
      </c>
      <c r="G927" s="35">
        <f>getMagnification('RawData (GH)'!E927)</f>
        <v>0</v>
      </c>
      <c r="H927" s="62">
        <f>getMinimalFocus('RawData (GH)'!F927)</f>
        <v>0</v>
      </c>
      <c r="I927" t="str">
        <f>getMount('RawData (GH)'!G927)</f>
        <v>Unknown</v>
      </c>
      <c r="J927" t="str">
        <f>getSensorCompatibility('RawData (GH)'!H927)</f>
        <v>APS-C/ Kleinbild</v>
      </c>
      <c r="K927" s="45">
        <f>getWeightAsDouble('RawData (GH)'!I927)</f>
        <v>320</v>
      </c>
      <c r="L927" s="34">
        <f>getSizeDiameter('RawData (GH)'!J927)</f>
        <v>77</v>
      </c>
      <c r="M927" s="34">
        <f>getSizeLength('RawData (GH)'!J927)</f>
        <v>87.7</v>
      </c>
    </row>
    <row r="928" spans="1:13" x14ac:dyDescent="0.25">
      <c r="A928" t="str">
        <f>'RawData (GH)'!A928</f>
        <v>Samyang 500mm 8.0 Preset IF MC schwarz</v>
      </c>
      <c r="B928" s="5">
        <f>getFocalLengthStart('RawData (GH)'!B928)</f>
        <v>500</v>
      </c>
      <c r="C928" s="5">
        <f>getFocalLengthEnd('RawData (GH)'!B928)</f>
        <v>500</v>
      </c>
      <c r="D928" s="9">
        <f>getApertureStart('RawData (GH)'!C928)</f>
        <v>8</v>
      </c>
      <c r="E928" s="9">
        <f>getApertureEnd('RawData (GH)'!C928)</f>
        <v>8</v>
      </c>
      <c r="F928" s="2">
        <f>getFiltersizeAsDouble('RawData (GH)'!D928)</f>
        <v>67</v>
      </c>
      <c r="G928" s="35">
        <f>getMagnification('RawData (GH)'!E928)</f>
        <v>0</v>
      </c>
      <c r="H928" s="62">
        <f>getMinimalFocus('RawData (GH)'!F928)</f>
        <v>0</v>
      </c>
      <c r="I928" t="str">
        <f>getMount('RawData (GH)'!G928)</f>
        <v>Unknown</v>
      </c>
      <c r="J928" t="str">
        <f>getSensorCompatibility('RawData (GH)'!H928)</f>
        <v>APS-C/ Kleinbild</v>
      </c>
      <c r="K928" s="45">
        <f>getWeightAsDouble('RawData (GH)'!I928)</f>
        <v>640</v>
      </c>
      <c r="L928" s="34">
        <f>getSizeDiameter('RawData (GH)'!J928)</f>
        <v>70</v>
      </c>
      <c r="M928" s="34">
        <f>getSizeLength('RawData (GH)'!J928)</f>
        <v>298</v>
      </c>
    </row>
    <row r="929" spans="1:13" x14ac:dyDescent="0.25">
      <c r="A929" t="str">
        <f>'RawData (GH)'!A929</f>
        <v>Samyang 50mm 1.2 AS UMC CS für Canon EF-M schwarz</v>
      </c>
      <c r="B929" s="5">
        <f>getFocalLengthStart('RawData (GH)'!B929)</f>
        <v>50</v>
      </c>
      <c r="C929" s="5">
        <f>getFocalLengthEnd('RawData (GH)'!B929)</f>
        <v>50</v>
      </c>
      <c r="D929" s="9">
        <f>getApertureStart('RawData (GH)'!C929)</f>
        <v>1.2</v>
      </c>
      <c r="E929" s="9">
        <f>getApertureEnd('RawData (GH)'!C929)</f>
        <v>1.2</v>
      </c>
      <c r="F929" s="2">
        <f>getFiltersizeAsDouble('RawData (GH)'!D929)</f>
        <v>62</v>
      </c>
      <c r="G929" s="35">
        <f>getMagnification('RawData (GH)'!E929)</f>
        <v>0</v>
      </c>
      <c r="H929" s="62">
        <f>getMinimalFocus('RawData (GH)'!F929)</f>
        <v>0</v>
      </c>
      <c r="I929" t="str">
        <f>getMount('RawData (GH)'!G929)</f>
        <v>Canon EF-M</v>
      </c>
      <c r="J929" t="str">
        <f>getSensorCompatibility('RawData (GH)'!H929)</f>
        <v>APS-C</v>
      </c>
      <c r="K929" s="45">
        <f>getWeightAsDouble('RawData (GH)'!I929)</f>
        <v>385</v>
      </c>
      <c r="L929" s="34">
        <f>getSizeDiameter('RawData (GH)'!J929)</f>
        <v>67.5</v>
      </c>
      <c r="M929" s="34">
        <f>getSizeLength('RawData (GH)'!J929)</f>
        <v>74.099999999999994</v>
      </c>
    </row>
    <row r="930" spans="1:13" x14ac:dyDescent="0.25">
      <c r="A930" t="str">
        <f>'RawData (GH)'!A930</f>
        <v>Samyang 50mm 1.2 AS UMC CS für Canon EF-M silber</v>
      </c>
      <c r="B930" s="5">
        <f>getFocalLengthStart('RawData (GH)'!B930)</f>
        <v>50</v>
      </c>
      <c r="C930" s="5">
        <f>getFocalLengthEnd('RawData (GH)'!B930)</f>
        <v>50</v>
      </c>
      <c r="D930" s="9">
        <f>getApertureStart('RawData (GH)'!C930)</f>
        <v>1.2</v>
      </c>
      <c r="E930" s="9">
        <f>getApertureEnd('RawData (GH)'!C930)</f>
        <v>1.2</v>
      </c>
      <c r="F930" s="2">
        <f>getFiltersizeAsDouble('RawData (GH)'!D930)</f>
        <v>62</v>
      </c>
      <c r="G930" s="35">
        <f>getMagnification('RawData (GH)'!E930)</f>
        <v>0</v>
      </c>
      <c r="H930" s="62">
        <f>getMinimalFocus('RawData (GH)'!F930)</f>
        <v>0</v>
      </c>
      <c r="I930" t="str">
        <f>getMount('RawData (GH)'!G930)</f>
        <v>Canon EF-M</v>
      </c>
      <c r="J930" t="str">
        <f>getSensorCompatibility('RawData (GH)'!H930)</f>
        <v>APS-C</v>
      </c>
      <c r="K930" s="45">
        <f>getWeightAsDouble('RawData (GH)'!I930)</f>
        <v>385</v>
      </c>
      <c r="L930" s="34">
        <f>getSizeDiameter('RawData (GH)'!J930)</f>
        <v>67.5</v>
      </c>
      <c r="M930" s="34">
        <f>getSizeLength('RawData (GH)'!J930)</f>
        <v>74.099999999999994</v>
      </c>
    </row>
    <row r="931" spans="1:13" x14ac:dyDescent="0.25">
      <c r="A931" t="str">
        <f>'RawData (GH)'!A931</f>
        <v>Samyang 50mm 1.2 AS UMC CS für Fujifilm X schwarz</v>
      </c>
      <c r="B931" s="5">
        <f>getFocalLengthStart('RawData (GH)'!B931)</f>
        <v>50</v>
      </c>
      <c r="C931" s="5">
        <f>getFocalLengthEnd('RawData (GH)'!B931)</f>
        <v>50</v>
      </c>
      <c r="D931" s="9">
        <f>getApertureStart('RawData (GH)'!C931)</f>
        <v>1.2</v>
      </c>
      <c r="E931" s="9">
        <f>getApertureEnd('RawData (GH)'!C931)</f>
        <v>1.2</v>
      </c>
      <c r="F931" s="2">
        <f>getFiltersizeAsDouble('RawData (GH)'!D931)</f>
        <v>62</v>
      </c>
      <c r="G931" s="35">
        <f>getMagnification('RawData (GH)'!E931)</f>
        <v>0</v>
      </c>
      <c r="H931" s="62">
        <f>getMinimalFocus('RawData (GH)'!F931)</f>
        <v>0</v>
      </c>
      <c r="I931" t="str">
        <f>getMount('RawData (GH)'!G931)</f>
        <v>Fujifilm X</v>
      </c>
      <c r="J931" t="str">
        <f>getSensorCompatibility('RawData (GH)'!H931)</f>
        <v>APS-C</v>
      </c>
      <c r="K931" s="45">
        <f>getWeightAsDouble('RawData (GH)'!I931)</f>
        <v>380</v>
      </c>
      <c r="L931" s="34">
        <f>getSizeDiameter('RawData (GH)'!J931)</f>
        <v>67.5</v>
      </c>
      <c r="M931" s="34">
        <f>getSizeLength('RawData (GH)'!J931)</f>
        <v>74.5</v>
      </c>
    </row>
    <row r="932" spans="1:13" x14ac:dyDescent="0.25">
      <c r="A932" t="str">
        <f>'RawData (GH)'!A932</f>
        <v>Samyang 50mm 1.2 AS UMC CS für Fujifilm X silber</v>
      </c>
      <c r="B932" s="5">
        <f>getFocalLengthStart('RawData (GH)'!B932)</f>
        <v>50</v>
      </c>
      <c r="C932" s="5">
        <f>getFocalLengthEnd('RawData (GH)'!B932)</f>
        <v>50</v>
      </c>
      <c r="D932" s="9">
        <f>getApertureStart('RawData (GH)'!C932)</f>
        <v>1.2</v>
      </c>
      <c r="E932" s="9">
        <f>getApertureEnd('RawData (GH)'!C932)</f>
        <v>1.2</v>
      </c>
      <c r="F932" s="2">
        <f>getFiltersizeAsDouble('RawData (GH)'!D932)</f>
        <v>62</v>
      </c>
      <c r="G932" s="35">
        <f>getMagnification('RawData (GH)'!E932)</f>
        <v>0</v>
      </c>
      <c r="H932" s="62">
        <f>getMinimalFocus('RawData (GH)'!F932)</f>
        <v>0</v>
      </c>
      <c r="I932" t="str">
        <f>getMount('RawData (GH)'!G932)</f>
        <v>Fujifilm X</v>
      </c>
      <c r="J932" t="str">
        <f>getSensorCompatibility('RawData (GH)'!H932)</f>
        <v>APS-C</v>
      </c>
      <c r="K932" s="45">
        <f>getWeightAsDouble('RawData (GH)'!I932)</f>
        <v>380</v>
      </c>
      <c r="L932" s="34">
        <f>getSizeDiameter('RawData (GH)'!J932)</f>
        <v>67.5</v>
      </c>
      <c r="M932" s="34">
        <f>getSizeLength('RawData (GH)'!J932)</f>
        <v>74.5</v>
      </c>
    </row>
    <row r="933" spans="1:13" x14ac:dyDescent="0.25">
      <c r="A933" t="str">
        <f>'RawData (GH)'!A933</f>
        <v>Samyang 50mm 1.2 AS UMC CS für Micro-Four-Thirds schwarz</v>
      </c>
      <c r="B933" s="5">
        <f>getFocalLengthStart('RawData (GH)'!B933)</f>
        <v>50</v>
      </c>
      <c r="C933" s="5">
        <f>getFocalLengthEnd('RawData (GH)'!B933)</f>
        <v>50</v>
      </c>
      <c r="D933" s="9">
        <f>getApertureStart('RawData (GH)'!C933)</f>
        <v>1.2</v>
      </c>
      <c r="E933" s="9">
        <f>getApertureEnd('RawData (GH)'!C933)</f>
        <v>1.2</v>
      </c>
      <c r="F933" s="2">
        <f>getFiltersizeAsDouble('RawData (GH)'!D933)</f>
        <v>62</v>
      </c>
      <c r="G933" s="35">
        <f>getMagnification('RawData (GH)'!E933)</f>
        <v>0</v>
      </c>
      <c r="H933" s="62">
        <f>getMinimalFocus('RawData (GH)'!F933)</f>
        <v>0</v>
      </c>
      <c r="I933" t="str">
        <f>getMount('RawData (GH)'!G933)</f>
        <v>Micro-Four-Thirds</v>
      </c>
      <c r="J933" t="str">
        <f>getSensorCompatibility('RawData (GH)'!H933)</f>
        <v>Four-Thirds</v>
      </c>
      <c r="K933" s="45">
        <f>getWeightAsDouble('RawData (GH)'!I933)</f>
        <v>375</v>
      </c>
      <c r="L933" s="34">
        <f>getSizeDiameter('RawData (GH)'!J933)</f>
        <v>67.5</v>
      </c>
      <c r="M933" s="34">
        <f>getSizeLength('RawData (GH)'!J933)</f>
        <v>73</v>
      </c>
    </row>
    <row r="934" spans="1:13" x14ac:dyDescent="0.25">
      <c r="A934" t="str">
        <f>'RawData (GH)'!A934</f>
        <v>Samyang 50mm 1.2 AS UMC CS für Micro-Four-Thirds silber</v>
      </c>
      <c r="B934" s="5">
        <f>getFocalLengthStart('RawData (GH)'!B934)</f>
        <v>50</v>
      </c>
      <c r="C934" s="5">
        <f>getFocalLengthEnd('RawData (GH)'!B934)</f>
        <v>50</v>
      </c>
      <c r="D934" s="9">
        <f>getApertureStart('RawData (GH)'!C934)</f>
        <v>1.2</v>
      </c>
      <c r="E934" s="9">
        <f>getApertureEnd('RawData (GH)'!C934)</f>
        <v>1.2</v>
      </c>
      <c r="F934" s="2">
        <f>getFiltersizeAsDouble('RawData (GH)'!D934)</f>
        <v>62</v>
      </c>
      <c r="G934" s="35">
        <f>getMagnification('RawData (GH)'!E934)</f>
        <v>0</v>
      </c>
      <c r="H934" s="62">
        <f>getMinimalFocus('RawData (GH)'!F934)</f>
        <v>0</v>
      </c>
      <c r="I934" t="str">
        <f>getMount('RawData (GH)'!G934)</f>
        <v>Micro-Four-Thirds</v>
      </c>
      <c r="J934" t="str">
        <f>getSensorCompatibility('RawData (GH)'!H934)</f>
        <v>Four-Thirds</v>
      </c>
      <c r="K934" s="45">
        <f>getWeightAsDouble('RawData (GH)'!I934)</f>
        <v>375</v>
      </c>
      <c r="L934" s="34">
        <f>getSizeDiameter('RawData (GH)'!J934)</f>
        <v>67.5</v>
      </c>
      <c r="M934" s="34">
        <f>getSizeLength('RawData (GH)'!J934)</f>
        <v>73</v>
      </c>
    </row>
    <row r="935" spans="1:13" x14ac:dyDescent="0.25">
      <c r="A935" t="str">
        <f>'RawData (GH)'!A935</f>
        <v>Samyang 50mm 1.2 AS UMC CS für Sony E schwarz</v>
      </c>
      <c r="B935" s="5">
        <f>getFocalLengthStart('RawData (GH)'!B935)</f>
        <v>50</v>
      </c>
      <c r="C935" s="5">
        <f>getFocalLengthEnd('RawData (GH)'!B935)</f>
        <v>50</v>
      </c>
      <c r="D935" s="9">
        <f>getApertureStart('RawData (GH)'!C935)</f>
        <v>1.2</v>
      </c>
      <c r="E935" s="9">
        <f>getApertureEnd('RawData (GH)'!C935)</f>
        <v>1.2</v>
      </c>
      <c r="F935" s="2">
        <f>getFiltersizeAsDouble('RawData (GH)'!D935)</f>
        <v>62</v>
      </c>
      <c r="G935" s="35">
        <f>getMagnification('RawData (GH)'!E935)</f>
        <v>0</v>
      </c>
      <c r="H935" s="62">
        <f>getMinimalFocus('RawData (GH)'!F935)</f>
        <v>0</v>
      </c>
      <c r="I935" t="str">
        <f>getMount('RawData (GH)'!G935)</f>
        <v>Sony E</v>
      </c>
      <c r="J935" t="str">
        <f>getSensorCompatibility('RawData (GH)'!H935)</f>
        <v>APS-C</v>
      </c>
      <c r="K935" s="45">
        <f>getWeightAsDouble('RawData (GH)'!I935)</f>
        <v>385</v>
      </c>
      <c r="L935" s="34">
        <f>getSizeDiameter('RawData (GH)'!J935)</f>
        <v>67.5</v>
      </c>
      <c r="M935" s="34">
        <f>getSizeLength('RawData (GH)'!J935)</f>
        <v>74.2</v>
      </c>
    </row>
    <row r="936" spans="1:13" x14ac:dyDescent="0.25">
      <c r="A936" t="str">
        <f>'RawData (GH)'!A936</f>
        <v>Samyang 50mm 1.2 AS UMC CS für Sony E silber</v>
      </c>
      <c r="B936" s="5">
        <f>getFocalLengthStart('RawData (GH)'!B936)</f>
        <v>50</v>
      </c>
      <c r="C936" s="5">
        <f>getFocalLengthEnd('RawData (GH)'!B936)</f>
        <v>50</v>
      </c>
      <c r="D936" s="9">
        <f>getApertureStart('RawData (GH)'!C936)</f>
        <v>1.2</v>
      </c>
      <c r="E936" s="9">
        <f>getApertureEnd('RawData (GH)'!C936)</f>
        <v>1.2</v>
      </c>
      <c r="F936" s="2">
        <f>getFiltersizeAsDouble('RawData (GH)'!D936)</f>
        <v>62</v>
      </c>
      <c r="G936" s="35">
        <f>getMagnification('RawData (GH)'!E936)</f>
        <v>0</v>
      </c>
      <c r="H936" s="62">
        <f>getMinimalFocus('RawData (GH)'!F936)</f>
        <v>0</v>
      </c>
      <c r="I936" t="str">
        <f>getMount('RawData (GH)'!G936)</f>
        <v>Sony E</v>
      </c>
      <c r="J936" t="str">
        <f>getSensorCompatibility('RawData (GH)'!H936)</f>
        <v>APS-C</v>
      </c>
      <c r="K936" s="45">
        <f>getWeightAsDouble('RawData (GH)'!I936)</f>
        <v>385</v>
      </c>
      <c r="L936" s="34">
        <f>getSizeDiameter('RawData (GH)'!J936)</f>
        <v>67.5</v>
      </c>
      <c r="M936" s="34">
        <f>getSizeLength('RawData (GH)'!J936)</f>
        <v>74.2</v>
      </c>
    </row>
    <row r="937" spans="1:13" x14ac:dyDescent="0.25">
      <c r="A937" t="str">
        <f>'RawData (GH)'!A937</f>
        <v>Samyang 50mm 1.4 AS UMC für Canon EF schwarz</v>
      </c>
      <c r="B937" s="5">
        <f>getFocalLengthStart('RawData (GH)'!B937)</f>
        <v>50</v>
      </c>
      <c r="C937" s="5">
        <f>getFocalLengthEnd('RawData (GH)'!B937)</f>
        <v>50</v>
      </c>
      <c r="D937" s="9">
        <f>getApertureStart('RawData (GH)'!C937)</f>
        <v>1.4</v>
      </c>
      <c r="E937" s="9">
        <f>getApertureEnd('RawData (GH)'!C937)</f>
        <v>1.4</v>
      </c>
      <c r="F937" s="2">
        <f>getFiltersizeAsDouble('RawData (GH)'!D937)</f>
        <v>77</v>
      </c>
      <c r="G937" s="35">
        <f>getMagnification('RawData (GH)'!E937)</f>
        <v>0</v>
      </c>
      <c r="H937" s="62">
        <f>getMinimalFocus('RawData (GH)'!F937)</f>
        <v>0</v>
      </c>
      <c r="I937" t="str">
        <f>getMount('RawData (GH)'!G937)</f>
        <v>Canon EF</v>
      </c>
      <c r="J937" t="str">
        <f>getSensorCompatibility('RawData (GH)'!H937)</f>
        <v>APS-C/ Kleinbild</v>
      </c>
      <c r="K937" s="45">
        <f>getWeightAsDouble('RawData (GH)'!I937)</f>
        <v>535</v>
      </c>
      <c r="L937" s="34">
        <f>getSizeDiameter('RawData (GH)'!J937)</f>
        <v>81.599999999999994</v>
      </c>
      <c r="M937" s="34">
        <f>getSizeLength('RawData (GH)'!J937)</f>
        <v>74.7</v>
      </c>
    </row>
    <row r="938" spans="1:13" x14ac:dyDescent="0.25">
      <c r="A938" t="str">
        <f>'RawData (GH)'!A938</f>
        <v>Samyang 50mm 1.4 AS UMC für Canon EF-M schwarz</v>
      </c>
      <c r="B938" s="5">
        <f>getFocalLengthStart('RawData (GH)'!B938)</f>
        <v>50</v>
      </c>
      <c r="C938" s="5">
        <f>getFocalLengthEnd('RawData (GH)'!B938)</f>
        <v>50</v>
      </c>
      <c r="D938" s="9">
        <f>getApertureStart('RawData (GH)'!C938)</f>
        <v>1.4</v>
      </c>
      <c r="E938" s="9">
        <f>getApertureEnd('RawData (GH)'!C938)</f>
        <v>1.4</v>
      </c>
      <c r="F938" s="2">
        <f>getFiltersizeAsDouble('RawData (GH)'!D938)</f>
        <v>77</v>
      </c>
      <c r="G938" s="35">
        <f>getMagnification('RawData (GH)'!E938)</f>
        <v>0</v>
      </c>
      <c r="H938" s="62">
        <f>getMinimalFocus('RawData (GH)'!F938)</f>
        <v>0</v>
      </c>
      <c r="I938" t="str">
        <f>getMount('RawData (GH)'!G938)</f>
        <v>Canon EF-M</v>
      </c>
      <c r="J938" t="str">
        <f>getSensorCompatibility('RawData (GH)'!H938)</f>
        <v>APS-C</v>
      </c>
      <c r="K938" s="45">
        <f>getWeightAsDouble('RawData (GH)'!I938)</f>
        <v>600</v>
      </c>
      <c r="L938" s="34">
        <f>getSizeDiameter('RawData (GH)'!J938)</f>
        <v>81.599999999999994</v>
      </c>
      <c r="M938" s="34">
        <f>getSizeLength('RawData (GH)'!J938)</f>
        <v>100.6</v>
      </c>
    </row>
    <row r="939" spans="1:13" x14ac:dyDescent="0.25">
      <c r="A939" t="str">
        <f>'RawData (GH)'!A939</f>
        <v>Samyang 50mm 1.4 AS UMC für Four-Thirds schwarz</v>
      </c>
      <c r="B939" s="5">
        <f>getFocalLengthStart('RawData (GH)'!B939)</f>
        <v>50</v>
      </c>
      <c r="C939" s="5">
        <f>getFocalLengthEnd('RawData (GH)'!B939)</f>
        <v>50</v>
      </c>
      <c r="D939" s="9">
        <f>getApertureStart('RawData (GH)'!C939)</f>
        <v>1.4</v>
      </c>
      <c r="E939" s="9">
        <f>getApertureEnd('RawData (GH)'!C939)</f>
        <v>1.4</v>
      </c>
      <c r="F939" s="2">
        <f>getFiltersizeAsDouble('RawData (GH)'!D939)</f>
        <v>77</v>
      </c>
      <c r="G939" s="35">
        <f>getMagnification('RawData (GH)'!E939)</f>
        <v>0</v>
      </c>
      <c r="H939" s="62">
        <f>getMinimalFocus('RawData (GH)'!F939)</f>
        <v>0</v>
      </c>
      <c r="I939" t="str">
        <f>getMount('RawData (GH)'!G939)</f>
        <v>Four-Thirds</v>
      </c>
      <c r="J939" t="str">
        <f>getSensorCompatibility('RawData (GH)'!H939)</f>
        <v>Four-Thirds</v>
      </c>
      <c r="K939" s="45">
        <f>getWeightAsDouble('RawData (GH)'!I939)</f>
        <v>545</v>
      </c>
      <c r="L939" s="34">
        <f>getSizeDiameter('RawData (GH)'!J939)</f>
        <v>81.599999999999994</v>
      </c>
      <c r="M939" s="34">
        <f>getSizeLength('RawData (GH)'!J939)</f>
        <v>80</v>
      </c>
    </row>
    <row r="940" spans="1:13" x14ac:dyDescent="0.25">
      <c r="A940" t="str">
        <f>'RawData (GH)'!A940</f>
        <v>Samyang 50mm 1.4 AS UMC für Fujifilm X schwarz</v>
      </c>
      <c r="B940" s="5">
        <f>getFocalLengthStart('RawData (GH)'!B940)</f>
        <v>50</v>
      </c>
      <c r="C940" s="5">
        <f>getFocalLengthEnd('RawData (GH)'!B940)</f>
        <v>50</v>
      </c>
      <c r="D940" s="9">
        <f>getApertureStart('RawData (GH)'!C940)</f>
        <v>1.4</v>
      </c>
      <c r="E940" s="9">
        <f>getApertureEnd('RawData (GH)'!C940)</f>
        <v>1.4</v>
      </c>
      <c r="F940" s="2">
        <f>getFiltersizeAsDouble('RawData (GH)'!D940)</f>
        <v>77</v>
      </c>
      <c r="G940" s="35">
        <f>getMagnification('RawData (GH)'!E940)</f>
        <v>0</v>
      </c>
      <c r="H940" s="62">
        <f>getMinimalFocus('RawData (GH)'!F940)</f>
        <v>0</v>
      </c>
      <c r="I940" t="str">
        <f>getMount('RawData (GH)'!G940)</f>
        <v>Fujifilm X</v>
      </c>
      <c r="J940" t="str">
        <f>getSensorCompatibility('RawData (GH)'!H940)</f>
        <v>APS-C</v>
      </c>
      <c r="K940" s="45">
        <f>getWeightAsDouble('RawData (GH)'!I940)</f>
        <v>605</v>
      </c>
      <c r="L940" s="34">
        <f>getSizeDiameter('RawData (GH)'!J940)</f>
        <v>81.599999999999994</v>
      </c>
      <c r="M940" s="34">
        <f>getSizeLength('RawData (GH)'!J940)</f>
        <v>101</v>
      </c>
    </row>
    <row r="941" spans="1:13" x14ac:dyDescent="0.25">
      <c r="A941" t="str">
        <f>'RawData (GH)'!A941</f>
        <v>Samyang 50mm 1.4 AS UMC für Micro-Four-Thirds schwarz</v>
      </c>
      <c r="B941" s="5">
        <f>getFocalLengthStart('RawData (GH)'!B941)</f>
        <v>50</v>
      </c>
      <c r="C941" s="5">
        <f>getFocalLengthEnd('RawData (GH)'!B941)</f>
        <v>50</v>
      </c>
      <c r="D941" s="9">
        <f>getApertureStart('RawData (GH)'!C941)</f>
        <v>1.4</v>
      </c>
      <c r="E941" s="9">
        <f>getApertureEnd('RawData (GH)'!C941)</f>
        <v>1.4</v>
      </c>
      <c r="F941" s="2">
        <f>getFiltersizeAsDouble('RawData (GH)'!D941)</f>
        <v>77</v>
      </c>
      <c r="G941" s="35">
        <f>getMagnification('RawData (GH)'!E941)</f>
        <v>0</v>
      </c>
      <c r="H941" s="62">
        <f>getMinimalFocus('RawData (GH)'!F941)</f>
        <v>0</v>
      </c>
      <c r="I941" t="str">
        <f>getMount('RawData (GH)'!G941)</f>
        <v>Micro-Four-Thirds</v>
      </c>
      <c r="J941" t="str">
        <f>getSensorCompatibility('RawData (GH)'!H941)</f>
        <v>Four-Thirds</v>
      </c>
      <c r="K941" s="45">
        <f>getWeightAsDouble('RawData (GH)'!I941)</f>
        <v>555</v>
      </c>
      <c r="L941" s="34">
        <f>getSizeDiameter('RawData (GH)'!J941)</f>
        <v>81.599999999999994</v>
      </c>
      <c r="M941" s="34">
        <f>getSizeLength('RawData (GH)'!J941)</f>
        <v>99.5</v>
      </c>
    </row>
    <row r="942" spans="1:13" x14ac:dyDescent="0.25">
      <c r="A942" t="str">
        <f>'RawData (GH)'!A942</f>
        <v>Samyang 50mm 1.4 AS UMC für Nikon F schwarz</v>
      </c>
      <c r="B942" s="5">
        <f>getFocalLengthStart('RawData (GH)'!B942)</f>
        <v>50</v>
      </c>
      <c r="C942" s="5">
        <f>getFocalLengthEnd('RawData (GH)'!B942)</f>
        <v>50</v>
      </c>
      <c r="D942" s="9">
        <f>getApertureStart('RawData (GH)'!C942)</f>
        <v>1.4</v>
      </c>
      <c r="E942" s="9">
        <f>getApertureEnd('RawData (GH)'!C942)</f>
        <v>1.4</v>
      </c>
      <c r="F942" s="2">
        <f>getFiltersizeAsDouble('RawData (GH)'!D942)</f>
        <v>77</v>
      </c>
      <c r="G942" s="35">
        <f>getMagnification('RawData (GH)'!E942)</f>
        <v>0</v>
      </c>
      <c r="H942" s="62">
        <f>getMinimalFocus('RawData (GH)'!F942)</f>
        <v>0</v>
      </c>
      <c r="I942" t="str">
        <f>getMount('RawData (GH)'!G942)</f>
        <v>Nikon F</v>
      </c>
      <c r="J942" t="str">
        <f>getSensorCompatibility('RawData (GH)'!H942)</f>
        <v>APS-C/ Kleinbild</v>
      </c>
      <c r="K942" s="45">
        <f>getWeightAsDouble('RawData (GH)'!I942)</f>
        <v>520</v>
      </c>
      <c r="L942" s="34">
        <f>getSizeDiameter('RawData (GH)'!J942)</f>
        <v>81.599999999999994</v>
      </c>
      <c r="M942" s="34">
        <f>getSizeLength('RawData (GH)'!J942)</f>
        <v>72.2</v>
      </c>
    </row>
    <row r="943" spans="1:13" x14ac:dyDescent="0.25">
      <c r="A943" t="str">
        <f>'RawData (GH)'!A943</f>
        <v>Samyang 50mm 1.4 AS UMC für Pentax K schwarz</v>
      </c>
      <c r="B943" s="5">
        <f>getFocalLengthStart('RawData (GH)'!B943)</f>
        <v>50</v>
      </c>
      <c r="C943" s="5">
        <f>getFocalLengthEnd('RawData (GH)'!B943)</f>
        <v>50</v>
      </c>
      <c r="D943" s="9">
        <f>getApertureStart('RawData (GH)'!C943)</f>
        <v>1.4</v>
      </c>
      <c r="E943" s="9">
        <f>getApertureEnd('RawData (GH)'!C943)</f>
        <v>1.4</v>
      </c>
      <c r="F943" s="2">
        <f>getFiltersizeAsDouble('RawData (GH)'!D943)</f>
        <v>77</v>
      </c>
      <c r="G943" s="35">
        <f>getMagnification('RawData (GH)'!E943)</f>
        <v>0</v>
      </c>
      <c r="H943" s="62">
        <f>getMinimalFocus('RawData (GH)'!F943)</f>
        <v>0</v>
      </c>
      <c r="I943" t="str">
        <f>getMount('RawData (GH)'!G943)</f>
        <v>Pentax K</v>
      </c>
      <c r="J943" t="str">
        <f>getSensorCompatibility('RawData (GH)'!H943)</f>
        <v>APS-C/ Kleinbild</v>
      </c>
      <c r="K943" s="45">
        <f>getWeightAsDouble('RawData (GH)'!I943)</f>
        <v>510</v>
      </c>
      <c r="L943" s="34">
        <f>getSizeDiameter('RawData (GH)'!J943)</f>
        <v>81.599999999999994</v>
      </c>
      <c r="M943" s="34">
        <f>getSizeLength('RawData (GH)'!J943)</f>
        <v>73.2</v>
      </c>
    </row>
    <row r="944" spans="1:13" x14ac:dyDescent="0.25">
      <c r="A944" t="str">
        <f>'RawData (GH)'!A944</f>
        <v>Samyang 50mm 1.4 AS UMC für Samsung NX schwarz</v>
      </c>
      <c r="B944" s="5">
        <f>getFocalLengthStart('RawData (GH)'!B944)</f>
        <v>50</v>
      </c>
      <c r="C944" s="5">
        <f>getFocalLengthEnd('RawData (GH)'!B944)</f>
        <v>50</v>
      </c>
      <c r="D944" s="9">
        <f>getApertureStart('RawData (GH)'!C944)</f>
        <v>1.4</v>
      </c>
      <c r="E944" s="9">
        <f>getApertureEnd('RawData (GH)'!C944)</f>
        <v>1.4</v>
      </c>
      <c r="F944" s="2">
        <f>getFiltersizeAsDouble('RawData (GH)'!D944)</f>
        <v>77</v>
      </c>
      <c r="G944" s="35">
        <f>getMagnification('RawData (GH)'!E944)</f>
        <v>0</v>
      </c>
      <c r="H944" s="62">
        <f>getMinimalFocus('RawData (GH)'!F944)</f>
        <v>0</v>
      </c>
      <c r="I944" t="str">
        <f>getMount('RawData (GH)'!G944)</f>
        <v>Samsung NX</v>
      </c>
      <c r="J944" t="str">
        <f>getSensorCompatibility('RawData (GH)'!H944)</f>
        <v>APS-C</v>
      </c>
      <c r="K944" s="45">
        <f>getWeightAsDouble('RawData (GH)'!I944)</f>
        <v>555</v>
      </c>
      <c r="L944" s="34">
        <f>getSizeDiameter('RawData (GH)'!J944)</f>
        <v>81.599999999999994</v>
      </c>
      <c r="M944" s="34">
        <f>getSizeLength('RawData (GH)'!J944)</f>
        <v>93.2</v>
      </c>
    </row>
    <row r="945" spans="1:13" x14ac:dyDescent="0.25">
      <c r="A945" t="str">
        <f>'RawData (GH)'!A945</f>
        <v>Samyang 50mm 1.4 AS UMC für Sony A schwarz</v>
      </c>
      <c r="B945" s="5">
        <f>getFocalLengthStart('RawData (GH)'!B945)</f>
        <v>50</v>
      </c>
      <c r="C945" s="5">
        <f>getFocalLengthEnd('RawData (GH)'!B945)</f>
        <v>50</v>
      </c>
      <c r="D945" s="9">
        <f>getApertureStart('RawData (GH)'!C945)</f>
        <v>1.4</v>
      </c>
      <c r="E945" s="9">
        <f>getApertureEnd('RawData (GH)'!C945)</f>
        <v>1.4</v>
      </c>
      <c r="F945" s="2">
        <f>getFiltersizeAsDouble('RawData (GH)'!D945)</f>
        <v>77</v>
      </c>
      <c r="G945" s="35">
        <f>getMagnification('RawData (GH)'!E945)</f>
        <v>0</v>
      </c>
      <c r="H945" s="62">
        <f>getMinimalFocus('RawData (GH)'!F945)</f>
        <v>0</v>
      </c>
      <c r="I945" t="str">
        <f>getMount('RawData (GH)'!G945)</f>
        <v>Sony A</v>
      </c>
      <c r="J945" t="str">
        <f>getSensorCompatibility('RawData (GH)'!H945)</f>
        <v>APS-C/ Kleinbild</v>
      </c>
      <c r="K945" s="45">
        <f>getWeightAsDouble('RawData (GH)'!I945)</f>
        <v>530</v>
      </c>
      <c r="L945" s="34">
        <f>getSizeDiameter('RawData (GH)'!J945)</f>
        <v>81.599999999999994</v>
      </c>
      <c r="M945" s="34">
        <f>getSizeLength('RawData (GH)'!J945)</f>
        <v>74.2</v>
      </c>
    </row>
    <row r="946" spans="1:13" x14ac:dyDescent="0.25">
      <c r="A946" t="str">
        <f>'RawData (GH)'!A946</f>
        <v>Samyang 50mm 1.4 AS UMC für Sony E schwarz</v>
      </c>
      <c r="B946" s="5">
        <f>getFocalLengthStart('RawData (GH)'!B946)</f>
        <v>50</v>
      </c>
      <c r="C946" s="5">
        <f>getFocalLengthEnd('RawData (GH)'!B946)</f>
        <v>50</v>
      </c>
      <c r="D946" s="9">
        <f>getApertureStart('RawData (GH)'!C946)</f>
        <v>1.4</v>
      </c>
      <c r="E946" s="9">
        <f>getApertureEnd('RawData (GH)'!C946)</f>
        <v>1.4</v>
      </c>
      <c r="F946" s="2">
        <f>getFiltersizeAsDouble('RawData (GH)'!D946)</f>
        <v>77</v>
      </c>
      <c r="G946" s="35">
        <f>getMagnification('RawData (GH)'!E946)</f>
        <v>0</v>
      </c>
      <c r="H946" s="62">
        <f>getMinimalFocus('RawData (GH)'!F946)</f>
        <v>0</v>
      </c>
      <c r="I946" t="str">
        <f>getMount('RawData (GH)'!G946)</f>
        <v>Sony E</v>
      </c>
      <c r="J946" t="str">
        <f>getSensorCompatibility('RawData (GH)'!H946)</f>
        <v>APS-C/ Kleinbild</v>
      </c>
      <c r="K946" s="45">
        <f>getWeightAsDouble('RawData (GH)'!I946)</f>
        <v>565</v>
      </c>
      <c r="L946" s="34">
        <f>getSizeDiameter('RawData (GH)'!J946)</f>
        <v>81.599999999999994</v>
      </c>
      <c r="M946" s="34">
        <f>getSizeLength('RawData (GH)'!J946)</f>
        <v>100.7</v>
      </c>
    </row>
    <row r="947" spans="1:13" x14ac:dyDescent="0.25">
      <c r="A947" t="str">
        <f>'RawData (GH)'!A947</f>
        <v>Samyang 50mm T1.3 AS UMC CS für Canon EF-M schwarz</v>
      </c>
      <c r="B947" s="5">
        <f>getFocalLengthStart('RawData (GH)'!B947)</f>
        <v>50</v>
      </c>
      <c r="C947" s="5">
        <f>getFocalLengthEnd('RawData (GH)'!B947)</f>
        <v>50</v>
      </c>
      <c r="D947" s="9">
        <f>getApertureStart('RawData (GH)'!C947)</f>
        <v>1.3</v>
      </c>
      <c r="E947" s="9">
        <f>getApertureEnd('RawData (GH)'!C947)</f>
        <v>1.3</v>
      </c>
      <c r="F947" s="2">
        <f>getFiltersizeAsDouble('RawData (GH)'!D947)</f>
        <v>62</v>
      </c>
      <c r="G947" s="35">
        <f>getMagnification('RawData (GH)'!E947)</f>
        <v>0</v>
      </c>
      <c r="H947" s="62">
        <f>getMinimalFocus('RawData (GH)'!F947)</f>
        <v>0</v>
      </c>
      <c r="I947" t="str">
        <f>getMount('RawData (GH)'!G947)</f>
        <v>Canon EF-M</v>
      </c>
      <c r="J947" t="str">
        <f>getSensorCompatibility('RawData (GH)'!H947)</f>
        <v>APS-C</v>
      </c>
      <c r="K947" s="45">
        <f>getWeightAsDouble('RawData (GH)'!I947)</f>
        <v>400</v>
      </c>
      <c r="L947" s="34">
        <f>getSizeDiameter('RawData (GH)'!J947)</f>
        <v>73.599999999999994</v>
      </c>
      <c r="M947" s="34">
        <f>getSizeLength('RawData (GH)'!J947)</f>
        <v>74.099999999999994</v>
      </c>
    </row>
    <row r="948" spans="1:13" x14ac:dyDescent="0.25">
      <c r="A948" t="str">
        <f>'RawData (GH)'!A948</f>
        <v>Samyang 50mm T1.3 AS UMC CS für Fujifilm X schwarz</v>
      </c>
      <c r="B948" s="5">
        <f>getFocalLengthStart('RawData (GH)'!B948)</f>
        <v>50</v>
      </c>
      <c r="C948" s="5">
        <f>getFocalLengthEnd('RawData (GH)'!B948)</f>
        <v>50</v>
      </c>
      <c r="D948" s="9">
        <f>getApertureStart('RawData (GH)'!C948)</f>
        <v>1.3</v>
      </c>
      <c r="E948" s="9">
        <f>getApertureEnd('RawData (GH)'!C948)</f>
        <v>1.3</v>
      </c>
      <c r="F948" s="2">
        <f>getFiltersizeAsDouble('RawData (GH)'!D948)</f>
        <v>62</v>
      </c>
      <c r="G948" s="35">
        <f>getMagnification('RawData (GH)'!E948)</f>
        <v>0</v>
      </c>
      <c r="H948" s="62">
        <f>getMinimalFocus('RawData (GH)'!F948)</f>
        <v>0</v>
      </c>
      <c r="I948" t="str">
        <f>getMount('RawData (GH)'!G948)</f>
        <v>Fujifilm X</v>
      </c>
      <c r="J948" t="str">
        <f>getSensorCompatibility('RawData (GH)'!H948)</f>
        <v>APS-C</v>
      </c>
      <c r="K948" s="45">
        <f>getWeightAsDouble('RawData (GH)'!I948)</f>
        <v>390</v>
      </c>
      <c r="L948" s="34">
        <f>getSizeDiameter('RawData (GH)'!J948)</f>
        <v>73.599999999999994</v>
      </c>
      <c r="M948" s="34">
        <f>getSizeLength('RawData (GH)'!J948)</f>
        <v>74.5</v>
      </c>
    </row>
    <row r="949" spans="1:13" x14ac:dyDescent="0.25">
      <c r="A949" t="str">
        <f>'RawData (GH)'!A949</f>
        <v>Samyang 50mm T1.3 AS UMC CS für Micro-Four-Thirds schwarz</v>
      </c>
      <c r="B949" s="5">
        <f>getFocalLengthStart('RawData (GH)'!B949)</f>
        <v>50</v>
      </c>
      <c r="C949" s="5">
        <f>getFocalLengthEnd('RawData (GH)'!B949)</f>
        <v>50</v>
      </c>
      <c r="D949" s="9">
        <f>getApertureStart('RawData (GH)'!C949)</f>
        <v>1.3</v>
      </c>
      <c r="E949" s="9">
        <f>getApertureEnd('RawData (GH)'!C949)</f>
        <v>1.3</v>
      </c>
      <c r="F949" s="2">
        <f>getFiltersizeAsDouble('RawData (GH)'!D949)</f>
        <v>62</v>
      </c>
      <c r="G949" s="35">
        <f>getMagnification('RawData (GH)'!E949)</f>
        <v>0</v>
      </c>
      <c r="H949" s="62">
        <f>getMinimalFocus('RawData (GH)'!F949)</f>
        <v>0</v>
      </c>
      <c r="I949" t="str">
        <f>getMount('RawData (GH)'!G949)</f>
        <v>Micro-Four-Thirds</v>
      </c>
      <c r="J949" t="str">
        <f>getSensorCompatibility('RawData (GH)'!H949)</f>
        <v>Four-Thirds</v>
      </c>
      <c r="K949" s="45">
        <f>getWeightAsDouble('RawData (GH)'!I949)</f>
        <v>385</v>
      </c>
      <c r="L949" s="34">
        <f>getSizeDiameter('RawData (GH)'!J949)</f>
        <v>73.599999999999994</v>
      </c>
      <c r="M949" s="34">
        <f>getSizeLength('RawData (GH)'!J949)</f>
        <v>73</v>
      </c>
    </row>
    <row r="950" spans="1:13" x14ac:dyDescent="0.25">
      <c r="A950" t="str">
        <f>'RawData (GH)'!A950</f>
        <v>Samyang 50mm T1.3 AS UMC CS für Sony E schwarz</v>
      </c>
      <c r="B950" s="5">
        <f>getFocalLengthStart('RawData (GH)'!B950)</f>
        <v>50</v>
      </c>
      <c r="C950" s="5">
        <f>getFocalLengthEnd('RawData (GH)'!B950)</f>
        <v>50</v>
      </c>
      <c r="D950" s="9">
        <f>getApertureStart('RawData (GH)'!C950)</f>
        <v>1.3</v>
      </c>
      <c r="E950" s="9">
        <f>getApertureEnd('RawData (GH)'!C950)</f>
        <v>1.3</v>
      </c>
      <c r="F950" s="2">
        <f>getFiltersizeAsDouble('RawData (GH)'!D950)</f>
        <v>62</v>
      </c>
      <c r="G950" s="35">
        <f>getMagnification('RawData (GH)'!E950)</f>
        <v>0</v>
      </c>
      <c r="H950" s="62">
        <f>getMinimalFocus('RawData (GH)'!F950)</f>
        <v>0</v>
      </c>
      <c r="I950" t="str">
        <f>getMount('RawData (GH)'!G950)</f>
        <v>Sony E</v>
      </c>
      <c r="J950" t="str">
        <f>getSensorCompatibility('RawData (GH)'!H950)</f>
        <v>APS-C</v>
      </c>
      <c r="K950" s="45">
        <f>getWeightAsDouble('RawData (GH)'!I950)</f>
        <v>400</v>
      </c>
      <c r="L950" s="34">
        <f>getSizeDiameter('RawData (GH)'!J950)</f>
        <v>73.599999999999994</v>
      </c>
      <c r="M950" s="34">
        <f>getSizeLength('RawData (GH)'!J950)</f>
        <v>74.2</v>
      </c>
    </row>
    <row r="951" spans="1:13" x14ac:dyDescent="0.25">
      <c r="A951" t="str">
        <f>'RawData (GH)'!A951</f>
        <v>Samyang 50mm T1.5 AS UMC VDSLR für Canon EF schwarz</v>
      </c>
      <c r="B951" s="5">
        <f>getFocalLengthStart('RawData (GH)'!B951)</f>
        <v>50</v>
      </c>
      <c r="C951" s="5">
        <f>getFocalLengthEnd('RawData (GH)'!B951)</f>
        <v>50</v>
      </c>
      <c r="D951" s="9">
        <f>getApertureStart('RawData (GH)'!C951)</f>
        <v>1.5</v>
      </c>
      <c r="E951" s="9">
        <f>getApertureEnd('RawData (GH)'!C951)</f>
        <v>1.5</v>
      </c>
      <c r="F951" s="2">
        <f>getFiltersizeAsDouble('RawData (GH)'!D951)</f>
        <v>77</v>
      </c>
      <c r="G951" s="35">
        <f>getMagnification('RawData (GH)'!E951)</f>
        <v>0</v>
      </c>
      <c r="H951" s="62">
        <f>getMinimalFocus('RawData (GH)'!F951)</f>
        <v>0</v>
      </c>
      <c r="I951" t="str">
        <f>getMount('RawData (GH)'!G951)</f>
        <v>Canon EF</v>
      </c>
      <c r="J951" t="str">
        <f>getSensorCompatibility('RawData (GH)'!H951)</f>
        <v>APS-C/ Kleinbild</v>
      </c>
      <c r="K951" s="45">
        <f>getWeightAsDouble('RawData (GH)'!I951)</f>
        <v>575</v>
      </c>
      <c r="L951" s="34">
        <f>getSizeDiameter('RawData (GH)'!J951)</f>
        <v>81.599999999999994</v>
      </c>
      <c r="M951" s="34">
        <f>getSizeLength('RawData (GH)'!J951)</f>
        <v>74.7</v>
      </c>
    </row>
    <row r="952" spans="1:13" x14ac:dyDescent="0.25">
      <c r="A952" t="str">
        <f>'RawData (GH)'!A952</f>
        <v>Samyang 50mm T1.5 AS UMC VDSLR für Four-Thirds schwarz</v>
      </c>
      <c r="B952" s="5">
        <f>getFocalLengthStart('RawData (GH)'!B952)</f>
        <v>50</v>
      </c>
      <c r="C952" s="5">
        <f>getFocalLengthEnd('RawData (GH)'!B952)</f>
        <v>50</v>
      </c>
      <c r="D952" s="9">
        <f>getApertureStart('RawData (GH)'!C952)</f>
        <v>1.5</v>
      </c>
      <c r="E952" s="9">
        <f>getApertureEnd('RawData (GH)'!C952)</f>
        <v>1.5</v>
      </c>
      <c r="F952" s="2">
        <f>getFiltersizeAsDouble('RawData (GH)'!D952)</f>
        <v>77</v>
      </c>
      <c r="G952" s="35">
        <f>getMagnification('RawData (GH)'!E952)</f>
        <v>0</v>
      </c>
      <c r="H952" s="62">
        <f>getMinimalFocus('RawData (GH)'!F952)</f>
        <v>0</v>
      </c>
      <c r="I952" t="str">
        <f>getMount('RawData (GH)'!G952)</f>
        <v>Four-Thirds</v>
      </c>
      <c r="J952" t="str">
        <f>getSensorCompatibility('RawData (GH)'!H952)</f>
        <v>Four-Thirds</v>
      </c>
      <c r="K952" s="45">
        <f>getWeightAsDouble('RawData (GH)'!I952)</f>
        <v>580</v>
      </c>
      <c r="L952" s="34">
        <f>getSizeDiameter('RawData (GH)'!J952)</f>
        <v>81.599999999999994</v>
      </c>
      <c r="M952" s="34">
        <f>getSizeLength('RawData (GH)'!J952)</f>
        <v>80</v>
      </c>
    </row>
    <row r="953" spans="1:13" x14ac:dyDescent="0.25">
      <c r="A953" t="str">
        <f>'RawData (GH)'!A953</f>
        <v>Samyang 50mm T1.5 AS UMC VDSLR für Fujifilm X schwarz</v>
      </c>
      <c r="B953" s="5">
        <f>getFocalLengthStart('RawData (GH)'!B953)</f>
        <v>50</v>
      </c>
      <c r="C953" s="5">
        <f>getFocalLengthEnd('RawData (GH)'!B953)</f>
        <v>50</v>
      </c>
      <c r="D953" s="9">
        <f>getApertureStart('RawData (GH)'!C953)</f>
        <v>1.5</v>
      </c>
      <c r="E953" s="9">
        <f>getApertureEnd('RawData (GH)'!C953)</f>
        <v>1.5</v>
      </c>
      <c r="F953" s="2">
        <f>getFiltersizeAsDouble('RawData (GH)'!D953)</f>
        <v>77</v>
      </c>
      <c r="G953" s="35">
        <f>getMagnification('RawData (GH)'!E953)</f>
        <v>0</v>
      </c>
      <c r="H953" s="62">
        <f>getMinimalFocus('RawData (GH)'!F953)</f>
        <v>0</v>
      </c>
      <c r="I953" t="str">
        <f>getMount('RawData (GH)'!G953)</f>
        <v>Fujifilm X</v>
      </c>
      <c r="J953" t="str">
        <f>getSensorCompatibility('RawData (GH)'!H953)</f>
        <v>APS-C</v>
      </c>
      <c r="K953" s="45">
        <f>getWeightAsDouble('RawData (GH)'!I953)</f>
        <v>640</v>
      </c>
      <c r="L953" s="34">
        <f>getSizeDiameter('RawData (GH)'!J953)</f>
        <v>81.599999999999994</v>
      </c>
      <c r="M953" s="34">
        <f>getSizeLength('RawData (GH)'!J953)</f>
        <v>101</v>
      </c>
    </row>
    <row r="954" spans="1:13" x14ac:dyDescent="0.25">
      <c r="A954" t="str">
        <f>'RawData (GH)'!A954</f>
        <v>Samyang 50mm T1.5 AS UMC VDSLR für Micro-Four-Thirds schwarz</v>
      </c>
      <c r="B954" s="5">
        <f>getFocalLengthStart('RawData (GH)'!B954)</f>
        <v>50</v>
      </c>
      <c r="C954" s="5">
        <f>getFocalLengthEnd('RawData (GH)'!B954)</f>
        <v>50</v>
      </c>
      <c r="D954" s="9">
        <f>getApertureStart('RawData (GH)'!C954)</f>
        <v>1.5</v>
      </c>
      <c r="E954" s="9">
        <f>getApertureEnd('RawData (GH)'!C954)</f>
        <v>1.5</v>
      </c>
      <c r="F954" s="2">
        <f>getFiltersizeAsDouble('RawData (GH)'!D954)</f>
        <v>77</v>
      </c>
      <c r="G954" s="35">
        <f>getMagnification('RawData (GH)'!E954)</f>
        <v>0</v>
      </c>
      <c r="H954" s="62">
        <f>getMinimalFocus('RawData (GH)'!F954)</f>
        <v>0</v>
      </c>
      <c r="I954" t="str">
        <f>getMount('RawData (GH)'!G954)</f>
        <v>Micro-Four-Thirds</v>
      </c>
      <c r="J954" t="str">
        <f>getSensorCompatibility('RawData (GH)'!H954)</f>
        <v>Four-Thirds</v>
      </c>
      <c r="K954" s="45">
        <f>getWeightAsDouble('RawData (GH)'!I954)</f>
        <v>590</v>
      </c>
      <c r="L954" s="34">
        <f>getSizeDiameter('RawData (GH)'!J954)</f>
        <v>81.599999999999994</v>
      </c>
      <c r="M954" s="34">
        <f>getSizeLength('RawData (GH)'!J954)</f>
        <v>99.5</v>
      </c>
    </row>
    <row r="955" spans="1:13" x14ac:dyDescent="0.25">
      <c r="A955" t="str">
        <f>'RawData (GH)'!A955</f>
        <v>Samyang 50mm T1.5 AS UMC VDSLR für Nikon F schwarz</v>
      </c>
      <c r="B955" s="5">
        <f>getFocalLengthStart('RawData (GH)'!B955)</f>
        <v>50</v>
      </c>
      <c r="C955" s="5">
        <f>getFocalLengthEnd('RawData (GH)'!B955)</f>
        <v>50</v>
      </c>
      <c r="D955" s="9">
        <f>getApertureStart('RawData (GH)'!C955)</f>
        <v>1.5</v>
      </c>
      <c r="E955" s="9">
        <f>getApertureEnd('RawData (GH)'!C955)</f>
        <v>1.5</v>
      </c>
      <c r="F955" s="2">
        <f>getFiltersizeAsDouble('RawData (GH)'!D955)</f>
        <v>77</v>
      </c>
      <c r="G955" s="35">
        <f>getMagnification('RawData (GH)'!E955)</f>
        <v>0</v>
      </c>
      <c r="H955" s="62">
        <f>getMinimalFocus('RawData (GH)'!F955)</f>
        <v>0</v>
      </c>
      <c r="I955" t="str">
        <f>getMount('RawData (GH)'!G955)</f>
        <v>Nikon F</v>
      </c>
      <c r="J955" t="str">
        <f>getSensorCompatibility('RawData (GH)'!H955)</f>
        <v>APS-C/ Kleinbild</v>
      </c>
      <c r="K955" s="45">
        <f>getWeightAsDouble('RawData (GH)'!I955)</f>
        <v>555</v>
      </c>
      <c r="L955" s="34">
        <f>getSizeDiameter('RawData (GH)'!J955)</f>
        <v>81.599999999999994</v>
      </c>
      <c r="M955" s="34">
        <f>getSizeLength('RawData (GH)'!J955)</f>
        <v>72.2</v>
      </c>
    </row>
    <row r="956" spans="1:13" x14ac:dyDescent="0.25">
      <c r="A956" t="str">
        <f>'RawData (GH)'!A956</f>
        <v>Samyang 50mm T1.5 AS UMC VDSLR für Pentax K schwarz</v>
      </c>
      <c r="B956" s="5">
        <f>getFocalLengthStart('RawData (GH)'!B956)</f>
        <v>50</v>
      </c>
      <c r="C956" s="5">
        <f>getFocalLengthEnd('RawData (GH)'!B956)</f>
        <v>50</v>
      </c>
      <c r="D956" s="9">
        <f>getApertureStart('RawData (GH)'!C956)</f>
        <v>1.5</v>
      </c>
      <c r="E956" s="9">
        <f>getApertureEnd('RawData (GH)'!C956)</f>
        <v>1.5</v>
      </c>
      <c r="F956" s="2">
        <f>getFiltersizeAsDouble('RawData (GH)'!D956)</f>
        <v>77</v>
      </c>
      <c r="G956" s="35">
        <f>getMagnification('RawData (GH)'!E956)</f>
        <v>0</v>
      </c>
      <c r="H956" s="62">
        <f>getMinimalFocus('RawData (GH)'!F956)</f>
        <v>0</v>
      </c>
      <c r="I956" t="str">
        <f>getMount('RawData (GH)'!G956)</f>
        <v>Pentax K</v>
      </c>
      <c r="J956" t="str">
        <f>getSensorCompatibility('RawData (GH)'!H956)</f>
        <v>APS-C/ Kleinbild</v>
      </c>
      <c r="K956" s="45">
        <f>getWeightAsDouble('RawData (GH)'!I956)</f>
        <v>545</v>
      </c>
      <c r="L956" s="34">
        <f>getSizeDiameter('RawData (GH)'!J956)</f>
        <v>81.599999999999994</v>
      </c>
      <c r="M956" s="34">
        <f>getSizeLength('RawData (GH)'!J956)</f>
        <v>73.2</v>
      </c>
    </row>
    <row r="957" spans="1:13" x14ac:dyDescent="0.25">
      <c r="A957" t="str">
        <f>'RawData (GH)'!A957</f>
        <v>Samyang 50mm T1.5 AS UMC VDSLR für Sony A schwarz</v>
      </c>
      <c r="B957" s="5">
        <f>getFocalLengthStart('RawData (GH)'!B957)</f>
        <v>50</v>
      </c>
      <c r="C957" s="5">
        <f>getFocalLengthEnd('RawData (GH)'!B957)</f>
        <v>50</v>
      </c>
      <c r="D957" s="9">
        <f>getApertureStart('RawData (GH)'!C957)</f>
        <v>1.5</v>
      </c>
      <c r="E957" s="9">
        <f>getApertureEnd('RawData (GH)'!C957)</f>
        <v>1.5</v>
      </c>
      <c r="F957" s="2">
        <f>getFiltersizeAsDouble('RawData (GH)'!D957)</f>
        <v>77</v>
      </c>
      <c r="G957" s="35">
        <f>getMagnification('RawData (GH)'!E957)</f>
        <v>0</v>
      </c>
      <c r="H957" s="62">
        <f>getMinimalFocus('RawData (GH)'!F957)</f>
        <v>0</v>
      </c>
      <c r="I957" t="str">
        <f>getMount('RawData (GH)'!G957)</f>
        <v>Sony A</v>
      </c>
      <c r="J957" t="str">
        <f>getSensorCompatibility('RawData (GH)'!H957)</f>
        <v>APS-C/ Kleinbild</v>
      </c>
      <c r="K957" s="45">
        <f>getWeightAsDouble('RawData (GH)'!I957)</f>
        <v>565</v>
      </c>
      <c r="L957" s="34">
        <f>getSizeDiameter('RawData (GH)'!J957)</f>
        <v>81.599999999999994</v>
      </c>
      <c r="M957" s="34">
        <f>getSizeLength('RawData (GH)'!J957)</f>
        <v>74.2</v>
      </c>
    </row>
    <row r="958" spans="1:13" x14ac:dyDescent="0.25">
      <c r="A958" t="str">
        <f>'RawData (GH)'!A958</f>
        <v>Samyang 50mm T1.5 AS UMC VDSLR für Sony E schwarz</v>
      </c>
      <c r="B958" s="5">
        <f>getFocalLengthStart('RawData (GH)'!B958)</f>
        <v>50</v>
      </c>
      <c r="C958" s="5">
        <f>getFocalLengthEnd('RawData (GH)'!B958)</f>
        <v>50</v>
      </c>
      <c r="D958" s="9">
        <f>getApertureStart('RawData (GH)'!C958)</f>
        <v>1.5</v>
      </c>
      <c r="E958" s="9">
        <f>getApertureEnd('RawData (GH)'!C958)</f>
        <v>1.5</v>
      </c>
      <c r="F958" s="2">
        <f>getFiltersizeAsDouble('RawData (GH)'!D958)</f>
        <v>77</v>
      </c>
      <c r="G958" s="35">
        <f>getMagnification('RawData (GH)'!E958)</f>
        <v>0</v>
      </c>
      <c r="H958" s="62">
        <f>getMinimalFocus('RawData (GH)'!F958)</f>
        <v>0</v>
      </c>
      <c r="I958" t="str">
        <f>getMount('RawData (GH)'!G958)</f>
        <v>Sony E</v>
      </c>
      <c r="J958" t="str">
        <f>getSensorCompatibility('RawData (GH)'!H958)</f>
        <v>APS-C/ Kleinbild</v>
      </c>
      <c r="K958" s="45">
        <f>getWeightAsDouble('RawData (GH)'!I958)</f>
        <v>600</v>
      </c>
      <c r="L958" s="34">
        <f>getSizeDiameter('RawData (GH)'!J958)</f>
        <v>81.599999999999994</v>
      </c>
      <c r="M958" s="34">
        <f>getSizeLength('RawData (GH)'!J958)</f>
        <v>100.7</v>
      </c>
    </row>
    <row r="959" spans="1:13" x14ac:dyDescent="0.25">
      <c r="A959" t="str">
        <f>'RawData (GH)'!A959</f>
        <v>Samyang 650-1300mm 8.0-16.0 Asph MC IF silber</v>
      </c>
      <c r="B959" s="5">
        <f>getFocalLengthStart('RawData (GH)'!B959)</f>
        <v>650</v>
      </c>
      <c r="C959" s="5">
        <f>getFocalLengthEnd('RawData (GH)'!B959)</f>
        <v>1300</v>
      </c>
      <c r="D959" s="9">
        <f>getApertureStart('RawData (GH)'!C959)</f>
        <v>8</v>
      </c>
      <c r="E959" s="9">
        <f>getApertureEnd('RawData (GH)'!C959)</f>
        <v>16</v>
      </c>
      <c r="F959" s="2">
        <f>getFiltersizeAsDouble('RawData (GH)'!D959)</f>
        <v>95</v>
      </c>
      <c r="G959" s="35">
        <f>getMagnification('RawData (GH)'!E959)</f>
        <v>0</v>
      </c>
      <c r="H959" s="62">
        <f>getMinimalFocus('RawData (GH)'!F959)</f>
        <v>0</v>
      </c>
      <c r="I959" t="str">
        <f>getMount('RawData (GH)'!G959)</f>
        <v>Unknown</v>
      </c>
      <c r="J959" t="str">
        <f>getSensorCompatibility('RawData (GH)'!H959)</f>
        <v>APS-C/ Kleinbild</v>
      </c>
      <c r="K959" s="45">
        <f>getWeightAsDouble('RawData (GH)'!I959)</f>
        <v>2000</v>
      </c>
      <c r="L959" s="34">
        <f>getSizeDiameter('RawData (GH)'!J959)</f>
        <v>105</v>
      </c>
      <c r="M959" s="34">
        <f>getSizeLength('RawData (GH)'!J959)</f>
        <v>462.9</v>
      </c>
    </row>
    <row r="960" spans="1:13" x14ac:dyDescent="0.25">
      <c r="A960" t="str">
        <f>'RawData (GH)'!A960</f>
        <v>Samyang 7.5mm 3.5 Fisheye für Micro-Four-Thirds schwarz</v>
      </c>
      <c r="B960" s="5">
        <f>getFocalLengthStart('RawData (GH)'!B960)</f>
        <v>7.5</v>
      </c>
      <c r="C960" s="5">
        <f>getFocalLengthEnd('RawData (GH)'!B960)</f>
        <v>7.5</v>
      </c>
      <c r="D960" s="9">
        <f>getApertureStart('RawData (GH)'!C960)</f>
        <v>3.5</v>
      </c>
      <c r="E960" s="9">
        <f>getApertureEnd('RawData (GH)'!C960)</f>
        <v>3.5</v>
      </c>
      <c r="F960" s="2">
        <f>getFiltersizeAsDouble('RawData (GH)'!D960)</f>
        <v>0</v>
      </c>
      <c r="G960" s="35">
        <f>getMagnification('RawData (GH)'!E960)</f>
        <v>0</v>
      </c>
      <c r="H960" s="62">
        <f>getMinimalFocus('RawData (GH)'!F960)</f>
        <v>0</v>
      </c>
      <c r="I960" t="str">
        <f>getMount('RawData (GH)'!G960)</f>
        <v>Micro-Four-Thirds</v>
      </c>
      <c r="J960" t="str">
        <f>getSensorCompatibility('RawData (GH)'!H960)</f>
        <v>Four-Thirds</v>
      </c>
      <c r="K960" s="45">
        <f>getWeightAsDouble('RawData (GH)'!I960)</f>
        <v>197</v>
      </c>
      <c r="L960" s="34">
        <f>getSizeDiameter('RawData (GH)'!J960)</f>
        <v>60</v>
      </c>
      <c r="M960" s="34">
        <f>getSizeLength('RawData (GH)'!J960)</f>
        <v>48.3</v>
      </c>
    </row>
    <row r="961" spans="1:13" x14ac:dyDescent="0.25">
      <c r="A961" t="str">
        <f>'RawData (GH)'!A961</f>
        <v>Samyang 7.5mm 3.5 Fisheye für Micro-Four-Thirds silber</v>
      </c>
      <c r="B961" s="5">
        <f>getFocalLengthStart('RawData (GH)'!B961)</f>
        <v>7.5</v>
      </c>
      <c r="C961" s="5">
        <f>getFocalLengthEnd('RawData (GH)'!B961)</f>
        <v>7.5</v>
      </c>
      <c r="D961" s="9">
        <f>getApertureStart('RawData (GH)'!C961)</f>
        <v>3.5</v>
      </c>
      <c r="E961" s="9">
        <f>getApertureEnd('RawData (GH)'!C961)</f>
        <v>3.5</v>
      </c>
      <c r="F961" s="2">
        <f>getFiltersizeAsDouble('RawData (GH)'!D961)</f>
        <v>0</v>
      </c>
      <c r="G961" s="35">
        <f>getMagnification('RawData (GH)'!E961)</f>
        <v>0</v>
      </c>
      <c r="H961" s="62">
        <f>getMinimalFocus('RawData (GH)'!F961)</f>
        <v>0</v>
      </c>
      <c r="I961" t="str">
        <f>getMount('RawData (GH)'!G961)</f>
        <v>Micro-Four-Thirds</v>
      </c>
      <c r="J961" t="str">
        <f>getSensorCompatibility('RawData (GH)'!H961)</f>
        <v>Four-Thirds</v>
      </c>
      <c r="K961" s="45">
        <f>getWeightAsDouble('RawData (GH)'!I961)</f>
        <v>197</v>
      </c>
      <c r="L961" s="34">
        <f>getSizeDiameter('RawData (GH)'!J961)</f>
        <v>60</v>
      </c>
      <c r="M961" s="34">
        <f>getSizeLength('RawData (GH)'!J961)</f>
        <v>48.3</v>
      </c>
    </row>
    <row r="962" spans="1:13" x14ac:dyDescent="0.25">
      <c r="A962" t="str">
        <f>'RawData (GH)'!A962</f>
        <v>Samyang 7.5mm T3.8 UMC Fisheye für Micro-Four-Thirds schwarz</v>
      </c>
      <c r="B962" s="5">
        <f>getFocalLengthStart('RawData (GH)'!B962)</f>
        <v>7.5</v>
      </c>
      <c r="C962" s="5">
        <f>getFocalLengthEnd('RawData (GH)'!B962)</f>
        <v>7.5</v>
      </c>
      <c r="D962" s="9">
        <f>getApertureStart('RawData (GH)'!C962)</f>
        <v>3.8</v>
      </c>
      <c r="E962" s="9">
        <f>getApertureEnd('RawData (GH)'!C962)</f>
        <v>3.8</v>
      </c>
      <c r="F962" s="2">
        <f>getFiltersizeAsDouble('RawData (GH)'!D962)</f>
        <v>0</v>
      </c>
      <c r="G962" s="35">
        <f>getMagnification('RawData (GH)'!E962)</f>
        <v>0</v>
      </c>
      <c r="H962" s="62">
        <f>getMinimalFocus('RawData (GH)'!F962)</f>
        <v>0</v>
      </c>
      <c r="I962" t="str">
        <f>getMount('RawData (GH)'!G962)</f>
        <v>Micro-Four-Thirds</v>
      </c>
      <c r="J962" t="str">
        <f>getSensorCompatibility('RawData (GH)'!H962)</f>
        <v>Four-Thirds</v>
      </c>
      <c r="K962" s="45">
        <f>getWeightAsDouble('RawData (GH)'!I962)</f>
        <v>195</v>
      </c>
      <c r="L962" s="34">
        <f>getSizeDiameter('RawData (GH)'!J962)</f>
        <v>60</v>
      </c>
      <c r="M962" s="34">
        <f>getSizeLength('RawData (GH)'!J962)</f>
        <v>48.3</v>
      </c>
    </row>
    <row r="963" spans="1:13" x14ac:dyDescent="0.25">
      <c r="A963" t="str">
        <f>'RawData (GH)'!A963</f>
        <v>Samyang 800mm 8.0 MC IF Mirror schwarz</v>
      </c>
      <c r="B963" s="5">
        <f>getFocalLengthStart('RawData (GH)'!B963)</f>
        <v>800</v>
      </c>
      <c r="C963" s="5">
        <f>getFocalLengthEnd('RawData (GH)'!B963)</f>
        <v>800</v>
      </c>
      <c r="D963" s="9">
        <f>getApertureStart('RawData (GH)'!C963)</f>
        <v>8</v>
      </c>
      <c r="E963" s="9">
        <f>getApertureEnd('RawData (GH)'!C963)</f>
        <v>8</v>
      </c>
      <c r="F963" s="2">
        <f>getFiltersizeAsDouble('RawData (GH)'!D963)</f>
        <v>30</v>
      </c>
      <c r="G963" s="35">
        <f>getMagnification('RawData (GH)'!E963)</f>
        <v>0</v>
      </c>
      <c r="H963" s="62">
        <f>getMinimalFocus('RawData (GH)'!F963)</f>
        <v>0</v>
      </c>
      <c r="I963" t="str">
        <f>getMount('RawData (GH)'!G963)</f>
        <v>Unknown</v>
      </c>
      <c r="J963" t="str">
        <f>getSensorCompatibility('RawData (GH)'!H963)</f>
        <v>APS-C/ Kleinbild</v>
      </c>
      <c r="K963" s="45">
        <f>getWeightAsDouble('RawData (GH)'!I963)</f>
        <v>946</v>
      </c>
      <c r="L963" s="34">
        <f>getSizeDiameter('RawData (GH)'!J963)</f>
        <v>111</v>
      </c>
      <c r="M963" s="34">
        <f>getSizeLength('RawData (GH)'!J963)</f>
        <v>114.5</v>
      </c>
    </row>
    <row r="964" spans="1:13" x14ac:dyDescent="0.25">
      <c r="A964" t="str">
        <f>'RawData (GH)'!A964</f>
        <v>Samyang 85mm 1.4 Asph IF MC für Canon EF schwarz</v>
      </c>
      <c r="B964" s="5">
        <f>getFocalLengthStart('RawData (GH)'!B964)</f>
        <v>85</v>
      </c>
      <c r="C964" s="5">
        <f>getFocalLengthEnd('RawData (GH)'!B964)</f>
        <v>85</v>
      </c>
      <c r="D964" s="9">
        <f>getApertureStart('RawData (GH)'!C964)</f>
        <v>1.4</v>
      </c>
      <c r="E964" s="9">
        <f>getApertureEnd('RawData (GH)'!C964)</f>
        <v>1.4</v>
      </c>
      <c r="F964" s="2">
        <f>getFiltersizeAsDouble('RawData (GH)'!D964)</f>
        <v>72</v>
      </c>
      <c r="G964" s="35">
        <f>getMagnification('RawData (GH)'!E964)</f>
        <v>0</v>
      </c>
      <c r="H964" s="62">
        <f>getMinimalFocus('RawData (GH)'!F964)</f>
        <v>0</v>
      </c>
      <c r="I964" t="str">
        <f>getMount('RawData (GH)'!G964)</f>
        <v>Canon EF</v>
      </c>
      <c r="J964" t="str">
        <f>getSensorCompatibility('RawData (GH)'!H964)</f>
        <v>APS-C/ Kleinbild</v>
      </c>
      <c r="K964" s="45">
        <f>getWeightAsDouble('RawData (GH)'!I964)</f>
        <v>516</v>
      </c>
      <c r="L964" s="34">
        <f>getSizeDiameter('RawData (GH)'!J964)</f>
        <v>78</v>
      </c>
      <c r="M964" s="34">
        <f>getSizeLength('RawData (GH)'!J964)</f>
        <v>72.2</v>
      </c>
    </row>
    <row r="965" spans="1:13" x14ac:dyDescent="0.25">
      <c r="A965" t="str">
        <f>'RawData (GH)'!A965</f>
        <v>Samyang 85mm 1.4 Asph IF MC für Four-Thirds schwarz</v>
      </c>
      <c r="B965" s="5">
        <f>getFocalLengthStart('RawData (GH)'!B965)</f>
        <v>85</v>
      </c>
      <c r="C965" s="5">
        <f>getFocalLengthEnd('RawData (GH)'!B965)</f>
        <v>85</v>
      </c>
      <c r="D965" s="9">
        <f>getApertureStart('RawData (GH)'!C965)</f>
        <v>1.4</v>
      </c>
      <c r="E965" s="9">
        <f>getApertureEnd('RawData (GH)'!C965)</f>
        <v>1.4</v>
      </c>
      <c r="F965" s="2">
        <f>getFiltersizeAsDouble('RawData (GH)'!D965)</f>
        <v>72</v>
      </c>
      <c r="G965" s="35">
        <f>getMagnification('RawData (GH)'!E965)</f>
        <v>0</v>
      </c>
      <c r="H965" s="62">
        <f>getMinimalFocus('RawData (GH)'!F965)</f>
        <v>0</v>
      </c>
      <c r="I965" t="str">
        <f>getMount('RawData (GH)'!G965)</f>
        <v>Four-Thirds</v>
      </c>
      <c r="J965" t="str">
        <f>getSensorCompatibility('RawData (GH)'!H965)</f>
        <v>Four-Thirds</v>
      </c>
      <c r="K965" s="45">
        <f>getWeightAsDouble('RawData (GH)'!I965)</f>
        <v>516</v>
      </c>
      <c r="L965" s="34">
        <f>getSizeDiameter('RawData (GH)'!J965)</f>
        <v>78</v>
      </c>
      <c r="M965" s="34">
        <f>getSizeLength('RawData (GH)'!J965)</f>
        <v>72.2</v>
      </c>
    </row>
    <row r="966" spans="1:13" x14ac:dyDescent="0.25">
      <c r="A966" t="str">
        <f>'RawData (GH)'!A966</f>
        <v>Samyang 85mm 1.4 Asph IF MC für Pentax K schwarz</v>
      </c>
      <c r="B966" s="5">
        <f>getFocalLengthStart('RawData (GH)'!B966)</f>
        <v>85</v>
      </c>
      <c r="C966" s="5">
        <f>getFocalLengthEnd('RawData (GH)'!B966)</f>
        <v>85</v>
      </c>
      <c r="D966" s="9">
        <f>getApertureStart('RawData (GH)'!C966)</f>
        <v>1.4</v>
      </c>
      <c r="E966" s="9">
        <f>getApertureEnd('RawData (GH)'!C966)</f>
        <v>1.4</v>
      </c>
      <c r="F966" s="2">
        <f>getFiltersizeAsDouble('RawData (GH)'!D966)</f>
        <v>72</v>
      </c>
      <c r="G966" s="35">
        <f>getMagnification('RawData (GH)'!E966)</f>
        <v>0</v>
      </c>
      <c r="H966" s="62">
        <f>getMinimalFocus('RawData (GH)'!F966)</f>
        <v>0</v>
      </c>
      <c r="I966" t="str">
        <f>getMount('RawData (GH)'!G966)</f>
        <v>Pentax K</v>
      </c>
      <c r="J966" t="str">
        <f>getSensorCompatibility('RawData (GH)'!H966)</f>
        <v>APS-C/ Kleinbild</v>
      </c>
      <c r="K966" s="45">
        <f>getWeightAsDouble('RawData (GH)'!I966)</f>
        <v>516</v>
      </c>
      <c r="L966" s="34">
        <f>getSizeDiameter('RawData (GH)'!J966)</f>
        <v>78</v>
      </c>
      <c r="M966" s="34">
        <f>getSizeLength('RawData (GH)'!J966)</f>
        <v>72.2</v>
      </c>
    </row>
    <row r="967" spans="1:13" x14ac:dyDescent="0.25">
      <c r="A967" t="str">
        <f>'RawData (GH)'!A967</f>
        <v>Samyang 85mm 1.4 Asph IF MC für Samsung NX schwarz</v>
      </c>
      <c r="B967" s="5">
        <f>getFocalLengthStart('RawData (GH)'!B967)</f>
        <v>85</v>
      </c>
      <c r="C967" s="5">
        <f>getFocalLengthEnd('RawData (GH)'!B967)</f>
        <v>85</v>
      </c>
      <c r="D967" s="9">
        <f>getApertureStart('RawData (GH)'!C967)</f>
        <v>1.4</v>
      </c>
      <c r="E967" s="9">
        <f>getApertureEnd('RawData (GH)'!C967)</f>
        <v>1.4</v>
      </c>
      <c r="F967" s="2">
        <f>getFiltersizeAsDouble('RawData (GH)'!D967)</f>
        <v>72</v>
      </c>
      <c r="G967" s="35">
        <f>getMagnification('RawData (GH)'!E967)</f>
        <v>0</v>
      </c>
      <c r="H967" s="62">
        <f>getMinimalFocus('RawData (GH)'!F967)</f>
        <v>0</v>
      </c>
      <c r="I967" t="str">
        <f>getMount('RawData (GH)'!G967)</f>
        <v>Samsung NX</v>
      </c>
      <c r="J967" t="str">
        <f>getSensorCompatibility('RawData (GH)'!H967)</f>
        <v>APS-C</v>
      </c>
      <c r="K967" s="45">
        <f>getWeightAsDouble('RawData (GH)'!I967)</f>
        <v>516</v>
      </c>
      <c r="L967" s="34">
        <f>getSizeDiameter('RawData (GH)'!J967)</f>
        <v>78</v>
      </c>
      <c r="M967" s="34">
        <f>getSizeLength('RawData (GH)'!J967)</f>
        <v>72.2</v>
      </c>
    </row>
    <row r="968" spans="1:13" x14ac:dyDescent="0.25">
      <c r="A968" t="str">
        <f>'RawData (GH)'!A968</f>
        <v>Samyang 85mm 1.4 Asph IF MC für Sony A schwarz</v>
      </c>
      <c r="B968" s="5">
        <f>getFocalLengthStart('RawData (GH)'!B968)</f>
        <v>85</v>
      </c>
      <c r="C968" s="5">
        <f>getFocalLengthEnd('RawData (GH)'!B968)</f>
        <v>85</v>
      </c>
      <c r="D968" s="9">
        <f>getApertureStart('RawData (GH)'!C968)</f>
        <v>1.4</v>
      </c>
      <c r="E968" s="9">
        <f>getApertureEnd('RawData (GH)'!C968)</f>
        <v>1.4</v>
      </c>
      <c r="F968" s="2">
        <f>getFiltersizeAsDouble('RawData (GH)'!D968)</f>
        <v>72</v>
      </c>
      <c r="G968" s="35">
        <f>getMagnification('RawData (GH)'!E968)</f>
        <v>0</v>
      </c>
      <c r="H968" s="62">
        <f>getMinimalFocus('RawData (GH)'!F968)</f>
        <v>0</v>
      </c>
      <c r="I968" t="str">
        <f>getMount('RawData (GH)'!G968)</f>
        <v>Sony A</v>
      </c>
      <c r="J968" t="str">
        <f>getSensorCompatibility('RawData (GH)'!H968)</f>
        <v>APS-C/ Kleinbild</v>
      </c>
      <c r="K968" s="45">
        <f>getWeightAsDouble('RawData (GH)'!I968)</f>
        <v>516</v>
      </c>
      <c r="L968" s="34">
        <f>getSizeDiameter('RawData (GH)'!J968)</f>
        <v>78</v>
      </c>
      <c r="M968" s="34">
        <f>getSizeLength('RawData (GH)'!J968)</f>
        <v>72.2</v>
      </c>
    </row>
    <row r="969" spans="1:13" x14ac:dyDescent="0.25">
      <c r="A969" t="str">
        <f>'RawData (GH)'!A969</f>
        <v>Samyang 85mm 1.4 Asph IF UMC für Canon EF schwarz</v>
      </c>
      <c r="B969" s="5">
        <f>getFocalLengthStart('RawData (GH)'!B969)</f>
        <v>85</v>
      </c>
      <c r="C969" s="5">
        <f>getFocalLengthEnd('RawData (GH)'!B969)</f>
        <v>85</v>
      </c>
      <c r="D969" s="9">
        <f>getApertureStart('RawData (GH)'!C969)</f>
        <v>1.4</v>
      </c>
      <c r="E969" s="9">
        <f>getApertureEnd('RawData (GH)'!C969)</f>
        <v>1.4</v>
      </c>
      <c r="F969" s="2">
        <f>getFiltersizeAsDouble('RawData (GH)'!D969)</f>
        <v>72</v>
      </c>
      <c r="G969" s="35">
        <f>getMagnification('RawData (GH)'!E969)</f>
        <v>0</v>
      </c>
      <c r="H969" s="62">
        <f>getMinimalFocus('RawData (GH)'!F969)</f>
        <v>0</v>
      </c>
      <c r="I969" t="str">
        <f>getMount('RawData (GH)'!G969)</f>
        <v>Canon EF</v>
      </c>
      <c r="J969" t="str">
        <f>getSensorCompatibility('RawData (GH)'!H969)</f>
        <v>APS-C/ Kleinbild</v>
      </c>
      <c r="K969" s="45">
        <f>getWeightAsDouble('RawData (GH)'!I969)</f>
        <v>539</v>
      </c>
      <c r="L969" s="34">
        <f>getSizeDiameter('RawData (GH)'!J969)</f>
        <v>78</v>
      </c>
      <c r="M969" s="34">
        <f>getSizeLength('RawData (GH)'!J969)</f>
        <v>75</v>
      </c>
    </row>
    <row r="970" spans="1:13" x14ac:dyDescent="0.25">
      <c r="A970" t="str">
        <f>'RawData (GH)'!A970</f>
        <v>Samyang 85mm 1.4 Asph IF UMC für Canon EF-M schwarz</v>
      </c>
      <c r="B970" s="5">
        <f>getFocalLengthStart('RawData (GH)'!B970)</f>
        <v>85</v>
      </c>
      <c r="C970" s="5">
        <f>getFocalLengthEnd('RawData (GH)'!B970)</f>
        <v>85</v>
      </c>
      <c r="D970" s="9">
        <f>getApertureStart('RawData (GH)'!C970)</f>
        <v>1.4</v>
      </c>
      <c r="E970" s="9">
        <f>getApertureEnd('RawData (GH)'!C970)</f>
        <v>1.4</v>
      </c>
      <c r="F970" s="2">
        <f>getFiltersizeAsDouble('RawData (GH)'!D970)</f>
        <v>72</v>
      </c>
      <c r="G970" s="35">
        <f>getMagnification('RawData (GH)'!E970)</f>
        <v>0</v>
      </c>
      <c r="H970" s="62">
        <f>getMinimalFocus('RawData (GH)'!F970)</f>
        <v>0</v>
      </c>
      <c r="I970" t="str">
        <f>getMount('RawData (GH)'!G970)</f>
        <v>Canon EF-M</v>
      </c>
      <c r="J970" t="str">
        <f>getSensorCompatibility('RawData (GH)'!H970)</f>
        <v>APS-C</v>
      </c>
      <c r="K970" s="45">
        <f>getWeightAsDouble('RawData (GH)'!I970)</f>
        <v>570</v>
      </c>
      <c r="L970" s="34">
        <f>getSizeDiameter('RawData (GH)'!J970)</f>
        <v>78</v>
      </c>
      <c r="M970" s="34">
        <f>getSizeLength('RawData (GH)'!J970)</f>
        <v>100.6</v>
      </c>
    </row>
    <row r="971" spans="1:13" x14ac:dyDescent="0.25">
      <c r="A971" t="str">
        <f>'RawData (GH)'!A971</f>
        <v>Samyang 85mm 1.4 Asph IF UMC für Four-Thirds schwarz</v>
      </c>
      <c r="B971" s="5">
        <f>getFocalLengthStart('RawData (GH)'!B971)</f>
        <v>85</v>
      </c>
      <c r="C971" s="5">
        <f>getFocalLengthEnd('RawData (GH)'!B971)</f>
        <v>85</v>
      </c>
      <c r="D971" s="9">
        <f>getApertureStart('RawData (GH)'!C971)</f>
        <v>1.4</v>
      </c>
      <c r="E971" s="9">
        <f>getApertureEnd('RawData (GH)'!C971)</f>
        <v>1.4</v>
      </c>
      <c r="F971" s="2">
        <f>getFiltersizeAsDouble('RawData (GH)'!D971)</f>
        <v>72</v>
      </c>
      <c r="G971" s="35">
        <f>getMagnification('RawData (GH)'!E971)</f>
        <v>0</v>
      </c>
      <c r="H971" s="62">
        <f>getMinimalFocus('RawData (GH)'!F971)</f>
        <v>0</v>
      </c>
      <c r="I971" t="str">
        <f>getMount('RawData (GH)'!G971)</f>
        <v>Four-Thirds</v>
      </c>
      <c r="J971" t="str">
        <f>getSensorCompatibility('RawData (GH)'!H971)</f>
        <v>Four-Thirds</v>
      </c>
      <c r="K971" s="45">
        <f>getWeightAsDouble('RawData (GH)'!I971)</f>
        <v>539</v>
      </c>
      <c r="L971" s="34">
        <f>getSizeDiameter('RawData (GH)'!J971)</f>
        <v>78</v>
      </c>
      <c r="M971" s="34">
        <f>getSizeLength('RawData (GH)'!J971)</f>
        <v>75</v>
      </c>
    </row>
    <row r="972" spans="1:13" x14ac:dyDescent="0.25">
      <c r="A972" t="str">
        <f>'RawData (GH)'!A972</f>
        <v>Samyang 85mm 1.4 Asph IF UMC für Fujifilm X schwarz</v>
      </c>
      <c r="B972" s="5">
        <f>getFocalLengthStart('RawData (GH)'!B972)</f>
        <v>85</v>
      </c>
      <c r="C972" s="5">
        <f>getFocalLengthEnd('RawData (GH)'!B972)</f>
        <v>85</v>
      </c>
      <c r="D972" s="9">
        <f>getApertureStart('RawData (GH)'!C972)</f>
        <v>1.4</v>
      </c>
      <c r="E972" s="9">
        <f>getApertureEnd('RawData (GH)'!C972)</f>
        <v>1.4</v>
      </c>
      <c r="F972" s="2">
        <f>getFiltersizeAsDouble('RawData (GH)'!D972)</f>
        <v>72</v>
      </c>
      <c r="G972" s="35">
        <f>getMagnification('RawData (GH)'!E972)</f>
        <v>0</v>
      </c>
      <c r="H972" s="62">
        <f>getMinimalFocus('RawData (GH)'!F972)</f>
        <v>0</v>
      </c>
      <c r="I972" t="str">
        <f>getMount('RawData (GH)'!G972)</f>
        <v>Fujifilm X</v>
      </c>
      <c r="J972" t="str">
        <f>getSensorCompatibility('RawData (GH)'!H972)</f>
        <v>APS-C</v>
      </c>
      <c r="K972" s="45">
        <f>getWeightAsDouble('RawData (GH)'!I972)</f>
        <v>610</v>
      </c>
      <c r="L972" s="34">
        <f>getSizeDiameter('RawData (GH)'!J972)</f>
        <v>78</v>
      </c>
      <c r="M972" s="34">
        <f>getSizeLength('RawData (GH)'!J972)</f>
        <v>101</v>
      </c>
    </row>
    <row r="973" spans="1:13" x14ac:dyDescent="0.25">
      <c r="A973" t="str">
        <f>'RawData (GH)'!A973</f>
        <v>Samyang 85mm 1.4 Asph IF UMC für Micro-Four-Thirds schwarz</v>
      </c>
      <c r="B973" s="5">
        <f>getFocalLengthStart('RawData (GH)'!B973)</f>
        <v>85</v>
      </c>
      <c r="C973" s="5">
        <f>getFocalLengthEnd('RawData (GH)'!B973)</f>
        <v>85</v>
      </c>
      <c r="D973" s="9">
        <f>getApertureStart('RawData (GH)'!C973)</f>
        <v>1.4</v>
      </c>
      <c r="E973" s="9">
        <f>getApertureEnd('RawData (GH)'!C973)</f>
        <v>1.4</v>
      </c>
      <c r="F973" s="2">
        <f>getFiltersizeAsDouble('RawData (GH)'!D973)</f>
        <v>72</v>
      </c>
      <c r="G973" s="35">
        <f>getMagnification('RawData (GH)'!E973)</f>
        <v>0</v>
      </c>
      <c r="H973" s="62">
        <f>getMinimalFocus('RawData (GH)'!F973)</f>
        <v>0</v>
      </c>
      <c r="I973" t="str">
        <f>getMount('RawData (GH)'!G973)</f>
        <v>Micro-Four-Thirds</v>
      </c>
      <c r="J973" t="str">
        <f>getSensorCompatibility('RawData (GH)'!H973)</f>
        <v>Four-Thirds</v>
      </c>
      <c r="K973" s="45">
        <f>getWeightAsDouble('RawData (GH)'!I973)</f>
        <v>565</v>
      </c>
      <c r="L973" s="34">
        <f>getSizeDiameter('RawData (GH)'!J973)</f>
        <v>78</v>
      </c>
      <c r="M973" s="34">
        <f>getSizeLength('RawData (GH)'!J973)</f>
        <v>99.5</v>
      </c>
    </row>
    <row r="974" spans="1:13" x14ac:dyDescent="0.25">
      <c r="A974" t="str">
        <f>'RawData (GH)'!A974</f>
        <v>Samyang 85mm 1.4 Asph IF UMC für Nikon F schwarz</v>
      </c>
      <c r="B974" s="5">
        <f>getFocalLengthStart('RawData (GH)'!B974)</f>
        <v>85</v>
      </c>
      <c r="C974" s="5">
        <f>getFocalLengthEnd('RawData (GH)'!B974)</f>
        <v>85</v>
      </c>
      <c r="D974" s="9">
        <f>getApertureStart('RawData (GH)'!C974)</f>
        <v>1.4</v>
      </c>
      <c r="E974" s="9">
        <f>getApertureEnd('RawData (GH)'!C974)</f>
        <v>1.4</v>
      </c>
      <c r="F974" s="2">
        <f>getFiltersizeAsDouble('RawData (GH)'!D974)</f>
        <v>72</v>
      </c>
      <c r="G974" s="35">
        <f>getMagnification('RawData (GH)'!E974)</f>
        <v>0</v>
      </c>
      <c r="H974" s="62">
        <f>getMinimalFocus('RawData (GH)'!F974)</f>
        <v>0</v>
      </c>
      <c r="I974" t="str">
        <f>getMount('RawData (GH)'!G974)</f>
        <v>Nikon F</v>
      </c>
      <c r="J974" t="str">
        <f>getSensorCompatibility('RawData (GH)'!H974)</f>
        <v>APS-C/ Kleinbild</v>
      </c>
      <c r="K974" s="45">
        <f>getWeightAsDouble('RawData (GH)'!I974)</f>
        <v>539</v>
      </c>
      <c r="L974" s="34">
        <f>getSizeDiameter('RawData (GH)'!J974)</f>
        <v>78</v>
      </c>
      <c r="M974" s="34">
        <f>getSizeLength('RawData (GH)'!J974)</f>
        <v>75</v>
      </c>
    </row>
    <row r="975" spans="1:13" x14ac:dyDescent="0.25">
      <c r="A975" t="str">
        <f>'RawData (GH)'!A975</f>
        <v>Samyang 85mm 1.4 Asph IF UMC für Pentax K schwarz</v>
      </c>
      <c r="B975" s="5">
        <f>getFocalLengthStart('RawData (GH)'!B975)</f>
        <v>85</v>
      </c>
      <c r="C975" s="5">
        <f>getFocalLengthEnd('RawData (GH)'!B975)</f>
        <v>85</v>
      </c>
      <c r="D975" s="9">
        <f>getApertureStart('RawData (GH)'!C975)</f>
        <v>1.4</v>
      </c>
      <c r="E975" s="9">
        <f>getApertureEnd('RawData (GH)'!C975)</f>
        <v>1.4</v>
      </c>
      <c r="F975" s="2">
        <f>getFiltersizeAsDouble('RawData (GH)'!D975)</f>
        <v>72</v>
      </c>
      <c r="G975" s="35">
        <f>getMagnification('RawData (GH)'!E975)</f>
        <v>0</v>
      </c>
      <c r="H975" s="62">
        <f>getMinimalFocus('RawData (GH)'!F975)</f>
        <v>0</v>
      </c>
      <c r="I975" t="str">
        <f>getMount('RawData (GH)'!G975)</f>
        <v>Pentax K</v>
      </c>
      <c r="J975" t="str">
        <f>getSensorCompatibility('RawData (GH)'!H975)</f>
        <v>APS-C/ Kleinbild</v>
      </c>
      <c r="K975" s="45">
        <f>getWeightAsDouble('RawData (GH)'!I975)</f>
        <v>539</v>
      </c>
      <c r="L975" s="34">
        <f>getSizeDiameter('RawData (GH)'!J975)</f>
        <v>78</v>
      </c>
      <c r="M975" s="34">
        <f>getSizeLength('RawData (GH)'!J975)</f>
        <v>75</v>
      </c>
    </row>
    <row r="976" spans="1:13" x14ac:dyDescent="0.25">
      <c r="A976" t="str">
        <f>'RawData (GH)'!A976</f>
        <v>Samyang 85mm 1.4 Asph IF UMC für Sony A schwarz</v>
      </c>
      <c r="B976" s="5">
        <f>getFocalLengthStart('RawData (GH)'!B976)</f>
        <v>85</v>
      </c>
      <c r="C976" s="5">
        <f>getFocalLengthEnd('RawData (GH)'!B976)</f>
        <v>85</v>
      </c>
      <c r="D976" s="9">
        <f>getApertureStart('RawData (GH)'!C976)</f>
        <v>1.4</v>
      </c>
      <c r="E976" s="9">
        <f>getApertureEnd('RawData (GH)'!C976)</f>
        <v>1.4</v>
      </c>
      <c r="F976" s="2">
        <f>getFiltersizeAsDouble('RawData (GH)'!D976)</f>
        <v>72</v>
      </c>
      <c r="G976" s="35">
        <f>getMagnification('RawData (GH)'!E976)</f>
        <v>0</v>
      </c>
      <c r="H976" s="62">
        <f>getMinimalFocus('RawData (GH)'!F976)</f>
        <v>0</v>
      </c>
      <c r="I976" t="str">
        <f>getMount('RawData (GH)'!G976)</f>
        <v>Sony A</v>
      </c>
      <c r="J976" t="str">
        <f>getSensorCompatibility('RawData (GH)'!H976)</f>
        <v>APS-C/ Kleinbild</v>
      </c>
      <c r="K976" s="45">
        <f>getWeightAsDouble('RawData (GH)'!I976)</f>
        <v>539</v>
      </c>
      <c r="L976" s="34">
        <f>getSizeDiameter('RawData (GH)'!J976)</f>
        <v>78</v>
      </c>
      <c r="M976" s="34">
        <f>getSizeLength('RawData (GH)'!J976)</f>
        <v>75</v>
      </c>
    </row>
    <row r="977" spans="1:13" x14ac:dyDescent="0.25">
      <c r="A977" t="str">
        <f>'RawData (GH)'!A977</f>
        <v>Samyang 85mm 1.4 Asph IF UMC für Sony E schwarz</v>
      </c>
      <c r="B977" s="5">
        <f>getFocalLengthStart('RawData (GH)'!B977)</f>
        <v>85</v>
      </c>
      <c r="C977" s="5">
        <f>getFocalLengthEnd('RawData (GH)'!B977)</f>
        <v>85</v>
      </c>
      <c r="D977" s="9">
        <f>getApertureStart('RawData (GH)'!C977)</f>
        <v>1.4</v>
      </c>
      <c r="E977" s="9">
        <f>getApertureEnd('RawData (GH)'!C977)</f>
        <v>1.4</v>
      </c>
      <c r="F977" s="2">
        <f>getFiltersizeAsDouble('RawData (GH)'!D977)</f>
        <v>72</v>
      </c>
      <c r="G977" s="35">
        <f>getMagnification('RawData (GH)'!E977)</f>
        <v>0</v>
      </c>
      <c r="H977" s="62">
        <f>getMinimalFocus('RawData (GH)'!F977)</f>
        <v>0</v>
      </c>
      <c r="I977" t="str">
        <f>getMount('RawData (GH)'!G977)</f>
        <v>Sony E</v>
      </c>
      <c r="J977" t="str">
        <f>getSensorCompatibility('RawData (GH)'!H977)</f>
        <v>APS-C</v>
      </c>
      <c r="K977" s="45">
        <f>getWeightAsDouble('RawData (GH)'!I977)</f>
        <v>539</v>
      </c>
      <c r="L977" s="34">
        <f>getSizeDiameter('RawData (GH)'!J977)</f>
        <v>78</v>
      </c>
      <c r="M977" s="34">
        <f>getSizeLength('RawData (GH)'!J977)</f>
        <v>75</v>
      </c>
    </row>
    <row r="978" spans="1:13" x14ac:dyDescent="0.25">
      <c r="A978" t="str">
        <f>'RawData (GH)'!A978</f>
        <v>Samyang 85mm T1.5 AS IF UMC II VDSLR für Canon EF schwarz</v>
      </c>
      <c r="B978" s="5">
        <f>getFocalLengthStart('RawData (GH)'!B978)</f>
        <v>85</v>
      </c>
      <c r="C978" s="5">
        <f>getFocalLengthEnd('RawData (GH)'!B978)</f>
        <v>85</v>
      </c>
      <c r="D978" s="9">
        <f>getApertureStart('RawData (GH)'!C978)</f>
        <v>1.5</v>
      </c>
      <c r="E978" s="9">
        <f>getApertureEnd('RawData (GH)'!C978)</f>
        <v>1.5</v>
      </c>
      <c r="F978" s="2">
        <f>getFiltersizeAsDouble('RawData (GH)'!D978)</f>
        <v>72</v>
      </c>
      <c r="G978" s="35">
        <f>getMagnification('RawData (GH)'!E978)</f>
        <v>0</v>
      </c>
      <c r="H978" s="62">
        <f>getMinimalFocus('RawData (GH)'!F978)</f>
        <v>0</v>
      </c>
      <c r="I978" t="str">
        <f>getMount('RawData (GH)'!G978)</f>
        <v>Canon EF</v>
      </c>
      <c r="J978" t="str">
        <f>getSensorCompatibility('RawData (GH)'!H978)</f>
        <v>APS-C/ Kleinbild</v>
      </c>
      <c r="K978" s="45">
        <f>getWeightAsDouble('RawData (GH)'!I978)</f>
        <v>580</v>
      </c>
      <c r="L978" s="34">
        <f>getSizeDiameter('RawData (GH)'!J978)</f>
        <v>78</v>
      </c>
      <c r="M978" s="34">
        <f>getSizeLength('RawData (GH)'!J978)</f>
        <v>74.7</v>
      </c>
    </row>
    <row r="979" spans="1:13" x14ac:dyDescent="0.25">
      <c r="A979" t="str">
        <f>'RawData (GH)'!A979</f>
        <v>Samyang 85mm T1.5 AS IF UMC II VDSLR für Canon EF-M schwarz</v>
      </c>
      <c r="B979" s="5">
        <f>getFocalLengthStart('RawData (GH)'!B979)</f>
        <v>85</v>
      </c>
      <c r="C979" s="5">
        <f>getFocalLengthEnd('RawData (GH)'!B979)</f>
        <v>85</v>
      </c>
      <c r="D979" s="9">
        <f>getApertureStart('RawData (GH)'!C979)</f>
        <v>1.5</v>
      </c>
      <c r="E979" s="9">
        <f>getApertureEnd('RawData (GH)'!C979)</f>
        <v>1.5</v>
      </c>
      <c r="F979" s="2">
        <f>getFiltersizeAsDouble('RawData (GH)'!D979)</f>
        <v>72</v>
      </c>
      <c r="G979" s="35">
        <f>getMagnification('RawData (GH)'!E979)</f>
        <v>0</v>
      </c>
      <c r="H979" s="62">
        <f>getMinimalFocus('RawData (GH)'!F979)</f>
        <v>0</v>
      </c>
      <c r="I979" t="str">
        <f>getMount('RawData (GH)'!G979)</f>
        <v>Canon EF-M</v>
      </c>
      <c r="J979" t="str">
        <f>getSensorCompatibility('RawData (GH)'!H979)</f>
        <v>APS-C</v>
      </c>
      <c r="K979" s="45">
        <f>getWeightAsDouble('RawData (GH)'!I979)</f>
        <v>640</v>
      </c>
      <c r="L979" s="34">
        <f>getSizeDiameter('RawData (GH)'!J979)</f>
        <v>78</v>
      </c>
      <c r="M979" s="34">
        <f>getSizeLength('RawData (GH)'!J979)</f>
        <v>100.6</v>
      </c>
    </row>
    <row r="980" spans="1:13" x14ac:dyDescent="0.25">
      <c r="A980" t="str">
        <f>'RawData (GH)'!A980</f>
        <v>Samyang 85mm T1.5 AS IF UMC II VDSLR für Four-Thirds schwarz</v>
      </c>
      <c r="B980" s="5">
        <f>getFocalLengthStart('RawData (GH)'!B980)</f>
        <v>85</v>
      </c>
      <c r="C980" s="5">
        <f>getFocalLengthEnd('RawData (GH)'!B980)</f>
        <v>85</v>
      </c>
      <c r="D980" s="9">
        <f>getApertureStart('RawData (GH)'!C980)</f>
        <v>1.5</v>
      </c>
      <c r="E980" s="9">
        <f>getApertureEnd('RawData (GH)'!C980)</f>
        <v>1.5</v>
      </c>
      <c r="F980" s="2">
        <f>getFiltersizeAsDouble('RawData (GH)'!D980)</f>
        <v>72</v>
      </c>
      <c r="G980" s="35">
        <f>getMagnification('RawData (GH)'!E980)</f>
        <v>0</v>
      </c>
      <c r="H980" s="62">
        <f>getMinimalFocus('RawData (GH)'!F980)</f>
        <v>0</v>
      </c>
      <c r="I980" t="str">
        <f>getMount('RawData (GH)'!G980)</f>
        <v>Four-Thirds</v>
      </c>
      <c r="J980" t="str">
        <f>getSensorCompatibility('RawData (GH)'!H980)</f>
        <v>Four-Thirds</v>
      </c>
      <c r="K980" s="45">
        <f>getWeightAsDouble('RawData (GH)'!I980)</f>
        <v>585</v>
      </c>
      <c r="L980" s="34">
        <f>getSizeDiameter('RawData (GH)'!J980)</f>
        <v>78</v>
      </c>
      <c r="M980" s="34">
        <f>getSizeLength('RawData (GH)'!J980)</f>
        <v>80</v>
      </c>
    </row>
    <row r="981" spans="1:13" x14ac:dyDescent="0.25">
      <c r="A981" t="str">
        <f>'RawData (GH)'!A981</f>
        <v>Samyang 85mm T1.5 AS IF UMC II VDSLR für Fujifilm X schwarz</v>
      </c>
      <c r="B981" s="5">
        <f>getFocalLengthStart('RawData (GH)'!B981)</f>
        <v>85</v>
      </c>
      <c r="C981" s="5">
        <f>getFocalLengthEnd('RawData (GH)'!B981)</f>
        <v>85</v>
      </c>
      <c r="D981" s="9">
        <f>getApertureStart('RawData (GH)'!C981)</f>
        <v>1.5</v>
      </c>
      <c r="E981" s="9">
        <f>getApertureEnd('RawData (GH)'!C981)</f>
        <v>1.5</v>
      </c>
      <c r="F981" s="2">
        <f>getFiltersizeAsDouble('RawData (GH)'!D981)</f>
        <v>72</v>
      </c>
      <c r="G981" s="35">
        <f>getMagnification('RawData (GH)'!E981)</f>
        <v>0</v>
      </c>
      <c r="H981" s="62">
        <f>getMinimalFocus('RawData (GH)'!F981)</f>
        <v>0</v>
      </c>
      <c r="I981" t="str">
        <f>getMount('RawData (GH)'!G981)</f>
        <v>Fujifilm X</v>
      </c>
      <c r="J981" t="str">
        <f>getSensorCompatibility('RawData (GH)'!H981)</f>
        <v>APS-C</v>
      </c>
      <c r="K981" s="45">
        <f>getWeightAsDouble('RawData (GH)'!I981)</f>
        <v>645</v>
      </c>
      <c r="L981" s="34">
        <f>getSizeDiameter('RawData (GH)'!J981)</f>
        <v>78</v>
      </c>
      <c r="M981" s="34">
        <f>getSizeLength('RawData (GH)'!J981)</f>
        <v>101</v>
      </c>
    </row>
    <row r="982" spans="1:13" x14ac:dyDescent="0.25">
      <c r="A982" t="str">
        <f>'RawData (GH)'!A982</f>
        <v>Samyang 85mm T1.5 AS IF UMC II VDSLR für Micro-Four-Thirds schwarz</v>
      </c>
      <c r="B982" s="5">
        <f>getFocalLengthStart('RawData (GH)'!B982)</f>
        <v>85</v>
      </c>
      <c r="C982" s="5">
        <f>getFocalLengthEnd('RawData (GH)'!B982)</f>
        <v>85</v>
      </c>
      <c r="D982" s="9">
        <f>getApertureStart('RawData (GH)'!C982)</f>
        <v>1.5</v>
      </c>
      <c r="E982" s="9">
        <f>getApertureEnd('RawData (GH)'!C982)</f>
        <v>1.5</v>
      </c>
      <c r="F982" s="2">
        <f>getFiltersizeAsDouble('RawData (GH)'!D982)</f>
        <v>72</v>
      </c>
      <c r="G982" s="35">
        <f>getMagnification('RawData (GH)'!E982)</f>
        <v>0</v>
      </c>
      <c r="H982" s="62">
        <f>getMinimalFocus('RawData (GH)'!F982)</f>
        <v>0</v>
      </c>
      <c r="I982" t="str">
        <f>getMount('RawData (GH)'!G982)</f>
        <v>Micro-Four-Thirds</v>
      </c>
      <c r="J982" t="str">
        <f>getSensorCompatibility('RawData (GH)'!H982)</f>
        <v>Four-Thirds</v>
      </c>
      <c r="K982" s="45">
        <f>getWeightAsDouble('RawData (GH)'!I982)</f>
        <v>595</v>
      </c>
      <c r="L982" s="34">
        <f>getSizeDiameter('RawData (GH)'!J982)</f>
        <v>78</v>
      </c>
      <c r="M982" s="34">
        <f>getSizeLength('RawData (GH)'!J982)</f>
        <v>99.5</v>
      </c>
    </row>
    <row r="983" spans="1:13" x14ac:dyDescent="0.25">
      <c r="A983" t="str">
        <f>'RawData (GH)'!A983</f>
        <v>Samyang 85mm T1.5 AS IF UMC II VDSLR für Nikon F schwarz</v>
      </c>
      <c r="B983" s="5">
        <f>getFocalLengthStart('RawData (GH)'!B983)</f>
        <v>85</v>
      </c>
      <c r="C983" s="5">
        <f>getFocalLengthEnd('RawData (GH)'!B983)</f>
        <v>85</v>
      </c>
      <c r="D983" s="9">
        <f>getApertureStart('RawData (GH)'!C983)</f>
        <v>1.5</v>
      </c>
      <c r="E983" s="9">
        <f>getApertureEnd('RawData (GH)'!C983)</f>
        <v>1.5</v>
      </c>
      <c r="F983" s="2">
        <f>getFiltersizeAsDouble('RawData (GH)'!D983)</f>
        <v>72</v>
      </c>
      <c r="G983" s="35">
        <f>getMagnification('RawData (GH)'!E983)</f>
        <v>0</v>
      </c>
      <c r="H983" s="62">
        <f>getMinimalFocus('RawData (GH)'!F983)</f>
        <v>0</v>
      </c>
      <c r="I983" t="str">
        <f>getMount('RawData (GH)'!G983)</f>
        <v>Nikon F</v>
      </c>
      <c r="J983" t="str">
        <f>getSensorCompatibility('RawData (GH)'!H983)</f>
        <v>APS-C/ Kleinbild</v>
      </c>
      <c r="K983" s="45">
        <f>getWeightAsDouble('RawData (GH)'!I983)</f>
        <v>560</v>
      </c>
      <c r="L983" s="34">
        <f>getSizeDiameter('RawData (GH)'!J983)</f>
        <v>78</v>
      </c>
      <c r="M983" s="34">
        <f>getSizeLength('RawData (GH)'!J983)</f>
        <v>72.2</v>
      </c>
    </row>
    <row r="984" spans="1:13" x14ac:dyDescent="0.25">
      <c r="A984" t="str">
        <f>'RawData (GH)'!A984</f>
        <v>Samyang 85mm T1.5 AS IF UMC II VDSLR für Pentax K schwarz</v>
      </c>
      <c r="B984" s="5">
        <f>getFocalLengthStart('RawData (GH)'!B984)</f>
        <v>85</v>
      </c>
      <c r="C984" s="5">
        <f>getFocalLengthEnd('RawData (GH)'!B984)</f>
        <v>85</v>
      </c>
      <c r="D984" s="9">
        <f>getApertureStart('RawData (GH)'!C984)</f>
        <v>1.5</v>
      </c>
      <c r="E984" s="9">
        <f>getApertureEnd('RawData (GH)'!C984)</f>
        <v>1.5</v>
      </c>
      <c r="F984" s="2">
        <f>getFiltersizeAsDouble('RawData (GH)'!D984)</f>
        <v>72</v>
      </c>
      <c r="G984" s="35">
        <f>getMagnification('RawData (GH)'!E984)</f>
        <v>0</v>
      </c>
      <c r="H984" s="62">
        <f>getMinimalFocus('RawData (GH)'!F984)</f>
        <v>0</v>
      </c>
      <c r="I984" t="str">
        <f>getMount('RawData (GH)'!G984)</f>
        <v>Pentax K</v>
      </c>
      <c r="J984" t="str">
        <f>getSensorCompatibility('RawData (GH)'!H984)</f>
        <v>APS-C/ Kleinbild</v>
      </c>
      <c r="K984" s="45">
        <f>getWeightAsDouble('RawData (GH)'!I984)</f>
        <v>550</v>
      </c>
      <c r="L984" s="34">
        <f>getSizeDiameter('RawData (GH)'!J984)</f>
        <v>78</v>
      </c>
      <c r="M984" s="34">
        <f>getSizeLength('RawData (GH)'!J984)</f>
        <v>73.2</v>
      </c>
    </row>
    <row r="985" spans="1:13" x14ac:dyDescent="0.25">
      <c r="A985" t="str">
        <f>'RawData (GH)'!A985</f>
        <v>Samyang 85mm T1.5 AS IF UMC II VDSLR für Samsung NX schwarz</v>
      </c>
      <c r="B985" s="5">
        <f>getFocalLengthStart('RawData (GH)'!B985)</f>
        <v>85</v>
      </c>
      <c r="C985" s="5">
        <f>getFocalLengthEnd('RawData (GH)'!B985)</f>
        <v>85</v>
      </c>
      <c r="D985" s="9">
        <f>getApertureStart('RawData (GH)'!C985)</f>
        <v>1.5</v>
      </c>
      <c r="E985" s="9">
        <f>getApertureEnd('RawData (GH)'!C985)</f>
        <v>1.5</v>
      </c>
      <c r="F985" s="2">
        <f>getFiltersizeAsDouble('RawData (GH)'!D985)</f>
        <v>72</v>
      </c>
      <c r="G985" s="35">
        <f>getMagnification('RawData (GH)'!E985)</f>
        <v>0</v>
      </c>
      <c r="H985" s="62">
        <f>getMinimalFocus('RawData (GH)'!F985)</f>
        <v>0</v>
      </c>
      <c r="I985" t="str">
        <f>getMount('RawData (GH)'!G985)</f>
        <v>Samsung NX</v>
      </c>
      <c r="J985" t="str">
        <f>getSensorCompatibility('RawData (GH)'!H985)</f>
        <v>APS-C</v>
      </c>
      <c r="K985" s="45">
        <f>getWeightAsDouble('RawData (GH)'!I985)</f>
        <v>595</v>
      </c>
      <c r="L985" s="34">
        <f>getSizeDiameter('RawData (GH)'!J985)</f>
        <v>78</v>
      </c>
      <c r="M985" s="34">
        <f>getSizeLength('RawData (GH)'!J985)</f>
        <v>93.2</v>
      </c>
    </row>
    <row r="986" spans="1:13" x14ac:dyDescent="0.25">
      <c r="A986" t="str">
        <f>'RawData (GH)'!A986</f>
        <v>Samyang 85mm T1.5 AS IF UMC II VDSLR für Sony A schwarz</v>
      </c>
      <c r="B986" s="5">
        <f>getFocalLengthStart('RawData (GH)'!B986)</f>
        <v>85</v>
      </c>
      <c r="C986" s="5">
        <f>getFocalLengthEnd('RawData (GH)'!B986)</f>
        <v>85</v>
      </c>
      <c r="D986" s="9">
        <f>getApertureStart('RawData (GH)'!C986)</f>
        <v>1.5</v>
      </c>
      <c r="E986" s="9">
        <f>getApertureEnd('RawData (GH)'!C986)</f>
        <v>1.5</v>
      </c>
      <c r="F986" s="2">
        <f>getFiltersizeAsDouble('RawData (GH)'!D986)</f>
        <v>72</v>
      </c>
      <c r="G986" s="35">
        <f>getMagnification('RawData (GH)'!E986)</f>
        <v>0</v>
      </c>
      <c r="H986" s="62">
        <f>getMinimalFocus('RawData (GH)'!F986)</f>
        <v>0</v>
      </c>
      <c r="I986" t="str">
        <f>getMount('RawData (GH)'!G986)</f>
        <v>Sony A</v>
      </c>
      <c r="J986" t="str">
        <f>getSensorCompatibility('RawData (GH)'!H986)</f>
        <v>APS-C/ Kleinbild</v>
      </c>
      <c r="K986" s="45">
        <f>getWeightAsDouble('RawData (GH)'!I986)</f>
        <v>570</v>
      </c>
      <c r="L986" s="34">
        <f>getSizeDiameter('RawData (GH)'!J986)</f>
        <v>78</v>
      </c>
      <c r="M986" s="34">
        <f>getSizeLength('RawData (GH)'!J986)</f>
        <v>74.2</v>
      </c>
    </row>
    <row r="987" spans="1:13" x14ac:dyDescent="0.25">
      <c r="A987" t="str">
        <f>'RawData (GH)'!A987</f>
        <v>Samyang 85mm T1.5 AS IF UMC II VDSLR für Sony E schwarz</v>
      </c>
      <c r="B987" s="5">
        <f>getFocalLengthStart('RawData (GH)'!B987)</f>
        <v>85</v>
      </c>
      <c r="C987" s="5">
        <f>getFocalLengthEnd('RawData (GH)'!B987)</f>
        <v>85</v>
      </c>
      <c r="D987" s="9">
        <f>getApertureStart('RawData (GH)'!C987)</f>
        <v>1.5</v>
      </c>
      <c r="E987" s="9">
        <f>getApertureEnd('RawData (GH)'!C987)</f>
        <v>1.5</v>
      </c>
      <c r="F987" s="2">
        <f>getFiltersizeAsDouble('RawData (GH)'!D987)</f>
        <v>72</v>
      </c>
      <c r="G987" s="35">
        <f>getMagnification('RawData (GH)'!E987)</f>
        <v>0</v>
      </c>
      <c r="H987" s="62">
        <f>getMinimalFocus('RawData (GH)'!F987)</f>
        <v>0</v>
      </c>
      <c r="I987" t="str">
        <f>getMount('RawData (GH)'!G987)</f>
        <v>Sony E</v>
      </c>
      <c r="J987" t="str">
        <f>getSensorCompatibility('RawData (GH)'!H987)</f>
        <v>APS-C/ Kleinbild</v>
      </c>
      <c r="K987" s="45">
        <f>getWeightAsDouble('RawData (GH)'!I987)</f>
        <v>605</v>
      </c>
      <c r="L987" s="34">
        <f>getSizeDiameter('RawData (GH)'!J987)</f>
        <v>78</v>
      </c>
      <c r="M987" s="34">
        <f>getSizeLength('RawData (GH)'!J987)</f>
        <v>100.7</v>
      </c>
    </row>
    <row r="988" spans="1:13" x14ac:dyDescent="0.25">
      <c r="A988" t="str">
        <f>'RawData (GH)'!A988</f>
        <v>Samyang 85mm T1.5 AS IF UMC VDSLR für Canon EF schwarz</v>
      </c>
      <c r="B988" s="5">
        <f>getFocalLengthStart('RawData (GH)'!B988)</f>
        <v>85</v>
      </c>
      <c r="C988" s="5">
        <f>getFocalLengthEnd('RawData (GH)'!B988)</f>
        <v>85</v>
      </c>
      <c r="D988" s="9">
        <f>getApertureStart('RawData (GH)'!C988)</f>
        <v>1.5</v>
      </c>
      <c r="E988" s="9">
        <f>getApertureEnd('RawData (GH)'!C988)</f>
        <v>1.5</v>
      </c>
      <c r="F988" s="2">
        <f>getFiltersizeAsDouble('RawData (GH)'!D988)</f>
        <v>0</v>
      </c>
      <c r="G988" s="35">
        <f>getMagnification('RawData (GH)'!E988)</f>
        <v>0</v>
      </c>
      <c r="H988" s="62">
        <f>getMinimalFocus('RawData (GH)'!F988)</f>
        <v>0</v>
      </c>
      <c r="I988" t="str">
        <f>getMount('RawData (GH)'!G988)</f>
        <v>Canon EF</v>
      </c>
      <c r="J988" t="str">
        <f>getSensorCompatibility('RawData (GH)'!H988)</f>
        <v>APS-C/ Kleinbild</v>
      </c>
      <c r="K988" s="45">
        <f>getWeightAsDouble('RawData (GH)'!I988)</f>
        <v>577</v>
      </c>
      <c r="L988" s="34">
        <f>getSizeDiameter('RawData (GH)'!J988)</f>
        <v>78</v>
      </c>
      <c r="M988" s="34">
        <f>getSizeLength('RawData (GH)'!J988)</f>
        <v>75</v>
      </c>
    </row>
    <row r="989" spans="1:13" x14ac:dyDescent="0.25">
      <c r="A989" t="str">
        <f>'RawData (GH)'!A989</f>
        <v>Samyang 85mm T1.5 AS IF UMC VDSLR für Nikon F schwarz</v>
      </c>
      <c r="B989" s="5">
        <f>getFocalLengthStart('RawData (GH)'!B989)</f>
        <v>85</v>
      </c>
      <c r="C989" s="5">
        <f>getFocalLengthEnd('RawData (GH)'!B989)</f>
        <v>85</v>
      </c>
      <c r="D989" s="9">
        <f>getApertureStart('RawData (GH)'!C989)</f>
        <v>1.5</v>
      </c>
      <c r="E989" s="9">
        <f>getApertureEnd('RawData (GH)'!C989)</f>
        <v>1.5</v>
      </c>
      <c r="F989" s="2">
        <f>getFiltersizeAsDouble('RawData (GH)'!D989)</f>
        <v>0</v>
      </c>
      <c r="G989" s="35">
        <f>getMagnification('RawData (GH)'!E989)</f>
        <v>0</v>
      </c>
      <c r="H989" s="62">
        <f>getMinimalFocus('RawData (GH)'!F989)</f>
        <v>0</v>
      </c>
      <c r="I989" t="str">
        <f>getMount('RawData (GH)'!G989)</f>
        <v>Nikon F</v>
      </c>
      <c r="J989" t="str">
        <f>getSensorCompatibility('RawData (GH)'!H989)</f>
        <v>APS-C/ Kleinbild</v>
      </c>
      <c r="K989" s="45">
        <f>getWeightAsDouble('RawData (GH)'!I989)</f>
        <v>577</v>
      </c>
      <c r="L989" s="34">
        <f>getSizeDiameter('RawData (GH)'!J989)</f>
        <v>78</v>
      </c>
      <c r="M989" s="34">
        <f>getSizeLength('RawData (GH)'!J989)</f>
        <v>75</v>
      </c>
    </row>
    <row r="990" spans="1:13" x14ac:dyDescent="0.25">
      <c r="A990" t="str">
        <f>'RawData (GH)'!A990</f>
        <v>Samyang 85mm T1.5 AS IF UMC VDSLR für Sony A schwarz</v>
      </c>
      <c r="B990" s="5">
        <f>getFocalLengthStart('RawData (GH)'!B990)</f>
        <v>85</v>
      </c>
      <c r="C990" s="5">
        <f>getFocalLengthEnd('RawData (GH)'!B990)</f>
        <v>85</v>
      </c>
      <c r="D990" s="9">
        <f>getApertureStart('RawData (GH)'!C990)</f>
        <v>1.5</v>
      </c>
      <c r="E990" s="9">
        <f>getApertureEnd('RawData (GH)'!C990)</f>
        <v>1.5</v>
      </c>
      <c r="F990" s="2">
        <f>getFiltersizeAsDouble('RawData (GH)'!D990)</f>
        <v>0</v>
      </c>
      <c r="G990" s="35">
        <f>getMagnification('RawData (GH)'!E990)</f>
        <v>0</v>
      </c>
      <c r="H990" s="62">
        <f>getMinimalFocus('RawData (GH)'!F990)</f>
        <v>0</v>
      </c>
      <c r="I990" t="str">
        <f>getMount('RawData (GH)'!G990)</f>
        <v>Sony A</v>
      </c>
      <c r="J990" t="str">
        <f>getSensorCompatibility('RawData (GH)'!H990)</f>
        <v>APS-C/ Kleinbild</v>
      </c>
      <c r="K990" s="45">
        <f>getWeightAsDouble('RawData (GH)'!I990)</f>
        <v>577</v>
      </c>
      <c r="L990" s="34">
        <f>getSizeDiameter('RawData (GH)'!J990)</f>
        <v>78</v>
      </c>
      <c r="M990" s="34">
        <f>getSizeLength('RawData (GH)'!J990)</f>
        <v>75</v>
      </c>
    </row>
    <row r="991" spans="1:13" x14ac:dyDescent="0.25">
      <c r="A991" t="str">
        <f>'RawData (GH)'!A991</f>
        <v>Samyang 85mm T1.5 AS IF UMC VDSLR für Sony E schwarz</v>
      </c>
      <c r="B991" s="5">
        <f>getFocalLengthStart('RawData (GH)'!B991)</f>
        <v>85</v>
      </c>
      <c r="C991" s="5">
        <f>getFocalLengthEnd('RawData (GH)'!B991)</f>
        <v>85</v>
      </c>
      <c r="D991" s="9">
        <f>getApertureStart('RawData (GH)'!C991)</f>
        <v>1.5</v>
      </c>
      <c r="E991" s="9">
        <f>getApertureEnd('RawData (GH)'!C991)</f>
        <v>1.5</v>
      </c>
      <c r="F991" s="2">
        <f>getFiltersizeAsDouble('RawData (GH)'!D991)</f>
        <v>0</v>
      </c>
      <c r="G991" s="35">
        <f>getMagnification('RawData (GH)'!E991)</f>
        <v>0</v>
      </c>
      <c r="H991" s="62">
        <f>getMinimalFocus('RawData (GH)'!F991)</f>
        <v>0</v>
      </c>
      <c r="I991" t="str">
        <f>getMount('RawData (GH)'!G991)</f>
        <v>Sony E</v>
      </c>
      <c r="J991" t="str">
        <f>getSensorCompatibility('RawData (GH)'!H991)</f>
        <v>APS-C</v>
      </c>
      <c r="K991" s="45">
        <f>getWeightAsDouble('RawData (GH)'!I991)</f>
        <v>577</v>
      </c>
      <c r="L991" s="34">
        <f>getSizeDiameter('RawData (GH)'!J991)</f>
        <v>78</v>
      </c>
      <c r="M991" s="34">
        <f>getSizeLength('RawData (GH)'!J991)</f>
        <v>75</v>
      </c>
    </row>
    <row r="992" spans="1:13" x14ac:dyDescent="0.25">
      <c r="A992" t="str">
        <f>'RawData (GH)'!A992</f>
        <v>Samyang 8mm 2.8 ED AS IF UMC Fisheye für Samsung NX schwarz</v>
      </c>
      <c r="B992" s="5">
        <f>getFocalLengthStart('RawData (GH)'!B992)</f>
        <v>8</v>
      </c>
      <c r="C992" s="5">
        <f>getFocalLengthEnd('RawData (GH)'!B992)</f>
        <v>8</v>
      </c>
      <c r="D992" s="9">
        <f>getApertureStart('RawData (GH)'!C992)</f>
        <v>2.8</v>
      </c>
      <c r="E992" s="9">
        <f>getApertureEnd('RawData (GH)'!C992)</f>
        <v>2.8</v>
      </c>
      <c r="F992" s="2">
        <f>getFiltersizeAsDouble('RawData (GH)'!D992)</f>
        <v>0</v>
      </c>
      <c r="G992" s="35">
        <f>getMagnification('RawData (GH)'!E992)</f>
        <v>0</v>
      </c>
      <c r="H992" s="62">
        <f>getMinimalFocus('RawData (GH)'!F992)</f>
        <v>0</v>
      </c>
      <c r="I992" t="str">
        <f>getMount('RawData (GH)'!G992)</f>
        <v>Samsung NX</v>
      </c>
      <c r="J992" t="str">
        <f>getSensorCompatibility('RawData (GH)'!H992)</f>
        <v>APS-C</v>
      </c>
      <c r="K992" s="45">
        <f>getWeightAsDouble('RawData (GH)'!I992)</f>
        <v>203</v>
      </c>
      <c r="L992" s="34">
        <f>getSizeDiameter('RawData (GH)'!J992)</f>
        <v>60</v>
      </c>
      <c r="M992" s="34">
        <f>getSizeLength('RawData (GH)'!J992)</f>
        <v>48.3</v>
      </c>
    </row>
    <row r="993" spans="1:13" x14ac:dyDescent="0.25">
      <c r="A993" t="str">
        <f>'RawData (GH)'!A993</f>
        <v>Samyang 8mm 2.8 UMC Fisheye II für Canon EF-M schwarz</v>
      </c>
      <c r="B993" s="5">
        <f>getFocalLengthStart('RawData (GH)'!B993)</f>
        <v>8</v>
      </c>
      <c r="C993" s="5">
        <f>getFocalLengthEnd('RawData (GH)'!B993)</f>
        <v>8</v>
      </c>
      <c r="D993" s="9">
        <f>getApertureStart('RawData (GH)'!C993)</f>
        <v>2.8</v>
      </c>
      <c r="E993" s="9">
        <f>getApertureEnd('RawData (GH)'!C993)</f>
        <v>2.8</v>
      </c>
      <c r="F993" s="2">
        <f>getFiltersizeAsDouble('RawData (GH)'!D993)</f>
        <v>0</v>
      </c>
      <c r="G993" s="35">
        <f>getMagnification('RawData (GH)'!E993)</f>
        <v>0</v>
      </c>
      <c r="H993" s="62">
        <f>getMinimalFocus('RawData (GH)'!F993)</f>
        <v>0</v>
      </c>
      <c r="I993" t="str">
        <f>getMount('RawData (GH)'!G993)</f>
        <v>Canon EF-M</v>
      </c>
      <c r="J993" t="str">
        <f>getSensorCompatibility('RawData (GH)'!H993)</f>
        <v>APS-C</v>
      </c>
      <c r="K993" s="45">
        <f>getWeightAsDouble('RawData (GH)'!I993)</f>
        <v>260</v>
      </c>
      <c r="L993" s="34">
        <f>getSizeDiameter('RawData (GH)'!J993)</f>
        <v>60</v>
      </c>
      <c r="M993" s="34">
        <f>getSizeLength('RawData (GH)'!J993)</f>
        <v>64.400000000000006</v>
      </c>
    </row>
    <row r="994" spans="1:13" x14ac:dyDescent="0.25">
      <c r="A994" t="str">
        <f>'RawData (GH)'!A994</f>
        <v>Samyang 8mm 2.8 UMC Fisheye II für Canon EF-M silber</v>
      </c>
      <c r="B994" s="5">
        <f>getFocalLengthStart('RawData (GH)'!B994)</f>
        <v>8</v>
      </c>
      <c r="C994" s="5">
        <f>getFocalLengthEnd('RawData (GH)'!B994)</f>
        <v>8</v>
      </c>
      <c r="D994" s="9">
        <f>getApertureStart('RawData (GH)'!C994)</f>
        <v>2.8</v>
      </c>
      <c r="E994" s="9">
        <f>getApertureEnd('RawData (GH)'!C994)</f>
        <v>2.8</v>
      </c>
      <c r="F994" s="2">
        <f>getFiltersizeAsDouble('RawData (GH)'!D994)</f>
        <v>0</v>
      </c>
      <c r="G994" s="35">
        <f>getMagnification('RawData (GH)'!E994)</f>
        <v>0</v>
      </c>
      <c r="H994" s="62">
        <f>getMinimalFocus('RawData (GH)'!F994)</f>
        <v>0</v>
      </c>
      <c r="I994" t="str">
        <f>getMount('RawData (GH)'!G994)</f>
        <v>Canon EF-M</v>
      </c>
      <c r="J994" t="str">
        <f>getSensorCompatibility('RawData (GH)'!H994)</f>
        <v>APS-C</v>
      </c>
      <c r="K994" s="45">
        <f>getWeightAsDouble('RawData (GH)'!I994)</f>
        <v>260</v>
      </c>
      <c r="L994" s="34">
        <f>getSizeDiameter('RawData (GH)'!J994)</f>
        <v>60</v>
      </c>
      <c r="M994" s="34">
        <f>getSizeLength('RawData (GH)'!J994)</f>
        <v>64.400000000000006</v>
      </c>
    </row>
    <row r="995" spans="1:13" x14ac:dyDescent="0.25">
      <c r="A995" t="str">
        <f>'RawData (GH)'!A995</f>
        <v>Samyang 8mm 2.8 UMC Fisheye II für Fujifilm X schwarz</v>
      </c>
      <c r="B995" s="5">
        <f>getFocalLengthStart('RawData (GH)'!B995)</f>
        <v>8</v>
      </c>
      <c r="C995" s="5">
        <f>getFocalLengthEnd('RawData (GH)'!B995)</f>
        <v>8</v>
      </c>
      <c r="D995" s="9">
        <f>getApertureStart('RawData (GH)'!C995)</f>
        <v>2.8</v>
      </c>
      <c r="E995" s="9">
        <f>getApertureEnd('RawData (GH)'!C995)</f>
        <v>2.8</v>
      </c>
      <c r="F995" s="2">
        <f>getFiltersizeAsDouble('RawData (GH)'!D995)</f>
        <v>0</v>
      </c>
      <c r="G995" s="35">
        <f>getMagnification('RawData (GH)'!E995)</f>
        <v>0</v>
      </c>
      <c r="H995" s="62">
        <f>getMinimalFocus('RawData (GH)'!F995)</f>
        <v>0</v>
      </c>
      <c r="I995" t="str">
        <f>getMount('RawData (GH)'!G995)</f>
        <v>Fujifilm X</v>
      </c>
      <c r="J995" t="str">
        <f>getSensorCompatibility('RawData (GH)'!H995)</f>
        <v>APS-C</v>
      </c>
      <c r="K995" s="45">
        <f>getWeightAsDouble('RawData (GH)'!I995)</f>
        <v>275</v>
      </c>
      <c r="L995" s="34">
        <f>getSizeDiameter('RawData (GH)'!J995)</f>
        <v>60</v>
      </c>
      <c r="M995" s="34">
        <f>getSizeLength('RawData (GH)'!J995)</f>
        <v>64.8</v>
      </c>
    </row>
    <row r="996" spans="1:13" x14ac:dyDescent="0.25">
      <c r="A996" t="str">
        <f>'RawData (GH)'!A996</f>
        <v>Samyang 8mm 2.8 UMC Fisheye II für Fujifilm X silber</v>
      </c>
      <c r="B996" s="5">
        <f>getFocalLengthStart('RawData (GH)'!B996)</f>
        <v>8</v>
      </c>
      <c r="C996" s="5">
        <f>getFocalLengthEnd('RawData (GH)'!B996)</f>
        <v>8</v>
      </c>
      <c r="D996" s="9">
        <f>getApertureStart('RawData (GH)'!C996)</f>
        <v>2.8</v>
      </c>
      <c r="E996" s="9">
        <f>getApertureEnd('RawData (GH)'!C996)</f>
        <v>2.8</v>
      </c>
      <c r="F996" s="2">
        <f>getFiltersizeAsDouble('RawData (GH)'!D996)</f>
        <v>0</v>
      </c>
      <c r="G996" s="35">
        <f>getMagnification('RawData (GH)'!E996)</f>
        <v>0</v>
      </c>
      <c r="H996" s="62">
        <f>getMinimalFocus('RawData (GH)'!F996)</f>
        <v>0</v>
      </c>
      <c r="I996" t="str">
        <f>getMount('RawData (GH)'!G996)</f>
        <v>Fujifilm X</v>
      </c>
      <c r="J996" t="str">
        <f>getSensorCompatibility('RawData (GH)'!H996)</f>
        <v>APS-C</v>
      </c>
      <c r="K996" s="45">
        <f>getWeightAsDouble('RawData (GH)'!I996)</f>
        <v>275</v>
      </c>
      <c r="L996" s="34">
        <f>getSizeDiameter('RawData (GH)'!J996)</f>
        <v>60</v>
      </c>
      <c r="M996" s="34">
        <f>getSizeLength('RawData (GH)'!J996)</f>
        <v>64.8</v>
      </c>
    </row>
    <row r="997" spans="1:13" x14ac:dyDescent="0.25">
      <c r="A997" t="str">
        <f>'RawData (GH)'!A997</f>
        <v>Samyang 8mm 2.8 UMC Fisheye II für Samsung NX schwarz</v>
      </c>
      <c r="B997" s="5">
        <f>getFocalLengthStart('RawData (GH)'!B997)</f>
        <v>8</v>
      </c>
      <c r="C997" s="5">
        <f>getFocalLengthEnd('RawData (GH)'!B997)</f>
        <v>8</v>
      </c>
      <c r="D997" s="9">
        <f>getApertureStart('RawData (GH)'!C997)</f>
        <v>2.8</v>
      </c>
      <c r="E997" s="9">
        <f>getApertureEnd('RawData (GH)'!C997)</f>
        <v>2.8</v>
      </c>
      <c r="F997" s="2">
        <f>getFiltersizeAsDouble('RawData (GH)'!D997)</f>
        <v>0</v>
      </c>
      <c r="G997" s="35">
        <f>getMagnification('RawData (GH)'!E997)</f>
        <v>0</v>
      </c>
      <c r="H997" s="62">
        <f>getMinimalFocus('RawData (GH)'!F997)</f>
        <v>0</v>
      </c>
      <c r="I997" t="str">
        <f>getMount('RawData (GH)'!G997)</f>
        <v>Samsung NX</v>
      </c>
      <c r="J997" t="str">
        <f>getSensorCompatibility('RawData (GH)'!H997)</f>
        <v>APS-C</v>
      </c>
      <c r="K997" s="45">
        <f>getWeightAsDouble('RawData (GH)'!I997)</f>
        <v>250</v>
      </c>
      <c r="L997" s="34">
        <f>getSizeDiameter('RawData (GH)'!J997)</f>
        <v>60</v>
      </c>
      <c r="M997" s="34">
        <f>getSizeLength('RawData (GH)'!J997)</f>
        <v>57</v>
      </c>
    </row>
    <row r="998" spans="1:13" x14ac:dyDescent="0.25">
      <c r="A998" t="str">
        <f>'RawData (GH)'!A998</f>
        <v>Samyang 8mm 2.8 UMC Fisheye II für Samsung NX silber</v>
      </c>
      <c r="B998" s="5">
        <f>getFocalLengthStart('RawData (GH)'!B998)</f>
        <v>8</v>
      </c>
      <c r="C998" s="5">
        <f>getFocalLengthEnd('RawData (GH)'!B998)</f>
        <v>8</v>
      </c>
      <c r="D998" s="9">
        <f>getApertureStart('RawData (GH)'!C998)</f>
        <v>2.8</v>
      </c>
      <c r="E998" s="9">
        <f>getApertureEnd('RawData (GH)'!C998)</f>
        <v>2.8</v>
      </c>
      <c r="F998" s="2">
        <f>getFiltersizeAsDouble('RawData (GH)'!D998)</f>
        <v>0</v>
      </c>
      <c r="G998" s="35">
        <f>getMagnification('RawData (GH)'!E998)</f>
        <v>0</v>
      </c>
      <c r="H998" s="62">
        <f>getMinimalFocus('RawData (GH)'!F998)</f>
        <v>0</v>
      </c>
      <c r="I998" t="str">
        <f>getMount('RawData (GH)'!G998)</f>
        <v>Samsung NX</v>
      </c>
      <c r="J998" t="str">
        <f>getSensorCompatibility('RawData (GH)'!H998)</f>
        <v>APS-C</v>
      </c>
      <c r="K998" s="45">
        <f>getWeightAsDouble('RawData (GH)'!I998)</f>
        <v>250</v>
      </c>
      <c r="L998" s="34">
        <f>getSizeDiameter('RawData (GH)'!J998)</f>
        <v>60</v>
      </c>
      <c r="M998" s="34">
        <f>getSizeLength('RawData (GH)'!J998)</f>
        <v>57</v>
      </c>
    </row>
    <row r="999" spans="1:13" x14ac:dyDescent="0.25">
      <c r="A999" t="str">
        <f>'RawData (GH)'!A999</f>
        <v>Samyang 8mm 2.8 UMC Fisheye II für Sony E schwarz</v>
      </c>
      <c r="B999" s="5">
        <f>getFocalLengthStart('RawData (GH)'!B999)</f>
        <v>8</v>
      </c>
      <c r="C999" s="5">
        <f>getFocalLengthEnd('RawData (GH)'!B999)</f>
        <v>8</v>
      </c>
      <c r="D999" s="9">
        <f>getApertureStart('RawData (GH)'!C999)</f>
        <v>2.8</v>
      </c>
      <c r="E999" s="9">
        <f>getApertureEnd('RawData (GH)'!C999)</f>
        <v>2.8</v>
      </c>
      <c r="F999" s="2">
        <f>getFiltersizeAsDouble('RawData (GH)'!D999)</f>
        <v>0</v>
      </c>
      <c r="G999" s="35">
        <f>getMagnification('RawData (GH)'!E999)</f>
        <v>0</v>
      </c>
      <c r="H999" s="62">
        <f>getMinimalFocus('RawData (GH)'!F999)</f>
        <v>0</v>
      </c>
      <c r="I999" t="str">
        <f>getMount('RawData (GH)'!G999)</f>
        <v>Sony E</v>
      </c>
      <c r="J999" t="str">
        <f>getSensorCompatibility('RawData (GH)'!H999)</f>
        <v>APS-C</v>
      </c>
      <c r="K999" s="45">
        <f>getWeightAsDouble('RawData (GH)'!I999)</f>
        <v>265</v>
      </c>
      <c r="L999" s="34">
        <f>getSizeDiameter('RawData (GH)'!J999)</f>
        <v>60</v>
      </c>
      <c r="M999" s="34">
        <f>getSizeLength('RawData (GH)'!J999)</f>
        <v>64.5</v>
      </c>
    </row>
    <row r="1000" spans="1:13" x14ac:dyDescent="0.25">
      <c r="A1000" t="str">
        <f>'RawData (GH)'!A1000</f>
        <v>Samyang 8mm 2.8 UMC Fisheye II für Sony E silber</v>
      </c>
      <c r="B1000" s="5">
        <f>getFocalLengthStart('RawData (GH)'!B1000)</f>
        <v>8</v>
      </c>
      <c r="C1000" s="5">
        <f>getFocalLengthEnd('RawData (GH)'!B1000)</f>
        <v>8</v>
      </c>
      <c r="D1000" s="9">
        <f>getApertureStart('RawData (GH)'!C1000)</f>
        <v>2.8</v>
      </c>
      <c r="E1000" s="9">
        <f>getApertureEnd('RawData (GH)'!C1000)</f>
        <v>2.8</v>
      </c>
      <c r="F1000" s="2">
        <f>getFiltersizeAsDouble('RawData (GH)'!D1000)</f>
        <v>0</v>
      </c>
      <c r="G1000" s="35">
        <f>getMagnification('RawData (GH)'!E1000)</f>
        <v>0</v>
      </c>
      <c r="H1000" s="62">
        <f>getMinimalFocus('RawData (GH)'!F1000)</f>
        <v>0</v>
      </c>
      <c r="I1000" t="str">
        <f>getMount('RawData (GH)'!G1000)</f>
        <v>Sony E</v>
      </c>
      <c r="J1000" t="str">
        <f>getSensorCompatibility('RawData (GH)'!H1000)</f>
        <v>APS-C</v>
      </c>
      <c r="K1000" s="45">
        <f>getWeightAsDouble('RawData (GH)'!I1000)</f>
        <v>265</v>
      </c>
      <c r="L1000" s="34">
        <f>getSizeDiameter('RawData (GH)'!J1000)</f>
        <v>60</v>
      </c>
      <c r="M1000" s="34">
        <f>getSizeLength('RawData (GH)'!J1000)</f>
        <v>64.5</v>
      </c>
    </row>
    <row r="1001" spans="1:13" x14ac:dyDescent="0.25">
      <c r="A1001" t="str">
        <f>'RawData (GH)'!A1001</f>
        <v>Samyang 8mm 3.5 Asph IF MC Fisheye für Canon EF schwarz</v>
      </c>
      <c r="B1001" s="5">
        <f>getFocalLengthStart('RawData (GH)'!B1001)</f>
        <v>8</v>
      </c>
      <c r="C1001" s="5">
        <f>getFocalLengthEnd('RawData (GH)'!B1001)</f>
        <v>8</v>
      </c>
      <c r="D1001" s="9">
        <f>getApertureStart('RawData (GH)'!C1001)</f>
        <v>3.5</v>
      </c>
      <c r="E1001" s="9">
        <f>getApertureEnd('RawData (GH)'!C1001)</f>
        <v>3.5</v>
      </c>
      <c r="F1001" s="2">
        <f>getFiltersizeAsDouble('RawData (GH)'!D1001)</f>
        <v>0</v>
      </c>
      <c r="G1001" s="35">
        <f>getMagnification('RawData (GH)'!E1001)</f>
        <v>0</v>
      </c>
      <c r="H1001" s="62">
        <f>getMinimalFocus('RawData (GH)'!F1001)</f>
        <v>0</v>
      </c>
      <c r="I1001" t="str">
        <f>getMount('RawData (GH)'!G1001)</f>
        <v>Canon EF</v>
      </c>
      <c r="J1001" t="str">
        <f>getSensorCompatibility('RawData (GH)'!H1001)</f>
        <v>APS-C</v>
      </c>
      <c r="K1001" s="45">
        <f>getWeightAsDouble('RawData (GH)'!I1001)</f>
        <v>435</v>
      </c>
      <c r="L1001" s="34">
        <f>getSizeDiameter('RawData (GH)'!J1001)</f>
        <v>75</v>
      </c>
      <c r="M1001" s="34">
        <f>getSizeLength('RawData (GH)'!J1001)</f>
        <v>74.8</v>
      </c>
    </row>
    <row r="1002" spans="1:13" x14ac:dyDescent="0.25">
      <c r="A1002" t="str">
        <f>'RawData (GH)'!A1002</f>
        <v>Samyang 8mm 3.5 Asph IF MC Fisheye für Four-Thirds schwarz</v>
      </c>
      <c r="B1002" s="5">
        <f>getFocalLengthStart('RawData (GH)'!B1002)</f>
        <v>8</v>
      </c>
      <c r="C1002" s="5">
        <f>getFocalLengthEnd('RawData (GH)'!B1002)</f>
        <v>8</v>
      </c>
      <c r="D1002" s="9">
        <f>getApertureStart('RawData (GH)'!C1002)</f>
        <v>3.5</v>
      </c>
      <c r="E1002" s="9">
        <f>getApertureEnd('RawData (GH)'!C1002)</f>
        <v>3.5</v>
      </c>
      <c r="F1002" s="2">
        <f>getFiltersizeAsDouble('RawData (GH)'!D1002)</f>
        <v>0</v>
      </c>
      <c r="G1002" s="35">
        <f>getMagnification('RawData (GH)'!E1002)</f>
        <v>0</v>
      </c>
      <c r="H1002" s="62">
        <f>getMinimalFocus('RawData (GH)'!F1002)</f>
        <v>0</v>
      </c>
      <c r="I1002" t="str">
        <f>getMount('RawData (GH)'!G1002)</f>
        <v>Four-Thirds</v>
      </c>
      <c r="J1002" t="str">
        <f>getSensorCompatibility('RawData (GH)'!H1002)</f>
        <v>APS-C</v>
      </c>
      <c r="K1002" s="45">
        <f>getWeightAsDouble('RawData (GH)'!I1002)</f>
        <v>435</v>
      </c>
      <c r="L1002" s="34">
        <f>getSizeDiameter('RawData (GH)'!J1002)</f>
        <v>75</v>
      </c>
      <c r="M1002" s="34">
        <f>getSizeLength('RawData (GH)'!J1002)</f>
        <v>74.8</v>
      </c>
    </row>
    <row r="1003" spans="1:13" x14ac:dyDescent="0.25">
      <c r="A1003" t="str">
        <f>'RawData (GH)'!A1003</f>
        <v>Samyang 8mm 3.5 Asph IF MC Fisheye für Sony A schwarz</v>
      </c>
      <c r="B1003" s="5">
        <f>getFocalLengthStart('RawData (GH)'!B1003)</f>
        <v>8</v>
      </c>
      <c r="C1003" s="5">
        <f>getFocalLengthEnd('RawData (GH)'!B1003)</f>
        <v>8</v>
      </c>
      <c r="D1003" s="9">
        <f>getApertureStart('RawData (GH)'!C1003)</f>
        <v>3.5</v>
      </c>
      <c r="E1003" s="9">
        <f>getApertureEnd('RawData (GH)'!C1003)</f>
        <v>3.5</v>
      </c>
      <c r="F1003" s="2">
        <f>getFiltersizeAsDouble('RawData (GH)'!D1003)</f>
        <v>0</v>
      </c>
      <c r="G1003" s="35">
        <f>getMagnification('RawData (GH)'!E1003)</f>
        <v>0</v>
      </c>
      <c r="H1003" s="62">
        <f>getMinimalFocus('RawData (GH)'!F1003)</f>
        <v>0</v>
      </c>
      <c r="I1003" t="str">
        <f>getMount('RawData (GH)'!G1003)</f>
        <v>Sony A</v>
      </c>
      <c r="J1003" t="str">
        <f>getSensorCompatibility('RawData (GH)'!H1003)</f>
        <v>APS-C</v>
      </c>
      <c r="K1003" s="45">
        <f>getWeightAsDouble('RawData (GH)'!I1003)</f>
        <v>435</v>
      </c>
      <c r="L1003" s="34">
        <f>getSizeDiameter('RawData (GH)'!J1003)</f>
        <v>75</v>
      </c>
      <c r="M1003" s="34">
        <f>getSizeLength('RawData (GH)'!J1003)</f>
        <v>74.8</v>
      </c>
    </row>
    <row r="1004" spans="1:13" x14ac:dyDescent="0.25">
      <c r="A1004" t="str">
        <f>'RawData (GH)'!A1004</f>
        <v>Samyang 8mm 3.5 Asph IF MC Fisheye für Sony E schwarz</v>
      </c>
      <c r="B1004" s="5">
        <f>getFocalLengthStart('RawData (GH)'!B1004)</f>
        <v>8</v>
      </c>
      <c r="C1004" s="5">
        <f>getFocalLengthEnd('RawData (GH)'!B1004)</f>
        <v>8</v>
      </c>
      <c r="D1004" s="9">
        <f>getApertureStart('RawData (GH)'!C1004)</f>
        <v>3.5</v>
      </c>
      <c r="E1004" s="9">
        <f>getApertureEnd('RawData (GH)'!C1004)</f>
        <v>3.5</v>
      </c>
      <c r="F1004" s="2">
        <f>getFiltersizeAsDouble('RawData (GH)'!D1004)</f>
        <v>0</v>
      </c>
      <c r="G1004" s="35">
        <f>getMagnification('RawData (GH)'!E1004)</f>
        <v>0</v>
      </c>
      <c r="H1004" s="62">
        <f>getMinimalFocus('RawData (GH)'!F1004)</f>
        <v>0</v>
      </c>
      <c r="I1004" t="str">
        <f>getMount('RawData (GH)'!G1004)</f>
        <v>Sony E</v>
      </c>
      <c r="J1004" t="str">
        <f>getSensorCompatibility('RawData (GH)'!H1004)</f>
        <v>APS-C</v>
      </c>
      <c r="K1004" s="45">
        <f>getWeightAsDouble('RawData (GH)'!I1004)</f>
        <v>435</v>
      </c>
      <c r="L1004" s="34">
        <f>getSizeDiameter('RawData (GH)'!J1004)</f>
        <v>75</v>
      </c>
      <c r="M1004" s="34">
        <f>getSizeLength('RawData (GH)'!J1004)</f>
        <v>74.8</v>
      </c>
    </row>
    <row r="1005" spans="1:13" x14ac:dyDescent="0.25">
      <c r="A1005" t="str">
        <f>'RawData (GH)'!A1005</f>
        <v>Samyang 8mm 3.5 UMC Fisheye CS II für Canon EF schwarz</v>
      </c>
      <c r="B1005" s="5">
        <f>getFocalLengthStart('RawData (GH)'!B1005)</f>
        <v>8</v>
      </c>
      <c r="C1005" s="5">
        <f>getFocalLengthEnd('RawData (GH)'!B1005)</f>
        <v>8</v>
      </c>
      <c r="D1005" s="9">
        <f>getApertureStart('RawData (GH)'!C1005)</f>
        <v>3.5</v>
      </c>
      <c r="E1005" s="9">
        <f>getApertureEnd('RawData (GH)'!C1005)</f>
        <v>3.5</v>
      </c>
      <c r="F1005" s="2">
        <f>getFiltersizeAsDouble('RawData (GH)'!D1005)</f>
        <v>0</v>
      </c>
      <c r="G1005" s="35">
        <f>getMagnification('RawData (GH)'!E1005)</f>
        <v>0</v>
      </c>
      <c r="H1005" s="62">
        <f>getMinimalFocus('RawData (GH)'!F1005)</f>
        <v>0</v>
      </c>
      <c r="I1005" t="str">
        <f>getMount('RawData (GH)'!G1005)</f>
        <v>Canon EF</v>
      </c>
      <c r="J1005" t="str">
        <f>getSensorCompatibility('RawData (GH)'!H1005)</f>
        <v>APS-C</v>
      </c>
      <c r="K1005" s="45">
        <f>getWeightAsDouble('RawData (GH)'!I1005)</f>
        <v>440</v>
      </c>
      <c r="L1005" s="34">
        <f>getSizeDiameter('RawData (GH)'!J1005)</f>
        <v>77.8</v>
      </c>
      <c r="M1005" s="34">
        <f>getSizeLength('RawData (GH)'!J1005)</f>
        <v>75.099999999999994</v>
      </c>
    </row>
    <row r="1006" spans="1:13" x14ac:dyDescent="0.25">
      <c r="A1006" t="str">
        <f>'RawData (GH)'!A1006</f>
        <v>Samyang 8mm 3.5 UMC Fisheye CS II für Canon EF-M schwarz</v>
      </c>
      <c r="B1006" s="5">
        <f>getFocalLengthStart('RawData (GH)'!B1006)</f>
        <v>8</v>
      </c>
      <c r="C1006" s="5">
        <f>getFocalLengthEnd('RawData (GH)'!B1006)</f>
        <v>8</v>
      </c>
      <c r="D1006" s="9">
        <f>getApertureStart('RawData (GH)'!C1006)</f>
        <v>3.5</v>
      </c>
      <c r="E1006" s="9">
        <f>getApertureEnd('RawData (GH)'!C1006)</f>
        <v>3.5</v>
      </c>
      <c r="F1006" s="2">
        <f>getFiltersizeAsDouble('RawData (GH)'!D1006)</f>
        <v>0</v>
      </c>
      <c r="G1006" s="35">
        <f>getMagnification('RawData (GH)'!E1006)</f>
        <v>0</v>
      </c>
      <c r="H1006" s="62">
        <f>getMinimalFocus('RawData (GH)'!F1006)</f>
        <v>0</v>
      </c>
      <c r="I1006" t="str">
        <f>getMount('RawData (GH)'!G1006)</f>
        <v>Canon EF-M</v>
      </c>
      <c r="J1006" t="str">
        <f>getSensorCompatibility('RawData (GH)'!H1006)</f>
        <v>APS-C</v>
      </c>
      <c r="K1006" s="45">
        <f>getWeightAsDouble('RawData (GH)'!I1006)</f>
        <v>460</v>
      </c>
      <c r="L1006" s="34">
        <f>getSizeDiameter('RawData (GH)'!J1006)</f>
        <v>77.8</v>
      </c>
      <c r="M1006" s="34">
        <f>getSizeLength('RawData (GH)'!J1006)</f>
        <v>101</v>
      </c>
    </row>
    <row r="1007" spans="1:13" x14ac:dyDescent="0.25">
      <c r="A1007" t="str">
        <f>'RawData (GH)'!A1007</f>
        <v>Samyang 8mm 3.5 UMC Fisheye CS II für Four-Thirds schwarz</v>
      </c>
      <c r="B1007" s="5">
        <f>getFocalLengthStart('RawData (GH)'!B1007)</f>
        <v>8</v>
      </c>
      <c r="C1007" s="5">
        <f>getFocalLengthEnd('RawData (GH)'!B1007)</f>
        <v>8</v>
      </c>
      <c r="D1007" s="9">
        <f>getApertureStart('RawData (GH)'!C1007)</f>
        <v>3.5</v>
      </c>
      <c r="E1007" s="9">
        <f>getApertureEnd('RawData (GH)'!C1007)</f>
        <v>3.5</v>
      </c>
      <c r="F1007" s="2">
        <f>getFiltersizeAsDouble('RawData (GH)'!D1007)</f>
        <v>0</v>
      </c>
      <c r="G1007" s="35">
        <f>getMagnification('RawData (GH)'!E1007)</f>
        <v>0</v>
      </c>
      <c r="H1007" s="62">
        <f>getMinimalFocus('RawData (GH)'!F1007)</f>
        <v>0</v>
      </c>
      <c r="I1007" t="str">
        <f>getMount('RawData (GH)'!G1007)</f>
        <v>Four-Thirds</v>
      </c>
      <c r="J1007" t="str">
        <f>getSensorCompatibility('RawData (GH)'!H1007)</f>
        <v>Four-Thirds</v>
      </c>
      <c r="K1007" s="45">
        <f>getWeightAsDouble('RawData (GH)'!I1007)</f>
        <v>430</v>
      </c>
      <c r="L1007" s="34">
        <f>getSizeDiameter('RawData (GH)'!J1007)</f>
        <v>77.8</v>
      </c>
      <c r="M1007" s="34">
        <f>getSizeLength('RawData (GH)'!J1007)</f>
        <v>80.400000000000006</v>
      </c>
    </row>
    <row r="1008" spans="1:13" x14ac:dyDescent="0.25">
      <c r="A1008" t="str">
        <f>'RawData (GH)'!A1008</f>
        <v>Samyang 8mm 3.5 UMC Fisheye CS II für Fujifilm X schwarz</v>
      </c>
      <c r="B1008" s="5">
        <f>getFocalLengthStart('RawData (GH)'!B1008)</f>
        <v>8</v>
      </c>
      <c r="C1008" s="5">
        <f>getFocalLengthEnd('RawData (GH)'!B1008)</f>
        <v>8</v>
      </c>
      <c r="D1008" s="9">
        <f>getApertureStart('RawData (GH)'!C1008)</f>
        <v>3.5</v>
      </c>
      <c r="E1008" s="9">
        <f>getApertureEnd('RawData (GH)'!C1008)</f>
        <v>3.5</v>
      </c>
      <c r="F1008" s="2">
        <f>getFiltersizeAsDouble('RawData (GH)'!D1008)</f>
        <v>0</v>
      </c>
      <c r="G1008" s="35">
        <f>getMagnification('RawData (GH)'!E1008)</f>
        <v>0</v>
      </c>
      <c r="H1008" s="62">
        <f>getMinimalFocus('RawData (GH)'!F1008)</f>
        <v>0</v>
      </c>
      <c r="I1008" t="str">
        <f>getMount('RawData (GH)'!G1008)</f>
        <v>Fujifilm X</v>
      </c>
      <c r="J1008" t="str">
        <f>getSensorCompatibility('RawData (GH)'!H1008)</f>
        <v>APS-C</v>
      </c>
      <c r="K1008" s="45">
        <f>getWeightAsDouble('RawData (GH)'!I1008)</f>
        <v>515</v>
      </c>
      <c r="L1008" s="34">
        <f>getSizeDiameter('RawData (GH)'!J1008)</f>
        <v>77.8</v>
      </c>
      <c r="M1008" s="34">
        <f>getSizeLength('RawData (GH)'!J1008)</f>
        <v>101.4</v>
      </c>
    </row>
    <row r="1009" spans="1:13" x14ac:dyDescent="0.25">
      <c r="A1009" t="str">
        <f>'RawData (GH)'!A1009</f>
        <v>Samyang 8mm 3.5 UMC Fisheye CS II für Micro-Four-Thirds schwarz</v>
      </c>
      <c r="B1009" s="5">
        <f>getFocalLengthStart('RawData (GH)'!B1009)</f>
        <v>8</v>
      </c>
      <c r="C1009" s="5">
        <f>getFocalLengthEnd('RawData (GH)'!B1009)</f>
        <v>8</v>
      </c>
      <c r="D1009" s="9">
        <f>getApertureStart('RawData (GH)'!C1009)</f>
        <v>3.5</v>
      </c>
      <c r="E1009" s="9">
        <f>getApertureEnd('RawData (GH)'!C1009)</f>
        <v>3.5</v>
      </c>
      <c r="F1009" s="2">
        <f>getFiltersizeAsDouble('RawData (GH)'!D1009)</f>
        <v>0</v>
      </c>
      <c r="G1009" s="35">
        <f>getMagnification('RawData (GH)'!E1009)</f>
        <v>0</v>
      </c>
      <c r="H1009" s="62">
        <f>getMinimalFocus('RawData (GH)'!F1009)</f>
        <v>0</v>
      </c>
      <c r="I1009" t="str">
        <f>getMount('RawData (GH)'!G1009)</f>
        <v>Micro-Four-Thirds</v>
      </c>
      <c r="J1009" t="str">
        <f>getSensorCompatibility('RawData (GH)'!H1009)</f>
        <v>Four-Thirds</v>
      </c>
      <c r="K1009" s="45">
        <f>getWeightAsDouble('RawData (GH)'!I1009)</f>
        <v>440</v>
      </c>
      <c r="L1009" s="34">
        <f>getSizeDiameter('RawData (GH)'!J1009)</f>
        <v>77.8</v>
      </c>
      <c r="M1009" s="34">
        <f>getSizeLength('RawData (GH)'!J1009)</f>
        <v>99.9</v>
      </c>
    </row>
    <row r="1010" spans="1:13" x14ac:dyDescent="0.25">
      <c r="A1010" t="str">
        <f>'RawData (GH)'!A1010</f>
        <v>Samyang 8mm 3.5 UMC Fisheye CS II für Nikon F schwarz</v>
      </c>
      <c r="B1010" s="5">
        <f>getFocalLengthStart('RawData (GH)'!B1010)</f>
        <v>8</v>
      </c>
      <c r="C1010" s="5">
        <f>getFocalLengthEnd('RawData (GH)'!B1010)</f>
        <v>8</v>
      </c>
      <c r="D1010" s="9">
        <f>getApertureStart('RawData (GH)'!C1010)</f>
        <v>3.5</v>
      </c>
      <c r="E1010" s="9">
        <f>getApertureEnd('RawData (GH)'!C1010)</f>
        <v>3.5</v>
      </c>
      <c r="F1010" s="2">
        <f>getFiltersizeAsDouble('RawData (GH)'!D1010)</f>
        <v>0</v>
      </c>
      <c r="G1010" s="35">
        <f>getMagnification('RawData (GH)'!E1010)</f>
        <v>0</v>
      </c>
      <c r="H1010" s="62">
        <f>getMinimalFocus('RawData (GH)'!F1010)</f>
        <v>0</v>
      </c>
      <c r="I1010" t="str">
        <f>getMount('RawData (GH)'!G1010)</f>
        <v>Nikon F</v>
      </c>
      <c r="J1010" t="str">
        <f>getSensorCompatibility('RawData (GH)'!H1010)</f>
        <v>APS-C</v>
      </c>
      <c r="K1010" s="45">
        <f>getWeightAsDouble('RawData (GH)'!I1010)</f>
        <v>410</v>
      </c>
      <c r="L1010" s="34">
        <f>getSizeDiameter('RawData (GH)'!J1010)</f>
        <v>77.8</v>
      </c>
      <c r="M1010" s="34">
        <f>getSizeLength('RawData (GH)'!J1010)</f>
        <v>72.599999999999994</v>
      </c>
    </row>
    <row r="1011" spans="1:13" x14ac:dyDescent="0.25">
      <c r="A1011" t="str">
        <f>'RawData (GH)'!A1011</f>
        <v>Samyang 8mm 3.5 UMC Fisheye CS II für Pentax K schwarz</v>
      </c>
      <c r="B1011" s="5">
        <f>getFocalLengthStart('RawData (GH)'!B1011)</f>
        <v>8</v>
      </c>
      <c r="C1011" s="5">
        <f>getFocalLengthEnd('RawData (GH)'!B1011)</f>
        <v>8</v>
      </c>
      <c r="D1011" s="9">
        <f>getApertureStart('RawData (GH)'!C1011)</f>
        <v>3.5</v>
      </c>
      <c r="E1011" s="9">
        <f>getApertureEnd('RawData (GH)'!C1011)</f>
        <v>3.5</v>
      </c>
      <c r="F1011" s="2">
        <f>getFiltersizeAsDouble('RawData (GH)'!D1011)</f>
        <v>0</v>
      </c>
      <c r="G1011" s="35">
        <f>getMagnification('RawData (GH)'!E1011)</f>
        <v>0</v>
      </c>
      <c r="H1011" s="62">
        <f>getMinimalFocus('RawData (GH)'!F1011)</f>
        <v>0</v>
      </c>
      <c r="I1011" t="str">
        <f>getMount('RawData (GH)'!G1011)</f>
        <v>Pentax K</v>
      </c>
      <c r="J1011" t="str">
        <f>getSensorCompatibility('RawData (GH)'!H1011)</f>
        <v>APS-C</v>
      </c>
      <c r="K1011" s="45">
        <f>getWeightAsDouble('RawData (GH)'!I1011)</f>
        <v>415</v>
      </c>
      <c r="L1011" s="34">
        <f>getSizeDiameter('RawData (GH)'!J1011)</f>
        <v>77.8</v>
      </c>
      <c r="M1011" s="34">
        <f>getSizeLength('RawData (GH)'!J1011)</f>
        <v>73.599999999999994</v>
      </c>
    </row>
    <row r="1012" spans="1:13" x14ac:dyDescent="0.25">
      <c r="A1012" t="str">
        <f>'RawData (GH)'!A1012</f>
        <v>Samyang 8mm 3.5 UMC Fisheye CS II für Samsung NX schwarz</v>
      </c>
      <c r="B1012" s="5">
        <f>getFocalLengthStart('RawData (GH)'!B1012)</f>
        <v>8</v>
      </c>
      <c r="C1012" s="5">
        <f>getFocalLengthEnd('RawData (GH)'!B1012)</f>
        <v>8</v>
      </c>
      <c r="D1012" s="9">
        <f>getApertureStart('RawData (GH)'!C1012)</f>
        <v>3.5</v>
      </c>
      <c r="E1012" s="9">
        <f>getApertureEnd('RawData (GH)'!C1012)</f>
        <v>3.5</v>
      </c>
      <c r="F1012" s="2">
        <f>getFiltersizeAsDouble('RawData (GH)'!D1012)</f>
        <v>0</v>
      </c>
      <c r="G1012" s="35">
        <f>getMagnification('RawData (GH)'!E1012)</f>
        <v>0</v>
      </c>
      <c r="H1012" s="62">
        <f>getMinimalFocus('RawData (GH)'!F1012)</f>
        <v>0</v>
      </c>
      <c r="I1012" t="str">
        <f>getMount('RawData (GH)'!G1012)</f>
        <v>Samsung NX</v>
      </c>
      <c r="J1012" t="str">
        <f>getSensorCompatibility('RawData (GH)'!H1012)</f>
        <v>APS-C</v>
      </c>
      <c r="K1012" s="45">
        <f>getWeightAsDouble('RawData (GH)'!I1012)</f>
        <v>465</v>
      </c>
      <c r="L1012" s="34">
        <f>getSizeDiameter('RawData (GH)'!J1012)</f>
        <v>77.8</v>
      </c>
      <c r="M1012" s="34">
        <f>getSizeLength('RawData (GH)'!J1012)</f>
        <v>93.6</v>
      </c>
    </row>
    <row r="1013" spans="1:13" x14ac:dyDescent="0.25">
      <c r="A1013" t="str">
        <f>'RawData (GH)'!A1013</f>
        <v>Samyang 8mm 3.5 UMC Fisheye CS II für Sony A schwarz</v>
      </c>
      <c r="B1013" s="5">
        <f>getFocalLengthStart('RawData (GH)'!B1013)</f>
        <v>8</v>
      </c>
      <c r="C1013" s="5">
        <f>getFocalLengthEnd('RawData (GH)'!B1013)</f>
        <v>8</v>
      </c>
      <c r="D1013" s="9">
        <f>getApertureStart('RawData (GH)'!C1013)</f>
        <v>3.5</v>
      </c>
      <c r="E1013" s="9">
        <f>getApertureEnd('RawData (GH)'!C1013)</f>
        <v>3.5</v>
      </c>
      <c r="F1013" s="2">
        <f>getFiltersizeAsDouble('RawData (GH)'!D1013)</f>
        <v>0</v>
      </c>
      <c r="G1013" s="35">
        <f>getMagnification('RawData (GH)'!E1013)</f>
        <v>0</v>
      </c>
      <c r="H1013" s="62">
        <f>getMinimalFocus('RawData (GH)'!F1013)</f>
        <v>0</v>
      </c>
      <c r="I1013" t="str">
        <f>getMount('RawData (GH)'!G1013)</f>
        <v>Sony A</v>
      </c>
      <c r="J1013" t="str">
        <f>getSensorCompatibility('RawData (GH)'!H1013)</f>
        <v>APS-C</v>
      </c>
      <c r="K1013" s="45">
        <f>getWeightAsDouble('RawData (GH)'!I1013)</f>
        <v>425</v>
      </c>
      <c r="L1013" s="34">
        <f>getSizeDiameter('RawData (GH)'!J1013)</f>
        <v>77.8</v>
      </c>
      <c r="M1013" s="34">
        <f>getSizeLength('RawData (GH)'!J1013)</f>
        <v>74.599999999999994</v>
      </c>
    </row>
    <row r="1014" spans="1:13" x14ac:dyDescent="0.25">
      <c r="A1014" t="str">
        <f>'RawData (GH)'!A1014</f>
        <v>Samyang 8mm 3.5 UMC Fisheye CS II für Sony E schwarz</v>
      </c>
      <c r="B1014" s="5">
        <f>getFocalLengthStart('RawData (GH)'!B1014)</f>
        <v>8</v>
      </c>
      <c r="C1014" s="5">
        <f>getFocalLengthEnd('RawData (GH)'!B1014)</f>
        <v>8</v>
      </c>
      <c r="D1014" s="9">
        <f>getApertureStart('RawData (GH)'!C1014)</f>
        <v>3.5</v>
      </c>
      <c r="E1014" s="9">
        <f>getApertureEnd('RawData (GH)'!C1014)</f>
        <v>3.5</v>
      </c>
      <c r="F1014" s="2">
        <f>getFiltersizeAsDouble('RawData (GH)'!D1014)</f>
        <v>0</v>
      </c>
      <c r="G1014" s="35">
        <f>getMagnification('RawData (GH)'!E1014)</f>
        <v>0</v>
      </c>
      <c r="H1014" s="62">
        <f>getMinimalFocus('RawData (GH)'!F1014)</f>
        <v>0</v>
      </c>
      <c r="I1014" t="str">
        <f>getMount('RawData (GH)'!G1014)</f>
        <v>Sony E</v>
      </c>
      <c r="J1014" t="str">
        <f>getSensorCompatibility('RawData (GH)'!H1014)</f>
        <v>APS-C</v>
      </c>
      <c r="K1014" s="45">
        <f>getWeightAsDouble('RawData (GH)'!I1014)</f>
        <v>450</v>
      </c>
      <c r="L1014" s="34">
        <f>getSizeDiameter('RawData (GH)'!J1014)</f>
        <v>77.8</v>
      </c>
      <c r="M1014" s="34">
        <f>getSizeLength('RawData (GH)'!J1014)</f>
        <v>101.1</v>
      </c>
    </row>
    <row r="1015" spans="1:13" x14ac:dyDescent="0.25">
      <c r="A1015" t="str">
        <f>'RawData (GH)'!A1015</f>
        <v>Samyang 8mm 3.8 Asph IF MC Fisheye CS VDSLR für Nikon F schwarz</v>
      </c>
      <c r="B1015" s="5">
        <f>getFocalLengthStart('RawData (GH)'!B1015)</f>
        <v>8</v>
      </c>
      <c r="C1015" s="5">
        <f>getFocalLengthEnd('RawData (GH)'!B1015)</f>
        <v>8</v>
      </c>
      <c r="D1015" s="9">
        <f>getApertureStart('RawData (GH)'!C1015)</f>
        <v>3.8</v>
      </c>
      <c r="E1015" s="9">
        <f>getApertureEnd('RawData (GH)'!C1015)</f>
        <v>3.8</v>
      </c>
      <c r="F1015" s="2">
        <f>getFiltersizeAsDouble('RawData (GH)'!D1015)</f>
        <v>0</v>
      </c>
      <c r="G1015" s="35">
        <f>getMagnification('RawData (GH)'!E1015)</f>
        <v>0</v>
      </c>
      <c r="H1015" s="62">
        <f>getMinimalFocus('RawData (GH)'!F1015)</f>
        <v>0</v>
      </c>
      <c r="I1015" t="str">
        <f>getMount('RawData (GH)'!G1015)</f>
        <v>Nikon F</v>
      </c>
      <c r="J1015" t="str">
        <f>getSensorCompatibility('RawData (GH)'!H1015)</f>
        <v>APS-C</v>
      </c>
      <c r="K1015" s="45">
        <f>getWeightAsDouble('RawData (GH)'!I1015)</f>
        <v>435</v>
      </c>
      <c r="L1015" s="34">
        <f>getSizeDiameter('RawData (GH)'!J1015)</f>
        <v>75</v>
      </c>
      <c r="M1015" s="34">
        <f>getSizeLength('RawData (GH)'!J1015)</f>
        <v>74.8</v>
      </c>
    </row>
    <row r="1016" spans="1:13" x14ac:dyDescent="0.25">
      <c r="A1016" t="str">
        <f>'RawData (GH)'!A1016</f>
        <v>Samyang 8mm T3.1 Cine UMC Fisheye II für Canon EF-M schwarz</v>
      </c>
      <c r="B1016" s="5">
        <f>getFocalLengthStart('RawData (GH)'!B1016)</f>
        <v>8</v>
      </c>
      <c r="C1016" s="5">
        <f>getFocalLengthEnd('RawData (GH)'!B1016)</f>
        <v>8</v>
      </c>
      <c r="D1016" s="9">
        <f>getApertureStart('RawData (GH)'!C1016)</f>
        <v>3.1</v>
      </c>
      <c r="E1016" s="9">
        <f>getApertureEnd('RawData (GH)'!C1016)</f>
        <v>3.1</v>
      </c>
      <c r="F1016" s="2">
        <f>getFiltersizeAsDouble('RawData (GH)'!D1016)</f>
        <v>0</v>
      </c>
      <c r="G1016" s="35">
        <f>getMagnification('RawData (GH)'!E1016)</f>
        <v>0</v>
      </c>
      <c r="H1016" s="62">
        <f>getMinimalFocus('RawData (GH)'!F1016)</f>
        <v>0</v>
      </c>
      <c r="I1016" t="str">
        <f>getMount('RawData (GH)'!G1016)</f>
        <v>Canon EF-M</v>
      </c>
      <c r="J1016" t="str">
        <f>getSensorCompatibility('RawData (GH)'!H1016)</f>
        <v>APS-C</v>
      </c>
      <c r="K1016" s="45">
        <f>getWeightAsDouble('RawData (GH)'!I1016)</f>
        <v>265</v>
      </c>
      <c r="L1016" s="34">
        <f>getSizeDiameter('RawData (GH)'!J1016)</f>
        <v>73.599999999999994</v>
      </c>
      <c r="M1016" s="34">
        <f>getSizeLength('RawData (GH)'!J1016)</f>
        <v>64.400000000000006</v>
      </c>
    </row>
    <row r="1017" spans="1:13" x14ac:dyDescent="0.25">
      <c r="A1017" t="str">
        <f>'RawData (GH)'!A1017</f>
        <v>Samyang 8mm T3.1 Cine UMC Fisheye II für Fujifilm X schwarz</v>
      </c>
      <c r="B1017" s="5">
        <f>getFocalLengthStart('RawData (GH)'!B1017)</f>
        <v>8</v>
      </c>
      <c r="C1017" s="5">
        <f>getFocalLengthEnd('RawData (GH)'!B1017)</f>
        <v>8</v>
      </c>
      <c r="D1017" s="9">
        <f>getApertureStart('RawData (GH)'!C1017)</f>
        <v>3.1</v>
      </c>
      <c r="E1017" s="9">
        <f>getApertureEnd('RawData (GH)'!C1017)</f>
        <v>3.1</v>
      </c>
      <c r="F1017" s="2">
        <f>getFiltersizeAsDouble('RawData (GH)'!D1017)</f>
        <v>0</v>
      </c>
      <c r="G1017" s="35">
        <f>getMagnification('RawData (GH)'!E1017)</f>
        <v>0</v>
      </c>
      <c r="H1017" s="62">
        <f>getMinimalFocus('RawData (GH)'!F1017)</f>
        <v>0</v>
      </c>
      <c r="I1017" t="str">
        <f>getMount('RawData (GH)'!G1017)</f>
        <v>Fujifilm X</v>
      </c>
      <c r="J1017" t="str">
        <f>getSensorCompatibility('RawData (GH)'!H1017)</f>
        <v>APS-C</v>
      </c>
      <c r="K1017" s="45">
        <f>getWeightAsDouble('RawData (GH)'!I1017)</f>
        <v>280</v>
      </c>
      <c r="L1017" s="34">
        <f>getSizeDiameter('RawData (GH)'!J1017)</f>
        <v>73.599999999999994</v>
      </c>
      <c r="M1017" s="34">
        <f>getSizeLength('RawData (GH)'!J1017)</f>
        <v>64.8</v>
      </c>
    </row>
    <row r="1018" spans="1:13" x14ac:dyDescent="0.25">
      <c r="A1018" t="str">
        <f>'RawData (GH)'!A1018</f>
        <v>Samyang 8mm T3.1 Cine UMC Fisheye II für Samsung NX schwarz</v>
      </c>
      <c r="B1018" s="5">
        <f>getFocalLengthStart('RawData (GH)'!B1018)</f>
        <v>8</v>
      </c>
      <c r="C1018" s="5">
        <f>getFocalLengthEnd('RawData (GH)'!B1018)</f>
        <v>8</v>
      </c>
      <c r="D1018" s="9">
        <f>getApertureStart('RawData (GH)'!C1018)</f>
        <v>3.1</v>
      </c>
      <c r="E1018" s="9">
        <f>getApertureEnd('RawData (GH)'!C1018)</f>
        <v>3.1</v>
      </c>
      <c r="F1018" s="2">
        <f>getFiltersizeAsDouble('RawData (GH)'!D1018)</f>
        <v>0</v>
      </c>
      <c r="G1018" s="35">
        <f>getMagnification('RawData (GH)'!E1018)</f>
        <v>0</v>
      </c>
      <c r="H1018" s="62">
        <f>getMinimalFocus('RawData (GH)'!F1018)</f>
        <v>0</v>
      </c>
      <c r="I1018" t="str">
        <f>getMount('RawData (GH)'!G1018)</f>
        <v>Samsung NX</v>
      </c>
      <c r="J1018" t="str">
        <f>getSensorCompatibility('RawData (GH)'!H1018)</f>
        <v>APS-C</v>
      </c>
      <c r="K1018" s="45">
        <f>getWeightAsDouble('RawData (GH)'!I1018)</f>
        <v>255</v>
      </c>
      <c r="L1018" s="34">
        <f>getSizeDiameter('RawData (GH)'!J1018)</f>
        <v>73.599999999999994</v>
      </c>
      <c r="M1018" s="34">
        <f>getSizeLength('RawData (GH)'!J1018)</f>
        <v>57</v>
      </c>
    </row>
    <row r="1019" spans="1:13" x14ac:dyDescent="0.25">
      <c r="A1019" t="str">
        <f>'RawData (GH)'!A1019</f>
        <v>Samyang 8mm T3.1 Cine UMC Fisheye II für Sony E schwarz</v>
      </c>
      <c r="B1019" s="5">
        <f>getFocalLengthStart('RawData (GH)'!B1019)</f>
        <v>8</v>
      </c>
      <c r="C1019" s="5">
        <f>getFocalLengthEnd('RawData (GH)'!B1019)</f>
        <v>8</v>
      </c>
      <c r="D1019" s="9">
        <f>getApertureStart('RawData (GH)'!C1019)</f>
        <v>3.1</v>
      </c>
      <c r="E1019" s="9">
        <f>getApertureEnd('RawData (GH)'!C1019)</f>
        <v>3.1</v>
      </c>
      <c r="F1019" s="2">
        <f>getFiltersizeAsDouble('RawData (GH)'!D1019)</f>
        <v>0</v>
      </c>
      <c r="G1019" s="35">
        <f>getMagnification('RawData (GH)'!E1019)</f>
        <v>0</v>
      </c>
      <c r="H1019" s="62">
        <f>getMinimalFocus('RawData (GH)'!F1019)</f>
        <v>0</v>
      </c>
      <c r="I1019" t="str">
        <f>getMount('RawData (GH)'!G1019)</f>
        <v>Sony E</v>
      </c>
      <c r="J1019" t="str">
        <f>getSensorCompatibility('RawData (GH)'!H1019)</f>
        <v>APS-C</v>
      </c>
      <c r="K1019" s="45">
        <f>getWeightAsDouble('RawData (GH)'!I1019)</f>
        <v>270</v>
      </c>
      <c r="L1019" s="34">
        <f>getSizeDiameter('RawData (GH)'!J1019)</f>
        <v>73.599999999999994</v>
      </c>
      <c r="M1019" s="34">
        <f>getSizeLength('RawData (GH)'!J1019)</f>
        <v>64.5</v>
      </c>
    </row>
    <row r="1020" spans="1:13" x14ac:dyDescent="0.25">
      <c r="A1020" t="str">
        <f>'RawData (GH)'!A1020</f>
        <v>Samyang 8mm T3.8 UMC Fisheye CS II VDSLR für Canon EF schwarz</v>
      </c>
      <c r="B1020" s="5">
        <f>getFocalLengthStart('RawData (GH)'!B1020)</f>
        <v>8</v>
      </c>
      <c r="C1020" s="5">
        <f>getFocalLengthEnd('RawData (GH)'!B1020)</f>
        <v>8</v>
      </c>
      <c r="D1020" s="9">
        <f>getApertureStart('RawData (GH)'!C1020)</f>
        <v>3.8</v>
      </c>
      <c r="E1020" s="9">
        <f>getApertureEnd('RawData (GH)'!C1020)</f>
        <v>3.8</v>
      </c>
      <c r="F1020" s="2">
        <f>getFiltersizeAsDouble('RawData (GH)'!D1020)</f>
        <v>0</v>
      </c>
      <c r="G1020" s="35">
        <f>getMagnification('RawData (GH)'!E1020)</f>
        <v>0</v>
      </c>
      <c r="H1020" s="62">
        <f>getMinimalFocus('RawData (GH)'!F1020)</f>
        <v>0</v>
      </c>
      <c r="I1020" t="str">
        <f>getMount('RawData (GH)'!G1020)</f>
        <v>Canon EF</v>
      </c>
      <c r="J1020" t="str">
        <f>getSensorCompatibility('RawData (GH)'!H1020)</f>
        <v>APS-C</v>
      </c>
      <c r="K1020" s="45">
        <f>getWeightAsDouble('RawData (GH)'!I1020)</f>
        <v>455</v>
      </c>
      <c r="L1020" s="34">
        <f>getSizeDiameter('RawData (GH)'!J1020)</f>
        <v>77.8</v>
      </c>
      <c r="M1020" s="34">
        <f>getSizeLength('RawData (GH)'!J1020)</f>
        <v>75.099999999999994</v>
      </c>
    </row>
    <row r="1021" spans="1:13" x14ac:dyDescent="0.25">
      <c r="A1021" t="str">
        <f>'RawData (GH)'!A1021</f>
        <v>Samyang 8mm T3.8 UMC Fisheye CS II VDSLR für Canon EF-M schwarz</v>
      </c>
      <c r="B1021" s="5">
        <f>getFocalLengthStart('RawData (GH)'!B1021)</f>
        <v>8</v>
      </c>
      <c r="C1021" s="5">
        <f>getFocalLengthEnd('RawData (GH)'!B1021)</f>
        <v>8</v>
      </c>
      <c r="D1021" s="9">
        <f>getApertureStart('RawData (GH)'!C1021)</f>
        <v>3.8</v>
      </c>
      <c r="E1021" s="9">
        <f>getApertureEnd('RawData (GH)'!C1021)</f>
        <v>3.8</v>
      </c>
      <c r="F1021" s="2">
        <f>getFiltersizeAsDouble('RawData (GH)'!D1021)</f>
        <v>0</v>
      </c>
      <c r="G1021" s="35">
        <f>getMagnification('RawData (GH)'!E1021)</f>
        <v>0</v>
      </c>
      <c r="H1021" s="62">
        <f>getMinimalFocus('RawData (GH)'!F1021)</f>
        <v>0</v>
      </c>
      <c r="I1021" t="str">
        <f>getMount('RawData (GH)'!G1021)</f>
        <v>Canon EF-M</v>
      </c>
      <c r="J1021" t="str">
        <f>getSensorCompatibility('RawData (GH)'!H1021)</f>
        <v>APS-C</v>
      </c>
      <c r="K1021" s="45">
        <f>getWeightAsDouble('RawData (GH)'!I1021)</f>
        <v>470</v>
      </c>
      <c r="L1021" s="34">
        <f>getSizeDiameter('RawData (GH)'!J1021)</f>
        <v>77.8</v>
      </c>
      <c r="M1021" s="34">
        <f>getSizeLength('RawData (GH)'!J1021)</f>
        <v>101</v>
      </c>
    </row>
    <row r="1022" spans="1:13" x14ac:dyDescent="0.25">
      <c r="A1022" t="str">
        <f>'RawData (GH)'!A1022</f>
        <v>Samyang 8mm T3.8 UMC Fisheye CS II VDSLR für Four-Thirds schwarz</v>
      </c>
      <c r="B1022" s="5">
        <f>getFocalLengthStart('RawData (GH)'!B1022)</f>
        <v>8</v>
      </c>
      <c r="C1022" s="5">
        <f>getFocalLengthEnd('RawData (GH)'!B1022)</f>
        <v>8</v>
      </c>
      <c r="D1022" s="9">
        <f>getApertureStart('RawData (GH)'!C1022)</f>
        <v>3.8</v>
      </c>
      <c r="E1022" s="9">
        <f>getApertureEnd('RawData (GH)'!C1022)</f>
        <v>3.8</v>
      </c>
      <c r="F1022" s="2">
        <f>getFiltersizeAsDouble('RawData (GH)'!D1022)</f>
        <v>0</v>
      </c>
      <c r="G1022" s="35">
        <f>getMagnification('RawData (GH)'!E1022)</f>
        <v>0</v>
      </c>
      <c r="H1022" s="62">
        <f>getMinimalFocus('RawData (GH)'!F1022)</f>
        <v>0</v>
      </c>
      <c r="I1022" t="str">
        <f>getMount('RawData (GH)'!G1022)</f>
        <v>Four-Thirds</v>
      </c>
      <c r="J1022" t="str">
        <f>getSensorCompatibility('RawData (GH)'!H1022)</f>
        <v>Four-Thirds</v>
      </c>
      <c r="K1022" s="45">
        <f>getWeightAsDouble('RawData (GH)'!I1022)</f>
        <v>440</v>
      </c>
      <c r="L1022" s="34">
        <f>getSizeDiameter('RawData (GH)'!J1022)</f>
        <v>77.8</v>
      </c>
      <c r="M1022" s="34">
        <f>getSizeLength('RawData (GH)'!J1022)</f>
        <v>80.400000000000006</v>
      </c>
    </row>
    <row r="1023" spans="1:13" x14ac:dyDescent="0.25">
      <c r="A1023" t="str">
        <f>'RawData (GH)'!A1023</f>
        <v>Samyang 8mm T3.8 UMC Fisheye CS II VDSLR für Fujifilm X schwarz</v>
      </c>
      <c r="B1023" s="5">
        <f>getFocalLengthStart('RawData (GH)'!B1023)</f>
        <v>8</v>
      </c>
      <c r="C1023" s="5">
        <f>getFocalLengthEnd('RawData (GH)'!B1023)</f>
        <v>8</v>
      </c>
      <c r="D1023" s="9">
        <f>getApertureStart('RawData (GH)'!C1023)</f>
        <v>3.8</v>
      </c>
      <c r="E1023" s="9">
        <f>getApertureEnd('RawData (GH)'!C1023)</f>
        <v>3.8</v>
      </c>
      <c r="F1023" s="2">
        <f>getFiltersizeAsDouble('RawData (GH)'!D1023)</f>
        <v>0</v>
      </c>
      <c r="G1023" s="35">
        <f>getMagnification('RawData (GH)'!E1023)</f>
        <v>0</v>
      </c>
      <c r="H1023" s="62">
        <f>getMinimalFocus('RawData (GH)'!F1023)</f>
        <v>0</v>
      </c>
      <c r="I1023" t="str">
        <f>getMount('RawData (GH)'!G1023)</f>
        <v>Fujifilm X</v>
      </c>
      <c r="J1023" t="str">
        <f>getSensorCompatibility('RawData (GH)'!H1023)</f>
        <v>APS-C</v>
      </c>
      <c r="K1023" s="45">
        <f>getWeightAsDouble('RawData (GH)'!I1023)</f>
        <v>530</v>
      </c>
      <c r="L1023" s="34">
        <f>getSizeDiameter('RawData (GH)'!J1023)</f>
        <v>77.8</v>
      </c>
      <c r="M1023" s="34">
        <f>getSizeLength('RawData (GH)'!J1023)</f>
        <v>101.4</v>
      </c>
    </row>
    <row r="1024" spans="1:13" x14ac:dyDescent="0.25">
      <c r="A1024" t="str">
        <f>'RawData (GH)'!A1024</f>
        <v>Samyang 8mm T3.8 UMC Fisheye CS II VDSLR für Micro-Four-Thirds schwarz</v>
      </c>
      <c r="B1024" s="5">
        <f>getFocalLengthStart('RawData (GH)'!B1024)</f>
        <v>8</v>
      </c>
      <c r="C1024" s="5">
        <f>getFocalLengthEnd('RawData (GH)'!B1024)</f>
        <v>8</v>
      </c>
      <c r="D1024" s="9">
        <f>getApertureStart('RawData (GH)'!C1024)</f>
        <v>3.8</v>
      </c>
      <c r="E1024" s="9">
        <f>getApertureEnd('RawData (GH)'!C1024)</f>
        <v>3.8</v>
      </c>
      <c r="F1024" s="2">
        <f>getFiltersizeAsDouble('RawData (GH)'!D1024)</f>
        <v>0</v>
      </c>
      <c r="G1024" s="35">
        <f>getMagnification('RawData (GH)'!E1024)</f>
        <v>0</v>
      </c>
      <c r="H1024" s="62">
        <f>getMinimalFocus('RawData (GH)'!F1024)</f>
        <v>0</v>
      </c>
      <c r="I1024" t="str">
        <f>getMount('RawData (GH)'!G1024)</f>
        <v>Micro-Four-Thirds</v>
      </c>
      <c r="J1024" t="str">
        <f>getSensorCompatibility('RawData (GH)'!H1024)</f>
        <v>Four-Thirds</v>
      </c>
      <c r="K1024" s="45">
        <f>getWeightAsDouble('RawData (GH)'!I1024)</f>
        <v>450</v>
      </c>
      <c r="L1024" s="34">
        <f>getSizeDiameter('RawData (GH)'!J1024)</f>
        <v>77.8</v>
      </c>
      <c r="M1024" s="34">
        <f>getSizeLength('RawData (GH)'!J1024)</f>
        <v>99.9</v>
      </c>
    </row>
    <row r="1025" spans="1:13" x14ac:dyDescent="0.25">
      <c r="A1025" t="str">
        <f>'RawData (GH)'!A1025</f>
        <v>Samyang 8mm T3.8 UMC Fisheye CS II VDSLR für Nikon F schwarz</v>
      </c>
      <c r="B1025" s="5">
        <f>getFocalLengthStart('RawData (GH)'!B1025)</f>
        <v>8</v>
      </c>
      <c r="C1025" s="5">
        <f>getFocalLengthEnd('RawData (GH)'!B1025)</f>
        <v>8</v>
      </c>
      <c r="D1025" s="9">
        <f>getApertureStart('RawData (GH)'!C1025)</f>
        <v>3.8</v>
      </c>
      <c r="E1025" s="9">
        <f>getApertureEnd('RawData (GH)'!C1025)</f>
        <v>3.8</v>
      </c>
      <c r="F1025" s="2">
        <f>getFiltersizeAsDouble('RawData (GH)'!D1025)</f>
        <v>0</v>
      </c>
      <c r="G1025" s="35">
        <f>getMagnification('RawData (GH)'!E1025)</f>
        <v>0</v>
      </c>
      <c r="H1025" s="62">
        <f>getMinimalFocus('RawData (GH)'!F1025)</f>
        <v>0</v>
      </c>
      <c r="I1025" t="str">
        <f>getMount('RawData (GH)'!G1025)</f>
        <v>Nikon F</v>
      </c>
      <c r="J1025" t="str">
        <f>getSensorCompatibility('RawData (GH)'!H1025)</f>
        <v>APS-C</v>
      </c>
      <c r="K1025" s="45">
        <f>getWeightAsDouble('RawData (GH)'!I1025)</f>
        <v>430</v>
      </c>
      <c r="L1025" s="34">
        <f>getSizeDiameter('RawData (GH)'!J1025)</f>
        <v>77.8</v>
      </c>
      <c r="M1025" s="34">
        <f>getSizeLength('RawData (GH)'!J1025)</f>
        <v>72.599999999999994</v>
      </c>
    </row>
    <row r="1026" spans="1:13" x14ac:dyDescent="0.25">
      <c r="A1026" t="str">
        <f>'RawData (GH)'!A1026</f>
        <v>Samyang 8mm T3.8 UMC Fisheye CS II VDSLR für Pentax K schwarz</v>
      </c>
      <c r="B1026" s="5">
        <f>getFocalLengthStart('RawData (GH)'!B1026)</f>
        <v>8</v>
      </c>
      <c r="C1026" s="5">
        <f>getFocalLengthEnd('RawData (GH)'!B1026)</f>
        <v>8</v>
      </c>
      <c r="D1026" s="9">
        <f>getApertureStart('RawData (GH)'!C1026)</f>
        <v>3.8</v>
      </c>
      <c r="E1026" s="9">
        <f>getApertureEnd('RawData (GH)'!C1026)</f>
        <v>3.8</v>
      </c>
      <c r="F1026" s="2">
        <f>getFiltersizeAsDouble('RawData (GH)'!D1026)</f>
        <v>0</v>
      </c>
      <c r="G1026" s="35">
        <f>getMagnification('RawData (GH)'!E1026)</f>
        <v>0</v>
      </c>
      <c r="H1026" s="62">
        <f>getMinimalFocus('RawData (GH)'!F1026)</f>
        <v>0</v>
      </c>
      <c r="I1026" t="str">
        <f>getMount('RawData (GH)'!G1026)</f>
        <v>Pentax K</v>
      </c>
      <c r="J1026" t="str">
        <f>getSensorCompatibility('RawData (GH)'!H1026)</f>
        <v>APS-C</v>
      </c>
      <c r="K1026" s="45">
        <f>getWeightAsDouble('RawData (GH)'!I1026)</f>
        <v>415</v>
      </c>
      <c r="L1026" s="34">
        <f>getSizeDiameter('RawData (GH)'!J1026)</f>
        <v>77.8</v>
      </c>
      <c r="M1026" s="34">
        <f>getSizeLength('RawData (GH)'!J1026)</f>
        <v>73.599999999999994</v>
      </c>
    </row>
    <row r="1027" spans="1:13" x14ac:dyDescent="0.25">
      <c r="A1027" t="str">
        <f>'RawData (GH)'!A1027</f>
        <v>Samyang 8mm T3.8 UMC Fisheye CS II VDSLR für Samsung NX schwarz</v>
      </c>
      <c r="B1027" s="5">
        <f>getFocalLengthStart('RawData (GH)'!B1027)</f>
        <v>8</v>
      </c>
      <c r="C1027" s="5">
        <f>getFocalLengthEnd('RawData (GH)'!B1027)</f>
        <v>8</v>
      </c>
      <c r="D1027" s="9">
        <f>getApertureStart('RawData (GH)'!C1027)</f>
        <v>3.8</v>
      </c>
      <c r="E1027" s="9">
        <f>getApertureEnd('RawData (GH)'!C1027)</f>
        <v>3.8</v>
      </c>
      <c r="F1027" s="2">
        <f>getFiltersizeAsDouble('RawData (GH)'!D1027)</f>
        <v>0</v>
      </c>
      <c r="G1027" s="35">
        <f>getMagnification('RawData (GH)'!E1027)</f>
        <v>0</v>
      </c>
      <c r="H1027" s="62">
        <f>getMinimalFocus('RawData (GH)'!F1027)</f>
        <v>0</v>
      </c>
      <c r="I1027" t="str">
        <f>getMount('RawData (GH)'!G1027)</f>
        <v>Samsung NX</v>
      </c>
      <c r="J1027" t="str">
        <f>getSensorCompatibility('RawData (GH)'!H1027)</f>
        <v>APS-C</v>
      </c>
      <c r="K1027" s="45">
        <f>getWeightAsDouble('RawData (GH)'!I1027)</f>
        <v>475</v>
      </c>
      <c r="L1027" s="34">
        <f>getSizeDiameter('RawData (GH)'!J1027)</f>
        <v>77.8</v>
      </c>
      <c r="M1027" s="34">
        <f>getSizeLength('RawData (GH)'!J1027)</f>
        <v>93.6</v>
      </c>
    </row>
    <row r="1028" spans="1:13" x14ac:dyDescent="0.25">
      <c r="A1028" t="str">
        <f>'RawData (GH)'!A1028</f>
        <v>Samyang 8mm T3.8 UMC Fisheye CS II VDSLR für Sony A schwarz</v>
      </c>
      <c r="B1028" s="5">
        <f>getFocalLengthStart('RawData (GH)'!B1028)</f>
        <v>8</v>
      </c>
      <c r="C1028" s="5">
        <f>getFocalLengthEnd('RawData (GH)'!B1028)</f>
        <v>8</v>
      </c>
      <c r="D1028" s="9">
        <f>getApertureStart('RawData (GH)'!C1028)</f>
        <v>3.8</v>
      </c>
      <c r="E1028" s="9">
        <f>getApertureEnd('RawData (GH)'!C1028)</f>
        <v>3.8</v>
      </c>
      <c r="F1028" s="2">
        <f>getFiltersizeAsDouble('RawData (GH)'!D1028)</f>
        <v>0</v>
      </c>
      <c r="G1028" s="35">
        <f>getMagnification('RawData (GH)'!E1028)</f>
        <v>0</v>
      </c>
      <c r="H1028" s="62">
        <f>getMinimalFocus('RawData (GH)'!F1028)</f>
        <v>0</v>
      </c>
      <c r="I1028" t="str">
        <f>getMount('RawData (GH)'!G1028)</f>
        <v>Sony A</v>
      </c>
      <c r="J1028" t="str">
        <f>getSensorCompatibility('RawData (GH)'!H1028)</f>
        <v>APS-C</v>
      </c>
      <c r="K1028" s="45">
        <f>getWeightAsDouble('RawData (GH)'!I1028)</f>
        <v>435</v>
      </c>
      <c r="L1028" s="34">
        <f>getSizeDiameter('RawData (GH)'!J1028)</f>
        <v>77.8</v>
      </c>
      <c r="M1028" s="34">
        <f>getSizeLength('RawData (GH)'!J1028)</f>
        <v>74.599999999999994</v>
      </c>
    </row>
    <row r="1029" spans="1:13" x14ac:dyDescent="0.25">
      <c r="A1029" t="str">
        <f>'RawData (GH)'!A1029</f>
        <v>Samyang 8mm T3.8 UMC Fisheye CS II VDSLR für Sony E schwarz</v>
      </c>
      <c r="B1029" s="5">
        <f>getFocalLengthStart('RawData (GH)'!B1029)</f>
        <v>8</v>
      </c>
      <c r="C1029" s="5">
        <f>getFocalLengthEnd('RawData (GH)'!B1029)</f>
        <v>8</v>
      </c>
      <c r="D1029" s="9">
        <f>getApertureStart('RawData (GH)'!C1029)</f>
        <v>3.8</v>
      </c>
      <c r="E1029" s="9">
        <f>getApertureEnd('RawData (GH)'!C1029)</f>
        <v>3.8</v>
      </c>
      <c r="F1029" s="2">
        <f>getFiltersizeAsDouble('RawData (GH)'!D1029)</f>
        <v>0</v>
      </c>
      <c r="G1029" s="35">
        <f>getMagnification('RawData (GH)'!E1029)</f>
        <v>0</v>
      </c>
      <c r="H1029" s="62">
        <f>getMinimalFocus('RawData (GH)'!F1029)</f>
        <v>0</v>
      </c>
      <c r="I1029" t="str">
        <f>getMount('RawData (GH)'!G1029)</f>
        <v>Sony E</v>
      </c>
      <c r="J1029" t="str">
        <f>getSensorCompatibility('RawData (GH)'!H1029)</f>
        <v>APS-C</v>
      </c>
      <c r="K1029" s="45">
        <f>getWeightAsDouble('RawData (GH)'!I1029)</f>
        <v>465</v>
      </c>
      <c r="L1029" s="34">
        <f>getSizeDiameter('RawData (GH)'!J1029)</f>
        <v>77.8</v>
      </c>
      <c r="M1029" s="34">
        <f>getSizeLength('RawData (GH)'!J1029)</f>
        <v>101.1</v>
      </c>
    </row>
    <row r="1030" spans="1:13" x14ac:dyDescent="0.25">
      <c r="A1030" t="str">
        <f>'RawData (GH)'!A1030</f>
        <v>Samyang AE 16mm 2.0 ED AS UMC CS für Nikon F schwarz</v>
      </c>
      <c r="B1030" s="5">
        <f>getFocalLengthStart('RawData (GH)'!B1030)</f>
        <v>16</v>
      </c>
      <c r="C1030" s="5">
        <f>getFocalLengthEnd('RawData (GH)'!B1030)</f>
        <v>16</v>
      </c>
      <c r="D1030" s="9">
        <f>getApertureStart('RawData (GH)'!C1030)</f>
        <v>2</v>
      </c>
      <c r="E1030" s="9">
        <f>getApertureEnd('RawData (GH)'!C1030)</f>
        <v>2</v>
      </c>
      <c r="F1030" s="2">
        <f>getFiltersizeAsDouble('RawData (GH)'!D1030)</f>
        <v>77</v>
      </c>
      <c r="G1030" s="35">
        <f>getMagnification('RawData (GH)'!E1030)</f>
        <v>0</v>
      </c>
      <c r="H1030" s="62">
        <f>getMinimalFocus('RawData (GH)'!F1030)</f>
        <v>0</v>
      </c>
      <c r="I1030" t="str">
        <f>getMount('RawData (GH)'!G1030)</f>
        <v>Nikon F</v>
      </c>
      <c r="J1030" t="str">
        <f>getSensorCompatibility('RawData (GH)'!H1030)</f>
        <v>APS-C</v>
      </c>
      <c r="K1030" s="45">
        <f>getWeightAsDouble('RawData (GH)'!I1030)</f>
        <v>583</v>
      </c>
      <c r="L1030" s="34">
        <f>getSizeDiameter('RawData (GH)'!J1030)</f>
        <v>83</v>
      </c>
      <c r="M1030" s="34">
        <f>getSizeLength('RawData (GH)'!J1030)</f>
        <v>89.4</v>
      </c>
    </row>
    <row r="1031" spans="1:13" x14ac:dyDescent="0.25">
      <c r="A1031" t="str">
        <f>'RawData (GH)'!A1031</f>
        <v>Samyang AE 35mm 1.4 AS UMC für Canon EF schwarz</v>
      </c>
      <c r="B1031" s="5">
        <f>getFocalLengthStart('RawData (GH)'!B1031)</f>
        <v>35</v>
      </c>
      <c r="C1031" s="5">
        <f>getFocalLengthEnd('RawData (GH)'!B1031)</f>
        <v>35</v>
      </c>
      <c r="D1031" s="9">
        <f>getApertureStart('RawData (GH)'!C1031)</f>
        <v>1.4</v>
      </c>
      <c r="E1031" s="9">
        <f>getApertureEnd('RawData (GH)'!C1031)</f>
        <v>1.4</v>
      </c>
      <c r="F1031" s="2">
        <f>getFiltersizeAsDouble('RawData (GH)'!D1031)</f>
        <v>77</v>
      </c>
      <c r="G1031" s="35">
        <f>getMagnification('RawData (GH)'!E1031)</f>
        <v>0</v>
      </c>
      <c r="H1031" s="62">
        <f>getMinimalFocus('RawData (GH)'!F1031)</f>
        <v>0</v>
      </c>
      <c r="I1031" t="str">
        <f>getMount('RawData (GH)'!G1031)</f>
        <v>Canon EF</v>
      </c>
      <c r="J1031" t="str">
        <f>getSensorCompatibility('RawData (GH)'!H1031)</f>
        <v>APS-C/ Kleinbild</v>
      </c>
      <c r="K1031" s="45">
        <f>getWeightAsDouble('RawData (GH)'!I1031)</f>
        <v>660</v>
      </c>
      <c r="L1031" s="34">
        <f>getSizeDiameter('RawData (GH)'!J1031)</f>
        <v>83</v>
      </c>
      <c r="M1031" s="34">
        <f>getSizeLength('RawData (GH)'!J1031)</f>
        <v>111</v>
      </c>
    </row>
    <row r="1032" spans="1:13" x14ac:dyDescent="0.25">
      <c r="A1032" t="str">
        <f>'RawData (GH)'!A1032</f>
        <v>Samyang AE 35mm 1.4 AS UMC für Nikon F schwarz</v>
      </c>
      <c r="B1032" s="5">
        <f>getFocalLengthStart('RawData (GH)'!B1032)</f>
        <v>35</v>
      </c>
      <c r="C1032" s="5">
        <f>getFocalLengthEnd('RawData (GH)'!B1032)</f>
        <v>35</v>
      </c>
      <c r="D1032" s="9">
        <f>getApertureStart('RawData (GH)'!C1032)</f>
        <v>1.4</v>
      </c>
      <c r="E1032" s="9">
        <f>getApertureEnd('RawData (GH)'!C1032)</f>
        <v>1.4</v>
      </c>
      <c r="F1032" s="2">
        <f>getFiltersizeAsDouble('RawData (GH)'!D1032)</f>
        <v>77</v>
      </c>
      <c r="G1032" s="35">
        <f>getMagnification('RawData (GH)'!E1032)</f>
        <v>0</v>
      </c>
      <c r="H1032" s="62">
        <f>getMinimalFocus('RawData (GH)'!F1032)</f>
        <v>0</v>
      </c>
      <c r="I1032" t="str">
        <f>getMount('RawData (GH)'!G1032)</f>
        <v>Nikon F</v>
      </c>
      <c r="J1032" t="str">
        <f>getSensorCompatibility('RawData (GH)'!H1032)</f>
        <v>APS-C/ Kleinbild</v>
      </c>
      <c r="K1032" s="45">
        <f>getWeightAsDouble('RawData (GH)'!I1032)</f>
        <v>660</v>
      </c>
      <c r="L1032" s="34">
        <f>getSizeDiameter('RawData (GH)'!J1032)</f>
        <v>83</v>
      </c>
      <c r="M1032" s="34">
        <f>getSizeLength('RawData (GH)'!J1032)</f>
        <v>111</v>
      </c>
    </row>
    <row r="1033" spans="1:13" x14ac:dyDescent="0.25">
      <c r="A1033" t="str">
        <f>'RawData (GH)'!A1033</f>
        <v>Samyang AE 85mm 1.4 Asph IF für Nikon F schwarz</v>
      </c>
      <c r="B1033" s="5">
        <f>getFocalLengthStart('RawData (GH)'!B1033)</f>
        <v>85</v>
      </c>
      <c r="C1033" s="5">
        <f>getFocalLengthEnd('RawData (GH)'!B1033)</f>
        <v>85</v>
      </c>
      <c r="D1033" s="9">
        <f>getApertureStart('RawData (GH)'!C1033)</f>
        <v>1.4</v>
      </c>
      <c r="E1033" s="9">
        <f>getApertureEnd('RawData (GH)'!C1033)</f>
        <v>1.4</v>
      </c>
      <c r="F1033" s="2">
        <f>getFiltersizeAsDouble('RawData (GH)'!D1033)</f>
        <v>72</v>
      </c>
      <c r="G1033" s="35">
        <f>getMagnification('RawData (GH)'!E1033)</f>
        <v>0</v>
      </c>
      <c r="H1033" s="62">
        <f>getMinimalFocus('RawData (GH)'!F1033)</f>
        <v>0</v>
      </c>
      <c r="I1033" t="str">
        <f>getMount('RawData (GH)'!G1033)</f>
        <v>Nikon F</v>
      </c>
      <c r="J1033" t="str">
        <f>getSensorCompatibility('RawData (GH)'!H1033)</f>
        <v>APS-C/ Kleinbild</v>
      </c>
      <c r="K1033" s="45">
        <f>getWeightAsDouble('RawData (GH)'!I1033)</f>
        <v>513</v>
      </c>
      <c r="L1033" s="34">
        <f>getSizeDiameter('RawData (GH)'!J1033)</f>
        <v>78</v>
      </c>
      <c r="M1033" s="34">
        <f>getSizeLength('RawData (GH)'!J1033)</f>
        <v>72.2</v>
      </c>
    </row>
    <row r="1034" spans="1:13" x14ac:dyDescent="0.25">
      <c r="A1034" t="str">
        <f>'RawData (GH)'!A1034</f>
        <v>Samyang AF 14mm 2.8 FE ASP ED UMC für Sony E schwarz</v>
      </c>
      <c r="B1034" s="5">
        <f>getFocalLengthStart('RawData (GH)'!B1034)</f>
        <v>14</v>
      </c>
      <c r="C1034" s="5">
        <f>getFocalLengthEnd('RawData (GH)'!B1034)</f>
        <v>14</v>
      </c>
      <c r="D1034" s="9">
        <f>getApertureStart('RawData (GH)'!C1034)</f>
        <v>2.8</v>
      </c>
      <c r="E1034" s="9">
        <f>getApertureEnd('RawData (GH)'!C1034)</f>
        <v>2.8</v>
      </c>
      <c r="F1034" s="2">
        <f>getFiltersizeAsDouble('RawData (GH)'!D1034)</f>
        <v>0</v>
      </c>
      <c r="G1034" s="35">
        <f>getMagnification('RawData (GH)'!E1034)</f>
        <v>8.33</v>
      </c>
      <c r="H1034" s="62">
        <f>getMinimalFocus('RawData (GH)'!F1034)</f>
        <v>0</v>
      </c>
      <c r="I1034" t="str">
        <f>getMount('RawData (GH)'!G1034)</f>
        <v>Sony E</v>
      </c>
      <c r="J1034" t="str">
        <f>getSensorCompatibility('RawData (GH)'!H1034)</f>
        <v>APS-C/ Kleinbild</v>
      </c>
      <c r="K1034" s="45">
        <f>getWeightAsDouble('RawData (GH)'!I1034)</f>
        <v>505</v>
      </c>
      <c r="L1034" s="34">
        <f>getSizeDiameter('RawData (GH)'!J1034)</f>
        <v>85.5</v>
      </c>
      <c r="M1034" s="34">
        <f>getSizeLength('RawData (GH)'!J1034)</f>
        <v>97.5</v>
      </c>
    </row>
    <row r="1035" spans="1:13" x14ac:dyDescent="0.25">
      <c r="A1035" t="str">
        <f>'RawData (GH)'!A1035</f>
        <v>Samyang AF 35mm 1.4 FE für Sony E schwarz</v>
      </c>
      <c r="B1035" s="5">
        <f>getFocalLengthStart('RawData (GH)'!B1035)</f>
        <v>35</v>
      </c>
      <c r="C1035" s="5">
        <f>getFocalLengthEnd('RawData (GH)'!B1035)</f>
        <v>35</v>
      </c>
      <c r="D1035" s="9">
        <f>getApertureStart('RawData (GH)'!C1035)</f>
        <v>1.4</v>
      </c>
      <c r="E1035" s="9">
        <f>getApertureEnd('RawData (GH)'!C1035)</f>
        <v>1.4</v>
      </c>
      <c r="F1035" s="2">
        <f>getFiltersizeAsDouble('RawData (GH)'!D1035)</f>
        <v>67</v>
      </c>
      <c r="G1035" s="35">
        <f>getMagnification('RawData (GH)'!E1035)</f>
        <v>5.88</v>
      </c>
      <c r="H1035" s="62">
        <f>getMinimalFocus('RawData (GH)'!F1035)</f>
        <v>0</v>
      </c>
      <c r="I1035" t="str">
        <f>getMount('RawData (GH)'!G1035)</f>
        <v>Sony E</v>
      </c>
      <c r="J1035" t="str">
        <f>getSensorCompatibility('RawData (GH)'!H1035)</f>
        <v>APS-C/ Kleinbild</v>
      </c>
      <c r="K1035" s="45">
        <f>getWeightAsDouble('RawData (GH)'!I1035)</f>
        <v>645</v>
      </c>
      <c r="L1035" s="34">
        <f>getSizeDiameter('RawData (GH)'!J1035)</f>
        <v>75.900000000000006</v>
      </c>
      <c r="M1035" s="34">
        <f>getSizeLength('RawData (GH)'!J1035)</f>
        <v>115</v>
      </c>
    </row>
    <row r="1036" spans="1:13" x14ac:dyDescent="0.25">
      <c r="A1036" t="str">
        <f>'RawData (GH)'!A1036</f>
        <v>Samyang AF 35mm 2.8 FE für Sony E schwarz</v>
      </c>
      <c r="B1036" s="5">
        <f>getFocalLengthStart('RawData (GH)'!B1036)</f>
        <v>35</v>
      </c>
      <c r="C1036" s="5">
        <f>getFocalLengthEnd('RawData (GH)'!B1036)</f>
        <v>35</v>
      </c>
      <c r="D1036" s="9">
        <f>getApertureStart('RawData (GH)'!C1036)</f>
        <v>2.8</v>
      </c>
      <c r="E1036" s="9">
        <f>getApertureEnd('RawData (GH)'!C1036)</f>
        <v>2.8</v>
      </c>
      <c r="F1036" s="2">
        <f>getFiltersizeAsDouble('RawData (GH)'!D1036)</f>
        <v>49</v>
      </c>
      <c r="G1036" s="35">
        <f>getMagnification('RawData (GH)'!E1036)</f>
        <v>8.33</v>
      </c>
      <c r="H1036" s="62">
        <f>getMinimalFocus('RawData (GH)'!F1036)</f>
        <v>0</v>
      </c>
      <c r="I1036" t="str">
        <f>getMount('RawData (GH)'!G1036)</f>
        <v>Sony E</v>
      </c>
      <c r="J1036" t="str">
        <f>getSensorCompatibility('RawData (GH)'!H1036)</f>
        <v>APS-C/ Kleinbild</v>
      </c>
      <c r="K1036" s="45">
        <f>getWeightAsDouble('RawData (GH)'!I1036)</f>
        <v>85.6</v>
      </c>
      <c r="L1036" s="34">
        <f>getSizeDiameter('RawData (GH)'!J1036)</f>
        <v>61.8</v>
      </c>
      <c r="M1036" s="34">
        <f>getSizeLength('RawData (GH)'!J1036)</f>
        <v>33</v>
      </c>
    </row>
    <row r="1037" spans="1:13" x14ac:dyDescent="0.25">
      <c r="A1037" t="str">
        <f>'RawData (GH)'!A1037</f>
        <v>Samyang AF 50mm 1.4 FE für Sony E schwarz</v>
      </c>
      <c r="B1037" s="5">
        <f>getFocalLengthStart('RawData (GH)'!B1037)</f>
        <v>50</v>
      </c>
      <c r="C1037" s="5">
        <f>getFocalLengthEnd('RawData (GH)'!B1037)</f>
        <v>50</v>
      </c>
      <c r="D1037" s="9">
        <f>getApertureStart('RawData (GH)'!C1037)</f>
        <v>1.4</v>
      </c>
      <c r="E1037" s="9">
        <f>getApertureEnd('RawData (GH)'!C1037)</f>
        <v>1.4</v>
      </c>
      <c r="F1037" s="2">
        <f>getFiltersizeAsDouble('RawData (GH)'!D1037)</f>
        <v>67</v>
      </c>
      <c r="G1037" s="35">
        <f>getMagnification('RawData (GH)'!E1037)</f>
        <v>6.67</v>
      </c>
      <c r="H1037" s="62">
        <f>getMinimalFocus('RawData (GH)'!F1037)</f>
        <v>0</v>
      </c>
      <c r="I1037" t="str">
        <f>getMount('RawData (GH)'!G1037)</f>
        <v>Sony E</v>
      </c>
      <c r="J1037" t="str">
        <f>getSensorCompatibility('RawData (GH)'!H1037)</f>
        <v>APS-C/ Kleinbild</v>
      </c>
      <c r="K1037" s="45">
        <f>getWeightAsDouble('RawData (GH)'!I1037)</f>
        <v>585</v>
      </c>
      <c r="L1037" s="34">
        <f>getSizeDiameter('RawData (GH)'!J1037)</f>
        <v>73.5</v>
      </c>
      <c r="M1037" s="34">
        <f>getSizeLength('RawData (GH)'!J1037)</f>
        <v>97.7</v>
      </c>
    </row>
    <row r="1038" spans="1:13" x14ac:dyDescent="0.25">
      <c r="A1038" t="str">
        <f>'RawData (GH)'!A1038</f>
        <v>Samyang T-S 24mm 3.5 ED AS UMC für Canon EF schwarz</v>
      </c>
      <c r="B1038" s="5">
        <f>getFocalLengthStart('RawData (GH)'!B1038)</f>
        <v>24</v>
      </c>
      <c r="C1038" s="5">
        <f>getFocalLengthEnd('RawData (GH)'!B1038)</f>
        <v>24</v>
      </c>
      <c r="D1038" s="9">
        <f>getApertureStart('RawData (GH)'!C1038)</f>
        <v>3.5</v>
      </c>
      <c r="E1038" s="9">
        <f>getApertureEnd('RawData (GH)'!C1038)</f>
        <v>3.5</v>
      </c>
      <c r="F1038" s="2">
        <f>getFiltersizeAsDouble('RawData (GH)'!D1038)</f>
        <v>82</v>
      </c>
      <c r="G1038" s="35">
        <f>getMagnification('RawData (GH)'!E1038)</f>
        <v>0</v>
      </c>
      <c r="H1038" s="62">
        <f>getMinimalFocus('RawData (GH)'!F1038)</f>
        <v>0</v>
      </c>
      <c r="I1038" t="str">
        <f>getMount('RawData (GH)'!G1038)</f>
        <v>Canon EF</v>
      </c>
      <c r="J1038" t="str">
        <f>getSensorCompatibility('RawData (GH)'!H1038)</f>
        <v>APS-C/ Kleinbild</v>
      </c>
      <c r="K1038" s="45">
        <f>getWeightAsDouble('RawData (GH)'!I1038)</f>
        <v>680</v>
      </c>
      <c r="L1038" s="34">
        <f>getSizeDiameter('RawData (GH)'!J1038)</f>
        <v>86</v>
      </c>
      <c r="M1038" s="34">
        <f>getSizeLength('RawData (GH)'!J1038)</f>
        <v>112</v>
      </c>
    </row>
    <row r="1039" spans="1:13" x14ac:dyDescent="0.25">
      <c r="A1039" t="str">
        <f>'RawData (GH)'!A1039</f>
        <v>Samyang T-S 24mm 3.5 ED AS UMC für Fujifilm X schwarz</v>
      </c>
      <c r="B1039" s="5">
        <f>getFocalLengthStart('RawData (GH)'!B1039)</f>
        <v>24</v>
      </c>
      <c r="C1039" s="5">
        <f>getFocalLengthEnd('RawData (GH)'!B1039)</f>
        <v>24</v>
      </c>
      <c r="D1039" s="9">
        <f>getApertureStart('RawData (GH)'!C1039)</f>
        <v>3.5</v>
      </c>
      <c r="E1039" s="9">
        <f>getApertureEnd('RawData (GH)'!C1039)</f>
        <v>3.5</v>
      </c>
      <c r="F1039" s="2">
        <f>getFiltersizeAsDouble('RawData (GH)'!D1039)</f>
        <v>82</v>
      </c>
      <c r="G1039" s="35">
        <f>getMagnification('RawData (GH)'!E1039)</f>
        <v>0</v>
      </c>
      <c r="H1039" s="62">
        <f>getMinimalFocus('RawData (GH)'!F1039)</f>
        <v>0</v>
      </c>
      <c r="I1039" t="str">
        <f>getMount('RawData (GH)'!G1039)</f>
        <v>Fujifilm X</v>
      </c>
      <c r="J1039" t="str">
        <f>getSensorCompatibility('RawData (GH)'!H1039)</f>
        <v>APS-C</v>
      </c>
      <c r="K1039" s="45">
        <f>getWeightAsDouble('RawData (GH)'!I1039)</f>
        <v>745</v>
      </c>
      <c r="L1039" s="34">
        <f>getSizeDiameter('RawData (GH)'!J1039)</f>
        <v>86</v>
      </c>
      <c r="M1039" s="34">
        <f>getSizeLength('RawData (GH)'!J1039)</f>
        <v>136</v>
      </c>
    </row>
    <row r="1040" spans="1:13" x14ac:dyDescent="0.25">
      <c r="A1040" t="str">
        <f>'RawData (GH)'!A1040</f>
        <v>Samyang T-S 24mm 3.5 ED AS UMC für Nikon F schwarz</v>
      </c>
      <c r="B1040" s="5">
        <f>getFocalLengthStart('RawData (GH)'!B1040)</f>
        <v>24</v>
      </c>
      <c r="C1040" s="5">
        <f>getFocalLengthEnd('RawData (GH)'!B1040)</f>
        <v>24</v>
      </c>
      <c r="D1040" s="9">
        <f>getApertureStart('RawData (GH)'!C1040)</f>
        <v>3.5</v>
      </c>
      <c r="E1040" s="9">
        <f>getApertureEnd('RawData (GH)'!C1040)</f>
        <v>3.5</v>
      </c>
      <c r="F1040" s="2">
        <f>getFiltersizeAsDouble('RawData (GH)'!D1040)</f>
        <v>82</v>
      </c>
      <c r="G1040" s="35">
        <f>getMagnification('RawData (GH)'!E1040)</f>
        <v>0</v>
      </c>
      <c r="H1040" s="62">
        <f>getMinimalFocus('RawData (GH)'!F1040)</f>
        <v>0</v>
      </c>
      <c r="I1040" t="str">
        <f>getMount('RawData (GH)'!G1040)</f>
        <v>Nikon F</v>
      </c>
      <c r="J1040" t="str">
        <f>getSensorCompatibility('RawData (GH)'!H1040)</f>
        <v>APS-C/ Kleinbild</v>
      </c>
      <c r="K1040" s="45">
        <f>getWeightAsDouble('RawData (GH)'!I1040)</f>
        <v>680</v>
      </c>
      <c r="L1040" s="34">
        <f>getSizeDiameter('RawData (GH)'!J1040)</f>
        <v>86</v>
      </c>
      <c r="M1040" s="34">
        <f>getSizeLength('RawData (GH)'!J1040)</f>
        <v>112</v>
      </c>
    </row>
    <row r="1041" spans="1:13" x14ac:dyDescent="0.25">
      <c r="A1041" t="str">
        <f>'RawData (GH)'!A1041</f>
        <v>Samyang T-S 24mm 3.5 ED AS UMC für Pentax K schwarz</v>
      </c>
      <c r="B1041" s="5">
        <f>getFocalLengthStart('RawData (GH)'!B1041)</f>
        <v>24</v>
      </c>
      <c r="C1041" s="5">
        <f>getFocalLengthEnd('RawData (GH)'!B1041)</f>
        <v>24</v>
      </c>
      <c r="D1041" s="9">
        <f>getApertureStart('RawData (GH)'!C1041)</f>
        <v>3.5</v>
      </c>
      <c r="E1041" s="9">
        <f>getApertureEnd('RawData (GH)'!C1041)</f>
        <v>3.5</v>
      </c>
      <c r="F1041" s="2">
        <f>getFiltersizeAsDouble('RawData (GH)'!D1041)</f>
        <v>82</v>
      </c>
      <c r="G1041" s="35">
        <f>getMagnification('RawData (GH)'!E1041)</f>
        <v>0</v>
      </c>
      <c r="H1041" s="62">
        <f>getMinimalFocus('RawData (GH)'!F1041)</f>
        <v>0</v>
      </c>
      <c r="I1041" t="str">
        <f>getMount('RawData (GH)'!G1041)</f>
        <v>Pentax K</v>
      </c>
      <c r="J1041" t="str">
        <f>getSensorCompatibility('RawData (GH)'!H1041)</f>
        <v>APS-C/ Kleinbild</v>
      </c>
      <c r="K1041" s="45">
        <f>getWeightAsDouble('RawData (GH)'!I1041)</f>
        <v>680</v>
      </c>
      <c r="L1041" s="34">
        <f>getSizeDiameter('RawData (GH)'!J1041)</f>
        <v>86</v>
      </c>
      <c r="M1041" s="34">
        <f>getSizeLength('RawData (GH)'!J1041)</f>
        <v>112</v>
      </c>
    </row>
    <row r="1042" spans="1:13" x14ac:dyDescent="0.25">
      <c r="A1042" t="str">
        <f>'RawData (GH)'!A1042</f>
        <v>Samyang T-S 24mm 3.5 ED AS UMC für Sony A schwarz</v>
      </c>
      <c r="B1042" s="5">
        <f>getFocalLengthStart('RawData (GH)'!B1042)</f>
        <v>24</v>
      </c>
      <c r="C1042" s="5">
        <f>getFocalLengthEnd('RawData (GH)'!B1042)</f>
        <v>24</v>
      </c>
      <c r="D1042" s="9">
        <f>getApertureStart('RawData (GH)'!C1042)</f>
        <v>3.5</v>
      </c>
      <c r="E1042" s="9">
        <f>getApertureEnd('RawData (GH)'!C1042)</f>
        <v>3.5</v>
      </c>
      <c r="F1042" s="2">
        <f>getFiltersizeAsDouble('RawData (GH)'!D1042)</f>
        <v>82</v>
      </c>
      <c r="G1042" s="35">
        <f>getMagnification('RawData (GH)'!E1042)</f>
        <v>0</v>
      </c>
      <c r="H1042" s="62">
        <f>getMinimalFocus('RawData (GH)'!F1042)</f>
        <v>0</v>
      </c>
      <c r="I1042" t="str">
        <f>getMount('RawData (GH)'!G1042)</f>
        <v>Sony A</v>
      </c>
      <c r="J1042" t="str">
        <f>getSensorCompatibility('RawData (GH)'!H1042)</f>
        <v>APS-C/ Kleinbild</v>
      </c>
      <c r="K1042" s="45">
        <f>getWeightAsDouble('RawData (GH)'!I1042)</f>
        <v>680</v>
      </c>
      <c r="L1042" s="34">
        <f>getSizeDiameter('RawData (GH)'!J1042)</f>
        <v>86</v>
      </c>
      <c r="M1042" s="34">
        <f>getSizeLength('RawData (GH)'!J1042)</f>
        <v>112</v>
      </c>
    </row>
    <row r="1043" spans="1:13" x14ac:dyDescent="0.25">
      <c r="A1043" t="str">
        <f>'RawData (GH)'!A1043</f>
        <v>Samyang T-S 24mm 3.5 ED AS UMC für Sony E schwarz</v>
      </c>
      <c r="B1043" s="5">
        <f>getFocalLengthStart('RawData (GH)'!B1043)</f>
        <v>24</v>
      </c>
      <c r="C1043" s="5">
        <f>getFocalLengthEnd('RawData (GH)'!B1043)</f>
        <v>24</v>
      </c>
      <c r="D1043" s="9">
        <f>getApertureStart('RawData (GH)'!C1043)</f>
        <v>3.5</v>
      </c>
      <c r="E1043" s="9">
        <f>getApertureEnd('RawData (GH)'!C1043)</f>
        <v>3.5</v>
      </c>
      <c r="F1043" s="2">
        <f>getFiltersizeAsDouble('RawData (GH)'!D1043)</f>
        <v>82</v>
      </c>
      <c r="G1043" s="35">
        <f>getMagnification('RawData (GH)'!E1043)</f>
        <v>0</v>
      </c>
      <c r="H1043" s="62">
        <f>getMinimalFocus('RawData (GH)'!F1043)</f>
        <v>0</v>
      </c>
      <c r="I1043" t="str">
        <f>getMount('RawData (GH)'!G1043)</f>
        <v>Sony E</v>
      </c>
      <c r="J1043" t="str">
        <f>getSensorCompatibility('RawData (GH)'!H1043)</f>
        <v>APS-C</v>
      </c>
      <c r="K1043" s="45">
        <f>getWeightAsDouble('RawData (GH)'!I1043)</f>
        <v>680</v>
      </c>
      <c r="L1043" s="34">
        <f>getSizeDiameter('RawData (GH)'!J1043)</f>
        <v>86</v>
      </c>
      <c r="M1043" s="34">
        <f>getSizeLength('RawData (GH)'!J1043)</f>
        <v>112</v>
      </c>
    </row>
    <row r="1044" spans="1:13" x14ac:dyDescent="0.25">
      <c r="A1044" t="str">
        <f>'RawData (GH)'!A1044</f>
        <v>Samyang XEEN 135mm T2.2 für Canon EF schwarz</v>
      </c>
      <c r="B1044" s="5">
        <f>getFocalLengthStart('RawData (GH)'!B1044)</f>
        <v>135</v>
      </c>
      <c r="C1044" s="5">
        <f>getFocalLengthEnd('RawData (GH)'!B1044)</f>
        <v>135</v>
      </c>
      <c r="D1044" s="9">
        <f>getApertureStart('RawData (GH)'!C1044)</f>
        <v>2.2000000000000002</v>
      </c>
      <c r="E1044" s="9">
        <f>getApertureEnd('RawData (GH)'!C1044)</f>
        <v>2.2000000000000002</v>
      </c>
      <c r="F1044" s="2">
        <f>getFiltersizeAsDouble('RawData (GH)'!D1044)</f>
        <v>0</v>
      </c>
      <c r="G1044" s="35">
        <f>getMagnification('RawData (GH)'!E1044)</f>
        <v>0</v>
      </c>
      <c r="H1044" s="62">
        <f>getMinimalFocus('RawData (GH)'!F1044)</f>
        <v>0</v>
      </c>
      <c r="I1044" t="str">
        <f>getMount('RawData (GH)'!G1044)</f>
        <v>Canon EF</v>
      </c>
      <c r="J1044" t="str">
        <f>getSensorCompatibility('RawData (GH)'!H1044)</f>
        <v>APS-C/ Kleinbild</v>
      </c>
      <c r="K1044" s="45">
        <f>getWeightAsDouble('RawData (GH)'!I1044)</f>
        <v>1390</v>
      </c>
      <c r="L1044" s="34">
        <f>getSizeDiameter('RawData (GH)'!J1044)</f>
        <v>117.6</v>
      </c>
      <c r="M1044" s="34">
        <f>getSizeLength('RawData (GH)'!J1044)</f>
        <v>121.7</v>
      </c>
    </row>
    <row r="1045" spans="1:13" x14ac:dyDescent="0.25">
      <c r="A1045" t="str">
        <f>'RawData (GH)'!A1045</f>
        <v>Samyang XEEN 135mm T2.2 für Micro-Four-Thirds schwarz</v>
      </c>
      <c r="B1045" s="5">
        <f>getFocalLengthStart('RawData (GH)'!B1045)</f>
        <v>135</v>
      </c>
      <c r="C1045" s="5">
        <f>getFocalLengthEnd('RawData (GH)'!B1045)</f>
        <v>135</v>
      </c>
      <c r="D1045" s="9">
        <f>getApertureStart('RawData (GH)'!C1045)</f>
        <v>2.2000000000000002</v>
      </c>
      <c r="E1045" s="9">
        <f>getApertureEnd('RawData (GH)'!C1045)</f>
        <v>2.2000000000000002</v>
      </c>
      <c r="F1045" s="2">
        <f>getFiltersizeAsDouble('RawData (GH)'!D1045)</f>
        <v>0</v>
      </c>
      <c r="G1045" s="35">
        <f>getMagnification('RawData (GH)'!E1045)</f>
        <v>0</v>
      </c>
      <c r="H1045" s="62">
        <f>getMinimalFocus('RawData (GH)'!F1045)</f>
        <v>0</v>
      </c>
      <c r="I1045" t="str">
        <f>getMount('RawData (GH)'!G1045)</f>
        <v>Micro-Four-Thirds</v>
      </c>
      <c r="J1045" t="str">
        <f>getSensorCompatibility('RawData (GH)'!H1045)</f>
        <v>Micro-Four-Thirds</v>
      </c>
      <c r="K1045" s="45">
        <f>getWeightAsDouble('RawData (GH)'!I1045)</f>
        <v>1410</v>
      </c>
      <c r="L1045" s="34">
        <f>getSizeDiameter('RawData (GH)'!J1045)</f>
        <v>117.6</v>
      </c>
      <c r="M1045" s="34">
        <f>getSizeLength('RawData (GH)'!J1045)</f>
        <v>146.5</v>
      </c>
    </row>
    <row r="1046" spans="1:13" x14ac:dyDescent="0.25">
      <c r="A1046" t="str">
        <f>'RawData (GH)'!A1046</f>
        <v>Samyang XEEN 135mm T2.2 für Nikon F schwarz</v>
      </c>
      <c r="B1046" s="5">
        <f>getFocalLengthStart('RawData (GH)'!B1046)</f>
        <v>135</v>
      </c>
      <c r="C1046" s="5">
        <f>getFocalLengthEnd('RawData (GH)'!B1046)</f>
        <v>135</v>
      </c>
      <c r="D1046" s="9">
        <f>getApertureStart('RawData (GH)'!C1046)</f>
        <v>2.2000000000000002</v>
      </c>
      <c r="E1046" s="9">
        <f>getApertureEnd('RawData (GH)'!C1046)</f>
        <v>2.2000000000000002</v>
      </c>
      <c r="F1046" s="2">
        <f>getFiltersizeAsDouble('RawData (GH)'!D1046)</f>
        <v>0</v>
      </c>
      <c r="G1046" s="35">
        <f>getMagnification('RawData (GH)'!E1046)</f>
        <v>0</v>
      </c>
      <c r="H1046" s="62">
        <f>getMinimalFocus('RawData (GH)'!F1046)</f>
        <v>0</v>
      </c>
      <c r="I1046" t="str">
        <f>getMount('RawData (GH)'!G1046)</f>
        <v>Nikon F</v>
      </c>
      <c r="J1046" t="str">
        <f>getSensorCompatibility('RawData (GH)'!H1046)</f>
        <v>APS-C/ Kleinbild</v>
      </c>
      <c r="K1046" s="45">
        <f>getWeightAsDouble('RawData (GH)'!I1046)</f>
        <v>1350</v>
      </c>
      <c r="L1046" s="34">
        <f>getSizeDiameter('RawData (GH)'!J1046)</f>
        <v>117.6</v>
      </c>
      <c r="M1046" s="34">
        <f>getSizeLength('RawData (GH)'!J1046)</f>
        <v>119.2</v>
      </c>
    </row>
    <row r="1047" spans="1:13" x14ac:dyDescent="0.25">
      <c r="A1047" t="str">
        <f>'RawData (GH)'!A1047</f>
        <v>Samyang XEEN 135mm T2.2 für PL schwarz</v>
      </c>
      <c r="B1047" s="5">
        <f>getFocalLengthStart('RawData (GH)'!B1047)</f>
        <v>135</v>
      </c>
      <c r="C1047" s="5">
        <f>getFocalLengthEnd('RawData (GH)'!B1047)</f>
        <v>135</v>
      </c>
      <c r="D1047" s="9">
        <f>getApertureStart('RawData (GH)'!C1047)</f>
        <v>2.2000000000000002</v>
      </c>
      <c r="E1047" s="9">
        <f>getApertureEnd('RawData (GH)'!C1047)</f>
        <v>2.2000000000000002</v>
      </c>
      <c r="F1047" s="2">
        <f>getFiltersizeAsDouble('RawData (GH)'!D1047)</f>
        <v>0</v>
      </c>
      <c r="G1047" s="35">
        <f>getMagnification('RawData (GH)'!E1047)</f>
        <v>0</v>
      </c>
      <c r="H1047" s="62">
        <f>getMinimalFocus('RawData (GH)'!F1047)</f>
        <v>0</v>
      </c>
      <c r="I1047" t="str">
        <f>getMount('RawData (GH)'!G1047)</f>
        <v>PL</v>
      </c>
      <c r="J1047" t="str">
        <f>getSensorCompatibility('RawData (GH)'!H1047)</f>
        <v>APS-C/ Kleinbild</v>
      </c>
      <c r="K1047" s="45">
        <f>getWeightAsDouble('RawData (GH)'!I1047)</f>
        <v>1380</v>
      </c>
      <c r="L1047" s="34">
        <f>getSizeDiameter('RawData (GH)'!J1047)</f>
        <v>117.6</v>
      </c>
      <c r="M1047" s="34">
        <f>getSizeLength('RawData (GH)'!J1047)</f>
        <v>113.7</v>
      </c>
    </row>
    <row r="1048" spans="1:13" x14ac:dyDescent="0.25">
      <c r="A1048" t="str">
        <f>'RawData (GH)'!A1048</f>
        <v>Samyang XEEN 135mm T2.2 für Sony E schwarz</v>
      </c>
      <c r="B1048" s="5">
        <f>getFocalLengthStart('RawData (GH)'!B1048)</f>
        <v>135</v>
      </c>
      <c r="C1048" s="5">
        <f>getFocalLengthEnd('RawData (GH)'!B1048)</f>
        <v>135</v>
      </c>
      <c r="D1048" s="9">
        <f>getApertureStart('RawData (GH)'!C1048)</f>
        <v>2.2000000000000002</v>
      </c>
      <c r="E1048" s="9">
        <f>getApertureEnd('RawData (GH)'!C1048)</f>
        <v>2.2000000000000002</v>
      </c>
      <c r="F1048" s="2">
        <f>getFiltersizeAsDouble('RawData (GH)'!D1048)</f>
        <v>0</v>
      </c>
      <c r="G1048" s="35">
        <f>getMagnification('RawData (GH)'!E1048)</f>
        <v>0</v>
      </c>
      <c r="H1048" s="62">
        <f>getMinimalFocus('RawData (GH)'!F1048)</f>
        <v>0</v>
      </c>
      <c r="I1048" t="str">
        <f>getMount('RawData (GH)'!G1048)</f>
        <v>Sony E</v>
      </c>
      <c r="J1048" t="str">
        <f>getSensorCompatibility('RawData (GH)'!H1048)</f>
        <v>APS-C/ Kleinbild</v>
      </c>
      <c r="K1048" s="45">
        <f>getWeightAsDouble('RawData (GH)'!I1048)</f>
        <v>1410</v>
      </c>
      <c r="L1048" s="34">
        <f>getSizeDiameter('RawData (GH)'!J1048)</f>
        <v>117.6</v>
      </c>
      <c r="M1048" s="34">
        <f>getSizeLength('RawData (GH)'!J1048)</f>
        <v>147.69999999999999</v>
      </c>
    </row>
    <row r="1049" spans="1:13" x14ac:dyDescent="0.25">
      <c r="A1049" t="str">
        <f>'RawData (GH)'!A1049</f>
        <v>Samyang XEEN 14mm T3.1 für Canon EF schwarz</v>
      </c>
      <c r="B1049" s="5">
        <f>getFocalLengthStart('RawData (GH)'!B1049)</f>
        <v>14</v>
      </c>
      <c r="C1049" s="5">
        <f>getFocalLengthEnd('RawData (GH)'!B1049)</f>
        <v>14</v>
      </c>
      <c r="D1049" s="9">
        <f>getApertureStart('RawData (GH)'!C1049)</f>
        <v>3.1</v>
      </c>
      <c r="E1049" s="9">
        <f>getApertureEnd('RawData (GH)'!C1049)</f>
        <v>3.1</v>
      </c>
      <c r="F1049" s="2">
        <f>getFiltersizeAsDouble('RawData (GH)'!D1049)</f>
        <v>0</v>
      </c>
      <c r="G1049" s="35">
        <f>getMagnification('RawData (GH)'!E1049)</f>
        <v>0</v>
      </c>
      <c r="H1049" s="62">
        <f>getMinimalFocus('RawData (GH)'!F1049)</f>
        <v>0</v>
      </c>
      <c r="I1049" t="str">
        <f>getMount('RawData (GH)'!G1049)</f>
        <v>Canon EF</v>
      </c>
      <c r="J1049" t="str">
        <f>getSensorCompatibility('RawData (GH)'!H1049)</f>
        <v>APS-C/ Kleinbild</v>
      </c>
      <c r="K1049" s="45">
        <f>getWeightAsDouble('RawData (GH)'!I1049)</f>
        <v>1170</v>
      </c>
      <c r="L1049" s="34">
        <f>getSizeDiameter('RawData (GH)'!J1049)</f>
        <v>117.6</v>
      </c>
      <c r="M1049" s="34">
        <f>getSizeLength('RawData (GH)'!J1049)</f>
        <v>88.3</v>
      </c>
    </row>
    <row r="1050" spans="1:13" x14ac:dyDescent="0.25">
      <c r="A1050" t="str">
        <f>'RawData (GH)'!A1050</f>
        <v>Samyang XEEN 14mm T3.1 für Micro-Four-Thirds schwarz</v>
      </c>
      <c r="B1050" s="5">
        <f>getFocalLengthStart('RawData (GH)'!B1050)</f>
        <v>14</v>
      </c>
      <c r="C1050" s="5">
        <f>getFocalLengthEnd('RawData (GH)'!B1050)</f>
        <v>14</v>
      </c>
      <c r="D1050" s="9">
        <f>getApertureStart('RawData (GH)'!C1050)</f>
        <v>3.1</v>
      </c>
      <c r="E1050" s="9">
        <f>getApertureEnd('RawData (GH)'!C1050)</f>
        <v>3.1</v>
      </c>
      <c r="F1050" s="2">
        <f>getFiltersizeAsDouble('RawData (GH)'!D1050)</f>
        <v>0</v>
      </c>
      <c r="G1050" s="35">
        <f>getMagnification('RawData (GH)'!E1050)</f>
        <v>0</v>
      </c>
      <c r="H1050" s="62">
        <f>getMinimalFocus('RawData (GH)'!F1050)</f>
        <v>0</v>
      </c>
      <c r="I1050" t="str">
        <f>getMount('RawData (GH)'!G1050)</f>
        <v>Micro-Four-Thirds</v>
      </c>
      <c r="J1050" t="str">
        <f>getSensorCompatibility('RawData (GH)'!H1050)</f>
        <v>Micro-Four-Thirds</v>
      </c>
      <c r="K1050" s="45">
        <f>getWeightAsDouble('RawData (GH)'!I1050)</f>
        <v>1180</v>
      </c>
      <c r="L1050" s="34">
        <f>getSizeDiameter('RawData (GH)'!J1050)</f>
        <v>117.6</v>
      </c>
      <c r="M1050" s="34">
        <f>getSizeLength('RawData (GH)'!J1050)</f>
        <v>113.1</v>
      </c>
    </row>
    <row r="1051" spans="1:13" x14ac:dyDescent="0.25">
      <c r="A1051" t="str">
        <f>'RawData (GH)'!A1051</f>
        <v>Samyang XEEN 14mm T3.1 für Nikon F schwarz</v>
      </c>
      <c r="B1051" s="5">
        <f>getFocalLengthStart('RawData (GH)'!B1051)</f>
        <v>14</v>
      </c>
      <c r="C1051" s="5">
        <f>getFocalLengthEnd('RawData (GH)'!B1051)</f>
        <v>14</v>
      </c>
      <c r="D1051" s="9">
        <f>getApertureStart('RawData (GH)'!C1051)</f>
        <v>3.1</v>
      </c>
      <c r="E1051" s="9">
        <f>getApertureEnd('RawData (GH)'!C1051)</f>
        <v>3.1</v>
      </c>
      <c r="F1051" s="2">
        <f>getFiltersizeAsDouble('RawData (GH)'!D1051)</f>
        <v>0</v>
      </c>
      <c r="G1051" s="35">
        <f>getMagnification('RawData (GH)'!E1051)</f>
        <v>0</v>
      </c>
      <c r="H1051" s="62">
        <f>getMinimalFocus('RawData (GH)'!F1051)</f>
        <v>0</v>
      </c>
      <c r="I1051" t="str">
        <f>getMount('RawData (GH)'!G1051)</f>
        <v>Nikon F</v>
      </c>
      <c r="J1051" t="str">
        <f>getSensorCompatibility('RawData (GH)'!H1051)</f>
        <v>APS-C/ Kleinbild</v>
      </c>
      <c r="K1051" s="45">
        <f>getWeightAsDouble('RawData (GH)'!I1051)</f>
        <v>1130</v>
      </c>
      <c r="L1051" s="34">
        <f>getSizeDiameter('RawData (GH)'!J1051)</f>
        <v>117.6</v>
      </c>
      <c r="M1051" s="34">
        <f>getSizeLength('RawData (GH)'!J1051)</f>
        <v>85.8</v>
      </c>
    </row>
    <row r="1052" spans="1:13" x14ac:dyDescent="0.25">
      <c r="A1052" t="str">
        <f>'RawData (GH)'!A1052</f>
        <v>Samyang XEEN 14mm T3.1 für PL schwarz</v>
      </c>
      <c r="B1052" s="5">
        <f>getFocalLengthStart('RawData (GH)'!B1052)</f>
        <v>14</v>
      </c>
      <c r="C1052" s="5">
        <f>getFocalLengthEnd('RawData (GH)'!B1052)</f>
        <v>14</v>
      </c>
      <c r="D1052" s="9">
        <f>getApertureStart('RawData (GH)'!C1052)</f>
        <v>3.1</v>
      </c>
      <c r="E1052" s="9">
        <f>getApertureEnd('RawData (GH)'!C1052)</f>
        <v>3.1</v>
      </c>
      <c r="F1052" s="2">
        <f>getFiltersizeAsDouble('RawData (GH)'!D1052)</f>
        <v>0</v>
      </c>
      <c r="G1052" s="35">
        <f>getMagnification('RawData (GH)'!E1052)</f>
        <v>0</v>
      </c>
      <c r="H1052" s="62">
        <f>getMinimalFocus('RawData (GH)'!F1052)</f>
        <v>0</v>
      </c>
      <c r="I1052" t="str">
        <f>getMount('RawData (GH)'!G1052)</f>
        <v>PL</v>
      </c>
      <c r="J1052" t="str">
        <f>getSensorCompatibility('RawData (GH)'!H1052)</f>
        <v>APS-C/ Kleinbild</v>
      </c>
      <c r="K1052" s="45">
        <f>getWeightAsDouble('RawData (GH)'!I1052)</f>
        <v>1170</v>
      </c>
      <c r="L1052" s="34">
        <f>getSizeDiameter('RawData (GH)'!J1052)</f>
        <v>117.6</v>
      </c>
      <c r="M1052" s="34">
        <f>getSizeLength('RawData (GH)'!J1052)</f>
        <v>80.3</v>
      </c>
    </row>
    <row r="1053" spans="1:13" x14ac:dyDescent="0.25">
      <c r="A1053" t="str">
        <f>'RawData (GH)'!A1053</f>
        <v>Samyang XEEN 14mm T3.1 für Sony E schwarz</v>
      </c>
      <c r="B1053" s="5">
        <f>getFocalLengthStart('RawData (GH)'!B1053)</f>
        <v>14</v>
      </c>
      <c r="C1053" s="5">
        <f>getFocalLengthEnd('RawData (GH)'!B1053)</f>
        <v>14</v>
      </c>
      <c r="D1053" s="9">
        <f>getApertureStart('RawData (GH)'!C1053)</f>
        <v>3.1</v>
      </c>
      <c r="E1053" s="9">
        <f>getApertureEnd('RawData (GH)'!C1053)</f>
        <v>3.1</v>
      </c>
      <c r="F1053" s="2">
        <f>getFiltersizeAsDouble('RawData (GH)'!D1053)</f>
        <v>0</v>
      </c>
      <c r="G1053" s="35">
        <f>getMagnification('RawData (GH)'!E1053)</f>
        <v>0</v>
      </c>
      <c r="H1053" s="62">
        <f>getMinimalFocus('RawData (GH)'!F1053)</f>
        <v>0</v>
      </c>
      <c r="I1053" t="str">
        <f>getMount('RawData (GH)'!G1053)</f>
        <v>Sony E</v>
      </c>
      <c r="J1053" t="str">
        <f>getSensorCompatibility('RawData (GH)'!H1053)</f>
        <v>APS-C/ Kleinbild</v>
      </c>
      <c r="K1053" s="45">
        <f>getWeightAsDouble('RawData (GH)'!I1053)</f>
        <v>1180</v>
      </c>
      <c r="L1053" s="34">
        <f>getSizeDiameter('RawData (GH)'!J1053)</f>
        <v>117.6</v>
      </c>
      <c r="M1053" s="34">
        <f>getSizeLength('RawData (GH)'!J1053)</f>
        <v>114.3</v>
      </c>
    </row>
    <row r="1054" spans="1:13" x14ac:dyDescent="0.25">
      <c r="A1054" t="str">
        <f>'RawData (GH)'!A1054</f>
        <v>Samyang XEEN 16mm T2.6 für Canon EF schwarz</v>
      </c>
      <c r="B1054" s="5">
        <f>getFocalLengthStart('RawData (GH)'!B1054)</f>
        <v>16</v>
      </c>
      <c r="C1054" s="5">
        <f>getFocalLengthEnd('RawData (GH)'!B1054)</f>
        <v>16</v>
      </c>
      <c r="D1054" s="9">
        <f>getApertureStart('RawData (GH)'!C1054)</f>
        <v>2.6</v>
      </c>
      <c r="E1054" s="9">
        <f>getApertureEnd('RawData (GH)'!C1054)</f>
        <v>2.6</v>
      </c>
      <c r="F1054" s="2">
        <f>getFiltersizeAsDouble('RawData (GH)'!D1054)</f>
        <v>0</v>
      </c>
      <c r="G1054" s="35">
        <f>getMagnification('RawData (GH)'!E1054)</f>
        <v>0</v>
      </c>
      <c r="H1054" s="62">
        <f>getMinimalFocus('RawData (GH)'!F1054)</f>
        <v>0</v>
      </c>
      <c r="I1054" t="str">
        <f>getMount('RawData (GH)'!G1054)</f>
        <v>Canon EF</v>
      </c>
      <c r="J1054" t="str">
        <f>getSensorCompatibility('RawData (GH)'!H1054)</f>
        <v>APS-C/ Kleinbild</v>
      </c>
      <c r="K1054" s="45">
        <f>getWeightAsDouble('RawData (GH)'!I1054)</f>
        <v>1180</v>
      </c>
      <c r="L1054" s="34">
        <f>getSizeDiameter('RawData (GH)'!J1054)</f>
        <v>117.6</v>
      </c>
      <c r="M1054" s="34">
        <f>getSizeLength('RawData (GH)'!J1054)</f>
        <v>95.3</v>
      </c>
    </row>
    <row r="1055" spans="1:13" x14ac:dyDescent="0.25">
      <c r="A1055" t="str">
        <f>'RawData (GH)'!A1055</f>
        <v>Samyang XEEN 16mm T2.6 für Micro-Four-Thirds schwarz</v>
      </c>
      <c r="B1055" s="5">
        <f>getFocalLengthStart('RawData (GH)'!B1055)</f>
        <v>16</v>
      </c>
      <c r="C1055" s="5">
        <f>getFocalLengthEnd('RawData (GH)'!B1055)</f>
        <v>16</v>
      </c>
      <c r="D1055" s="9">
        <f>getApertureStart('RawData (GH)'!C1055)</f>
        <v>2.6</v>
      </c>
      <c r="E1055" s="9">
        <f>getApertureEnd('RawData (GH)'!C1055)</f>
        <v>2.6</v>
      </c>
      <c r="F1055" s="2">
        <f>getFiltersizeAsDouble('RawData (GH)'!D1055)</f>
        <v>0</v>
      </c>
      <c r="G1055" s="35">
        <f>getMagnification('RawData (GH)'!E1055)</f>
        <v>0</v>
      </c>
      <c r="H1055" s="62">
        <f>getMinimalFocus('RawData (GH)'!F1055)</f>
        <v>0</v>
      </c>
      <c r="I1055" t="str">
        <f>getMount('RawData (GH)'!G1055)</f>
        <v>Micro-Four-Thirds</v>
      </c>
      <c r="J1055" t="str">
        <f>getSensorCompatibility('RawData (GH)'!H1055)</f>
        <v>APS-C/ Kleinbild</v>
      </c>
      <c r="K1055" s="45">
        <f>getWeightAsDouble('RawData (GH)'!I1055)</f>
        <v>1180</v>
      </c>
      <c r="L1055" s="34">
        <f>getSizeDiameter('RawData (GH)'!J1055)</f>
        <v>117.6</v>
      </c>
      <c r="M1055" s="34">
        <f>getSizeLength('RawData (GH)'!J1055)</f>
        <v>120.1</v>
      </c>
    </row>
    <row r="1056" spans="1:13" x14ac:dyDescent="0.25">
      <c r="A1056" t="str">
        <f>'RawData (GH)'!A1056</f>
        <v>Samyang XEEN 16mm T2.6 für Nikon F schwarz</v>
      </c>
      <c r="B1056" s="5">
        <f>getFocalLengthStart('RawData (GH)'!B1056)</f>
        <v>16</v>
      </c>
      <c r="C1056" s="5">
        <f>getFocalLengthEnd('RawData (GH)'!B1056)</f>
        <v>16</v>
      </c>
      <c r="D1056" s="9">
        <f>getApertureStart('RawData (GH)'!C1056)</f>
        <v>2.6</v>
      </c>
      <c r="E1056" s="9">
        <f>getApertureEnd('RawData (GH)'!C1056)</f>
        <v>2.6</v>
      </c>
      <c r="F1056" s="2">
        <f>getFiltersizeAsDouble('RawData (GH)'!D1056)</f>
        <v>0</v>
      </c>
      <c r="G1056" s="35">
        <f>getMagnification('RawData (GH)'!E1056)</f>
        <v>0</v>
      </c>
      <c r="H1056" s="62">
        <f>getMinimalFocus('RawData (GH)'!F1056)</f>
        <v>0</v>
      </c>
      <c r="I1056" t="str">
        <f>getMount('RawData (GH)'!G1056)</f>
        <v>Nikon F</v>
      </c>
      <c r="J1056" t="str">
        <f>getSensorCompatibility('RawData (GH)'!H1056)</f>
        <v>APS-C/ Kleinbild</v>
      </c>
      <c r="K1056" s="45">
        <f>getWeightAsDouble('RawData (GH)'!I1056)</f>
        <v>1130</v>
      </c>
      <c r="L1056" s="34">
        <f>getSizeDiameter('RawData (GH)'!J1056)</f>
        <v>117.6</v>
      </c>
      <c r="M1056" s="34">
        <f>getSizeLength('RawData (GH)'!J1056)</f>
        <v>92.8</v>
      </c>
    </row>
    <row r="1057" spans="1:13" x14ac:dyDescent="0.25">
      <c r="A1057" t="str">
        <f>'RawData (GH)'!A1057</f>
        <v>Samyang XEEN 16mm T2.6 für PL schwarz</v>
      </c>
      <c r="B1057" s="5">
        <f>getFocalLengthStart('RawData (GH)'!B1057)</f>
        <v>16</v>
      </c>
      <c r="C1057" s="5">
        <f>getFocalLengthEnd('RawData (GH)'!B1057)</f>
        <v>16</v>
      </c>
      <c r="D1057" s="9">
        <f>getApertureStart('RawData (GH)'!C1057)</f>
        <v>2.6</v>
      </c>
      <c r="E1057" s="9">
        <f>getApertureEnd('RawData (GH)'!C1057)</f>
        <v>2.6</v>
      </c>
      <c r="F1057" s="2">
        <f>getFiltersizeAsDouble('RawData (GH)'!D1057)</f>
        <v>0</v>
      </c>
      <c r="G1057" s="35">
        <f>getMagnification('RawData (GH)'!E1057)</f>
        <v>0</v>
      </c>
      <c r="H1057" s="62">
        <f>getMinimalFocus('RawData (GH)'!F1057)</f>
        <v>0</v>
      </c>
      <c r="I1057" t="str">
        <f>getMount('RawData (GH)'!G1057)</f>
        <v>PL</v>
      </c>
      <c r="J1057" t="str">
        <f>getSensorCompatibility('RawData (GH)'!H1057)</f>
        <v>APS-C/ Kleinbild</v>
      </c>
      <c r="K1057" s="45">
        <f>getWeightAsDouble('RawData (GH)'!I1057)</f>
        <v>1180</v>
      </c>
      <c r="L1057" s="34">
        <f>getSizeDiameter('RawData (GH)'!J1057)</f>
        <v>117.6</v>
      </c>
      <c r="M1057" s="34">
        <f>getSizeLength('RawData (GH)'!J1057)</f>
        <v>87.3</v>
      </c>
    </row>
    <row r="1058" spans="1:13" x14ac:dyDescent="0.25">
      <c r="A1058" t="str">
        <f>'RawData (GH)'!A1058</f>
        <v>Samyang XEEN 16mm T2.6 für Sony E schwarz</v>
      </c>
      <c r="B1058" s="5">
        <f>getFocalLengthStart('RawData (GH)'!B1058)</f>
        <v>16</v>
      </c>
      <c r="C1058" s="5">
        <f>getFocalLengthEnd('RawData (GH)'!B1058)</f>
        <v>16</v>
      </c>
      <c r="D1058" s="9">
        <f>getApertureStart('RawData (GH)'!C1058)</f>
        <v>2.6</v>
      </c>
      <c r="E1058" s="9">
        <f>getApertureEnd('RawData (GH)'!C1058)</f>
        <v>2.6</v>
      </c>
      <c r="F1058" s="2">
        <f>getFiltersizeAsDouble('RawData (GH)'!D1058)</f>
        <v>0</v>
      </c>
      <c r="G1058" s="35">
        <f>getMagnification('RawData (GH)'!E1058)</f>
        <v>0</v>
      </c>
      <c r="H1058" s="62">
        <f>getMinimalFocus('RawData (GH)'!F1058)</f>
        <v>0</v>
      </c>
      <c r="I1058" t="str">
        <f>getMount('RawData (GH)'!G1058)</f>
        <v>Sony E</v>
      </c>
      <c r="J1058" t="str">
        <f>getSensorCompatibility('RawData (GH)'!H1058)</f>
        <v>APS-C/ Kleinbild</v>
      </c>
      <c r="K1058" s="45">
        <f>getWeightAsDouble('RawData (GH)'!I1058)</f>
        <v>1180</v>
      </c>
      <c r="L1058" s="34">
        <f>getSizeDiameter('RawData (GH)'!J1058)</f>
        <v>117.6</v>
      </c>
      <c r="M1058" s="34">
        <f>getSizeLength('RawData (GH)'!J1058)</f>
        <v>121.3</v>
      </c>
    </row>
    <row r="1059" spans="1:13" x14ac:dyDescent="0.25">
      <c r="A1059" t="str">
        <f>'RawData (GH)'!A1059</f>
        <v>Samyang XEEN 20mm T1.9 für Canon EF schwarz</v>
      </c>
      <c r="B1059" s="5">
        <f>getFocalLengthStart('RawData (GH)'!B1059)</f>
        <v>24</v>
      </c>
      <c r="C1059" s="5">
        <f>getFocalLengthEnd('RawData (GH)'!B1059)</f>
        <v>24</v>
      </c>
      <c r="D1059" s="9">
        <f>getApertureStart('RawData (GH)'!C1059)</f>
        <v>1.5</v>
      </c>
      <c r="E1059" s="9">
        <f>getApertureEnd('RawData (GH)'!C1059)</f>
        <v>1.5</v>
      </c>
      <c r="F1059" s="2">
        <f>getFiltersizeAsDouble('RawData (GH)'!D1059)</f>
        <v>0</v>
      </c>
      <c r="G1059" s="35">
        <f>getMagnification('RawData (GH)'!E1059)</f>
        <v>0</v>
      </c>
      <c r="H1059" s="62">
        <f>getMinimalFocus('RawData (GH)'!F1059)</f>
        <v>0</v>
      </c>
      <c r="I1059" t="str">
        <f>getMount('RawData (GH)'!G1059)</f>
        <v>Canon EF</v>
      </c>
      <c r="J1059" t="str">
        <f>getSensorCompatibility('RawData (GH)'!H1059)</f>
        <v>APS-C/ Kleinbild</v>
      </c>
      <c r="K1059" s="45">
        <f>getWeightAsDouble('RawData (GH)'!I1059)</f>
        <v>1010</v>
      </c>
      <c r="L1059" s="34">
        <f>getSizeDiameter('RawData (GH)'!J1059)</f>
        <v>117.6</v>
      </c>
      <c r="M1059" s="34">
        <f>getSizeLength('RawData (GH)'!J1059)</f>
        <v>95.3</v>
      </c>
    </row>
    <row r="1060" spans="1:13" x14ac:dyDescent="0.25">
      <c r="A1060" t="str">
        <f>'RawData (GH)'!A1060</f>
        <v>Samyang XEEN 20mm T1.9 für Micro-Four-Thirds schwarz</v>
      </c>
      <c r="B1060" s="5">
        <f>getFocalLengthStart('RawData (GH)'!B1060)</f>
        <v>24</v>
      </c>
      <c r="C1060" s="5">
        <f>getFocalLengthEnd('RawData (GH)'!B1060)</f>
        <v>24</v>
      </c>
      <c r="D1060" s="9">
        <f>getApertureStart('RawData (GH)'!C1060)</f>
        <v>1.5</v>
      </c>
      <c r="E1060" s="9">
        <f>getApertureEnd('RawData (GH)'!C1060)</f>
        <v>1.5</v>
      </c>
      <c r="F1060" s="2">
        <f>getFiltersizeAsDouble('RawData (GH)'!D1060)</f>
        <v>0</v>
      </c>
      <c r="G1060" s="35">
        <f>getMagnification('RawData (GH)'!E1060)</f>
        <v>0</v>
      </c>
      <c r="H1060" s="62">
        <f>getMinimalFocus('RawData (GH)'!F1060)</f>
        <v>0</v>
      </c>
      <c r="I1060" t="str">
        <f>getMount('RawData (GH)'!G1060)</f>
        <v>Micro-Four-Thirds</v>
      </c>
      <c r="J1060" t="str">
        <f>getSensorCompatibility('RawData (GH)'!H1060)</f>
        <v>Micro-Four-Thirds</v>
      </c>
      <c r="K1060" s="45">
        <f>getWeightAsDouble('RawData (GH)'!I1060)</f>
        <v>1000</v>
      </c>
      <c r="L1060" s="34">
        <f>getSizeDiameter('RawData (GH)'!J1060)</f>
        <v>117.6</v>
      </c>
      <c r="M1060" s="34">
        <f>getSizeLength('RawData (GH)'!J1060)</f>
        <v>120.1</v>
      </c>
    </row>
    <row r="1061" spans="1:13" x14ac:dyDescent="0.25">
      <c r="A1061" t="str">
        <f>'RawData (GH)'!A1061</f>
        <v>Samyang XEEN 20mm T1.9 für Nikon F schwarz</v>
      </c>
      <c r="B1061" s="5">
        <f>getFocalLengthStart('RawData (GH)'!B1061)</f>
        <v>24</v>
      </c>
      <c r="C1061" s="5">
        <f>getFocalLengthEnd('RawData (GH)'!B1061)</f>
        <v>24</v>
      </c>
      <c r="D1061" s="9">
        <f>getApertureStart('RawData (GH)'!C1061)</f>
        <v>1.5</v>
      </c>
      <c r="E1061" s="9">
        <f>getApertureEnd('RawData (GH)'!C1061)</f>
        <v>1.5</v>
      </c>
      <c r="F1061" s="2">
        <f>getFiltersizeAsDouble('RawData (GH)'!D1061)</f>
        <v>0</v>
      </c>
      <c r="G1061" s="35">
        <f>getMagnification('RawData (GH)'!E1061)</f>
        <v>0</v>
      </c>
      <c r="H1061" s="62">
        <f>getMinimalFocus('RawData (GH)'!F1061)</f>
        <v>0</v>
      </c>
      <c r="I1061" t="str">
        <f>getMount('RawData (GH)'!G1061)</f>
        <v>Nikon F</v>
      </c>
      <c r="J1061" t="str">
        <f>getSensorCompatibility('RawData (GH)'!H1061)</f>
        <v>APS-C/ Kleinbild</v>
      </c>
      <c r="K1061" s="45">
        <f>getWeightAsDouble('RawData (GH)'!I1061)</f>
        <v>935</v>
      </c>
      <c r="L1061" s="34">
        <f>getSizeDiameter('RawData (GH)'!J1061)</f>
        <v>117.6</v>
      </c>
      <c r="M1061" s="34">
        <f>getSizeLength('RawData (GH)'!J1061)</f>
        <v>92.8</v>
      </c>
    </row>
    <row r="1062" spans="1:13" x14ac:dyDescent="0.25">
      <c r="A1062" t="str">
        <f>'RawData (GH)'!A1062</f>
        <v>Samyang XEEN 20mm T1.9 für PL schwarz</v>
      </c>
      <c r="B1062" s="5">
        <f>getFocalLengthStart('RawData (GH)'!B1062)</f>
        <v>24</v>
      </c>
      <c r="C1062" s="5">
        <f>getFocalLengthEnd('RawData (GH)'!B1062)</f>
        <v>24</v>
      </c>
      <c r="D1062" s="9">
        <f>getApertureStart('RawData (GH)'!C1062)</f>
        <v>1.5</v>
      </c>
      <c r="E1062" s="9">
        <f>getApertureEnd('RawData (GH)'!C1062)</f>
        <v>1.5</v>
      </c>
      <c r="F1062" s="2">
        <f>getFiltersizeAsDouble('RawData (GH)'!D1062)</f>
        <v>0</v>
      </c>
      <c r="G1062" s="35">
        <f>getMagnification('RawData (GH)'!E1062)</f>
        <v>0</v>
      </c>
      <c r="H1062" s="62">
        <f>getMinimalFocus('RawData (GH)'!F1062)</f>
        <v>0</v>
      </c>
      <c r="I1062" t="str">
        <f>getMount('RawData (GH)'!G1062)</f>
        <v>PL</v>
      </c>
      <c r="J1062" t="str">
        <f>getSensorCompatibility('RawData (GH)'!H1062)</f>
        <v>APS-C/ Kleinbild</v>
      </c>
      <c r="K1062" s="45">
        <f>getWeightAsDouble('RawData (GH)'!I1062)</f>
        <v>970</v>
      </c>
      <c r="L1062" s="34">
        <f>getSizeDiameter('RawData (GH)'!J1062)</f>
        <v>117.6</v>
      </c>
      <c r="M1062" s="34">
        <f>getSizeLength('RawData (GH)'!J1062)</f>
        <v>87.3</v>
      </c>
    </row>
    <row r="1063" spans="1:13" x14ac:dyDescent="0.25">
      <c r="A1063" t="str">
        <f>'RawData (GH)'!A1063</f>
        <v>Samyang XEEN 24mm T1.5 für Canon EF schwarz</v>
      </c>
      <c r="B1063" s="5">
        <f>getFocalLengthStart('RawData (GH)'!B1063)</f>
        <v>24</v>
      </c>
      <c r="C1063" s="5">
        <f>getFocalLengthEnd('RawData (GH)'!B1063)</f>
        <v>24</v>
      </c>
      <c r="D1063" s="9">
        <f>getApertureStart('RawData (GH)'!C1063)</f>
        <v>1.5</v>
      </c>
      <c r="E1063" s="9">
        <f>getApertureEnd('RawData (GH)'!C1063)</f>
        <v>1.5</v>
      </c>
      <c r="F1063" s="2">
        <f>getFiltersizeAsDouble('RawData (GH)'!D1063)</f>
        <v>0</v>
      </c>
      <c r="G1063" s="35">
        <f>getMagnification('RawData (GH)'!E1063)</f>
        <v>0</v>
      </c>
      <c r="H1063" s="62">
        <f>getMinimalFocus('RawData (GH)'!F1063)</f>
        <v>0</v>
      </c>
      <c r="I1063" t="str">
        <f>getMount('RawData (GH)'!G1063)</f>
        <v>Canon EF</v>
      </c>
      <c r="J1063" t="str">
        <f>getSensorCompatibility('RawData (GH)'!H1063)</f>
        <v>APS-C/ Kleinbild</v>
      </c>
      <c r="K1063" s="45">
        <f>getWeightAsDouble('RawData (GH)'!I1063)</f>
        <v>1180</v>
      </c>
      <c r="L1063" s="34">
        <f>getSizeDiameter('RawData (GH)'!J1063)</f>
        <v>117.6</v>
      </c>
      <c r="M1063" s="34">
        <f>getSizeLength('RawData (GH)'!J1063)</f>
        <v>121.7</v>
      </c>
    </row>
    <row r="1064" spans="1:13" x14ac:dyDescent="0.25">
      <c r="A1064" t="str">
        <f>'RawData (GH)'!A1064</f>
        <v>Samyang XEEN 24mm T1.5 für Micro-Four-Thirds schwarz</v>
      </c>
      <c r="B1064" s="5">
        <f>getFocalLengthStart('RawData (GH)'!B1064)</f>
        <v>24</v>
      </c>
      <c r="C1064" s="5">
        <f>getFocalLengthEnd('RawData (GH)'!B1064)</f>
        <v>24</v>
      </c>
      <c r="D1064" s="9">
        <f>getApertureStart('RawData (GH)'!C1064)</f>
        <v>1.5</v>
      </c>
      <c r="E1064" s="9">
        <f>getApertureEnd('RawData (GH)'!C1064)</f>
        <v>1.5</v>
      </c>
      <c r="F1064" s="2">
        <f>getFiltersizeAsDouble('RawData (GH)'!D1064)</f>
        <v>0</v>
      </c>
      <c r="G1064" s="35">
        <f>getMagnification('RawData (GH)'!E1064)</f>
        <v>0</v>
      </c>
      <c r="H1064" s="62">
        <f>getMinimalFocus('RawData (GH)'!F1064)</f>
        <v>0</v>
      </c>
      <c r="I1064" t="str">
        <f>getMount('RawData (GH)'!G1064)</f>
        <v>Micro-Four-Thirds</v>
      </c>
      <c r="J1064" t="str">
        <f>getSensorCompatibility('RawData (GH)'!H1064)</f>
        <v>Micro-Four-Thirds</v>
      </c>
      <c r="K1064" s="45">
        <f>getWeightAsDouble('RawData (GH)'!I1064)</f>
        <v>1190</v>
      </c>
      <c r="L1064" s="34">
        <f>getSizeDiameter('RawData (GH)'!J1064)</f>
        <v>117.6</v>
      </c>
      <c r="M1064" s="34">
        <f>getSizeLength('RawData (GH)'!J1064)</f>
        <v>146.5</v>
      </c>
    </row>
    <row r="1065" spans="1:13" x14ac:dyDescent="0.25">
      <c r="A1065" t="str">
        <f>'RawData (GH)'!A1065</f>
        <v>Samyang XEEN 24mm T1.5 für Nikon F schwarz</v>
      </c>
      <c r="B1065" s="5">
        <f>getFocalLengthStart('RawData (GH)'!B1065)</f>
        <v>24</v>
      </c>
      <c r="C1065" s="5">
        <f>getFocalLengthEnd('RawData (GH)'!B1065)</f>
        <v>24</v>
      </c>
      <c r="D1065" s="9">
        <f>getApertureStart('RawData (GH)'!C1065)</f>
        <v>1.5</v>
      </c>
      <c r="E1065" s="9">
        <f>getApertureEnd('RawData (GH)'!C1065)</f>
        <v>1.5</v>
      </c>
      <c r="F1065" s="2">
        <f>getFiltersizeAsDouble('RawData (GH)'!D1065)</f>
        <v>0</v>
      </c>
      <c r="G1065" s="35">
        <f>getMagnification('RawData (GH)'!E1065)</f>
        <v>0</v>
      </c>
      <c r="H1065" s="62">
        <f>getMinimalFocus('RawData (GH)'!F1065)</f>
        <v>0</v>
      </c>
      <c r="I1065" t="str">
        <f>getMount('RawData (GH)'!G1065)</f>
        <v>Nikon F</v>
      </c>
      <c r="J1065" t="str">
        <f>getSensorCompatibility('RawData (GH)'!H1065)</f>
        <v>APS-C/ Kleinbild</v>
      </c>
      <c r="K1065" s="45">
        <f>getWeightAsDouble('RawData (GH)'!I1065)</f>
        <v>1140</v>
      </c>
      <c r="L1065" s="34">
        <f>getSizeDiameter('RawData (GH)'!J1065)</f>
        <v>117.6</v>
      </c>
      <c r="M1065" s="34">
        <f>getSizeLength('RawData (GH)'!J1065)</f>
        <v>119.2</v>
      </c>
    </row>
    <row r="1066" spans="1:13" x14ac:dyDescent="0.25">
      <c r="A1066" t="str">
        <f>'RawData (GH)'!A1066</f>
        <v>Samyang XEEN 24mm T1.5 für PL schwarz</v>
      </c>
      <c r="B1066" s="5">
        <f>getFocalLengthStart('RawData (GH)'!B1066)</f>
        <v>24</v>
      </c>
      <c r="C1066" s="5">
        <f>getFocalLengthEnd('RawData (GH)'!B1066)</f>
        <v>24</v>
      </c>
      <c r="D1066" s="9">
        <f>getApertureStart('RawData (GH)'!C1066)</f>
        <v>1.5</v>
      </c>
      <c r="E1066" s="9">
        <f>getApertureEnd('RawData (GH)'!C1066)</f>
        <v>1.5</v>
      </c>
      <c r="F1066" s="2">
        <f>getFiltersizeAsDouble('RawData (GH)'!D1066)</f>
        <v>0</v>
      </c>
      <c r="G1066" s="35">
        <f>getMagnification('RawData (GH)'!E1066)</f>
        <v>0</v>
      </c>
      <c r="H1066" s="62">
        <f>getMinimalFocus('RawData (GH)'!F1066)</f>
        <v>0</v>
      </c>
      <c r="I1066" t="str">
        <f>getMount('RawData (GH)'!G1066)</f>
        <v>PL</v>
      </c>
      <c r="J1066" t="str">
        <f>getSensorCompatibility('RawData (GH)'!H1066)</f>
        <v>APS-C/ Kleinbild</v>
      </c>
      <c r="K1066" s="45">
        <f>getWeightAsDouble('RawData (GH)'!I1066)</f>
        <v>1180</v>
      </c>
      <c r="L1066" s="34">
        <f>getSizeDiameter('RawData (GH)'!J1066)</f>
        <v>117.6</v>
      </c>
      <c r="M1066" s="34">
        <f>getSizeLength('RawData (GH)'!J1066)</f>
        <v>113.7</v>
      </c>
    </row>
    <row r="1067" spans="1:13" x14ac:dyDescent="0.25">
      <c r="A1067" t="str">
        <f>'RawData (GH)'!A1067</f>
        <v>Samyang XEEN 24mm T1.5 für Sony E schwarz</v>
      </c>
      <c r="B1067" s="5">
        <f>getFocalLengthStart('RawData (GH)'!B1067)</f>
        <v>24</v>
      </c>
      <c r="C1067" s="5">
        <f>getFocalLengthEnd('RawData (GH)'!B1067)</f>
        <v>24</v>
      </c>
      <c r="D1067" s="9">
        <f>getApertureStart('RawData (GH)'!C1067)</f>
        <v>1.5</v>
      </c>
      <c r="E1067" s="9">
        <f>getApertureEnd('RawData (GH)'!C1067)</f>
        <v>1.5</v>
      </c>
      <c r="F1067" s="2">
        <f>getFiltersizeAsDouble('RawData (GH)'!D1067)</f>
        <v>0</v>
      </c>
      <c r="G1067" s="35">
        <f>getMagnification('RawData (GH)'!E1067)</f>
        <v>0</v>
      </c>
      <c r="H1067" s="62">
        <f>getMinimalFocus('RawData (GH)'!F1067)</f>
        <v>0</v>
      </c>
      <c r="I1067" t="str">
        <f>getMount('RawData (GH)'!G1067)</f>
        <v>Sony E</v>
      </c>
      <c r="J1067" t="str">
        <f>getSensorCompatibility('RawData (GH)'!H1067)</f>
        <v>APS-C/ Kleinbild</v>
      </c>
      <c r="K1067" s="45">
        <f>getWeightAsDouble('RawData (GH)'!I1067)</f>
        <v>1190</v>
      </c>
      <c r="L1067" s="34">
        <f>getSizeDiameter('RawData (GH)'!J1067)</f>
        <v>117.6</v>
      </c>
      <c r="M1067" s="34">
        <f>getSizeLength('RawData (GH)'!J1067)</f>
        <v>147.69999999999999</v>
      </c>
    </row>
    <row r="1068" spans="1:13" x14ac:dyDescent="0.25">
      <c r="A1068" t="str">
        <f>'RawData (GH)'!A1068</f>
        <v>Samyang XEEN 35mm T1.5 für Canon EF schwarz</v>
      </c>
      <c r="B1068" s="5">
        <f>getFocalLengthStart('RawData (GH)'!B1068)</f>
        <v>35</v>
      </c>
      <c r="C1068" s="5">
        <f>getFocalLengthEnd('RawData (GH)'!B1068)</f>
        <v>35</v>
      </c>
      <c r="D1068" s="9">
        <f>getApertureStart('RawData (GH)'!C1068)</f>
        <v>1.5</v>
      </c>
      <c r="E1068" s="9">
        <f>getApertureEnd('RawData (GH)'!C1068)</f>
        <v>1.5</v>
      </c>
      <c r="F1068" s="2">
        <f>getFiltersizeAsDouble('RawData (GH)'!D1068)</f>
        <v>0</v>
      </c>
      <c r="G1068" s="35">
        <f>getMagnification('RawData (GH)'!E1068)</f>
        <v>0</v>
      </c>
      <c r="H1068" s="62">
        <f>getMinimalFocus('RawData (GH)'!F1068)</f>
        <v>0</v>
      </c>
      <c r="I1068" t="str">
        <f>getMount('RawData (GH)'!G1068)</f>
        <v>Canon EF</v>
      </c>
      <c r="J1068" t="str">
        <f>getSensorCompatibility('RawData (GH)'!H1068)</f>
        <v>APS-C/ Kleinbild</v>
      </c>
      <c r="K1068" s="45">
        <f>getWeightAsDouble('RawData (GH)'!I1068)</f>
        <v>1380</v>
      </c>
      <c r="L1068" s="34">
        <f>getSizeDiameter('RawData (GH)'!J1068)</f>
        <v>117.6</v>
      </c>
      <c r="M1068" s="34">
        <f>getSizeLength('RawData (GH)'!J1068)</f>
        <v>121.7</v>
      </c>
    </row>
    <row r="1069" spans="1:13" x14ac:dyDescent="0.25">
      <c r="A1069" t="str">
        <f>'RawData (GH)'!A1069</f>
        <v>Samyang XEEN 35mm T1.5 für Micro-Four-Thirds schwarz</v>
      </c>
      <c r="B1069" s="5">
        <f>getFocalLengthStart('RawData (GH)'!B1069)</f>
        <v>35</v>
      </c>
      <c r="C1069" s="5">
        <f>getFocalLengthEnd('RawData (GH)'!B1069)</f>
        <v>35</v>
      </c>
      <c r="D1069" s="9">
        <f>getApertureStart('RawData (GH)'!C1069)</f>
        <v>1.5</v>
      </c>
      <c r="E1069" s="9">
        <f>getApertureEnd('RawData (GH)'!C1069)</f>
        <v>1.5</v>
      </c>
      <c r="F1069" s="2">
        <f>getFiltersizeAsDouble('RawData (GH)'!D1069)</f>
        <v>0</v>
      </c>
      <c r="G1069" s="35">
        <f>getMagnification('RawData (GH)'!E1069)</f>
        <v>0</v>
      </c>
      <c r="H1069" s="62">
        <f>getMinimalFocus('RawData (GH)'!F1069)</f>
        <v>0</v>
      </c>
      <c r="I1069" t="str">
        <f>getMount('RawData (GH)'!G1069)</f>
        <v>Micro-Four-Thirds</v>
      </c>
      <c r="J1069" t="str">
        <f>getSensorCompatibility('RawData (GH)'!H1069)</f>
        <v>Micro-Four-Thirds</v>
      </c>
      <c r="K1069" s="45">
        <f>getWeightAsDouble('RawData (GH)'!I1069)</f>
        <v>1380</v>
      </c>
      <c r="L1069" s="34">
        <f>getSizeDiameter('RawData (GH)'!J1069)</f>
        <v>117.6</v>
      </c>
      <c r="M1069" s="34">
        <f>getSizeLength('RawData (GH)'!J1069)</f>
        <v>146.5</v>
      </c>
    </row>
    <row r="1070" spans="1:13" x14ac:dyDescent="0.25">
      <c r="A1070" t="str">
        <f>'RawData (GH)'!A1070</f>
        <v>Samyang XEEN 35mm T1.5 für Nikon F schwarz</v>
      </c>
      <c r="B1070" s="5">
        <f>getFocalLengthStart('RawData (GH)'!B1070)</f>
        <v>35</v>
      </c>
      <c r="C1070" s="5">
        <f>getFocalLengthEnd('RawData (GH)'!B1070)</f>
        <v>35</v>
      </c>
      <c r="D1070" s="9">
        <f>getApertureStart('RawData (GH)'!C1070)</f>
        <v>1.5</v>
      </c>
      <c r="E1070" s="9">
        <f>getApertureEnd('RawData (GH)'!C1070)</f>
        <v>1.5</v>
      </c>
      <c r="F1070" s="2">
        <f>getFiltersizeAsDouble('RawData (GH)'!D1070)</f>
        <v>0</v>
      </c>
      <c r="G1070" s="35">
        <f>getMagnification('RawData (GH)'!E1070)</f>
        <v>0</v>
      </c>
      <c r="H1070" s="62">
        <f>getMinimalFocus('RawData (GH)'!F1070)</f>
        <v>0</v>
      </c>
      <c r="I1070" t="str">
        <f>getMount('RawData (GH)'!G1070)</f>
        <v>Nikon F</v>
      </c>
      <c r="J1070" t="str">
        <f>getSensorCompatibility('RawData (GH)'!H1070)</f>
        <v>APS-C/ Kleinbild</v>
      </c>
      <c r="K1070" s="45">
        <f>getWeightAsDouble('RawData (GH)'!I1070)</f>
        <v>1320</v>
      </c>
      <c r="L1070" s="34">
        <f>getSizeDiameter('RawData (GH)'!J1070)</f>
        <v>117.6</v>
      </c>
      <c r="M1070" s="34">
        <f>getSizeLength('RawData (GH)'!J1070)</f>
        <v>119.2</v>
      </c>
    </row>
    <row r="1071" spans="1:13" x14ac:dyDescent="0.25">
      <c r="A1071" t="str">
        <f>'RawData (GH)'!A1071</f>
        <v>Samyang XEEN 35mm T1.5 für PL schwarz</v>
      </c>
      <c r="B1071" s="5">
        <f>getFocalLengthStart('RawData (GH)'!B1071)</f>
        <v>35</v>
      </c>
      <c r="C1071" s="5">
        <f>getFocalLengthEnd('RawData (GH)'!B1071)</f>
        <v>35</v>
      </c>
      <c r="D1071" s="9">
        <f>getApertureStart('RawData (GH)'!C1071)</f>
        <v>1.5</v>
      </c>
      <c r="E1071" s="9">
        <f>getApertureEnd('RawData (GH)'!C1071)</f>
        <v>1.5</v>
      </c>
      <c r="F1071" s="2">
        <f>getFiltersizeAsDouble('RawData (GH)'!D1071)</f>
        <v>0</v>
      </c>
      <c r="G1071" s="35">
        <f>getMagnification('RawData (GH)'!E1071)</f>
        <v>0</v>
      </c>
      <c r="H1071" s="62">
        <f>getMinimalFocus('RawData (GH)'!F1071)</f>
        <v>0</v>
      </c>
      <c r="I1071" t="str">
        <f>getMount('RawData (GH)'!G1071)</f>
        <v>PL</v>
      </c>
      <c r="J1071" t="str">
        <f>getSensorCompatibility('RawData (GH)'!H1071)</f>
        <v>APS-C/ Kleinbild</v>
      </c>
      <c r="K1071" s="45">
        <f>getWeightAsDouble('RawData (GH)'!I1071)</f>
        <v>1360</v>
      </c>
      <c r="L1071" s="34">
        <f>getSizeDiameter('RawData (GH)'!J1071)</f>
        <v>117.6</v>
      </c>
      <c r="M1071" s="34">
        <f>getSizeLength('RawData (GH)'!J1071)</f>
        <v>113.7</v>
      </c>
    </row>
    <row r="1072" spans="1:13" x14ac:dyDescent="0.25">
      <c r="A1072" t="str">
        <f>'RawData (GH)'!A1072</f>
        <v>Samyang XEEN 35mm T1.5 für Sony E schwarz</v>
      </c>
      <c r="B1072" s="5">
        <f>getFocalLengthStart('RawData (GH)'!B1072)</f>
        <v>35</v>
      </c>
      <c r="C1072" s="5">
        <f>getFocalLengthEnd('RawData (GH)'!B1072)</f>
        <v>35</v>
      </c>
      <c r="D1072" s="9">
        <f>getApertureStart('RawData (GH)'!C1072)</f>
        <v>1.5</v>
      </c>
      <c r="E1072" s="9">
        <f>getApertureEnd('RawData (GH)'!C1072)</f>
        <v>1.5</v>
      </c>
      <c r="F1072" s="2">
        <f>getFiltersizeAsDouble('RawData (GH)'!D1072)</f>
        <v>0</v>
      </c>
      <c r="G1072" s="35">
        <f>getMagnification('RawData (GH)'!E1072)</f>
        <v>0</v>
      </c>
      <c r="H1072" s="62">
        <f>getMinimalFocus('RawData (GH)'!F1072)</f>
        <v>0</v>
      </c>
      <c r="I1072" t="str">
        <f>getMount('RawData (GH)'!G1072)</f>
        <v>Sony E</v>
      </c>
      <c r="J1072" t="str">
        <f>getSensorCompatibility('RawData (GH)'!H1072)</f>
        <v>APS-C/ Kleinbild</v>
      </c>
      <c r="K1072" s="45">
        <f>getWeightAsDouble('RawData (GH)'!I1072)</f>
        <v>1380</v>
      </c>
      <c r="L1072" s="34">
        <f>getSizeDiameter('RawData (GH)'!J1072)</f>
        <v>117.6</v>
      </c>
      <c r="M1072" s="34">
        <f>getSizeLength('RawData (GH)'!J1072)</f>
        <v>147.69999999999999</v>
      </c>
    </row>
    <row r="1073" spans="1:13" x14ac:dyDescent="0.25">
      <c r="A1073" t="str">
        <f>'RawData (GH)'!A1073</f>
        <v>Samyang XEEN 50mm T1.5 für Canon EF schwarz</v>
      </c>
      <c r="B1073" s="5">
        <f>getFocalLengthStart('RawData (GH)'!B1073)</f>
        <v>50</v>
      </c>
      <c r="C1073" s="5">
        <f>getFocalLengthEnd('RawData (GH)'!B1073)</f>
        <v>50</v>
      </c>
      <c r="D1073" s="9">
        <f>getApertureStart('RawData (GH)'!C1073)</f>
        <v>1.5</v>
      </c>
      <c r="E1073" s="9">
        <f>getApertureEnd('RawData (GH)'!C1073)</f>
        <v>1.5</v>
      </c>
      <c r="F1073" s="2">
        <f>getFiltersizeAsDouble('RawData (GH)'!D1073)</f>
        <v>0</v>
      </c>
      <c r="G1073" s="35">
        <f>getMagnification('RawData (GH)'!E1073)</f>
        <v>0</v>
      </c>
      <c r="H1073" s="62">
        <f>getMinimalFocus('RawData (GH)'!F1073)</f>
        <v>0</v>
      </c>
      <c r="I1073" t="str">
        <f>getMount('RawData (GH)'!G1073)</f>
        <v>Canon EF</v>
      </c>
      <c r="J1073" t="str">
        <f>getSensorCompatibility('RawData (GH)'!H1073)</f>
        <v>APS-C/ Kleinbild</v>
      </c>
      <c r="K1073" s="45">
        <f>getWeightAsDouble('RawData (GH)'!I1073)</f>
        <v>1160</v>
      </c>
      <c r="L1073" s="34">
        <f>getSizeDiameter('RawData (GH)'!J1073)</f>
        <v>117.6</v>
      </c>
      <c r="M1073" s="34">
        <f>getSizeLength('RawData (GH)'!J1073)</f>
        <v>121.7</v>
      </c>
    </row>
    <row r="1074" spans="1:13" x14ac:dyDescent="0.25">
      <c r="A1074" t="str">
        <f>'RawData (GH)'!A1074</f>
        <v>Samyang XEEN 50mm T1.5 für Micro-Four-Thirds schwarz</v>
      </c>
      <c r="B1074" s="5">
        <f>getFocalLengthStart('RawData (GH)'!B1074)</f>
        <v>50</v>
      </c>
      <c r="C1074" s="5">
        <f>getFocalLengthEnd('RawData (GH)'!B1074)</f>
        <v>50</v>
      </c>
      <c r="D1074" s="9">
        <f>getApertureStart('RawData (GH)'!C1074)</f>
        <v>1.5</v>
      </c>
      <c r="E1074" s="9">
        <f>getApertureEnd('RawData (GH)'!C1074)</f>
        <v>1.5</v>
      </c>
      <c r="F1074" s="2">
        <f>getFiltersizeAsDouble('RawData (GH)'!D1074)</f>
        <v>0</v>
      </c>
      <c r="G1074" s="35">
        <f>getMagnification('RawData (GH)'!E1074)</f>
        <v>0</v>
      </c>
      <c r="H1074" s="62">
        <f>getMinimalFocus('RawData (GH)'!F1074)</f>
        <v>0</v>
      </c>
      <c r="I1074" t="str">
        <f>getMount('RawData (GH)'!G1074)</f>
        <v>Micro-Four-Thirds</v>
      </c>
      <c r="J1074" t="str">
        <f>getSensorCompatibility('RawData (GH)'!H1074)</f>
        <v>Micro-Four-Thirds</v>
      </c>
      <c r="K1074" s="45">
        <f>getWeightAsDouble('RawData (GH)'!I1074)</f>
        <v>1170</v>
      </c>
      <c r="L1074" s="34">
        <f>getSizeDiameter('RawData (GH)'!J1074)</f>
        <v>117.6</v>
      </c>
      <c r="M1074" s="34">
        <f>getSizeLength('RawData (GH)'!J1074)</f>
        <v>146.5</v>
      </c>
    </row>
    <row r="1075" spans="1:13" x14ac:dyDescent="0.25">
      <c r="A1075" t="str">
        <f>'RawData (GH)'!A1075</f>
        <v>Samyang XEEN 50mm T1.5 für Nikon F schwarz</v>
      </c>
      <c r="B1075" s="5">
        <f>getFocalLengthStart('RawData (GH)'!B1075)</f>
        <v>50</v>
      </c>
      <c r="C1075" s="5">
        <f>getFocalLengthEnd('RawData (GH)'!B1075)</f>
        <v>50</v>
      </c>
      <c r="D1075" s="9">
        <f>getApertureStart('RawData (GH)'!C1075)</f>
        <v>1.5</v>
      </c>
      <c r="E1075" s="9">
        <f>getApertureEnd('RawData (GH)'!C1075)</f>
        <v>1.5</v>
      </c>
      <c r="F1075" s="2">
        <f>getFiltersizeAsDouble('RawData (GH)'!D1075)</f>
        <v>0</v>
      </c>
      <c r="G1075" s="35">
        <f>getMagnification('RawData (GH)'!E1075)</f>
        <v>0</v>
      </c>
      <c r="H1075" s="62">
        <f>getMinimalFocus('RawData (GH)'!F1075)</f>
        <v>0</v>
      </c>
      <c r="I1075" t="str">
        <f>getMount('RawData (GH)'!G1075)</f>
        <v>Nikon F</v>
      </c>
      <c r="J1075" t="str">
        <f>getSensorCompatibility('RawData (GH)'!H1075)</f>
        <v>APS-C/ Kleinbild</v>
      </c>
      <c r="K1075" s="45">
        <f>getWeightAsDouble('RawData (GH)'!I1075)</f>
        <v>1120</v>
      </c>
      <c r="L1075" s="34">
        <f>getSizeDiameter('RawData (GH)'!J1075)</f>
        <v>117.6</v>
      </c>
      <c r="M1075" s="34">
        <f>getSizeLength('RawData (GH)'!J1075)</f>
        <v>119.2</v>
      </c>
    </row>
    <row r="1076" spans="1:13" x14ac:dyDescent="0.25">
      <c r="A1076" t="str">
        <f>'RawData (GH)'!A1076</f>
        <v>Samyang XEEN 50mm T1.5 für PL schwarz</v>
      </c>
      <c r="B1076" s="5">
        <f>getFocalLengthStart('RawData (GH)'!B1076)</f>
        <v>50</v>
      </c>
      <c r="C1076" s="5">
        <f>getFocalLengthEnd('RawData (GH)'!B1076)</f>
        <v>50</v>
      </c>
      <c r="D1076" s="9">
        <f>getApertureStart('RawData (GH)'!C1076)</f>
        <v>1.5</v>
      </c>
      <c r="E1076" s="9">
        <f>getApertureEnd('RawData (GH)'!C1076)</f>
        <v>1.5</v>
      </c>
      <c r="F1076" s="2">
        <f>getFiltersizeAsDouble('RawData (GH)'!D1076)</f>
        <v>0</v>
      </c>
      <c r="G1076" s="35">
        <f>getMagnification('RawData (GH)'!E1076)</f>
        <v>0</v>
      </c>
      <c r="H1076" s="62">
        <f>getMinimalFocus('RawData (GH)'!F1076)</f>
        <v>0</v>
      </c>
      <c r="I1076" t="str">
        <f>getMount('RawData (GH)'!G1076)</f>
        <v>PL</v>
      </c>
      <c r="J1076" t="str">
        <f>getSensorCompatibility('RawData (GH)'!H1076)</f>
        <v>APS-C/ Kleinbild</v>
      </c>
      <c r="K1076" s="45">
        <f>getWeightAsDouble('RawData (GH)'!I1076)</f>
        <v>1160</v>
      </c>
      <c r="L1076" s="34">
        <f>getSizeDiameter('RawData (GH)'!J1076)</f>
        <v>117.6</v>
      </c>
      <c r="M1076" s="34">
        <f>getSizeLength('RawData (GH)'!J1076)</f>
        <v>113.7</v>
      </c>
    </row>
    <row r="1077" spans="1:13" x14ac:dyDescent="0.25">
      <c r="A1077" t="str">
        <f>'RawData (GH)'!A1077</f>
        <v>Samyang XEEN 50mm T1.5 für Sony E schwarz</v>
      </c>
      <c r="B1077" s="5">
        <f>getFocalLengthStart('RawData (GH)'!B1077)</f>
        <v>50</v>
      </c>
      <c r="C1077" s="5">
        <f>getFocalLengthEnd('RawData (GH)'!B1077)</f>
        <v>50</v>
      </c>
      <c r="D1077" s="9">
        <f>getApertureStart('RawData (GH)'!C1077)</f>
        <v>1.5</v>
      </c>
      <c r="E1077" s="9">
        <f>getApertureEnd('RawData (GH)'!C1077)</f>
        <v>1.5</v>
      </c>
      <c r="F1077" s="2">
        <f>getFiltersizeAsDouble('RawData (GH)'!D1077)</f>
        <v>0</v>
      </c>
      <c r="G1077" s="35">
        <f>getMagnification('RawData (GH)'!E1077)</f>
        <v>0</v>
      </c>
      <c r="H1077" s="62">
        <f>getMinimalFocus('RawData (GH)'!F1077)</f>
        <v>0</v>
      </c>
      <c r="I1077" t="str">
        <f>getMount('RawData (GH)'!G1077)</f>
        <v>Sony E</v>
      </c>
      <c r="J1077" t="str">
        <f>getSensorCompatibility('RawData (GH)'!H1077)</f>
        <v>APS-C/ Kleinbild</v>
      </c>
      <c r="K1077" s="45">
        <f>getWeightAsDouble('RawData (GH)'!I1077)</f>
        <v>1170</v>
      </c>
      <c r="L1077" s="34">
        <f>getSizeDiameter('RawData (GH)'!J1077)</f>
        <v>117.6</v>
      </c>
      <c r="M1077" s="34">
        <f>getSizeLength('RawData (GH)'!J1077)</f>
        <v>147.69999999999999</v>
      </c>
    </row>
    <row r="1078" spans="1:13" x14ac:dyDescent="0.25">
      <c r="A1078" t="str">
        <f>'RawData (GH)'!A1078</f>
        <v>Samyang XEEN 85mm T1.5 für Canon EF schwarz</v>
      </c>
      <c r="B1078" s="5">
        <f>getFocalLengthStart('RawData (GH)'!B1078)</f>
        <v>85</v>
      </c>
      <c r="C1078" s="5">
        <f>getFocalLengthEnd('RawData (GH)'!B1078)</f>
        <v>85</v>
      </c>
      <c r="D1078" s="9">
        <f>getApertureStart('RawData (GH)'!C1078)</f>
        <v>1.5</v>
      </c>
      <c r="E1078" s="9">
        <f>getApertureEnd('RawData (GH)'!C1078)</f>
        <v>1.5</v>
      </c>
      <c r="F1078" s="2">
        <f>getFiltersizeAsDouble('RawData (GH)'!D1078)</f>
        <v>0</v>
      </c>
      <c r="G1078" s="35">
        <f>getMagnification('RawData (GH)'!E1078)</f>
        <v>0</v>
      </c>
      <c r="H1078" s="62">
        <f>getMinimalFocus('RawData (GH)'!F1078)</f>
        <v>0</v>
      </c>
      <c r="I1078" t="str">
        <f>getMount('RawData (GH)'!G1078)</f>
        <v>Canon EF</v>
      </c>
      <c r="J1078" t="str">
        <f>getSensorCompatibility('RawData (GH)'!H1078)</f>
        <v>APS-C/ Kleinbild</v>
      </c>
      <c r="K1078" s="45">
        <f>getWeightAsDouble('RawData (GH)'!I1078)</f>
        <v>1250</v>
      </c>
      <c r="L1078" s="34">
        <f>getSizeDiameter('RawData (GH)'!J1078)</f>
        <v>117.6</v>
      </c>
      <c r="M1078" s="34">
        <f>getSizeLength('RawData (GH)'!J1078)</f>
        <v>121.7</v>
      </c>
    </row>
    <row r="1079" spans="1:13" x14ac:dyDescent="0.25">
      <c r="A1079" t="str">
        <f>'RawData (GH)'!A1079</f>
        <v>Samyang XEEN 85mm T1.5 für Micro-Four-Thirds schwarz</v>
      </c>
      <c r="B1079" s="5">
        <f>getFocalLengthStart('RawData (GH)'!B1079)</f>
        <v>85</v>
      </c>
      <c r="C1079" s="5">
        <f>getFocalLengthEnd('RawData (GH)'!B1079)</f>
        <v>85</v>
      </c>
      <c r="D1079" s="9">
        <f>getApertureStart('RawData (GH)'!C1079)</f>
        <v>1.5</v>
      </c>
      <c r="E1079" s="9">
        <f>getApertureEnd('RawData (GH)'!C1079)</f>
        <v>1.5</v>
      </c>
      <c r="F1079" s="2">
        <f>getFiltersizeAsDouble('RawData (GH)'!D1079)</f>
        <v>0</v>
      </c>
      <c r="G1079" s="35">
        <f>getMagnification('RawData (GH)'!E1079)</f>
        <v>0</v>
      </c>
      <c r="H1079" s="62">
        <f>getMinimalFocus('RawData (GH)'!F1079)</f>
        <v>0</v>
      </c>
      <c r="I1079" t="str">
        <f>getMount('RawData (GH)'!G1079)</f>
        <v>Micro-Four-Thirds</v>
      </c>
      <c r="J1079" t="str">
        <f>getSensorCompatibility('RawData (GH)'!H1079)</f>
        <v>Micro-Four-Thirds</v>
      </c>
      <c r="K1079" s="45">
        <f>getWeightAsDouble('RawData (GH)'!I1079)</f>
        <v>1250</v>
      </c>
      <c r="L1079" s="34">
        <f>getSizeDiameter('RawData (GH)'!J1079)</f>
        <v>117.6</v>
      </c>
      <c r="M1079" s="34">
        <f>getSizeLength('RawData (GH)'!J1079)</f>
        <v>146.5</v>
      </c>
    </row>
    <row r="1080" spans="1:13" x14ac:dyDescent="0.25">
      <c r="A1080" t="str">
        <f>'RawData (GH)'!A1080</f>
        <v>Samyang XEEN 85mm T1.5 für Nikon F schwarz</v>
      </c>
      <c r="B1080" s="5">
        <f>getFocalLengthStart('RawData (GH)'!B1080)</f>
        <v>85</v>
      </c>
      <c r="C1080" s="5">
        <f>getFocalLengthEnd('RawData (GH)'!B1080)</f>
        <v>85</v>
      </c>
      <c r="D1080" s="9">
        <f>getApertureStart('RawData (GH)'!C1080)</f>
        <v>1.5</v>
      </c>
      <c r="E1080" s="9">
        <f>getApertureEnd('RawData (GH)'!C1080)</f>
        <v>1.5</v>
      </c>
      <c r="F1080" s="2">
        <f>getFiltersizeAsDouble('RawData (GH)'!D1080)</f>
        <v>0</v>
      </c>
      <c r="G1080" s="35">
        <f>getMagnification('RawData (GH)'!E1080)</f>
        <v>0</v>
      </c>
      <c r="H1080" s="62">
        <f>getMinimalFocus('RawData (GH)'!F1080)</f>
        <v>0</v>
      </c>
      <c r="I1080" t="str">
        <f>getMount('RawData (GH)'!G1080)</f>
        <v>Nikon F</v>
      </c>
      <c r="J1080" t="str">
        <f>getSensorCompatibility('RawData (GH)'!H1080)</f>
        <v>APS-C/ Kleinbild</v>
      </c>
      <c r="K1080" s="45">
        <f>getWeightAsDouble('RawData (GH)'!I1080)</f>
        <v>1200</v>
      </c>
      <c r="L1080" s="34">
        <f>getSizeDiameter('RawData (GH)'!J1080)</f>
        <v>117.6</v>
      </c>
      <c r="M1080" s="34">
        <f>getSizeLength('RawData (GH)'!J1080)</f>
        <v>119.2</v>
      </c>
    </row>
    <row r="1081" spans="1:13" x14ac:dyDescent="0.25">
      <c r="A1081" t="str">
        <f>'RawData (GH)'!A1081</f>
        <v>Samyang XEEN 85mm T1.5 für PL schwarz</v>
      </c>
      <c r="B1081" s="5">
        <f>getFocalLengthStart('RawData (GH)'!B1081)</f>
        <v>85</v>
      </c>
      <c r="C1081" s="5">
        <f>getFocalLengthEnd('RawData (GH)'!B1081)</f>
        <v>85</v>
      </c>
      <c r="D1081" s="9">
        <f>getApertureStart('RawData (GH)'!C1081)</f>
        <v>1.5</v>
      </c>
      <c r="E1081" s="9">
        <f>getApertureEnd('RawData (GH)'!C1081)</f>
        <v>1.5</v>
      </c>
      <c r="F1081" s="2">
        <f>getFiltersizeAsDouble('RawData (GH)'!D1081)</f>
        <v>0</v>
      </c>
      <c r="G1081" s="35">
        <f>getMagnification('RawData (GH)'!E1081)</f>
        <v>0</v>
      </c>
      <c r="H1081" s="62">
        <f>getMinimalFocus('RawData (GH)'!F1081)</f>
        <v>0</v>
      </c>
      <c r="I1081" t="str">
        <f>getMount('RawData (GH)'!G1081)</f>
        <v>PL</v>
      </c>
      <c r="J1081" t="str">
        <f>getSensorCompatibility('RawData (GH)'!H1081)</f>
        <v>APS-C/ Kleinbild</v>
      </c>
      <c r="K1081" s="45">
        <f>getWeightAsDouble('RawData (GH)'!I1081)</f>
        <v>1250</v>
      </c>
      <c r="L1081" s="34">
        <f>getSizeDiameter('RawData (GH)'!J1081)</f>
        <v>117.6</v>
      </c>
      <c r="M1081" s="34">
        <f>getSizeLength('RawData (GH)'!J1081)</f>
        <v>113.7</v>
      </c>
    </row>
    <row r="1082" spans="1:13" x14ac:dyDescent="0.25">
      <c r="A1082" t="str">
        <f>'RawData (GH)'!A1082</f>
        <v>Samyang XEEN 85mm T1.5 für Sony E schwarz</v>
      </c>
      <c r="B1082" s="5">
        <f>getFocalLengthStart('RawData (GH)'!B1082)</f>
        <v>85</v>
      </c>
      <c r="C1082" s="5">
        <f>getFocalLengthEnd('RawData (GH)'!B1082)</f>
        <v>85</v>
      </c>
      <c r="D1082" s="9">
        <f>getApertureStart('RawData (GH)'!C1082)</f>
        <v>1.5</v>
      </c>
      <c r="E1082" s="9">
        <f>getApertureEnd('RawData (GH)'!C1082)</f>
        <v>1.5</v>
      </c>
      <c r="F1082" s="2">
        <f>getFiltersizeAsDouble('RawData (GH)'!D1082)</f>
        <v>0</v>
      </c>
      <c r="G1082" s="35">
        <f>getMagnification('RawData (GH)'!E1082)</f>
        <v>0</v>
      </c>
      <c r="H1082" s="62">
        <f>getMinimalFocus('RawData (GH)'!F1082)</f>
        <v>0</v>
      </c>
      <c r="I1082" t="str">
        <f>getMount('RawData (GH)'!G1082)</f>
        <v>Sony E</v>
      </c>
      <c r="J1082" t="str">
        <f>getSensorCompatibility('RawData (GH)'!H1082)</f>
        <v>APS-C/ Kleinbild</v>
      </c>
      <c r="K1082" s="45">
        <f>getWeightAsDouble('RawData (GH)'!I1082)</f>
        <v>1250</v>
      </c>
      <c r="L1082" s="34">
        <f>getSizeDiameter('RawData (GH)'!J1082)</f>
        <v>117.6</v>
      </c>
      <c r="M1082" s="34">
        <f>getSizeLength('RawData (GH)'!J1082)</f>
        <v>147.69999999999999</v>
      </c>
    </row>
    <row r="1083" spans="1:13" x14ac:dyDescent="0.25">
      <c r="A1083" t="str">
        <f>'RawData (GH)'!A1083</f>
        <v>Samyang XP 14mm 2.4 UMC für Canon EF schwarz</v>
      </c>
      <c r="B1083" s="5">
        <f>getFocalLengthStart('RawData (GH)'!B1083)</f>
        <v>14</v>
      </c>
      <c r="C1083" s="5">
        <f>getFocalLengthEnd('RawData (GH)'!B1083)</f>
        <v>14</v>
      </c>
      <c r="D1083" s="9">
        <f>getApertureStart('RawData (GH)'!C1083)</f>
        <v>2.4</v>
      </c>
      <c r="E1083" s="9">
        <f>getApertureEnd('RawData (GH)'!C1083)</f>
        <v>2.4</v>
      </c>
      <c r="F1083" s="2">
        <f>getFiltersizeAsDouble('RawData (GH)'!D1083)</f>
        <v>0</v>
      </c>
      <c r="G1083" s="35">
        <f>getMagnification('RawData (GH)'!E1083)</f>
        <v>12.5</v>
      </c>
      <c r="H1083" s="62">
        <f>getMinimalFocus('RawData (GH)'!F1083)</f>
        <v>0</v>
      </c>
      <c r="I1083" t="str">
        <f>getMount('RawData (GH)'!G1083)</f>
        <v>Canon EF</v>
      </c>
      <c r="J1083" t="str">
        <f>getSensorCompatibility('RawData (GH)'!H1083)</f>
        <v>APS-C/ Kleinbild</v>
      </c>
      <c r="K1083" s="45">
        <f>getWeightAsDouble('RawData (GH)'!I1083)</f>
        <v>791</v>
      </c>
      <c r="L1083" s="34">
        <f>getSizeDiameter('RawData (GH)'!J1083)</f>
        <v>95</v>
      </c>
      <c r="M1083" s="34">
        <f>getSizeLength('RawData (GH)'!J1083)</f>
        <v>109.4</v>
      </c>
    </row>
    <row r="1084" spans="1:13" x14ac:dyDescent="0.25">
      <c r="A1084" t="str">
        <f>'RawData (GH)'!A1084</f>
        <v>Samyang XP 14mm 2.4 UMC für Nikon F schwarz</v>
      </c>
      <c r="B1084" s="5">
        <f>getFocalLengthStart('RawData (GH)'!B1084)</f>
        <v>14</v>
      </c>
      <c r="C1084" s="5">
        <f>getFocalLengthEnd('RawData (GH)'!B1084)</f>
        <v>14</v>
      </c>
      <c r="D1084" s="9">
        <f>getApertureStart('RawData (GH)'!C1084)</f>
        <v>2.4</v>
      </c>
      <c r="E1084" s="9">
        <f>getApertureEnd('RawData (GH)'!C1084)</f>
        <v>2.4</v>
      </c>
      <c r="F1084" s="2">
        <f>getFiltersizeAsDouble('RawData (GH)'!D1084)</f>
        <v>0</v>
      </c>
      <c r="G1084" s="35">
        <f>getMagnification('RawData (GH)'!E1084)</f>
        <v>12.5</v>
      </c>
      <c r="H1084" s="62">
        <f>getMinimalFocus('RawData (GH)'!F1084)</f>
        <v>0</v>
      </c>
      <c r="I1084" t="str">
        <f>getMount('RawData (GH)'!G1084)</f>
        <v>Nikon F</v>
      </c>
      <c r="J1084" t="str">
        <f>getSensorCompatibility('RawData (GH)'!H1084)</f>
        <v>APS-C/ Kleinbild</v>
      </c>
      <c r="K1084" s="45">
        <f>getWeightAsDouble('RawData (GH)'!I1084)</f>
        <v>791</v>
      </c>
      <c r="L1084" s="34">
        <f>getSizeDiameter('RawData (GH)'!J1084)</f>
        <v>95</v>
      </c>
      <c r="M1084" s="34">
        <f>getSizeLength('RawData (GH)'!J1084)</f>
        <v>109.4</v>
      </c>
    </row>
    <row r="1085" spans="1:13" x14ac:dyDescent="0.25">
      <c r="A1085" t="str">
        <f>'RawData (GH)'!A1085</f>
        <v>Samyang XP 85mm 1.2 Asph UMC für Canon EF schwarz</v>
      </c>
      <c r="B1085" s="5">
        <f>getFocalLengthStart('RawData (GH)'!B1085)</f>
        <v>85</v>
      </c>
      <c r="C1085" s="5">
        <f>getFocalLengthEnd('RawData (GH)'!B1085)</f>
        <v>85</v>
      </c>
      <c r="D1085" s="9">
        <f>getApertureStart('RawData (GH)'!C1085)</f>
        <v>1.2</v>
      </c>
      <c r="E1085" s="9">
        <f>getApertureEnd('RawData (GH)'!C1085)</f>
        <v>1.2</v>
      </c>
      <c r="F1085" s="2">
        <f>getFiltersizeAsDouble('RawData (GH)'!D1085)</f>
        <v>86</v>
      </c>
      <c r="G1085" s="35">
        <f>getMagnification('RawData (GH)'!E1085)</f>
        <v>7.69</v>
      </c>
      <c r="H1085" s="62">
        <f>getMinimalFocus('RawData (GH)'!F1085)</f>
        <v>0</v>
      </c>
      <c r="I1085" t="str">
        <f>getMount('RawData (GH)'!G1085)</f>
        <v>Canon EF</v>
      </c>
      <c r="J1085" t="str">
        <f>getSensorCompatibility('RawData (GH)'!H1085)</f>
        <v>APS-C/ Kleinbild</v>
      </c>
      <c r="K1085" s="45">
        <f>getWeightAsDouble('RawData (GH)'!I1085)</f>
        <v>1050</v>
      </c>
      <c r="L1085" s="34">
        <f>getSizeDiameter('RawData (GH)'!J1085)</f>
        <v>93</v>
      </c>
      <c r="M1085" s="34">
        <f>getSizeLength('RawData (GH)'!J1085)</f>
        <v>98.4</v>
      </c>
    </row>
    <row r="1086" spans="1:13" x14ac:dyDescent="0.25">
      <c r="A1086" t="str">
        <f>'RawData (GH)'!A1086</f>
        <v>Sigma AF 10-20mm 3.5 EX DC HSM für Canon EF schwarz</v>
      </c>
      <c r="B1086" s="5">
        <f>getFocalLengthStart('RawData (GH)'!B1086)</f>
        <v>10</v>
      </c>
      <c r="C1086" s="5">
        <f>getFocalLengthEnd('RawData (GH)'!B1086)</f>
        <v>20</v>
      </c>
      <c r="D1086" s="9">
        <f>getApertureStart('RawData (GH)'!C1086)</f>
        <v>3.5</v>
      </c>
      <c r="E1086" s="9">
        <f>getApertureEnd('RawData (GH)'!C1086)</f>
        <v>3.5</v>
      </c>
      <c r="F1086" s="2">
        <f>getFiltersizeAsDouble('RawData (GH)'!D1086)</f>
        <v>82</v>
      </c>
      <c r="G1086" s="35">
        <f>getMagnification('RawData (GH)'!E1086)</f>
        <v>6.6</v>
      </c>
      <c r="H1086" s="62">
        <f>getMinimalFocus('RawData (GH)'!F1086)</f>
        <v>0</v>
      </c>
      <c r="I1086" t="str">
        <f>getMount('RawData (GH)'!G1086)</f>
        <v>Canon EF-S</v>
      </c>
      <c r="J1086" t="str">
        <f>getSensorCompatibility('RawData (GH)'!H1086)</f>
        <v>APS-C</v>
      </c>
      <c r="K1086" s="45">
        <f>getWeightAsDouble('RawData (GH)'!I1086)</f>
        <v>520</v>
      </c>
      <c r="L1086" s="34">
        <f>getSizeDiameter('RawData (GH)'!J1086)</f>
        <v>87.3</v>
      </c>
      <c r="M1086" s="34">
        <f>getSizeLength('RawData (GH)'!J1086)</f>
        <v>88.2</v>
      </c>
    </row>
    <row r="1087" spans="1:13" x14ac:dyDescent="0.25">
      <c r="A1087" t="str">
        <f>'RawData (GH)'!A1087</f>
        <v>Sigma AF 10-20mm 3.5 EX DC HSM für Nikon F schwarz</v>
      </c>
      <c r="B1087" s="5">
        <f>getFocalLengthStart('RawData (GH)'!B1087)</f>
        <v>10</v>
      </c>
      <c r="C1087" s="5">
        <f>getFocalLengthEnd('RawData (GH)'!B1087)</f>
        <v>20</v>
      </c>
      <c r="D1087" s="9">
        <f>getApertureStart('RawData (GH)'!C1087)</f>
        <v>3.5</v>
      </c>
      <c r="E1087" s="9">
        <f>getApertureEnd('RawData (GH)'!C1087)</f>
        <v>3.5</v>
      </c>
      <c r="F1087" s="2">
        <f>getFiltersizeAsDouble('RawData (GH)'!D1087)</f>
        <v>82</v>
      </c>
      <c r="G1087" s="35">
        <f>getMagnification('RawData (GH)'!E1087)</f>
        <v>6.6</v>
      </c>
      <c r="H1087" s="62">
        <f>getMinimalFocus('RawData (GH)'!F1087)</f>
        <v>0</v>
      </c>
      <c r="I1087" t="str">
        <f>getMount('RawData (GH)'!G1087)</f>
        <v>Nikon F</v>
      </c>
      <c r="J1087" t="str">
        <f>getSensorCompatibility('RawData (GH)'!H1087)</f>
        <v>APS-C</v>
      </c>
      <c r="K1087" s="45">
        <f>getWeightAsDouble('RawData (GH)'!I1087)</f>
        <v>520</v>
      </c>
      <c r="L1087" s="34">
        <f>getSizeDiameter('RawData (GH)'!J1087)</f>
        <v>87.3</v>
      </c>
      <c r="M1087" s="34">
        <f>getSizeLength('RawData (GH)'!J1087)</f>
        <v>88.2</v>
      </c>
    </row>
    <row r="1088" spans="1:13" x14ac:dyDescent="0.25">
      <c r="A1088" t="str">
        <f>'RawData (GH)'!A1088</f>
        <v>Sigma AF 10-20mm 3.5 EX DC HSM für Pentax K schwarz</v>
      </c>
      <c r="B1088" s="5">
        <f>getFocalLengthStart('RawData (GH)'!B1088)</f>
        <v>10</v>
      </c>
      <c r="C1088" s="5">
        <f>getFocalLengthEnd('RawData (GH)'!B1088)</f>
        <v>20</v>
      </c>
      <c r="D1088" s="9">
        <f>getApertureStart('RawData (GH)'!C1088)</f>
        <v>3.5</v>
      </c>
      <c r="E1088" s="9">
        <f>getApertureEnd('RawData (GH)'!C1088)</f>
        <v>3.5</v>
      </c>
      <c r="F1088" s="2">
        <f>getFiltersizeAsDouble('RawData (GH)'!D1088)</f>
        <v>82</v>
      </c>
      <c r="G1088" s="35">
        <f>getMagnification('RawData (GH)'!E1088)</f>
        <v>6.6</v>
      </c>
      <c r="H1088" s="62">
        <f>getMinimalFocus('RawData (GH)'!F1088)</f>
        <v>0</v>
      </c>
      <c r="I1088" t="str">
        <f>getMount('RawData (GH)'!G1088)</f>
        <v>Pentax K</v>
      </c>
      <c r="J1088" t="str">
        <f>getSensorCompatibility('RawData (GH)'!H1088)</f>
        <v>APS-C</v>
      </c>
      <c r="K1088" s="45">
        <f>getWeightAsDouble('RawData (GH)'!I1088)</f>
        <v>520</v>
      </c>
      <c r="L1088" s="34">
        <f>getSizeDiameter('RawData (GH)'!J1088)</f>
        <v>87.3</v>
      </c>
      <c r="M1088" s="34">
        <f>getSizeLength('RawData (GH)'!J1088)</f>
        <v>88.2</v>
      </c>
    </row>
    <row r="1089" spans="1:13" x14ac:dyDescent="0.25">
      <c r="A1089" t="str">
        <f>'RawData (GH)'!A1089</f>
        <v>Sigma AF 10-20mm 3.5 EX DC HSM für Sigma schwarz</v>
      </c>
      <c r="B1089" s="5">
        <f>getFocalLengthStart('RawData (GH)'!B1089)</f>
        <v>10</v>
      </c>
      <c r="C1089" s="5">
        <f>getFocalLengthEnd('RawData (GH)'!B1089)</f>
        <v>20</v>
      </c>
      <c r="D1089" s="9">
        <f>getApertureStart('RawData (GH)'!C1089)</f>
        <v>3.5</v>
      </c>
      <c r="E1089" s="9">
        <f>getApertureEnd('RawData (GH)'!C1089)</f>
        <v>3.5</v>
      </c>
      <c r="F1089" s="2">
        <f>getFiltersizeAsDouble('RawData (GH)'!D1089)</f>
        <v>82</v>
      </c>
      <c r="G1089" s="35">
        <f>getMagnification('RawData (GH)'!E1089)</f>
        <v>6.6</v>
      </c>
      <c r="H1089" s="62">
        <f>getMinimalFocus('RawData (GH)'!F1089)</f>
        <v>0</v>
      </c>
      <c r="I1089" t="str">
        <f>getMount('RawData (GH)'!G1089)</f>
        <v>Sigma SA</v>
      </c>
      <c r="J1089" t="str">
        <f>getSensorCompatibility('RawData (GH)'!H1089)</f>
        <v>APS-C</v>
      </c>
      <c r="K1089" s="45">
        <f>getWeightAsDouble('RawData (GH)'!I1089)</f>
        <v>520</v>
      </c>
      <c r="L1089" s="34">
        <f>getSizeDiameter('RawData (GH)'!J1089)</f>
        <v>87.3</v>
      </c>
      <c r="M1089" s="34">
        <f>getSizeLength('RawData (GH)'!J1089)</f>
        <v>88.2</v>
      </c>
    </row>
    <row r="1090" spans="1:13" x14ac:dyDescent="0.25">
      <c r="A1090" t="str">
        <f>'RawData (GH)'!A1090</f>
        <v>Sigma AF 10-20mm 3.5 EX DC HSM für Sony A schwarz</v>
      </c>
      <c r="B1090" s="5">
        <f>getFocalLengthStart('RawData (GH)'!B1090)</f>
        <v>10</v>
      </c>
      <c r="C1090" s="5">
        <f>getFocalLengthEnd('RawData (GH)'!B1090)</f>
        <v>20</v>
      </c>
      <c r="D1090" s="9">
        <f>getApertureStart('RawData (GH)'!C1090)</f>
        <v>3.5</v>
      </c>
      <c r="E1090" s="9">
        <f>getApertureEnd('RawData (GH)'!C1090)</f>
        <v>3.5</v>
      </c>
      <c r="F1090" s="2">
        <f>getFiltersizeAsDouble('RawData (GH)'!D1090)</f>
        <v>82</v>
      </c>
      <c r="G1090" s="35">
        <f>getMagnification('RawData (GH)'!E1090)</f>
        <v>6.6</v>
      </c>
      <c r="H1090" s="62">
        <f>getMinimalFocus('RawData (GH)'!F1090)</f>
        <v>0</v>
      </c>
      <c r="I1090" t="str">
        <f>getMount('RawData (GH)'!G1090)</f>
        <v>Sony A</v>
      </c>
      <c r="J1090" t="str">
        <f>getSensorCompatibility('RawData (GH)'!H1090)</f>
        <v>APS-C</v>
      </c>
      <c r="K1090" s="45">
        <f>getWeightAsDouble('RawData (GH)'!I1090)</f>
        <v>520</v>
      </c>
      <c r="L1090" s="34">
        <f>getSizeDiameter('RawData (GH)'!J1090)</f>
        <v>87.3</v>
      </c>
      <c r="M1090" s="34">
        <f>getSizeLength('RawData (GH)'!J1090)</f>
        <v>88.2</v>
      </c>
    </row>
    <row r="1091" spans="1:13" x14ac:dyDescent="0.25">
      <c r="A1091" t="str">
        <f>'RawData (GH)'!A1091</f>
        <v>Sigma AF 10-20mm 4.0-5.6 EX DC für Sony A schwarz</v>
      </c>
      <c r="B1091" s="5">
        <f>getFocalLengthStart('RawData (GH)'!B1091)</f>
        <v>10</v>
      </c>
      <c r="C1091" s="5">
        <f>getFocalLengthEnd('RawData (GH)'!B1091)</f>
        <v>20</v>
      </c>
      <c r="D1091" s="9">
        <f>getApertureStart('RawData (GH)'!C1091)</f>
        <v>4</v>
      </c>
      <c r="E1091" s="9">
        <f>getApertureEnd('RawData (GH)'!C1091)</f>
        <v>5.6</v>
      </c>
      <c r="F1091" s="2">
        <f>getFiltersizeAsDouble('RawData (GH)'!D1091)</f>
        <v>77</v>
      </c>
      <c r="G1091" s="35">
        <f>getMagnification('RawData (GH)'!E1091)</f>
        <v>6.7</v>
      </c>
      <c r="H1091" s="62">
        <f>getMinimalFocus('RawData (GH)'!F1091)</f>
        <v>0</v>
      </c>
      <c r="I1091" t="str">
        <f>getMount('RawData (GH)'!G1091)</f>
        <v>Sony A</v>
      </c>
      <c r="J1091" t="str">
        <f>getSensorCompatibility('RawData (GH)'!H1091)</f>
        <v>APS-C</v>
      </c>
      <c r="K1091" s="45">
        <f>getWeightAsDouble('RawData (GH)'!I1091)</f>
        <v>470</v>
      </c>
      <c r="L1091" s="34">
        <f>getSizeDiameter('RawData (GH)'!J1091)</f>
        <v>83.5</v>
      </c>
      <c r="M1091" s="34">
        <f>getSizeLength('RawData (GH)'!J1091)</f>
        <v>81</v>
      </c>
    </row>
    <row r="1092" spans="1:13" x14ac:dyDescent="0.25">
      <c r="A1092" t="str">
        <f>'RawData (GH)'!A1092</f>
        <v>Sigma AF 10-20mm 4.0-5.6 EX DC HSM für Canon EF schwarz</v>
      </c>
      <c r="B1092" s="5">
        <f>getFocalLengthStart('RawData (GH)'!B1092)</f>
        <v>10</v>
      </c>
      <c r="C1092" s="5">
        <f>getFocalLengthEnd('RawData (GH)'!B1092)</f>
        <v>20</v>
      </c>
      <c r="D1092" s="9">
        <f>getApertureStart('RawData (GH)'!C1092)</f>
        <v>4</v>
      </c>
      <c r="E1092" s="9">
        <f>getApertureEnd('RawData (GH)'!C1092)</f>
        <v>5.6</v>
      </c>
      <c r="F1092" s="2">
        <f>getFiltersizeAsDouble('RawData (GH)'!D1092)</f>
        <v>77</v>
      </c>
      <c r="G1092" s="35">
        <f>getMagnification('RawData (GH)'!E1092)</f>
        <v>6.7</v>
      </c>
      <c r="H1092" s="62">
        <f>getMinimalFocus('RawData (GH)'!F1092)</f>
        <v>0</v>
      </c>
      <c r="I1092" t="str">
        <f>getMount('RawData (GH)'!G1092)</f>
        <v>Canon EF-S</v>
      </c>
      <c r="J1092" t="str">
        <f>getSensorCompatibility('RawData (GH)'!H1092)</f>
        <v>APS-C</v>
      </c>
      <c r="K1092" s="45">
        <f>getWeightAsDouble('RawData (GH)'!I1092)</f>
        <v>470</v>
      </c>
      <c r="L1092" s="34">
        <f>getSizeDiameter('RawData (GH)'!J1092)</f>
        <v>83.5</v>
      </c>
      <c r="M1092" s="34">
        <f>getSizeLength('RawData (GH)'!J1092)</f>
        <v>81</v>
      </c>
    </row>
    <row r="1093" spans="1:13" x14ac:dyDescent="0.25">
      <c r="A1093" t="str">
        <f>'RawData (GH)'!A1093</f>
        <v>Sigma AF 10-20mm 4.0-5.6 EX DC HSM für Nikon F schwarz</v>
      </c>
      <c r="B1093" s="5">
        <f>getFocalLengthStart('RawData (GH)'!B1093)</f>
        <v>10</v>
      </c>
      <c r="C1093" s="5">
        <f>getFocalLengthEnd('RawData (GH)'!B1093)</f>
        <v>20</v>
      </c>
      <c r="D1093" s="9">
        <f>getApertureStart('RawData (GH)'!C1093)</f>
        <v>4</v>
      </c>
      <c r="E1093" s="9">
        <f>getApertureEnd('RawData (GH)'!C1093)</f>
        <v>5.6</v>
      </c>
      <c r="F1093" s="2">
        <f>getFiltersizeAsDouble('RawData (GH)'!D1093)</f>
        <v>77</v>
      </c>
      <c r="G1093" s="35">
        <f>getMagnification('RawData (GH)'!E1093)</f>
        <v>6.7</v>
      </c>
      <c r="H1093" s="62">
        <f>getMinimalFocus('RawData (GH)'!F1093)</f>
        <v>0</v>
      </c>
      <c r="I1093" t="str">
        <f>getMount('RawData (GH)'!G1093)</f>
        <v>Nikon F</v>
      </c>
      <c r="J1093" t="str">
        <f>getSensorCompatibility('RawData (GH)'!H1093)</f>
        <v>APS-C</v>
      </c>
      <c r="K1093" s="45">
        <f>getWeightAsDouble('RawData (GH)'!I1093)</f>
        <v>470</v>
      </c>
      <c r="L1093" s="34">
        <f>getSizeDiameter('RawData (GH)'!J1093)</f>
        <v>83.5</v>
      </c>
      <c r="M1093" s="34">
        <f>getSizeLength('RawData (GH)'!J1093)</f>
        <v>81</v>
      </c>
    </row>
    <row r="1094" spans="1:13" x14ac:dyDescent="0.25">
      <c r="A1094" t="str">
        <f>'RawData (GH)'!A1094</f>
        <v>Sigma AF 105mm 2.8 EX DG OS HSM Makro für Canon EF schwarz</v>
      </c>
      <c r="B1094" s="5">
        <f>getFocalLengthStart('RawData (GH)'!B1094)</f>
        <v>105</v>
      </c>
      <c r="C1094" s="5">
        <f>getFocalLengthEnd('RawData (GH)'!B1094)</f>
        <v>105</v>
      </c>
      <c r="D1094" s="9">
        <f>getApertureStart('RawData (GH)'!C1094)</f>
        <v>2.8</v>
      </c>
      <c r="E1094" s="9">
        <f>getApertureEnd('RawData (GH)'!C1094)</f>
        <v>2.8</v>
      </c>
      <c r="F1094" s="2">
        <f>getFiltersizeAsDouble('RawData (GH)'!D1094)</f>
        <v>62</v>
      </c>
      <c r="G1094" s="35">
        <f>getMagnification('RawData (GH)'!E1094)</f>
        <v>1</v>
      </c>
      <c r="H1094" s="62">
        <f>getMinimalFocus('RawData (GH)'!F1094)</f>
        <v>0</v>
      </c>
      <c r="I1094" t="str">
        <f>getMount('RawData (GH)'!G1094)</f>
        <v>Canon EF</v>
      </c>
      <c r="J1094" t="str">
        <f>getSensorCompatibility('RawData (GH)'!H1094)</f>
        <v>APS-C/ Kleinbild</v>
      </c>
      <c r="K1094" s="45">
        <f>getWeightAsDouble('RawData (GH)'!I1094)</f>
        <v>725</v>
      </c>
      <c r="L1094" s="34">
        <f>getSizeDiameter('RawData (GH)'!J1094)</f>
        <v>78.3</v>
      </c>
      <c r="M1094" s="34">
        <f>getSizeLength('RawData (GH)'!J1094)</f>
        <v>126.4</v>
      </c>
    </row>
    <row r="1095" spans="1:13" x14ac:dyDescent="0.25">
      <c r="A1095" t="str">
        <f>'RawData (GH)'!A1095</f>
        <v>Sigma AF 105mm 2.8 EX DG OS HSM Makro für Nikon F schwarz</v>
      </c>
      <c r="B1095" s="5">
        <f>getFocalLengthStart('RawData (GH)'!B1095)</f>
        <v>105</v>
      </c>
      <c r="C1095" s="5">
        <f>getFocalLengthEnd('RawData (GH)'!B1095)</f>
        <v>105</v>
      </c>
      <c r="D1095" s="9">
        <f>getApertureStart('RawData (GH)'!C1095)</f>
        <v>2.8</v>
      </c>
      <c r="E1095" s="9">
        <f>getApertureEnd('RawData (GH)'!C1095)</f>
        <v>2.8</v>
      </c>
      <c r="F1095" s="2">
        <f>getFiltersizeAsDouble('RawData (GH)'!D1095)</f>
        <v>62</v>
      </c>
      <c r="G1095" s="35">
        <f>getMagnification('RawData (GH)'!E1095)</f>
        <v>1</v>
      </c>
      <c r="H1095" s="62">
        <f>getMinimalFocus('RawData (GH)'!F1095)</f>
        <v>0</v>
      </c>
      <c r="I1095" t="str">
        <f>getMount('RawData (GH)'!G1095)</f>
        <v>Nikon F</v>
      </c>
      <c r="J1095" t="str">
        <f>getSensorCompatibility('RawData (GH)'!H1095)</f>
        <v>APS-C/ Kleinbild</v>
      </c>
      <c r="K1095" s="45">
        <f>getWeightAsDouble('RawData (GH)'!I1095)</f>
        <v>725</v>
      </c>
      <c r="L1095" s="34">
        <f>getSizeDiameter('RawData (GH)'!J1095)</f>
        <v>78.3</v>
      </c>
      <c r="M1095" s="34">
        <f>getSizeLength('RawData (GH)'!J1095)</f>
        <v>126.4</v>
      </c>
    </row>
    <row r="1096" spans="1:13" x14ac:dyDescent="0.25">
      <c r="A1096" t="str">
        <f>'RawData (GH)'!A1096</f>
        <v>Sigma AF 105mm 2.8 EX DG OS HSM Makro für Sigma schwarz</v>
      </c>
      <c r="B1096" s="5">
        <f>getFocalLengthStart('RawData (GH)'!B1096)</f>
        <v>105</v>
      </c>
      <c r="C1096" s="5">
        <f>getFocalLengthEnd('RawData (GH)'!B1096)</f>
        <v>105</v>
      </c>
      <c r="D1096" s="9">
        <f>getApertureStart('RawData (GH)'!C1096)</f>
        <v>2.8</v>
      </c>
      <c r="E1096" s="9">
        <f>getApertureEnd('RawData (GH)'!C1096)</f>
        <v>2.8</v>
      </c>
      <c r="F1096" s="2">
        <f>getFiltersizeAsDouble('RawData (GH)'!D1096)</f>
        <v>62</v>
      </c>
      <c r="G1096" s="35">
        <f>getMagnification('RawData (GH)'!E1096)</f>
        <v>1</v>
      </c>
      <c r="H1096" s="62">
        <f>getMinimalFocus('RawData (GH)'!F1096)</f>
        <v>0</v>
      </c>
      <c r="I1096" t="str">
        <f>getMount('RawData (GH)'!G1096)</f>
        <v>Sigma SA</v>
      </c>
      <c r="J1096" t="str">
        <f>getSensorCompatibility('RawData (GH)'!H1096)</f>
        <v>APS-C</v>
      </c>
      <c r="K1096" s="45">
        <f>getWeightAsDouble('RawData (GH)'!I1096)</f>
        <v>725</v>
      </c>
      <c r="L1096" s="34">
        <f>getSizeDiameter('RawData (GH)'!J1096)</f>
        <v>78.3</v>
      </c>
      <c r="M1096" s="34">
        <f>getSizeLength('RawData (GH)'!J1096)</f>
        <v>126.4</v>
      </c>
    </row>
    <row r="1097" spans="1:13" x14ac:dyDescent="0.25">
      <c r="A1097" t="str">
        <f>'RawData (GH)'!A1097</f>
        <v>Sigma AF 105mm 2.8 EX DG OS HSM Makro für Sony A schwarz</v>
      </c>
      <c r="B1097" s="5">
        <f>getFocalLengthStart('RawData (GH)'!B1097)</f>
        <v>105</v>
      </c>
      <c r="C1097" s="5">
        <f>getFocalLengthEnd('RawData (GH)'!B1097)</f>
        <v>105</v>
      </c>
      <c r="D1097" s="9">
        <f>getApertureStart('RawData (GH)'!C1097)</f>
        <v>2.8</v>
      </c>
      <c r="E1097" s="9">
        <f>getApertureEnd('RawData (GH)'!C1097)</f>
        <v>2.8</v>
      </c>
      <c r="F1097" s="2">
        <f>getFiltersizeAsDouble('RawData (GH)'!D1097)</f>
        <v>62</v>
      </c>
      <c r="G1097" s="35">
        <f>getMagnification('RawData (GH)'!E1097)</f>
        <v>1</v>
      </c>
      <c r="H1097" s="62">
        <f>getMinimalFocus('RawData (GH)'!F1097)</f>
        <v>0</v>
      </c>
      <c r="I1097" t="str">
        <f>getMount('RawData (GH)'!G1097)</f>
        <v>Sony A</v>
      </c>
      <c r="J1097" t="str">
        <f>getSensorCompatibility('RawData (GH)'!H1097)</f>
        <v>APS-C/ Kleinbild</v>
      </c>
      <c r="K1097" s="45">
        <f>getWeightAsDouble('RawData (GH)'!I1097)</f>
        <v>725</v>
      </c>
      <c r="L1097" s="34">
        <f>getSizeDiameter('RawData (GH)'!J1097)</f>
        <v>78.3</v>
      </c>
      <c r="M1097" s="34">
        <f>getSizeLength('RawData (GH)'!J1097)</f>
        <v>126.4</v>
      </c>
    </row>
    <row r="1098" spans="1:13" x14ac:dyDescent="0.25">
      <c r="A1098" t="str">
        <f>'RawData (GH)'!A1098</f>
        <v>Sigma AF 10mm 2.8 EX DC Diagonal Fisheye für Pentax K schwarz</v>
      </c>
      <c r="B1098" s="5">
        <f>getFocalLengthStart('RawData (GH)'!B1098)</f>
        <v>10</v>
      </c>
      <c r="C1098" s="5">
        <f>getFocalLengthEnd('RawData (GH)'!B1098)</f>
        <v>10</v>
      </c>
      <c r="D1098" s="9">
        <f>getApertureStart('RawData (GH)'!C1098)</f>
        <v>2.8</v>
      </c>
      <c r="E1098" s="9">
        <f>getApertureEnd('RawData (GH)'!C1098)</f>
        <v>2.8</v>
      </c>
      <c r="F1098" s="2">
        <f>getFiltersizeAsDouble('RawData (GH)'!D1098)</f>
        <v>0</v>
      </c>
      <c r="G1098" s="35">
        <f>getMagnification('RawData (GH)'!E1098)</f>
        <v>3.3</v>
      </c>
      <c r="H1098" s="62">
        <f>getMinimalFocus('RawData (GH)'!F1098)</f>
        <v>0</v>
      </c>
      <c r="I1098" t="str">
        <f>getMount('RawData (GH)'!G1098)</f>
        <v>Pentax K</v>
      </c>
      <c r="J1098" t="str">
        <f>getSensorCompatibility('RawData (GH)'!H1098)</f>
        <v>APS-C</v>
      </c>
      <c r="K1098" s="45">
        <f>getWeightAsDouble('RawData (GH)'!I1098)</f>
        <v>0</v>
      </c>
      <c r="L1098" s="34">
        <f>getSizeDiameter('RawData (GH)'!J1098)</f>
        <v>75.8</v>
      </c>
      <c r="M1098" s="34">
        <f>getSizeLength('RawData (GH)'!J1098)</f>
        <v>83.1</v>
      </c>
    </row>
    <row r="1099" spans="1:13" x14ac:dyDescent="0.25">
      <c r="A1099" t="str">
        <f>'RawData (GH)'!A1099</f>
        <v>Sigma AF 10mm 2.8 EX DC Diagonal Fisheye für Sony A schwarz</v>
      </c>
      <c r="B1099" s="5">
        <f>getFocalLengthStart('RawData (GH)'!B1099)</f>
        <v>10</v>
      </c>
      <c r="C1099" s="5">
        <f>getFocalLengthEnd('RawData (GH)'!B1099)</f>
        <v>10</v>
      </c>
      <c r="D1099" s="9">
        <f>getApertureStart('RawData (GH)'!C1099)</f>
        <v>2.8</v>
      </c>
      <c r="E1099" s="9">
        <f>getApertureEnd('RawData (GH)'!C1099)</f>
        <v>2.8</v>
      </c>
      <c r="F1099" s="2">
        <f>getFiltersizeAsDouble('RawData (GH)'!D1099)</f>
        <v>0</v>
      </c>
      <c r="G1099" s="35">
        <f>getMagnification('RawData (GH)'!E1099)</f>
        <v>3.3</v>
      </c>
      <c r="H1099" s="62">
        <f>getMinimalFocus('RawData (GH)'!F1099)</f>
        <v>0</v>
      </c>
      <c r="I1099" t="str">
        <f>getMount('RawData (GH)'!G1099)</f>
        <v>Sony A</v>
      </c>
      <c r="J1099" t="str">
        <f>getSensorCompatibility('RawData (GH)'!H1099)</f>
        <v>APS-C</v>
      </c>
      <c r="K1099" s="45">
        <f>getWeightAsDouble('RawData (GH)'!I1099)</f>
        <v>0</v>
      </c>
      <c r="L1099" s="34">
        <f>getSizeDiameter('RawData (GH)'!J1099)</f>
        <v>75.8</v>
      </c>
      <c r="M1099" s="34">
        <f>getSizeLength('RawData (GH)'!J1099)</f>
        <v>83.1</v>
      </c>
    </row>
    <row r="1100" spans="1:13" x14ac:dyDescent="0.25">
      <c r="A1100" t="str">
        <f>'RawData (GH)'!A1100</f>
        <v>Sigma AF 10mm 2.8 EX DC HSM Diagonal Fisheye für Canon EF schwarz</v>
      </c>
      <c r="B1100" s="5">
        <f>getFocalLengthStart('RawData (GH)'!B1100)</f>
        <v>10</v>
      </c>
      <c r="C1100" s="5">
        <f>getFocalLengthEnd('RawData (GH)'!B1100)</f>
        <v>10</v>
      </c>
      <c r="D1100" s="9">
        <f>getApertureStart('RawData (GH)'!C1100)</f>
        <v>2.8</v>
      </c>
      <c r="E1100" s="9">
        <f>getApertureEnd('RawData (GH)'!C1100)</f>
        <v>2.8</v>
      </c>
      <c r="F1100" s="2">
        <f>getFiltersizeAsDouble('RawData (GH)'!D1100)</f>
        <v>0</v>
      </c>
      <c r="G1100" s="35">
        <f>getMagnification('RawData (GH)'!E1100)</f>
        <v>3.3</v>
      </c>
      <c r="H1100" s="62">
        <f>getMinimalFocus('RawData (GH)'!F1100)</f>
        <v>0</v>
      </c>
      <c r="I1100" t="str">
        <f>getMount('RawData (GH)'!G1100)</f>
        <v>Canon EF-S</v>
      </c>
      <c r="J1100" t="str">
        <f>getSensorCompatibility('RawData (GH)'!H1100)</f>
        <v>APS-C</v>
      </c>
      <c r="K1100" s="45">
        <f>getWeightAsDouble('RawData (GH)'!I1100)</f>
        <v>0</v>
      </c>
      <c r="L1100" s="34">
        <f>getSizeDiameter('RawData (GH)'!J1100)</f>
        <v>75.8</v>
      </c>
      <c r="M1100" s="34">
        <f>getSizeLength('RawData (GH)'!J1100)</f>
        <v>83.1</v>
      </c>
    </row>
    <row r="1101" spans="1:13" x14ac:dyDescent="0.25">
      <c r="A1101" t="str">
        <f>'RawData (GH)'!A1101</f>
        <v>Sigma AF 10mm 2.8 EX DC HSM Diagonal Fisheye für Nikon F schwarz</v>
      </c>
      <c r="B1101" s="5">
        <f>getFocalLengthStart('RawData (GH)'!B1101)</f>
        <v>10</v>
      </c>
      <c r="C1101" s="5">
        <f>getFocalLengthEnd('RawData (GH)'!B1101)</f>
        <v>10</v>
      </c>
      <c r="D1101" s="9">
        <f>getApertureStart('RawData (GH)'!C1101)</f>
        <v>2.8</v>
      </c>
      <c r="E1101" s="9">
        <f>getApertureEnd('RawData (GH)'!C1101)</f>
        <v>2.8</v>
      </c>
      <c r="F1101" s="2">
        <f>getFiltersizeAsDouble('RawData (GH)'!D1101)</f>
        <v>0</v>
      </c>
      <c r="G1101" s="35">
        <f>getMagnification('RawData (GH)'!E1101)</f>
        <v>3.3</v>
      </c>
      <c r="H1101" s="62">
        <f>getMinimalFocus('RawData (GH)'!F1101)</f>
        <v>0</v>
      </c>
      <c r="I1101" t="str">
        <f>getMount('RawData (GH)'!G1101)</f>
        <v>Nikon F</v>
      </c>
      <c r="J1101" t="str">
        <f>getSensorCompatibility('RawData (GH)'!H1101)</f>
        <v>APS-C</v>
      </c>
      <c r="K1101" s="45">
        <f>getWeightAsDouble('RawData (GH)'!I1101)</f>
        <v>0</v>
      </c>
      <c r="L1101" s="34">
        <f>getSizeDiameter('RawData (GH)'!J1101)</f>
        <v>75.8</v>
      </c>
      <c r="M1101" s="34">
        <f>getSizeLength('RawData (GH)'!J1101)</f>
        <v>83.1</v>
      </c>
    </row>
    <row r="1102" spans="1:13" x14ac:dyDescent="0.25">
      <c r="A1102" t="str">
        <f>'RawData (GH)'!A1102</f>
        <v>Sigma AF 10mm 2.8 EX DC HSM Diagonal Fisheye für Sigma schwarz</v>
      </c>
      <c r="B1102" s="5">
        <f>getFocalLengthStart('RawData (GH)'!B1102)</f>
        <v>10</v>
      </c>
      <c r="C1102" s="5">
        <f>getFocalLengthEnd('RawData (GH)'!B1102)</f>
        <v>10</v>
      </c>
      <c r="D1102" s="9">
        <f>getApertureStart('RawData (GH)'!C1102)</f>
        <v>2.8</v>
      </c>
      <c r="E1102" s="9">
        <f>getApertureEnd('RawData (GH)'!C1102)</f>
        <v>2.8</v>
      </c>
      <c r="F1102" s="2">
        <f>getFiltersizeAsDouble('RawData (GH)'!D1102)</f>
        <v>0</v>
      </c>
      <c r="G1102" s="35">
        <f>getMagnification('RawData (GH)'!E1102)</f>
        <v>3.3</v>
      </c>
      <c r="H1102" s="62">
        <f>getMinimalFocus('RawData (GH)'!F1102)</f>
        <v>0</v>
      </c>
      <c r="I1102" t="str">
        <f>getMount('RawData (GH)'!G1102)</f>
        <v>Sigma SA</v>
      </c>
      <c r="J1102" t="str">
        <f>getSensorCompatibility('RawData (GH)'!H1102)</f>
        <v>APS-C</v>
      </c>
      <c r="K1102" s="45">
        <f>getWeightAsDouble('RawData (GH)'!I1102)</f>
        <v>0</v>
      </c>
      <c r="L1102" s="34">
        <f>getSizeDiameter('RawData (GH)'!J1102)</f>
        <v>75.8</v>
      </c>
      <c r="M1102" s="34">
        <f>getSizeLength('RawData (GH)'!J1102)</f>
        <v>83.1</v>
      </c>
    </row>
    <row r="1103" spans="1:13" x14ac:dyDescent="0.25">
      <c r="A1103" t="str">
        <f>'RawData (GH)'!A1103</f>
        <v>Sigma AF 120-300mm 2.8 EX DG APO HSM OS für Canon EF schwarz</v>
      </c>
      <c r="B1103" s="5">
        <f>getFocalLengthStart('RawData (GH)'!B1103)</f>
        <v>120</v>
      </c>
      <c r="C1103" s="5">
        <f>getFocalLengthEnd('RawData (GH)'!B1103)</f>
        <v>300</v>
      </c>
      <c r="D1103" s="9">
        <f>getApertureStart('RawData (GH)'!C1103)</f>
        <v>2.8</v>
      </c>
      <c r="E1103" s="9">
        <f>getApertureEnd('RawData (GH)'!C1103)</f>
        <v>2.8</v>
      </c>
      <c r="F1103" s="2">
        <f>getFiltersizeAsDouble('RawData (GH)'!D1103)</f>
        <v>105</v>
      </c>
      <c r="G1103" s="35">
        <f>getMagnification('RawData (GH)'!E1103)</f>
        <v>8.1</v>
      </c>
      <c r="H1103" s="62">
        <f>getMinimalFocus('RawData (GH)'!F1103)</f>
        <v>0</v>
      </c>
      <c r="I1103" t="str">
        <f>getMount('RawData (GH)'!G1103)</f>
        <v>Canon EF</v>
      </c>
      <c r="J1103" t="str">
        <f>getSensorCompatibility('RawData (GH)'!H1103)</f>
        <v>APS-C/ Kleinbild</v>
      </c>
      <c r="K1103" s="45">
        <f>getWeightAsDouble('RawData (GH)'!I1103)</f>
        <v>2980</v>
      </c>
      <c r="L1103" s="34">
        <f>getSizeDiameter('RawData (GH)'!J1103)</f>
        <v>114.4</v>
      </c>
      <c r="M1103" s="34">
        <f>getSizeLength('RawData (GH)'!J1103)</f>
        <v>289.2</v>
      </c>
    </row>
    <row r="1104" spans="1:13" x14ac:dyDescent="0.25">
      <c r="A1104" t="str">
        <f>'RawData (GH)'!A1104</f>
        <v>Sigma AF 120-400mm 4.5-5.6 DG APO HSM OS für Sigma schwarz</v>
      </c>
      <c r="B1104" s="5">
        <f>getFocalLengthStart('RawData (GH)'!B1104)</f>
        <v>120</v>
      </c>
      <c r="C1104" s="5">
        <f>getFocalLengthEnd('RawData (GH)'!B1104)</f>
        <v>400</v>
      </c>
      <c r="D1104" s="9">
        <f>getApertureStart('RawData (GH)'!C1104)</f>
        <v>4.5</v>
      </c>
      <c r="E1104" s="9">
        <f>getApertureEnd('RawData (GH)'!C1104)</f>
        <v>5.6</v>
      </c>
      <c r="F1104" s="2">
        <f>getFiltersizeAsDouble('RawData (GH)'!D1104)</f>
        <v>77</v>
      </c>
      <c r="G1104" s="35">
        <f>getMagnification('RawData (GH)'!E1104)</f>
        <v>4.2</v>
      </c>
      <c r="H1104" s="62">
        <f>getMinimalFocus('RawData (GH)'!F1104)</f>
        <v>0</v>
      </c>
      <c r="I1104" t="str">
        <f>getMount('RawData (GH)'!G1104)</f>
        <v>Sigma SA</v>
      </c>
      <c r="J1104" t="str">
        <f>getSensorCompatibility('RawData (GH)'!H1104)</f>
        <v>APS-C</v>
      </c>
      <c r="K1104" s="45">
        <f>getWeightAsDouble('RawData (GH)'!I1104)</f>
        <v>1750</v>
      </c>
      <c r="L1104" s="34">
        <f>getSizeDiameter('RawData (GH)'!J1104)</f>
        <v>92</v>
      </c>
      <c r="M1104" s="34">
        <f>getSizeLength('RawData (GH)'!J1104)</f>
        <v>203.5</v>
      </c>
    </row>
    <row r="1105" spans="1:13" x14ac:dyDescent="0.25">
      <c r="A1105" t="str">
        <f>'RawData (GH)'!A1105</f>
        <v>Sigma AF 120-400mm 4.5-5.6 DG APO HSM OS für Sony A schwarz</v>
      </c>
      <c r="B1105" s="5">
        <f>getFocalLengthStart('RawData (GH)'!B1105)</f>
        <v>120</v>
      </c>
      <c r="C1105" s="5">
        <f>getFocalLengthEnd('RawData (GH)'!B1105)</f>
        <v>400</v>
      </c>
      <c r="D1105" s="9">
        <f>getApertureStart('RawData (GH)'!C1105)</f>
        <v>4.5</v>
      </c>
      <c r="E1105" s="9">
        <f>getApertureEnd('RawData (GH)'!C1105)</f>
        <v>5.6</v>
      </c>
      <c r="F1105" s="2">
        <f>getFiltersizeAsDouble('RawData (GH)'!D1105)</f>
        <v>77</v>
      </c>
      <c r="G1105" s="35">
        <f>getMagnification('RawData (GH)'!E1105)</f>
        <v>4.2</v>
      </c>
      <c r="H1105" s="62">
        <f>getMinimalFocus('RawData (GH)'!F1105)</f>
        <v>0</v>
      </c>
      <c r="I1105" t="str">
        <f>getMount('RawData (GH)'!G1105)</f>
        <v>Sony A</v>
      </c>
      <c r="J1105" t="str">
        <f>getSensorCompatibility('RawData (GH)'!H1105)</f>
        <v>APS-C/ Kleinbild</v>
      </c>
      <c r="K1105" s="45">
        <f>getWeightAsDouble('RawData (GH)'!I1105)</f>
        <v>1750</v>
      </c>
      <c r="L1105" s="34">
        <f>getSizeDiameter('RawData (GH)'!J1105)</f>
        <v>92</v>
      </c>
      <c r="M1105" s="34">
        <f>getSizeLength('RawData (GH)'!J1105)</f>
        <v>203.5</v>
      </c>
    </row>
    <row r="1106" spans="1:13" x14ac:dyDescent="0.25">
      <c r="A1106" t="str">
        <f>'RawData (GH)'!A1106</f>
        <v>Sigma AF 12-24mm 4.5-5.6 EX DG Asp HSM IF für Canon EF schwarz</v>
      </c>
      <c r="B1106" s="5">
        <f>getFocalLengthStart('RawData (GH)'!B1106)</f>
        <v>12</v>
      </c>
      <c r="C1106" s="5">
        <f>getFocalLengthEnd('RawData (GH)'!B1106)</f>
        <v>24</v>
      </c>
      <c r="D1106" s="9">
        <f>getApertureStart('RawData (GH)'!C1106)</f>
        <v>4.5</v>
      </c>
      <c r="E1106" s="9">
        <f>getApertureEnd('RawData (GH)'!C1106)</f>
        <v>5.6</v>
      </c>
      <c r="F1106" s="2">
        <f>getFiltersizeAsDouble('RawData (GH)'!D1106)</f>
        <v>0</v>
      </c>
      <c r="G1106" s="35">
        <f>getMagnification('RawData (GH)'!E1106)</f>
        <v>7.14</v>
      </c>
      <c r="H1106" s="62">
        <f>getMinimalFocus('RawData (GH)'!F1106)</f>
        <v>0</v>
      </c>
      <c r="I1106" t="str">
        <f>getMount('RawData (GH)'!G1106)</f>
        <v>Canon EF</v>
      </c>
      <c r="J1106" t="str">
        <f>getSensorCompatibility('RawData (GH)'!H1106)</f>
        <v>APS-C/ Kleinbild</v>
      </c>
      <c r="K1106" s="45">
        <f>getWeightAsDouble('RawData (GH)'!I1106)</f>
        <v>615</v>
      </c>
      <c r="L1106" s="34">
        <f>getSizeDiameter('RawData (GH)'!J1106)</f>
        <v>87</v>
      </c>
      <c r="M1106" s="34">
        <f>getSizeLength('RawData (GH)'!J1106)</f>
        <v>100</v>
      </c>
    </row>
    <row r="1107" spans="1:13" x14ac:dyDescent="0.25">
      <c r="A1107" t="str">
        <f>'RawData (GH)'!A1107</f>
        <v>Sigma AF 12-24mm 4.5-5.6 II DG HSM für Canon EF schwarz</v>
      </c>
      <c r="B1107" s="5">
        <f>getFocalLengthStart('RawData (GH)'!B1107)</f>
        <v>12</v>
      </c>
      <c r="C1107" s="5">
        <f>getFocalLengthEnd('RawData (GH)'!B1107)</f>
        <v>24</v>
      </c>
      <c r="D1107" s="9">
        <f>getApertureStart('RawData (GH)'!C1107)</f>
        <v>4.5</v>
      </c>
      <c r="E1107" s="9">
        <f>getApertureEnd('RawData (GH)'!C1107)</f>
        <v>5.6</v>
      </c>
      <c r="F1107" s="2">
        <f>getFiltersizeAsDouble('RawData (GH)'!D1107)</f>
        <v>0</v>
      </c>
      <c r="G1107" s="35">
        <f>getMagnification('RawData (GH)'!E1107)</f>
        <v>6.4</v>
      </c>
      <c r="H1107" s="62">
        <f>getMinimalFocus('RawData (GH)'!F1107)</f>
        <v>0</v>
      </c>
      <c r="I1107" t="str">
        <f>getMount('RawData (GH)'!G1107)</f>
        <v>Canon EF</v>
      </c>
      <c r="J1107" t="str">
        <f>getSensorCompatibility('RawData (GH)'!H1107)</f>
        <v>APS-C/ Kleinbild</v>
      </c>
      <c r="K1107" s="45">
        <f>getWeightAsDouble('RawData (GH)'!I1107)</f>
        <v>670</v>
      </c>
      <c r="L1107" s="34">
        <f>getSizeDiameter('RawData (GH)'!J1107)</f>
        <v>87</v>
      </c>
      <c r="M1107" s="34">
        <f>getSizeLength('RawData (GH)'!J1107)</f>
        <v>120.2</v>
      </c>
    </row>
    <row r="1108" spans="1:13" x14ac:dyDescent="0.25">
      <c r="A1108" t="str">
        <f>'RawData (GH)'!A1108</f>
        <v>Sigma AF 12-24mm 4.5-5.6 II DG HSM für Nikon F schwarz</v>
      </c>
      <c r="B1108" s="5">
        <f>getFocalLengthStart('RawData (GH)'!B1108)</f>
        <v>12</v>
      </c>
      <c r="C1108" s="5">
        <f>getFocalLengthEnd('RawData (GH)'!B1108)</f>
        <v>24</v>
      </c>
      <c r="D1108" s="9">
        <f>getApertureStart('RawData (GH)'!C1108)</f>
        <v>4.5</v>
      </c>
      <c r="E1108" s="9">
        <f>getApertureEnd('RawData (GH)'!C1108)</f>
        <v>5.6</v>
      </c>
      <c r="F1108" s="2">
        <f>getFiltersizeAsDouble('RawData (GH)'!D1108)</f>
        <v>0</v>
      </c>
      <c r="G1108" s="35">
        <f>getMagnification('RawData (GH)'!E1108)</f>
        <v>6.4</v>
      </c>
      <c r="H1108" s="62">
        <f>getMinimalFocus('RawData (GH)'!F1108)</f>
        <v>0</v>
      </c>
      <c r="I1108" t="str">
        <f>getMount('RawData (GH)'!G1108)</f>
        <v>Nikon F</v>
      </c>
      <c r="J1108" t="str">
        <f>getSensorCompatibility('RawData (GH)'!H1108)</f>
        <v>APS-C/ Kleinbild</v>
      </c>
      <c r="K1108" s="45">
        <f>getWeightAsDouble('RawData (GH)'!I1108)</f>
        <v>670</v>
      </c>
      <c r="L1108" s="34">
        <f>getSizeDiameter('RawData (GH)'!J1108)</f>
        <v>87</v>
      </c>
      <c r="M1108" s="34">
        <f>getSizeLength('RawData (GH)'!J1108)</f>
        <v>120.2</v>
      </c>
    </row>
    <row r="1109" spans="1:13" x14ac:dyDescent="0.25">
      <c r="A1109" t="str">
        <f>'RawData (GH)'!A1109</f>
        <v>Sigma AF 12-24mm 4.5-5.6 II DG HSM für Sigma schwarz</v>
      </c>
      <c r="B1109" s="5">
        <f>getFocalLengthStart('RawData (GH)'!B1109)</f>
        <v>12</v>
      </c>
      <c r="C1109" s="5">
        <f>getFocalLengthEnd('RawData (GH)'!B1109)</f>
        <v>24</v>
      </c>
      <c r="D1109" s="9">
        <f>getApertureStart('RawData (GH)'!C1109)</f>
        <v>4.5</v>
      </c>
      <c r="E1109" s="9">
        <f>getApertureEnd('RawData (GH)'!C1109)</f>
        <v>5.6</v>
      </c>
      <c r="F1109" s="2">
        <f>getFiltersizeAsDouble('RawData (GH)'!D1109)</f>
        <v>0</v>
      </c>
      <c r="G1109" s="35">
        <f>getMagnification('RawData (GH)'!E1109)</f>
        <v>6.4</v>
      </c>
      <c r="H1109" s="62">
        <f>getMinimalFocus('RawData (GH)'!F1109)</f>
        <v>0</v>
      </c>
      <c r="I1109" t="str">
        <f>getMount('RawData (GH)'!G1109)</f>
        <v>Sigma SA</v>
      </c>
      <c r="J1109" t="str">
        <f>getSensorCompatibility('RawData (GH)'!H1109)</f>
        <v>APS-C</v>
      </c>
      <c r="K1109" s="45">
        <f>getWeightAsDouble('RawData (GH)'!I1109)</f>
        <v>670</v>
      </c>
      <c r="L1109" s="34">
        <f>getSizeDiameter('RawData (GH)'!J1109)</f>
        <v>87</v>
      </c>
      <c r="M1109" s="34">
        <f>getSizeLength('RawData (GH)'!J1109)</f>
        <v>120.2</v>
      </c>
    </row>
    <row r="1110" spans="1:13" x14ac:dyDescent="0.25">
      <c r="A1110" t="str">
        <f>'RawData (GH)'!A1110</f>
        <v>Sigma AF 12-24mm 4.5-5.6 II DG HSM für Sony A schwarz</v>
      </c>
      <c r="B1110" s="5">
        <f>getFocalLengthStart('RawData (GH)'!B1110)</f>
        <v>12</v>
      </c>
      <c r="C1110" s="5">
        <f>getFocalLengthEnd('RawData (GH)'!B1110)</f>
        <v>24</v>
      </c>
      <c r="D1110" s="9">
        <f>getApertureStart('RawData (GH)'!C1110)</f>
        <v>4.5</v>
      </c>
      <c r="E1110" s="9">
        <f>getApertureEnd('RawData (GH)'!C1110)</f>
        <v>5.6</v>
      </c>
      <c r="F1110" s="2">
        <f>getFiltersizeAsDouble('RawData (GH)'!D1110)</f>
        <v>0</v>
      </c>
      <c r="G1110" s="35">
        <f>getMagnification('RawData (GH)'!E1110)</f>
        <v>6.4</v>
      </c>
      <c r="H1110" s="62">
        <f>getMinimalFocus('RawData (GH)'!F1110)</f>
        <v>0</v>
      </c>
      <c r="I1110" t="str">
        <f>getMount('RawData (GH)'!G1110)</f>
        <v>Sony A</v>
      </c>
      <c r="J1110" t="str">
        <f>getSensorCompatibility('RawData (GH)'!H1110)</f>
        <v>APS-C/ Kleinbild</v>
      </c>
      <c r="K1110" s="45">
        <f>getWeightAsDouble('RawData (GH)'!I1110)</f>
        <v>670</v>
      </c>
      <c r="L1110" s="34">
        <f>getSizeDiameter('RawData (GH)'!J1110)</f>
        <v>87</v>
      </c>
      <c r="M1110" s="34">
        <f>getSizeLength('RawData (GH)'!J1110)</f>
        <v>120.2</v>
      </c>
    </row>
    <row r="1111" spans="1:13" x14ac:dyDescent="0.25">
      <c r="A1111" t="str">
        <f>'RawData (GH)'!A1111</f>
        <v>Sigma AF 150-500mm 5.0-6.3 DG APO HSM OS für Canon EF schwarz</v>
      </c>
      <c r="B1111" s="5">
        <f>getFocalLengthStart('RawData (GH)'!B1111)</f>
        <v>150</v>
      </c>
      <c r="C1111" s="5">
        <f>getFocalLengthEnd('RawData (GH)'!B1111)</f>
        <v>500</v>
      </c>
      <c r="D1111" s="9">
        <f>getApertureStart('RawData (GH)'!C1111)</f>
        <v>5</v>
      </c>
      <c r="E1111" s="9">
        <f>getApertureEnd('RawData (GH)'!C1111)</f>
        <v>6.3</v>
      </c>
      <c r="F1111" s="2">
        <f>getFiltersizeAsDouble('RawData (GH)'!D1111)</f>
        <v>86</v>
      </c>
      <c r="G1111" s="35">
        <f>getMagnification('RawData (GH)'!E1111)</f>
        <v>5.2</v>
      </c>
      <c r="H1111" s="62">
        <f>getMinimalFocus('RawData (GH)'!F1111)</f>
        <v>0</v>
      </c>
      <c r="I1111" t="str">
        <f>getMount('RawData (GH)'!G1111)</f>
        <v>Canon EF</v>
      </c>
      <c r="J1111" t="str">
        <f>getSensorCompatibility('RawData (GH)'!H1111)</f>
        <v>APS-C/ Kleinbild</v>
      </c>
      <c r="K1111" s="45">
        <f>getWeightAsDouble('RawData (GH)'!I1111)</f>
        <v>1910</v>
      </c>
      <c r="L1111" s="34">
        <f>getSizeDiameter('RawData (GH)'!J1111)</f>
        <v>94.7</v>
      </c>
      <c r="M1111" s="34">
        <f>getSizeLength('RawData (GH)'!J1111)</f>
        <v>252</v>
      </c>
    </row>
    <row r="1112" spans="1:13" x14ac:dyDescent="0.25">
      <c r="A1112" t="str">
        <f>'RawData (GH)'!A1112</f>
        <v>Sigma AF 150-500mm 5.0-6.3 DG APO HSM OS für Nikon F schwarz</v>
      </c>
      <c r="B1112" s="5">
        <f>getFocalLengthStart('RawData (GH)'!B1112)</f>
        <v>150</v>
      </c>
      <c r="C1112" s="5">
        <f>getFocalLengthEnd('RawData (GH)'!B1112)</f>
        <v>500</v>
      </c>
      <c r="D1112" s="9">
        <f>getApertureStart('RawData (GH)'!C1112)</f>
        <v>5</v>
      </c>
      <c r="E1112" s="9">
        <f>getApertureEnd('RawData (GH)'!C1112)</f>
        <v>6.3</v>
      </c>
      <c r="F1112" s="2">
        <f>getFiltersizeAsDouble('RawData (GH)'!D1112)</f>
        <v>86</v>
      </c>
      <c r="G1112" s="35">
        <f>getMagnification('RawData (GH)'!E1112)</f>
        <v>5.2</v>
      </c>
      <c r="H1112" s="62">
        <f>getMinimalFocus('RawData (GH)'!F1112)</f>
        <v>0</v>
      </c>
      <c r="I1112" t="str">
        <f>getMount('RawData (GH)'!G1112)</f>
        <v>Nikon F</v>
      </c>
      <c r="J1112" t="str">
        <f>getSensorCompatibility('RawData (GH)'!H1112)</f>
        <v>APS-C/ Kleinbild</v>
      </c>
      <c r="K1112" s="45">
        <f>getWeightAsDouble('RawData (GH)'!I1112)</f>
        <v>1910</v>
      </c>
      <c r="L1112" s="34">
        <f>getSizeDiameter('RawData (GH)'!J1112)</f>
        <v>94.7</v>
      </c>
      <c r="M1112" s="34">
        <f>getSizeLength('RawData (GH)'!J1112)</f>
        <v>252</v>
      </c>
    </row>
    <row r="1113" spans="1:13" x14ac:dyDescent="0.25">
      <c r="A1113" t="str">
        <f>'RawData (GH)'!A1113</f>
        <v>Sigma AF 150-500mm 5.0-6.3 DG APO HSM OS für Sigma schwarz</v>
      </c>
      <c r="B1113" s="5">
        <f>getFocalLengthStart('RawData (GH)'!B1113)</f>
        <v>150</v>
      </c>
      <c r="C1113" s="5">
        <f>getFocalLengthEnd('RawData (GH)'!B1113)</f>
        <v>500</v>
      </c>
      <c r="D1113" s="9">
        <f>getApertureStart('RawData (GH)'!C1113)</f>
        <v>5</v>
      </c>
      <c r="E1113" s="9">
        <f>getApertureEnd('RawData (GH)'!C1113)</f>
        <v>6.3</v>
      </c>
      <c r="F1113" s="2">
        <f>getFiltersizeAsDouble('RawData (GH)'!D1113)</f>
        <v>86</v>
      </c>
      <c r="G1113" s="35">
        <f>getMagnification('RawData (GH)'!E1113)</f>
        <v>5.2</v>
      </c>
      <c r="H1113" s="62">
        <f>getMinimalFocus('RawData (GH)'!F1113)</f>
        <v>0</v>
      </c>
      <c r="I1113" t="str">
        <f>getMount('RawData (GH)'!G1113)</f>
        <v>Sigma SA</v>
      </c>
      <c r="J1113" t="str">
        <f>getSensorCompatibility('RawData (GH)'!H1113)</f>
        <v>APS-C</v>
      </c>
      <c r="K1113" s="45">
        <f>getWeightAsDouble('RawData (GH)'!I1113)</f>
        <v>1910</v>
      </c>
      <c r="L1113" s="34">
        <f>getSizeDiameter('RawData (GH)'!J1113)</f>
        <v>94.7</v>
      </c>
      <c r="M1113" s="34">
        <f>getSizeLength('RawData (GH)'!J1113)</f>
        <v>252</v>
      </c>
    </row>
    <row r="1114" spans="1:13" x14ac:dyDescent="0.25">
      <c r="A1114" t="str">
        <f>'RawData (GH)'!A1114</f>
        <v>Sigma AF 150mm 2.8 EX DG APO HSM OS für Sigma schwarz</v>
      </c>
      <c r="B1114" s="5">
        <f>getFocalLengthStart('RawData (GH)'!B1114)</f>
        <v>150</v>
      </c>
      <c r="C1114" s="5">
        <f>getFocalLengthEnd('RawData (GH)'!B1114)</f>
        <v>150</v>
      </c>
      <c r="D1114" s="9">
        <f>getApertureStart('RawData (GH)'!C1114)</f>
        <v>2.8</v>
      </c>
      <c r="E1114" s="9">
        <f>getApertureEnd('RawData (GH)'!C1114)</f>
        <v>2.8</v>
      </c>
      <c r="F1114" s="2">
        <f>getFiltersizeAsDouble('RawData (GH)'!D1114)</f>
        <v>72</v>
      </c>
      <c r="G1114" s="35">
        <f>getMagnification('RawData (GH)'!E1114)</f>
        <v>1</v>
      </c>
      <c r="H1114" s="62">
        <f>getMinimalFocus('RawData (GH)'!F1114)</f>
        <v>0</v>
      </c>
      <c r="I1114" t="str">
        <f>getMount('RawData (GH)'!G1114)</f>
        <v>Sigma SA</v>
      </c>
      <c r="J1114" t="str">
        <f>getSensorCompatibility('RawData (GH)'!H1114)</f>
        <v>APS-C</v>
      </c>
      <c r="K1114" s="45">
        <f>getWeightAsDouble('RawData (GH)'!I1114)</f>
        <v>0</v>
      </c>
      <c r="L1114" s="34">
        <f>getSizeDiameter('RawData (GH)'!J1114)</f>
        <v>79.599999999999994</v>
      </c>
      <c r="M1114" s="34">
        <f>getSizeLength('RawData (GH)'!J1114)</f>
        <v>150</v>
      </c>
    </row>
    <row r="1115" spans="1:13" x14ac:dyDescent="0.25">
      <c r="A1115" t="str">
        <f>'RawData (GH)'!A1115</f>
        <v>Sigma AF 150mm 2.8 EX DG APO HSM OS für Sony A schwarz</v>
      </c>
      <c r="B1115" s="5">
        <f>getFocalLengthStart('RawData (GH)'!B1115)</f>
        <v>150</v>
      </c>
      <c r="C1115" s="5">
        <f>getFocalLengthEnd('RawData (GH)'!B1115)</f>
        <v>150</v>
      </c>
      <c r="D1115" s="9">
        <f>getApertureStart('RawData (GH)'!C1115)</f>
        <v>2.8</v>
      </c>
      <c r="E1115" s="9">
        <f>getApertureEnd('RawData (GH)'!C1115)</f>
        <v>2.8</v>
      </c>
      <c r="F1115" s="2">
        <f>getFiltersizeAsDouble('RawData (GH)'!D1115)</f>
        <v>72</v>
      </c>
      <c r="G1115" s="35">
        <f>getMagnification('RawData (GH)'!E1115)</f>
        <v>1</v>
      </c>
      <c r="H1115" s="62">
        <f>getMinimalFocus('RawData (GH)'!F1115)</f>
        <v>0</v>
      </c>
      <c r="I1115" t="str">
        <f>getMount('RawData (GH)'!G1115)</f>
        <v>Sony A</v>
      </c>
      <c r="J1115" t="str">
        <f>getSensorCompatibility('RawData (GH)'!H1115)</f>
        <v>APS-C/ Kleinbild</v>
      </c>
      <c r="K1115" s="45">
        <f>getWeightAsDouble('RawData (GH)'!I1115)</f>
        <v>0</v>
      </c>
      <c r="L1115" s="34">
        <f>getSizeDiameter('RawData (GH)'!J1115)</f>
        <v>79.599999999999994</v>
      </c>
      <c r="M1115" s="34">
        <f>getSizeLength('RawData (GH)'!J1115)</f>
        <v>150</v>
      </c>
    </row>
    <row r="1116" spans="1:13" x14ac:dyDescent="0.25">
      <c r="A1116" t="str">
        <f>'RawData (GH)'!A1116</f>
        <v>Sigma AF 150mm 2.8 EX DG APO HSM OS Makro für Canon EF schwarz</v>
      </c>
      <c r="B1116" s="5">
        <f>getFocalLengthStart('RawData (GH)'!B1116)</f>
        <v>150</v>
      </c>
      <c r="C1116" s="5">
        <f>getFocalLengthEnd('RawData (GH)'!B1116)</f>
        <v>150</v>
      </c>
      <c r="D1116" s="9">
        <f>getApertureStart('RawData (GH)'!C1116)</f>
        <v>2.8</v>
      </c>
      <c r="E1116" s="9">
        <f>getApertureEnd('RawData (GH)'!C1116)</f>
        <v>2.8</v>
      </c>
      <c r="F1116" s="2">
        <f>getFiltersizeAsDouble('RawData (GH)'!D1116)</f>
        <v>72</v>
      </c>
      <c r="G1116" s="35">
        <f>getMagnification('RawData (GH)'!E1116)</f>
        <v>1</v>
      </c>
      <c r="H1116" s="62">
        <f>getMinimalFocus('RawData (GH)'!F1116)</f>
        <v>0</v>
      </c>
      <c r="I1116" t="str">
        <f>getMount('RawData (GH)'!G1116)</f>
        <v>Canon EF</v>
      </c>
      <c r="J1116" t="str">
        <f>getSensorCompatibility('RawData (GH)'!H1116)</f>
        <v>APS-C/ Kleinbild</v>
      </c>
      <c r="K1116" s="45">
        <f>getWeightAsDouble('RawData (GH)'!I1116)</f>
        <v>1180</v>
      </c>
      <c r="L1116" s="34">
        <f>getSizeDiameter('RawData (GH)'!J1116)</f>
        <v>79.599999999999994</v>
      </c>
      <c r="M1116" s="34">
        <f>getSizeLength('RawData (GH)'!J1116)</f>
        <v>150</v>
      </c>
    </row>
    <row r="1117" spans="1:13" x14ac:dyDescent="0.25">
      <c r="A1117" t="str">
        <f>'RawData (GH)'!A1117</f>
        <v>Sigma AF 150mm 2.8 EX DG APO HSM OS Makro für Nikon F schwarz</v>
      </c>
      <c r="B1117" s="5">
        <f>getFocalLengthStart('RawData (GH)'!B1117)</f>
        <v>150</v>
      </c>
      <c r="C1117" s="5">
        <f>getFocalLengthEnd('RawData (GH)'!B1117)</f>
        <v>150</v>
      </c>
      <c r="D1117" s="9">
        <f>getApertureStart('RawData (GH)'!C1117)</f>
        <v>2.8</v>
      </c>
      <c r="E1117" s="9">
        <f>getApertureEnd('RawData (GH)'!C1117)</f>
        <v>2.8</v>
      </c>
      <c r="F1117" s="2">
        <f>getFiltersizeAsDouble('RawData (GH)'!D1117)</f>
        <v>72</v>
      </c>
      <c r="G1117" s="35">
        <f>getMagnification('RawData (GH)'!E1117)</f>
        <v>1</v>
      </c>
      <c r="H1117" s="62">
        <f>getMinimalFocus('RawData (GH)'!F1117)</f>
        <v>0</v>
      </c>
      <c r="I1117" t="str">
        <f>getMount('RawData (GH)'!G1117)</f>
        <v>Nikon F</v>
      </c>
      <c r="J1117" t="str">
        <f>getSensorCompatibility('RawData (GH)'!H1117)</f>
        <v>APS-C/ Kleinbild</v>
      </c>
      <c r="K1117" s="45">
        <f>getWeightAsDouble('RawData (GH)'!I1117)</f>
        <v>1180</v>
      </c>
      <c r="L1117" s="34">
        <f>getSizeDiameter('RawData (GH)'!J1117)</f>
        <v>79.599999999999994</v>
      </c>
      <c r="M1117" s="34">
        <f>getSizeLength('RawData (GH)'!J1117)</f>
        <v>150</v>
      </c>
    </row>
    <row r="1118" spans="1:13" x14ac:dyDescent="0.25">
      <c r="A1118" t="str">
        <f>'RawData (GH)'!A1118</f>
        <v>Sigma AF 15mm 2.8 EX DG Diagonal Fisheye für Canon EF schwarz</v>
      </c>
      <c r="B1118" s="5">
        <f>getFocalLengthStart('RawData (GH)'!B1118)</f>
        <v>15</v>
      </c>
      <c r="C1118" s="5">
        <f>getFocalLengthEnd('RawData (GH)'!B1118)</f>
        <v>15</v>
      </c>
      <c r="D1118" s="9">
        <f>getApertureStart('RawData (GH)'!C1118)</f>
        <v>2.8</v>
      </c>
      <c r="E1118" s="9">
        <f>getApertureEnd('RawData (GH)'!C1118)</f>
        <v>2.8</v>
      </c>
      <c r="F1118" s="2">
        <f>getFiltersizeAsDouble('RawData (GH)'!D1118)</f>
        <v>0</v>
      </c>
      <c r="G1118" s="35">
        <f>getMagnification('RawData (GH)'!E1118)</f>
        <v>3.8</v>
      </c>
      <c r="H1118" s="62">
        <f>getMinimalFocus('RawData (GH)'!F1118)</f>
        <v>0</v>
      </c>
      <c r="I1118" t="str">
        <f>getMount('RawData (GH)'!G1118)</f>
        <v>Canon EF</v>
      </c>
      <c r="J1118" t="str">
        <f>getSensorCompatibility('RawData (GH)'!H1118)</f>
        <v>APS-C/ Kleinbild</v>
      </c>
      <c r="K1118" s="45">
        <f>getWeightAsDouble('RawData (GH)'!I1118)</f>
        <v>370</v>
      </c>
      <c r="L1118" s="34">
        <f>getSizeDiameter('RawData (GH)'!J1118)</f>
        <v>73.5</v>
      </c>
      <c r="M1118" s="34">
        <f>getSizeLength('RawData (GH)'!J1118)</f>
        <v>65</v>
      </c>
    </row>
    <row r="1119" spans="1:13" x14ac:dyDescent="0.25">
      <c r="A1119" t="str">
        <f>'RawData (GH)'!A1119</f>
        <v>Sigma AF 15mm 2.8 EX DG Diagonal Fisheye für Nikon F schwarz</v>
      </c>
      <c r="B1119" s="5">
        <f>getFocalLengthStart('RawData (GH)'!B1119)</f>
        <v>15</v>
      </c>
      <c r="C1119" s="5">
        <f>getFocalLengthEnd('RawData (GH)'!B1119)</f>
        <v>15</v>
      </c>
      <c r="D1119" s="9">
        <f>getApertureStart('RawData (GH)'!C1119)</f>
        <v>2.8</v>
      </c>
      <c r="E1119" s="9">
        <f>getApertureEnd('RawData (GH)'!C1119)</f>
        <v>2.8</v>
      </c>
      <c r="F1119" s="2">
        <f>getFiltersizeAsDouble('RawData (GH)'!D1119)</f>
        <v>0</v>
      </c>
      <c r="G1119" s="35">
        <f>getMagnification('RawData (GH)'!E1119)</f>
        <v>3.8</v>
      </c>
      <c r="H1119" s="62">
        <f>getMinimalFocus('RawData (GH)'!F1119)</f>
        <v>0</v>
      </c>
      <c r="I1119" t="str">
        <f>getMount('RawData (GH)'!G1119)</f>
        <v>Nikon F</v>
      </c>
      <c r="J1119" t="str">
        <f>getSensorCompatibility('RawData (GH)'!H1119)</f>
        <v>APS-C/ Kleinbild</v>
      </c>
      <c r="K1119" s="45">
        <f>getWeightAsDouble('RawData (GH)'!I1119)</f>
        <v>370</v>
      </c>
      <c r="L1119" s="34">
        <f>getSizeDiameter('RawData (GH)'!J1119)</f>
        <v>73.5</v>
      </c>
      <c r="M1119" s="34">
        <f>getSizeLength('RawData (GH)'!J1119)</f>
        <v>65</v>
      </c>
    </row>
    <row r="1120" spans="1:13" x14ac:dyDescent="0.25">
      <c r="A1120" t="str">
        <f>'RawData (GH)'!A1120</f>
        <v>Sigma AF 15mm 2.8 EX DG Diagonal Fisheye für Pentax K schwarz</v>
      </c>
      <c r="B1120" s="5">
        <f>getFocalLengthStart('RawData (GH)'!B1120)</f>
        <v>15</v>
      </c>
      <c r="C1120" s="5">
        <f>getFocalLengthEnd('RawData (GH)'!B1120)</f>
        <v>15</v>
      </c>
      <c r="D1120" s="9">
        <f>getApertureStart('RawData (GH)'!C1120)</f>
        <v>2.8</v>
      </c>
      <c r="E1120" s="9">
        <f>getApertureEnd('RawData (GH)'!C1120)</f>
        <v>2.8</v>
      </c>
      <c r="F1120" s="2">
        <f>getFiltersizeAsDouble('RawData (GH)'!D1120)</f>
        <v>0</v>
      </c>
      <c r="G1120" s="35">
        <f>getMagnification('RawData (GH)'!E1120)</f>
        <v>3.8</v>
      </c>
      <c r="H1120" s="62">
        <f>getMinimalFocus('RawData (GH)'!F1120)</f>
        <v>0</v>
      </c>
      <c r="I1120" t="str">
        <f>getMount('RawData (GH)'!G1120)</f>
        <v>Pentax K</v>
      </c>
      <c r="J1120" t="str">
        <f>getSensorCompatibility('RawData (GH)'!H1120)</f>
        <v>APS-C/ Kleinbild</v>
      </c>
      <c r="K1120" s="45">
        <f>getWeightAsDouble('RawData (GH)'!I1120)</f>
        <v>370</v>
      </c>
      <c r="L1120" s="34">
        <f>getSizeDiameter('RawData (GH)'!J1120)</f>
        <v>73.5</v>
      </c>
      <c r="M1120" s="34">
        <f>getSizeLength('RawData (GH)'!J1120)</f>
        <v>65</v>
      </c>
    </row>
    <row r="1121" spans="1:13" x14ac:dyDescent="0.25">
      <c r="A1121" t="str">
        <f>'RawData (GH)'!A1121</f>
        <v>Sigma AF 15mm 2.8 EX DG Diagonal Fisheye für Sigma schwarz</v>
      </c>
      <c r="B1121" s="5">
        <f>getFocalLengthStart('RawData (GH)'!B1121)</f>
        <v>15</v>
      </c>
      <c r="C1121" s="5">
        <f>getFocalLengthEnd('RawData (GH)'!B1121)</f>
        <v>15</v>
      </c>
      <c r="D1121" s="9">
        <f>getApertureStart('RawData (GH)'!C1121)</f>
        <v>2.8</v>
      </c>
      <c r="E1121" s="9">
        <f>getApertureEnd('RawData (GH)'!C1121)</f>
        <v>2.8</v>
      </c>
      <c r="F1121" s="2">
        <f>getFiltersizeAsDouble('RawData (GH)'!D1121)</f>
        <v>0</v>
      </c>
      <c r="G1121" s="35">
        <f>getMagnification('RawData (GH)'!E1121)</f>
        <v>3.8</v>
      </c>
      <c r="H1121" s="62">
        <f>getMinimalFocus('RawData (GH)'!F1121)</f>
        <v>0</v>
      </c>
      <c r="I1121" t="str">
        <f>getMount('RawData (GH)'!G1121)</f>
        <v>Sigma SA</v>
      </c>
      <c r="J1121" t="str">
        <f>getSensorCompatibility('RawData (GH)'!H1121)</f>
        <v>APS-C</v>
      </c>
      <c r="K1121" s="45">
        <f>getWeightAsDouble('RawData (GH)'!I1121)</f>
        <v>370</v>
      </c>
      <c r="L1121" s="34">
        <f>getSizeDiameter('RawData (GH)'!J1121)</f>
        <v>73.5</v>
      </c>
      <c r="M1121" s="34">
        <f>getSizeLength('RawData (GH)'!J1121)</f>
        <v>65</v>
      </c>
    </row>
    <row r="1122" spans="1:13" x14ac:dyDescent="0.25">
      <c r="A1122" t="str">
        <f>'RawData (GH)'!A1122</f>
        <v>Sigma AF 15mm 2.8 EX DG Diagonal Fisheye für Sony A schwarz</v>
      </c>
      <c r="B1122" s="5">
        <f>getFocalLengthStart('RawData (GH)'!B1122)</f>
        <v>15</v>
      </c>
      <c r="C1122" s="5">
        <f>getFocalLengthEnd('RawData (GH)'!B1122)</f>
        <v>15</v>
      </c>
      <c r="D1122" s="9">
        <f>getApertureStart('RawData (GH)'!C1122)</f>
        <v>2.8</v>
      </c>
      <c r="E1122" s="9">
        <f>getApertureEnd('RawData (GH)'!C1122)</f>
        <v>2.8</v>
      </c>
      <c r="F1122" s="2">
        <f>getFiltersizeAsDouble('RawData (GH)'!D1122)</f>
        <v>0</v>
      </c>
      <c r="G1122" s="35">
        <f>getMagnification('RawData (GH)'!E1122)</f>
        <v>3.8</v>
      </c>
      <c r="H1122" s="62">
        <f>getMinimalFocus('RawData (GH)'!F1122)</f>
        <v>0</v>
      </c>
      <c r="I1122" t="str">
        <f>getMount('RawData (GH)'!G1122)</f>
        <v>Sony A</v>
      </c>
      <c r="J1122" t="str">
        <f>getSensorCompatibility('RawData (GH)'!H1122)</f>
        <v>APS-C/ Kleinbild</v>
      </c>
      <c r="K1122" s="45">
        <f>getWeightAsDouble('RawData (GH)'!I1122)</f>
        <v>370</v>
      </c>
      <c r="L1122" s="34">
        <f>getSizeDiameter('RawData (GH)'!J1122)</f>
        <v>73.5</v>
      </c>
      <c r="M1122" s="34">
        <f>getSizeLength('RawData (GH)'!J1122)</f>
        <v>65</v>
      </c>
    </row>
    <row r="1123" spans="1:13" x14ac:dyDescent="0.25">
      <c r="A1123" t="str">
        <f>'RawData (GH)'!A1123</f>
        <v>Sigma AF 17-50mm 2.8 EX DC OS HSM für Canon EF schwarz</v>
      </c>
      <c r="B1123" s="5">
        <f>getFocalLengthStart('RawData (GH)'!B1123)</f>
        <v>17</v>
      </c>
      <c r="C1123" s="5">
        <f>getFocalLengthEnd('RawData (GH)'!B1123)</f>
        <v>50</v>
      </c>
      <c r="D1123" s="9">
        <f>getApertureStart('RawData (GH)'!C1123)</f>
        <v>2.8</v>
      </c>
      <c r="E1123" s="9">
        <f>getApertureEnd('RawData (GH)'!C1123)</f>
        <v>2.8</v>
      </c>
      <c r="F1123" s="2">
        <f>getFiltersizeAsDouble('RawData (GH)'!D1123)</f>
        <v>77</v>
      </c>
      <c r="G1123" s="35">
        <f>getMagnification('RawData (GH)'!E1123)</f>
        <v>5</v>
      </c>
      <c r="H1123" s="62">
        <f>getMinimalFocus('RawData (GH)'!F1123)</f>
        <v>0</v>
      </c>
      <c r="I1123" t="str">
        <f>getMount('RawData (GH)'!G1123)</f>
        <v>Canon EF-S</v>
      </c>
      <c r="J1123" t="str">
        <f>getSensorCompatibility('RawData (GH)'!H1123)</f>
        <v>APS-C</v>
      </c>
      <c r="K1123" s="45">
        <f>getWeightAsDouble('RawData (GH)'!I1123)</f>
        <v>565</v>
      </c>
      <c r="L1123" s="34">
        <f>getSizeDiameter('RawData (GH)'!J1123)</f>
        <v>83.5</v>
      </c>
      <c r="M1123" s="34">
        <f>getSizeLength('RawData (GH)'!J1123)</f>
        <v>91.8</v>
      </c>
    </row>
    <row r="1124" spans="1:13" x14ac:dyDescent="0.25">
      <c r="A1124" t="str">
        <f>'RawData (GH)'!A1124</f>
        <v>Sigma AF 17-50mm 2.8 EX DC OS HSM für Nikon F schwarz</v>
      </c>
      <c r="B1124" s="5">
        <f>getFocalLengthStart('RawData (GH)'!B1124)</f>
        <v>17</v>
      </c>
      <c r="C1124" s="5">
        <f>getFocalLengthEnd('RawData (GH)'!B1124)</f>
        <v>50</v>
      </c>
      <c r="D1124" s="9">
        <f>getApertureStart('RawData (GH)'!C1124)</f>
        <v>2.8</v>
      </c>
      <c r="E1124" s="9">
        <f>getApertureEnd('RawData (GH)'!C1124)</f>
        <v>2.8</v>
      </c>
      <c r="F1124" s="2">
        <f>getFiltersizeAsDouble('RawData (GH)'!D1124)</f>
        <v>77</v>
      </c>
      <c r="G1124" s="35">
        <f>getMagnification('RawData (GH)'!E1124)</f>
        <v>5</v>
      </c>
      <c r="H1124" s="62">
        <f>getMinimalFocus('RawData (GH)'!F1124)</f>
        <v>0</v>
      </c>
      <c r="I1124" t="str">
        <f>getMount('RawData (GH)'!G1124)</f>
        <v>Nikon F</v>
      </c>
      <c r="J1124" t="str">
        <f>getSensorCompatibility('RawData (GH)'!H1124)</f>
        <v>APS-C</v>
      </c>
      <c r="K1124" s="45">
        <f>getWeightAsDouble('RawData (GH)'!I1124)</f>
        <v>565</v>
      </c>
      <c r="L1124" s="34">
        <f>getSizeDiameter('RawData (GH)'!J1124)</f>
        <v>83.5</v>
      </c>
      <c r="M1124" s="34">
        <f>getSizeLength('RawData (GH)'!J1124)</f>
        <v>91.8</v>
      </c>
    </row>
    <row r="1125" spans="1:13" x14ac:dyDescent="0.25">
      <c r="A1125" t="str">
        <f>'RawData (GH)'!A1125</f>
        <v>Sigma AF 17-50mm 2.8 EX DC OS HSM für Pentax K schwarz</v>
      </c>
      <c r="B1125" s="5">
        <f>getFocalLengthStart('RawData (GH)'!B1125)</f>
        <v>17</v>
      </c>
      <c r="C1125" s="5">
        <f>getFocalLengthEnd('RawData (GH)'!B1125)</f>
        <v>50</v>
      </c>
      <c r="D1125" s="9">
        <f>getApertureStart('RawData (GH)'!C1125)</f>
        <v>2.8</v>
      </c>
      <c r="E1125" s="9">
        <f>getApertureEnd('RawData (GH)'!C1125)</f>
        <v>2.8</v>
      </c>
      <c r="F1125" s="2">
        <f>getFiltersizeAsDouble('RawData (GH)'!D1125)</f>
        <v>77</v>
      </c>
      <c r="G1125" s="35">
        <f>getMagnification('RawData (GH)'!E1125)</f>
        <v>5</v>
      </c>
      <c r="H1125" s="62">
        <f>getMinimalFocus('RawData (GH)'!F1125)</f>
        <v>0</v>
      </c>
      <c r="I1125" t="str">
        <f>getMount('RawData (GH)'!G1125)</f>
        <v>Pentax K</v>
      </c>
      <c r="J1125" t="str">
        <f>getSensorCompatibility('RawData (GH)'!H1125)</f>
        <v>APS-C</v>
      </c>
      <c r="K1125" s="45">
        <f>getWeightAsDouble('RawData (GH)'!I1125)</f>
        <v>565</v>
      </c>
      <c r="L1125" s="34">
        <f>getSizeDiameter('RawData (GH)'!J1125)</f>
        <v>83.5</v>
      </c>
      <c r="M1125" s="34">
        <f>getSizeLength('RawData (GH)'!J1125)</f>
        <v>91.8</v>
      </c>
    </row>
    <row r="1126" spans="1:13" x14ac:dyDescent="0.25">
      <c r="A1126" t="str">
        <f>'RawData (GH)'!A1126</f>
        <v>Sigma AF 17-50mm 2.8 EX DC OS HSM für Sigma schwarz</v>
      </c>
      <c r="B1126" s="5">
        <f>getFocalLengthStart('RawData (GH)'!B1126)</f>
        <v>17</v>
      </c>
      <c r="C1126" s="5">
        <f>getFocalLengthEnd('RawData (GH)'!B1126)</f>
        <v>50</v>
      </c>
      <c r="D1126" s="9">
        <f>getApertureStart('RawData (GH)'!C1126)</f>
        <v>2.8</v>
      </c>
      <c r="E1126" s="9">
        <f>getApertureEnd('RawData (GH)'!C1126)</f>
        <v>2.8</v>
      </c>
      <c r="F1126" s="2">
        <f>getFiltersizeAsDouble('RawData (GH)'!D1126)</f>
        <v>77</v>
      </c>
      <c r="G1126" s="35">
        <f>getMagnification('RawData (GH)'!E1126)</f>
        <v>5</v>
      </c>
      <c r="H1126" s="62">
        <f>getMinimalFocus('RawData (GH)'!F1126)</f>
        <v>0</v>
      </c>
      <c r="I1126" t="str">
        <f>getMount('RawData (GH)'!G1126)</f>
        <v>Sigma SA</v>
      </c>
      <c r="J1126" t="str">
        <f>getSensorCompatibility('RawData (GH)'!H1126)</f>
        <v>APS-C</v>
      </c>
      <c r="K1126" s="45">
        <f>getWeightAsDouble('RawData (GH)'!I1126)</f>
        <v>565</v>
      </c>
      <c r="L1126" s="34">
        <f>getSizeDiameter('RawData (GH)'!J1126)</f>
        <v>83.5</v>
      </c>
      <c r="M1126" s="34">
        <f>getSizeLength('RawData (GH)'!J1126)</f>
        <v>91.8</v>
      </c>
    </row>
    <row r="1127" spans="1:13" x14ac:dyDescent="0.25">
      <c r="A1127" t="str">
        <f>'RawData (GH)'!A1127</f>
        <v>Sigma AF 17-50mm 2.8 EX DC OS HSM für Sony A schwarz</v>
      </c>
      <c r="B1127" s="5">
        <f>getFocalLengthStart('RawData (GH)'!B1127)</f>
        <v>17</v>
      </c>
      <c r="C1127" s="5">
        <f>getFocalLengthEnd('RawData (GH)'!B1127)</f>
        <v>50</v>
      </c>
      <c r="D1127" s="9">
        <f>getApertureStart('RawData (GH)'!C1127)</f>
        <v>2.8</v>
      </c>
      <c r="E1127" s="9">
        <f>getApertureEnd('RawData (GH)'!C1127)</f>
        <v>2.8</v>
      </c>
      <c r="F1127" s="2">
        <f>getFiltersizeAsDouble('RawData (GH)'!D1127)</f>
        <v>77</v>
      </c>
      <c r="G1127" s="35">
        <f>getMagnification('RawData (GH)'!E1127)</f>
        <v>5</v>
      </c>
      <c r="H1127" s="62">
        <f>getMinimalFocus('RawData (GH)'!F1127)</f>
        <v>0</v>
      </c>
      <c r="I1127" t="str">
        <f>getMount('RawData (GH)'!G1127)</f>
        <v>Sony A</v>
      </c>
      <c r="J1127" t="str">
        <f>getSensorCompatibility('RawData (GH)'!H1127)</f>
        <v>APS-C</v>
      </c>
      <c r="K1127" s="45">
        <f>getWeightAsDouble('RawData (GH)'!I1127)</f>
        <v>565</v>
      </c>
      <c r="L1127" s="34">
        <f>getSizeDiameter('RawData (GH)'!J1127)</f>
        <v>83.5</v>
      </c>
      <c r="M1127" s="34">
        <f>getSizeLength('RawData (GH)'!J1127)</f>
        <v>91.8</v>
      </c>
    </row>
    <row r="1128" spans="1:13" x14ac:dyDescent="0.25">
      <c r="A1128" t="str">
        <f>'RawData (GH)'!A1128</f>
        <v>Sigma AF 17-70mm 2.8-4.0 DC Asp IF Makro HSM für Sony A schwarz</v>
      </c>
      <c r="B1128" s="5">
        <f>getFocalLengthStart('RawData (GH)'!B1128)</f>
        <v>17</v>
      </c>
      <c r="C1128" s="5">
        <f>getFocalLengthEnd('RawData (GH)'!B1128)</f>
        <v>70</v>
      </c>
      <c r="D1128" s="9">
        <f>getApertureStart('RawData (GH)'!C1128)</f>
        <v>2.8</v>
      </c>
      <c r="E1128" s="9">
        <f>getApertureEnd('RawData (GH)'!C1128)</f>
        <v>4</v>
      </c>
      <c r="F1128" s="2">
        <f>getFiltersizeAsDouble('RawData (GH)'!D1128)</f>
        <v>72</v>
      </c>
      <c r="G1128" s="35">
        <f>getMagnification('RawData (GH)'!E1128)</f>
        <v>2.7</v>
      </c>
      <c r="H1128" s="62">
        <f>getMinimalFocus('RawData (GH)'!F1128)</f>
        <v>0</v>
      </c>
      <c r="I1128" t="str">
        <f>getMount('RawData (GH)'!G1128)</f>
        <v>Sony A</v>
      </c>
      <c r="J1128" t="str">
        <f>getSensorCompatibility('RawData (GH)'!H1128)</f>
        <v>APS-C</v>
      </c>
      <c r="K1128" s="45">
        <f>getWeightAsDouble('RawData (GH)'!I1128)</f>
        <v>535</v>
      </c>
      <c r="L1128" s="34">
        <f>getSizeDiameter('RawData (GH)'!J1128)</f>
        <v>79</v>
      </c>
      <c r="M1128" s="34">
        <f>getSizeLength('RawData (GH)'!J1128)</f>
        <v>88.9</v>
      </c>
    </row>
    <row r="1129" spans="1:13" x14ac:dyDescent="0.25">
      <c r="A1129" t="str">
        <f>'RawData (GH)'!A1129</f>
        <v>Sigma AF 17-70mm 2.8-4.0 DC Asp IF Makro OS HSM für Canon EF schwarz</v>
      </c>
      <c r="B1129" s="5">
        <f>getFocalLengthStart('RawData (GH)'!B1129)</f>
        <v>17</v>
      </c>
      <c r="C1129" s="5">
        <f>getFocalLengthEnd('RawData (GH)'!B1129)</f>
        <v>70</v>
      </c>
      <c r="D1129" s="9">
        <f>getApertureStart('RawData (GH)'!C1129)</f>
        <v>2.8</v>
      </c>
      <c r="E1129" s="9">
        <f>getApertureEnd('RawData (GH)'!C1129)</f>
        <v>4</v>
      </c>
      <c r="F1129" s="2">
        <f>getFiltersizeAsDouble('RawData (GH)'!D1129)</f>
        <v>72</v>
      </c>
      <c r="G1129" s="35">
        <f>getMagnification('RawData (GH)'!E1129)</f>
        <v>2.7</v>
      </c>
      <c r="H1129" s="62">
        <f>getMinimalFocus('RawData (GH)'!F1129)</f>
        <v>0</v>
      </c>
      <c r="I1129" t="str">
        <f>getMount('RawData (GH)'!G1129)</f>
        <v>Canon EF-S</v>
      </c>
      <c r="J1129" t="str">
        <f>getSensorCompatibility('RawData (GH)'!H1129)</f>
        <v>APS-C</v>
      </c>
      <c r="K1129" s="45">
        <f>getWeightAsDouble('RawData (GH)'!I1129)</f>
        <v>535</v>
      </c>
      <c r="L1129" s="34">
        <f>getSizeDiameter('RawData (GH)'!J1129)</f>
        <v>79</v>
      </c>
      <c r="M1129" s="34">
        <f>getSizeLength('RawData (GH)'!J1129)</f>
        <v>88.9</v>
      </c>
    </row>
    <row r="1130" spans="1:13" x14ac:dyDescent="0.25">
      <c r="A1130" t="str">
        <f>'RawData (GH)'!A1130</f>
        <v>Sigma AF 17-70mm 2.8-4.0 DC Asp IF Makro OS HSM für Nikon F schwarz</v>
      </c>
      <c r="B1130" s="5">
        <f>getFocalLengthStart('RawData (GH)'!B1130)</f>
        <v>17</v>
      </c>
      <c r="C1130" s="5">
        <f>getFocalLengthEnd('RawData (GH)'!B1130)</f>
        <v>70</v>
      </c>
      <c r="D1130" s="9">
        <f>getApertureStart('RawData (GH)'!C1130)</f>
        <v>2.8</v>
      </c>
      <c r="E1130" s="9">
        <f>getApertureEnd('RawData (GH)'!C1130)</f>
        <v>4</v>
      </c>
      <c r="F1130" s="2">
        <f>getFiltersizeAsDouble('RawData (GH)'!D1130)</f>
        <v>72</v>
      </c>
      <c r="G1130" s="35">
        <f>getMagnification('RawData (GH)'!E1130)</f>
        <v>2.7</v>
      </c>
      <c r="H1130" s="62">
        <f>getMinimalFocus('RawData (GH)'!F1130)</f>
        <v>0</v>
      </c>
      <c r="I1130" t="str">
        <f>getMount('RawData (GH)'!G1130)</f>
        <v>Nikon F</v>
      </c>
      <c r="J1130" t="str">
        <f>getSensorCompatibility('RawData (GH)'!H1130)</f>
        <v>APS-C</v>
      </c>
      <c r="K1130" s="45">
        <f>getWeightAsDouble('RawData (GH)'!I1130)</f>
        <v>535</v>
      </c>
      <c r="L1130" s="34">
        <f>getSizeDiameter('RawData (GH)'!J1130)</f>
        <v>79</v>
      </c>
      <c r="M1130" s="34">
        <f>getSizeLength('RawData (GH)'!J1130)</f>
        <v>88.9</v>
      </c>
    </row>
    <row r="1131" spans="1:13" x14ac:dyDescent="0.25">
      <c r="A1131" t="str">
        <f>'RawData (GH)'!A1131</f>
        <v>Sigma AF 17-70mm 2.8-4.5 DC Asp IF Makro für Sony A schwarz</v>
      </c>
      <c r="B1131" s="5">
        <f>getFocalLengthStart('RawData (GH)'!B1131)</f>
        <v>17</v>
      </c>
      <c r="C1131" s="5">
        <f>getFocalLengthEnd('RawData (GH)'!B1131)</f>
        <v>70</v>
      </c>
      <c r="D1131" s="9">
        <f>getApertureStart('RawData (GH)'!C1131)</f>
        <v>2.8</v>
      </c>
      <c r="E1131" s="9">
        <f>getApertureEnd('RawData (GH)'!C1131)</f>
        <v>4.5</v>
      </c>
      <c r="F1131" s="2">
        <f>getFiltersizeAsDouble('RawData (GH)'!D1131)</f>
        <v>72</v>
      </c>
      <c r="G1131" s="35">
        <f>getMagnification('RawData (GH)'!E1131)</f>
        <v>2.33</v>
      </c>
      <c r="H1131" s="62">
        <f>getMinimalFocus('RawData (GH)'!F1131)</f>
        <v>0</v>
      </c>
      <c r="I1131" t="str">
        <f>getMount('RawData (GH)'!G1131)</f>
        <v>Sony A</v>
      </c>
      <c r="J1131" t="str">
        <f>getSensorCompatibility('RawData (GH)'!H1131)</f>
        <v>APS-C</v>
      </c>
      <c r="K1131" s="45">
        <f>getWeightAsDouble('RawData (GH)'!I1131)</f>
        <v>455</v>
      </c>
      <c r="L1131" s="34">
        <f>getSizeDiameter('RawData (GH)'!J1131)</f>
        <v>77</v>
      </c>
      <c r="M1131" s="34">
        <f>getSizeLength('RawData (GH)'!J1131)</f>
        <v>82.5</v>
      </c>
    </row>
    <row r="1132" spans="1:13" x14ac:dyDescent="0.25">
      <c r="A1132" t="str">
        <f>'RawData (GH)'!A1132</f>
        <v>Sigma AF 180mm 2.8 EX DG APO HSM OS Makro für Canon EF schwarz</v>
      </c>
      <c r="B1132" s="5">
        <f>getFocalLengthStart('RawData (GH)'!B1132)</f>
        <v>180</v>
      </c>
      <c r="C1132" s="5">
        <f>getFocalLengthEnd('RawData (GH)'!B1132)</f>
        <v>180</v>
      </c>
      <c r="D1132" s="9">
        <f>getApertureStart('RawData (GH)'!C1132)</f>
        <v>2.8</v>
      </c>
      <c r="E1132" s="9">
        <f>getApertureEnd('RawData (GH)'!C1132)</f>
        <v>2.8</v>
      </c>
      <c r="F1132" s="2">
        <f>getFiltersizeAsDouble('RawData (GH)'!D1132)</f>
        <v>86</v>
      </c>
      <c r="G1132" s="35">
        <f>getMagnification('RawData (GH)'!E1132)</f>
        <v>1</v>
      </c>
      <c r="H1132" s="62">
        <f>getMinimalFocus('RawData (GH)'!F1132)</f>
        <v>0</v>
      </c>
      <c r="I1132" t="str">
        <f>getMount('RawData (GH)'!G1132)</f>
        <v>Canon EF</v>
      </c>
      <c r="J1132" t="str">
        <f>getSensorCompatibility('RawData (GH)'!H1132)</f>
        <v>APS-C/ Kleinbild</v>
      </c>
      <c r="K1132" s="45">
        <f>getWeightAsDouble('RawData (GH)'!I1132)</f>
        <v>1640</v>
      </c>
      <c r="L1132" s="34">
        <f>getSizeDiameter('RawData (GH)'!J1132)</f>
        <v>95</v>
      </c>
      <c r="M1132" s="34">
        <f>getSizeLength('RawData (GH)'!J1132)</f>
        <v>203.9</v>
      </c>
    </row>
    <row r="1133" spans="1:13" x14ac:dyDescent="0.25">
      <c r="A1133" t="str">
        <f>'RawData (GH)'!A1133</f>
        <v>Sigma AF 180mm 2.8 EX DG APO HSM OS Makro für Nikon F schwarz</v>
      </c>
      <c r="B1133" s="5">
        <f>getFocalLengthStart('RawData (GH)'!B1133)</f>
        <v>180</v>
      </c>
      <c r="C1133" s="5">
        <f>getFocalLengthEnd('RawData (GH)'!B1133)</f>
        <v>180</v>
      </c>
      <c r="D1133" s="9">
        <f>getApertureStart('RawData (GH)'!C1133)</f>
        <v>2.8</v>
      </c>
      <c r="E1133" s="9">
        <f>getApertureEnd('RawData (GH)'!C1133)</f>
        <v>2.8</v>
      </c>
      <c r="F1133" s="2">
        <f>getFiltersizeAsDouble('RawData (GH)'!D1133)</f>
        <v>86</v>
      </c>
      <c r="G1133" s="35">
        <f>getMagnification('RawData (GH)'!E1133)</f>
        <v>1</v>
      </c>
      <c r="H1133" s="62">
        <f>getMinimalFocus('RawData (GH)'!F1133)</f>
        <v>0</v>
      </c>
      <c r="I1133" t="str">
        <f>getMount('RawData (GH)'!G1133)</f>
        <v>Nikon F</v>
      </c>
      <c r="J1133" t="str">
        <f>getSensorCompatibility('RawData (GH)'!H1133)</f>
        <v>APS-C/ Kleinbild</v>
      </c>
      <c r="K1133" s="45">
        <f>getWeightAsDouble('RawData (GH)'!I1133)</f>
        <v>1640</v>
      </c>
      <c r="L1133" s="34">
        <f>getSizeDiameter('RawData (GH)'!J1133)</f>
        <v>95</v>
      </c>
      <c r="M1133" s="34">
        <f>getSizeLength('RawData (GH)'!J1133)</f>
        <v>203.9</v>
      </c>
    </row>
    <row r="1134" spans="1:13" x14ac:dyDescent="0.25">
      <c r="A1134" t="str">
        <f>'RawData (GH)'!A1134</f>
        <v>Sigma AF 180mm 2.8 EX DG APO HSM OS Makro für Sigma schwarz</v>
      </c>
      <c r="B1134" s="5">
        <f>getFocalLengthStart('RawData (GH)'!B1134)</f>
        <v>180</v>
      </c>
      <c r="C1134" s="5">
        <f>getFocalLengthEnd('RawData (GH)'!B1134)</f>
        <v>180</v>
      </c>
      <c r="D1134" s="9">
        <f>getApertureStart('RawData (GH)'!C1134)</f>
        <v>2.8</v>
      </c>
      <c r="E1134" s="9">
        <f>getApertureEnd('RawData (GH)'!C1134)</f>
        <v>2.8</v>
      </c>
      <c r="F1134" s="2">
        <f>getFiltersizeAsDouble('RawData (GH)'!D1134)</f>
        <v>86</v>
      </c>
      <c r="G1134" s="35">
        <f>getMagnification('RawData (GH)'!E1134)</f>
        <v>1</v>
      </c>
      <c r="H1134" s="62">
        <f>getMinimalFocus('RawData (GH)'!F1134)</f>
        <v>0</v>
      </c>
      <c r="I1134" t="str">
        <f>getMount('RawData (GH)'!G1134)</f>
        <v>Sigma SA</v>
      </c>
      <c r="J1134" t="str">
        <f>getSensorCompatibility('RawData (GH)'!H1134)</f>
        <v>APS-C</v>
      </c>
      <c r="K1134" s="45">
        <f>getWeightAsDouble('RawData (GH)'!I1134)</f>
        <v>1640</v>
      </c>
      <c r="L1134" s="34">
        <f>getSizeDiameter('RawData (GH)'!J1134)</f>
        <v>95</v>
      </c>
      <c r="M1134" s="34">
        <f>getSizeLength('RawData (GH)'!J1134)</f>
        <v>203.9</v>
      </c>
    </row>
    <row r="1135" spans="1:13" x14ac:dyDescent="0.25">
      <c r="A1135" t="str">
        <f>'RawData (GH)'!A1135</f>
        <v>Sigma AF 180mm 2.8 EX DG APO HSM OS Makro für Sony A schwarz</v>
      </c>
      <c r="B1135" s="5">
        <f>getFocalLengthStart('RawData (GH)'!B1135)</f>
        <v>180</v>
      </c>
      <c r="C1135" s="5">
        <f>getFocalLengthEnd('RawData (GH)'!B1135)</f>
        <v>180</v>
      </c>
      <c r="D1135" s="9">
        <f>getApertureStart('RawData (GH)'!C1135)</f>
        <v>2.8</v>
      </c>
      <c r="E1135" s="9">
        <f>getApertureEnd('RawData (GH)'!C1135)</f>
        <v>2.8</v>
      </c>
      <c r="F1135" s="2">
        <f>getFiltersizeAsDouble('RawData (GH)'!D1135)</f>
        <v>86</v>
      </c>
      <c r="G1135" s="35">
        <f>getMagnification('RawData (GH)'!E1135)</f>
        <v>1</v>
      </c>
      <c r="H1135" s="62">
        <f>getMinimalFocus('RawData (GH)'!F1135)</f>
        <v>0</v>
      </c>
      <c r="I1135" t="str">
        <f>getMount('RawData (GH)'!G1135)</f>
        <v>Sony A</v>
      </c>
      <c r="J1135" t="str">
        <f>getSensorCompatibility('RawData (GH)'!H1135)</f>
        <v>APS-C/ Kleinbild</v>
      </c>
      <c r="K1135" s="45">
        <f>getWeightAsDouble('RawData (GH)'!I1135)</f>
        <v>1640</v>
      </c>
      <c r="L1135" s="34">
        <f>getSizeDiameter('RawData (GH)'!J1135)</f>
        <v>95</v>
      </c>
      <c r="M1135" s="34">
        <f>getSizeLength('RawData (GH)'!J1135)</f>
        <v>203.9</v>
      </c>
    </row>
    <row r="1136" spans="1:13" x14ac:dyDescent="0.25">
      <c r="A1136" t="str">
        <f>'RawData (GH)'!A1136</f>
        <v>Sigma AF 18-125mm 3.8-5.6 DC OS HSM für Nikon F schwarz</v>
      </c>
      <c r="B1136" s="5">
        <f>getFocalLengthStart('RawData (GH)'!B1136)</f>
        <v>18</v>
      </c>
      <c r="C1136" s="5">
        <f>getFocalLengthEnd('RawData (GH)'!B1136)</f>
        <v>125</v>
      </c>
      <c r="D1136" s="9">
        <f>getApertureStart('RawData (GH)'!C1136)</f>
        <v>3.8</v>
      </c>
      <c r="E1136" s="9">
        <f>getApertureEnd('RawData (GH)'!C1136)</f>
        <v>5.6</v>
      </c>
      <c r="F1136" s="2">
        <f>getFiltersizeAsDouble('RawData (GH)'!D1136)</f>
        <v>67</v>
      </c>
      <c r="G1136" s="35">
        <f>getMagnification('RawData (GH)'!E1136)</f>
        <v>3.8</v>
      </c>
      <c r="H1136" s="62">
        <f>getMinimalFocus('RawData (GH)'!F1136)</f>
        <v>0</v>
      </c>
      <c r="I1136" t="str">
        <f>getMount('RawData (GH)'!G1136)</f>
        <v>Nikon F</v>
      </c>
      <c r="J1136" t="str">
        <f>getSensorCompatibility('RawData (GH)'!H1136)</f>
        <v>APS-C</v>
      </c>
      <c r="K1136" s="45">
        <f>getWeightAsDouble('RawData (GH)'!I1136)</f>
        <v>505</v>
      </c>
      <c r="L1136" s="34">
        <f>getSizeDiameter('RawData (GH)'!J1136)</f>
        <v>74</v>
      </c>
      <c r="M1136" s="34">
        <f>getSizeLength('RawData (GH)'!J1136)</f>
        <v>88.5</v>
      </c>
    </row>
    <row r="1137" spans="1:13" x14ac:dyDescent="0.25">
      <c r="A1137" t="str">
        <f>'RawData (GH)'!A1137</f>
        <v>Sigma AF 18-125mm 3.8-5.6 DC OS HSM für Sony A schwarz</v>
      </c>
      <c r="B1137" s="5">
        <f>getFocalLengthStart('RawData (GH)'!B1137)</f>
        <v>18</v>
      </c>
      <c r="C1137" s="5">
        <f>getFocalLengthEnd('RawData (GH)'!B1137)</f>
        <v>125</v>
      </c>
      <c r="D1137" s="9">
        <f>getApertureStart('RawData (GH)'!C1137)</f>
        <v>3.8</v>
      </c>
      <c r="E1137" s="9">
        <f>getApertureEnd('RawData (GH)'!C1137)</f>
        <v>5.6</v>
      </c>
      <c r="F1137" s="2">
        <f>getFiltersizeAsDouble('RawData (GH)'!D1137)</f>
        <v>67</v>
      </c>
      <c r="G1137" s="35">
        <f>getMagnification('RawData (GH)'!E1137)</f>
        <v>3.8</v>
      </c>
      <c r="H1137" s="62">
        <f>getMinimalFocus('RawData (GH)'!F1137)</f>
        <v>0</v>
      </c>
      <c r="I1137" t="str">
        <f>getMount('RawData (GH)'!G1137)</f>
        <v>Sony A</v>
      </c>
      <c r="J1137" t="str">
        <f>getSensorCompatibility('RawData (GH)'!H1137)</f>
        <v>APS-C</v>
      </c>
      <c r="K1137" s="45">
        <f>getWeightAsDouble('RawData (GH)'!I1137)</f>
        <v>505</v>
      </c>
      <c r="L1137" s="34">
        <f>getSizeDiameter('RawData (GH)'!J1137)</f>
        <v>74</v>
      </c>
      <c r="M1137" s="34">
        <f>getSizeLength('RawData (GH)'!J1137)</f>
        <v>88.5</v>
      </c>
    </row>
    <row r="1138" spans="1:13" x14ac:dyDescent="0.25">
      <c r="A1138" t="str">
        <f>'RawData (GH)'!A1138</f>
        <v>Sigma AF 18-200mm 3.5-6.3 DC OS HSM für Nikon F schwarz</v>
      </c>
      <c r="B1138" s="5">
        <f>getFocalLengthStart('RawData (GH)'!B1138)</f>
        <v>18</v>
      </c>
      <c r="C1138" s="5">
        <f>getFocalLengthEnd('RawData (GH)'!B1138)</f>
        <v>200</v>
      </c>
      <c r="D1138" s="9">
        <f>getApertureStart('RawData (GH)'!C1138)</f>
        <v>3.5</v>
      </c>
      <c r="E1138" s="9">
        <f>getApertureEnd('RawData (GH)'!C1138)</f>
        <v>6.3</v>
      </c>
      <c r="F1138" s="2">
        <f>getFiltersizeAsDouble('RawData (GH)'!D1138)</f>
        <v>72</v>
      </c>
      <c r="G1138" s="35">
        <f>getMagnification('RawData (GH)'!E1138)</f>
        <v>0</v>
      </c>
      <c r="H1138" s="62">
        <f>getMinimalFocus('RawData (GH)'!F1138)</f>
        <v>0</v>
      </c>
      <c r="I1138" t="str">
        <f>getMount('RawData (GH)'!G1138)</f>
        <v>Nikon F</v>
      </c>
      <c r="J1138" t="str">
        <f>getSensorCompatibility('RawData (GH)'!H1138)</f>
        <v>APS-C</v>
      </c>
      <c r="K1138" s="45">
        <f>getWeightAsDouble('RawData (GH)'!I1138)</f>
        <v>610</v>
      </c>
      <c r="L1138" s="34">
        <f>getSizeDiameter('RawData (GH)'!J1138)</f>
        <v>79</v>
      </c>
      <c r="M1138" s="34">
        <f>getSizeLength('RawData (GH)'!J1138)</f>
        <v>100</v>
      </c>
    </row>
    <row r="1139" spans="1:13" x14ac:dyDescent="0.25">
      <c r="A1139" t="str">
        <f>'RawData (GH)'!A1139</f>
        <v>Sigma AF 18-200mm 3.5-6.3 DC OS HSM II für Nikon F schwarz</v>
      </c>
      <c r="B1139" s="5">
        <f>getFocalLengthStart('RawData (GH)'!B1139)</f>
        <v>18</v>
      </c>
      <c r="C1139" s="5">
        <f>getFocalLengthEnd('RawData (GH)'!B1139)</f>
        <v>200</v>
      </c>
      <c r="D1139" s="9">
        <f>getApertureStart('RawData (GH)'!C1139)</f>
        <v>3.5</v>
      </c>
      <c r="E1139" s="9">
        <f>getApertureEnd('RawData (GH)'!C1139)</f>
        <v>6.3</v>
      </c>
      <c r="F1139" s="2">
        <f>getFiltersizeAsDouble('RawData (GH)'!D1139)</f>
        <v>62</v>
      </c>
      <c r="G1139" s="35">
        <f>getMagnification('RawData (GH)'!E1139)</f>
        <v>3.8</v>
      </c>
      <c r="H1139" s="62">
        <f>getMinimalFocus('RawData (GH)'!F1139)</f>
        <v>0</v>
      </c>
      <c r="I1139" t="str">
        <f>getMount('RawData (GH)'!G1139)</f>
        <v>Nikon F</v>
      </c>
      <c r="J1139" t="str">
        <f>getSensorCompatibility('RawData (GH)'!H1139)</f>
        <v>APS-C</v>
      </c>
      <c r="K1139" s="45">
        <f>getWeightAsDouble('RawData (GH)'!I1139)</f>
        <v>490</v>
      </c>
      <c r="L1139" s="34">
        <f>getSizeDiameter('RawData (GH)'!J1139)</f>
        <v>75.3</v>
      </c>
      <c r="M1139" s="34">
        <f>getSizeLength('RawData (GH)'!J1139)</f>
        <v>87.7</v>
      </c>
    </row>
    <row r="1140" spans="1:13" x14ac:dyDescent="0.25">
      <c r="A1140" t="str">
        <f>'RawData (GH)'!A1140</f>
        <v>Sigma AF 18-200mm 3.5-6.3 DC OS HSM II für Pentax K schwarz</v>
      </c>
      <c r="B1140" s="5">
        <f>getFocalLengthStart('RawData (GH)'!B1140)</f>
        <v>18</v>
      </c>
      <c r="C1140" s="5">
        <f>getFocalLengthEnd('RawData (GH)'!B1140)</f>
        <v>200</v>
      </c>
      <c r="D1140" s="9">
        <f>getApertureStart('RawData (GH)'!C1140)</f>
        <v>3.5</v>
      </c>
      <c r="E1140" s="9">
        <f>getApertureEnd('RawData (GH)'!C1140)</f>
        <v>6.3</v>
      </c>
      <c r="F1140" s="2">
        <f>getFiltersizeAsDouble('RawData (GH)'!D1140)</f>
        <v>62</v>
      </c>
      <c r="G1140" s="35">
        <f>getMagnification('RawData (GH)'!E1140)</f>
        <v>3.8</v>
      </c>
      <c r="H1140" s="62">
        <f>getMinimalFocus('RawData (GH)'!F1140)</f>
        <v>0</v>
      </c>
      <c r="I1140" t="str">
        <f>getMount('RawData (GH)'!G1140)</f>
        <v>Pentax K</v>
      </c>
      <c r="J1140" t="str">
        <f>getSensorCompatibility('RawData (GH)'!H1140)</f>
        <v>APS-C</v>
      </c>
      <c r="K1140" s="45">
        <f>getWeightAsDouble('RawData (GH)'!I1140)</f>
        <v>490</v>
      </c>
      <c r="L1140" s="34">
        <f>getSizeDiameter('RawData (GH)'!J1140)</f>
        <v>75.3</v>
      </c>
      <c r="M1140" s="34">
        <f>getSizeLength('RawData (GH)'!J1140)</f>
        <v>87.7</v>
      </c>
    </row>
    <row r="1141" spans="1:13" x14ac:dyDescent="0.25">
      <c r="A1141" t="str">
        <f>'RawData (GH)'!A1141</f>
        <v>Sigma AF 18-250mm 3.5-6.3 DC Makro HSM für Pentax K schwarz</v>
      </c>
      <c r="B1141" s="5">
        <f>getFocalLengthStart('RawData (GH)'!B1141)</f>
        <v>18</v>
      </c>
      <c r="C1141" s="5">
        <f>getFocalLengthEnd('RawData (GH)'!B1141)</f>
        <v>250</v>
      </c>
      <c r="D1141" s="9">
        <f>getApertureStart('RawData (GH)'!C1141)</f>
        <v>3.5</v>
      </c>
      <c r="E1141" s="9">
        <f>getApertureEnd('RawData (GH)'!C1141)</f>
        <v>6.3</v>
      </c>
      <c r="F1141" s="2">
        <f>getFiltersizeAsDouble('RawData (GH)'!D1141)</f>
        <v>62</v>
      </c>
      <c r="G1141" s="35">
        <f>getMagnification('RawData (GH)'!E1141)</f>
        <v>2.9</v>
      </c>
      <c r="H1141" s="62">
        <f>getMinimalFocus('RawData (GH)'!F1141)</f>
        <v>0</v>
      </c>
      <c r="I1141" t="str">
        <f>getMount('RawData (GH)'!G1141)</f>
        <v>Pentax K</v>
      </c>
      <c r="J1141" t="str">
        <f>getSensorCompatibility('RawData (GH)'!H1141)</f>
        <v>APS-C</v>
      </c>
      <c r="K1141" s="45">
        <f>getWeightAsDouble('RawData (GH)'!I1141)</f>
        <v>470</v>
      </c>
      <c r="L1141" s="34">
        <f>getSizeDiameter('RawData (GH)'!J1141)</f>
        <v>73.5</v>
      </c>
      <c r="M1141" s="34">
        <f>getSizeLength('RawData (GH)'!J1141)</f>
        <v>88.6</v>
      </c>
    </row>
    <row r="1142" spans="1:13" x14ac:dyDescent="0.25">
      <c r="A1142" t="str">
        <f>'RawData (GH)'!A1142</f>
        <v>Sigma AF 18-250mm 3.5-6.3 DC Makro HSM für Sony A schwarz</v>
      </c>
      <c r="B1142" s="5">
        <f>getFocalLengthStart('RawData (GH)'!B1142)</f>
        <v>18</v>
      </c>
      <c r="C1142" s="5">
        <f>getFocalLengthEnd('RawData (GH)'!B1142)</f>
        <v>250</v>
      </c>
      <c r="D1142" s="9">
        <f>getApertureStart('RawData (GH)'!C1142)</f>
        <v>3.5</v>
      </c>
      <c r="E1142" s="9">
        <f>getApertureEnd('RawData (GH)'!C1142)</f>
        <v>6.3</v>
      </c>
      <c r="F1142" s="2">
        <f>getFiltersizeAsDouble('RawData (GH)'!D1142)</f>
        <v>62</v>
      </c>
      <c r="G1142" s="35">
        <f>getMagnification('RawData (GH)'!E1142)</f>
        <v>2.9</v>
      </c>
      <c r="H1142" s="62">
        <f>getMinimalFocus('RawData (GH)'!F1142)</f>
        <v>0</v>
      </c>
      <c r="I1142" t="str">
        <f>getMount('RawData (GH)'!G1142)</f>
        <v>Sony A</v>
      </c>
      <c r="J1142" t="str">
        <f>getSensorCompatibility('RawData (GH)'!H1142)</f>
        <v>APS-C</v>
      </c>
      <c r="K1142" s="45">
        <f>getWeightAsDouble('RawData (GH)'!I1142)</f>
        <v>470</v>
      </c>
      <c r="L1142" s="34">
        <f>getSizeDiameter('RawData (GH)'!J1142)</f>
        <v>73.5</v>
      </c>
      <c r="M1142" s="34">
        <f>getSizeLength('RawData (GH)'!J1142)</f>
        <v>88.6</v>
      </c>
    </row>
    <row r="1143" spans="1:13" x14ac:dyDescent="0.25">
      <c r="A1143" t="str">
        <f>'RawData (GH)'!A1143</f>
        <v>Sigma AF 18-250mm 3.5-6.3 DC Makro OS HSM für Canon EF schwarz</v>
      </c>
      <c r="B1143" s="5">
        <f>getFocalLengthStart('RawData (GH)'!B1143)</f>
        <v>18</v>
      </c>
      <c r="C1143" s="5">
        <f>getFocalLengthEnd('RawData (GH)'!B1143)</f>
        <v>250</v>
      </c>
      <c r="D1143" s="9">
        <f>getApertureStart('RawData (GH)'!C1143)</f>
        <v>3.5</v>
      </c>
      <c r="E1143" s="9">
        <f>getApertureEnd('RawData (GH)'!C1143)</f>
        <v>6.3</v>
      </c>
      <c r="F1143" s="2">
        <f>getFiltersizeAsDouble('RawData (GH)'!D1143)</f>
        <v>62</v>
      </c>
      <c r="G1143" s="35">
        <f>getMagnification('RawData (GH)'!E1143)</f>
        <v>2.9</v>
      </c>
      <c r="H1143" s="62">
        <f>getMinimalFocus('RawData (GH)'!F1143)</f>
        <v>0</v>
      </c>
      <c r="I1143" t="str">
        <f>getMount('RawData (GH)'!G1143)</f>
        <v>Canon EF-S</v>
      </c>
      <c r="J1143" t="str">
        <f>getSensorCompatibility('RawData (GH)'!H1143)</f>
        <v>APS-C</v>
      </c>
      <c r="K1143" s="45">
        <f>getWeightAsDouble('RawData (GH)'!I1143)</f>
        <v>470</v>
      </c>
      <c r="L1143" s="34">
        <f>getSizeDiameter('RawData (GH)'!J1143)</f>
        <v>73.5</v>
      </c>
      <c r="M1143" s="34">
        <f>getSizeLength('RawData (GH)'!J1143)</f>
        <v>88.6</v>
      </c>
    </row>
    <row r="1144" spans="1:13" x14ac:dyDescent="0.25">
      <c r="A1144" t="str">
        <f>'RawData (GH)'!A1144</f>
        <v>Sigma AF 18-250mm 3.5-6.3 DC Makro OS HSM für Nikon F schwarz</v>
      </c>
      <c r="B1144" s="5">
        <f>getFocalLengthStart('RawData (GH)'!B1144)</f>
        <v>18</v>
      </c>
      <c r="C1144" s="5">
        <f>getFocalLengthEnd('RawData (GH)'!B1144)</f>
        <v>250</v>
      </c>
      <c r="D1144" s="9">
        <f>getApertureStart('RawData (GH)'!C1144)</f>
        <v>3.5</v>
      </c>
      <c r="E1144" s="9">
        <f>getApertureEnd('RawData (GH)'!C1144)</f>
        <v>6.3</v>
      </c>
      <c r="F1144" s="2">
        <f>getFiltersizeAsDouble('RawData (GH)'!D1144)</f>
        <v>62</v>
      </c>
      <c r="G1144" s="35">
        <f>getMagnification('RawData (GH)'!E1144)</f>
        <v>2.9</v>
      </c>
      <c r="H1144" s="62">
        <f>getMinimalFocus('RawData (GH)'!F1144)</f>
        <v>0</v>
      </c>
      <c r="I1144" t="str">
        <f>getMount('RawData (GH)'!G1144)</f>
        <v>Nikon F</v>
      </c>
      <c r="J1144" t="str">
        <f>getSensorCompatibility('RawData (GH)'!H1144)</f>
        <v>APS-C</v>
      </c>
      <c r="K1144" s="45">
        <f>getWeightAsDouble('RawData (GH)'!I1144)</f>
        <v>470</v>
      </c>
      <c r="L1144" s="34">
        <f>getSizeDiameter('RawData (GH)'!J1144)</f>
        <v>73.5</v>
      </c>
      <c r="M1144" s="34">
        <f>getSizeLength('RawData (GH)'!J1144)</f>
        <v>88.6</v>
      </c>
    </row>
    <row r="1145" spans="1:13" x14ac:dyDescent="0.25">
      <c r="A1145" t="str">
        <f>'RawData (GH)'!A1145</f>
        <v>Sigma AF 18-250mm 3.5-6.3 DC Makro OS HSM für Sigma schwarz</v>
      </c>
      <c r="B1145" s="5">
        <f>getFocalLengthStart('RawData (GH)'!B1145)</f>
        <v>18</v>
      </c>
      <c r="C1145" s="5">
        <f>getFocalLengthEnd('RawData (GH)'!B1145)</f>
        <v>250</v>
      </c>
      <c r="D1145" s="9">
        <f>getApertureStart('RawData (GH)'!C1145)</f>
        <v>3.5</v>
      </c>
      <c r="E1145" s="9">
        <f>getApertureEnd('RawData (GH)'!C1145)</f>
        <v>6.3</v>
      </c>
      <c r="F1145" s="2">
        <f>getFiltersizeAsDouble('RawData (GH)'!D1145)</f>
        <v>62</v>
      </c>
      <c r="G1145" s="35">
        <f>getMagnification('RawData (GH)'!E1145)</f>
        <v>2.9</v>
      </c>
      <c r="H1145" s="62">
        <f>getMinimalFocus('RawData (GH)'!F1145)</f>
        <v>0</v>
      </c>
      <c r="I1145" t="str">
        <f>getMount('RawData (GH)'!G1145)</f>
        <v>Sigma SA</v>
      </c>
      <c r="J1145" t="str">
        <f>getSensorCompatibility('RawData (GH)'!H1145)</f>
        <v>APS-C</v>
      </c>
      <c r="K1145" s="45">
        <f>getWeightAsDouble('RawData (GH)'!I1145)</f>
        <v>470</v>
      </c>
      <c r="L1145" s="34">
        <f>getSizeDiameter('RawData (GH)'!J1145)</f>
        <v>73.5</v>
      </c>
      <c r="M1145" s="34">
        <f>getSizeLength('RawData (GH)'!J1145)</f>
        <v>88.6</v>
      </c>
    </row>
    <row r="1146" spans="1:13" x14ac:dyDescent="0.25">
      <c r="A1146" t="str">
        <f>'RawData (GH)'!A1146</f>
        <v>Sigma AF 18-250mm 3.5-6.3 DC OS HSM für Canon EF schwarz</v>
      </c>
      <c r="B1146" s="5">
        <f>getFocalLengthStart('RawData (GH)'!B1146)</f>
        <v>18</v>
      </c>
      <c r="C1146" s="5">
        <f>getFocalLengthEnd('RawData (GH)'!B1146)</f>
        <v>250</v>
      </c>
      <c r="D1146" s="9">
        <f>getApertureStart('RawData (GH)'!C1146)</f>
        <v>3.5</v>
      </c>
      <c r="E1146" s="9">
        <f>getApertureEnd('RawData (GH)'!C1146)</f>
        <v>6.3</v>
      </c>
      <c r="F1146" s="2">
        <f>getFiltersizeAsDouble('RawData (GH)'!D1146)</f>
        <v>72</v>
      </c>
      <c r="G1146" s="35">
        <f>getMagnification('RawData (GH)'!E1146)</f>
        <v>3.4</v>
      </c>
      <c r="H1146" s="62">
        <f>getMinimalFocus('RawData (GH)'!F1146)</f>
        <v>0</v>
      </c>
      <c r="I1146" t="str">
        <f>getMount('RawData (GH)'!G1146)</f>
        <v>Canon EF-S</v>
      </c>
      <c r="J1146" t="str">
        <f>getSensorCompatibility('RawData (GH)'!H1146)</f>
        <v>APS-C</v>
      </c>
      <c r="K1146" s="45">
        <f>getWeightAsDouble('RawData (GH)'!I1146)</f>
        <v>630</v>
      </c>
      <c r="L1146" s="34">
        <f>getSizeDiameter('RawData (GH)'!J1146)</f>
        <v>79</v>
      </c>
      <c r="M1146" s="34">
        <f>getSizeLength('RawData (GH)'!J1146)</f>
        <v>101</v>
      </c>
    </row>
    <row r="1147" spans="1:13" x14ac:dyDescent="0.25">
      <c r="A1147" t="str">
        <f>'RawData (GH)'!A1147</f>
        <v>Sigma AF 18-250mm 3.5-6.3 DC OS HSM für Nikon F schwarz</v>
      </c>
      <c r="B1147" s="5">
        <f>getFocalLengthStart('RawData (GH)'!B1147)</f>
        <v>18</v>
      </c>
      <c r="C1147" s="5">
        <f>getFocalLengthEnd('RawData (GH)'!B1147)</f>
        <v>250</v>
      </c>
      <c r="D1147" s="9">
        <f>getApertureStart('RawData (GH)'!C1147)</f>
        <v>3.5</v>
      </c>
      <c r="E1147" s="9">
        <f>getApertureEnd('RawData (GH)'!C1147)</f>
        <v>6.3</v>
      </c>
      <c r="F1147" s="2">
        <f>getFiltersizeAsDouble('RawData (GH)'!D1147)</f>
        <v>72</v>
      </c>
      <c r="G1147" s="35">
        <f>getMagnification('RawData (GH)'!E1147)</f>
        <v>3.4</v>
      </c>
      <c r="H1147" s="62">
        <f>getMinimalFocus('RawData (GH)'!F1147)</f>
        <v>0</v>
      </c>
      <c r="I1147" t="str">
        <f>getMount('RawData (GH)'!G1147)</f>
        <v>Nikon F</v>
      </c>
      <c r="J1147" t="str">
        <f>getSensorCompatibility('RawData (GH)'!H1147)</f>
        <v>APS-C</v>
      </c>
      <c r="K1147" s="45">
        <f>getWeightAsDouble('RawData (GH)'!I1147)</f>
        <v>630</v>
      </c>
      <c r="L1147" s="34">
        <f>getSizeDiameter('RawData (GH)'!J1147)</f>
        <v>79</v>
      </c>
      <c r="M1147" s="34">
        <f>getSizeLength('RawData (GH)'!J1147)</f>
        <v>101</v>
      </c>
    </row>
    <row r="1148" spans="1:13" x14ac:dyDescent="0.25">
      <c r="A1148" t="str">
        <f>'RawData (GH)'!A1148</f>
        <v>Sigma AF 18-250mm 3.5-6.3 DC OS HSM für Sigma schwarz</v>
      </c>
      <c r="B1148" s="5">
        <f>getFocalLengthStart('RawData (GH)'!B1148)</f>
        <v>18</v>
      </c>
      <c r="C1148" s="5">
        <f>getFocalLengthEnd('RawData (GH)'!B1148)</f>
        <v>250</v>
      </c>
      <c r="D1148" s="9">
        <f>getApertureStart('RawData (GH)'!C1148)</f>
        <v>3.5</v>
      </c>
      <c r="E1148" s="9">
        <f>getApertureEnd('RawData (GH)'!C1148)</f>
        <v>6.3</v>
      </c>
      <c r="F1148" s="2">
        <f>getFiltersizeAsDouble('RawData (GH)'!D1148)</f>
        <v>72</v>
      </c>
      <c r="G1148" s="35">
        <f>getMagnification('RawData (GH)'!E1148)</f>
        <v>3.4</v>
      </c>
      <c r="H1148" s="62">
        <f>getMinimalFocus('RawData (GH)'!F1148)</f>
        <v>0</v>
      </c>
      <c r="I1148" t="str">
        <f>getMount('RawData (GH)'!G1148)</f>
        <v>Sigma SA</v>
      </c>
      <c r="J1148" t="str">
        <f>getSensorCompatibility('RawData (GH)'!H1148)</f>
        <v>APS-C</v>
      </c>
      <c r="K1148" s="45">
        <f>getWeightAsDouble('RawData (GH)'!I1148)</f>
        <v>630</v>
      </c>
      <c r="L1148" s="34">
        <f>getSizeDiameter('RawData (GH)'!J1148)</f>
        <v>79</v>
      </c>
      <c r="M1148" s="34">
        <f>getSizeLength('RawData (GH)'!J1148)</f>
        <v>101</v>
      </c>
    </row>
    <row r="1149" spans="1:13" x14ac:dyDescent="0.25">
      <c r="A1149" t="str">
        <f>'RawData (GH)'!A1149</f>
        <v>Sigma AF 19mm 2.8 EX DN für Micro-Four-Thirds schwarz</v>
      </c>
      <c r="B1149" s="5">
        <f>getFocalLengthStart('RawData (GH)'!B1149)</f>
        <v>19</v>
      </c>
      <c r="C1149" s="5">
        <f>getFocalLengthEnd('RawData (GH)'!B1149)</f>
        <v>19</v>
      </c>
      <c r="D1149" s="9">
        <f>getApertureStart('RawData (GH)'!C1149)</f>
        <v>2.8</v>
      </c>
      <c r="E1149" s="9">
        <f>getApertureEnd('RawData (GH)'!C1149)</f>
        <v>2.8</v>
      </c>
      <c r="F1149" s="2">
        <f>getFiltersizeAsDouble('RawData (GH)'!D1149)</f>
        <v>46</v>
      </c>
      <c r="G1149" s="35">
        <f>getMagnification('RawData (GH)'!E1149)</f>
        <v>7.4</v>
      </c>
      <c r="H1149" s="62">
        <f>getMinimalFocus('RawData (GH)'!F1149)</f>
        <v>0</v>
      </c>
      <c r="I1149" t="str">
        <f>getMount('RawData (GH)'!G1149)</f>
        <v>Micro-Four-Thirds</v>
      </c>
      <c r="J1149" t="str">
        <f>getSensorCompatibility('RawData (GH)'!H1149)</f>
        <v>Four-Thirds</v>
      </c>
      <c r="K1149" s="45">
        <f>getWeightAsDouble('RawData (GH)'!I1149)</f>
        <v>140</v>
      </c>
      <c r="L1149" s="34">
        <f>getSizeDiameter('RawData (GH)'!J1149)</f>
        <v>60.6</v>
      </c>
      <c r="M1149" s="34">
        <f>getSizeLength('RawData (GH)'!J1149)</f>
        <v>45.7</v>
      </c>
    </row>
    <row r="1150" spans="1:13" x14ac:dyDescent="0.25">
      <c r="A1150" t="str">
        <f>'RawData (GH)'!A1150</f>
        <v>Sigma AF 200-500mm 2.8 DG Asp APO für Canon EF grün</v>
      </c>
      <c r="B1150" s="5">
        <f>getFocalLengthStart('RawData (GH)'!B1150)</f>
        <v>200</v>
      </c>
      <c r="C1150" s="5">
        <f>getFocalLengthEnd('RawData (GH)'!B1150)</f>
        <v>500</v>
      </c>
      <c r="D1150" s="9">
        <f>getApertureStart('RawData (GH)'!C1150)</f>
        <v>2.8</v>
      </c>
      <c r="E1150" s="9">
        <f>getApertureEnd('RawData (GH)'!C1150)</f>
        <v>2.8</v>
      </c>
      <c r="F1150" s="2">
        <f>getFiltersizeAsDouble('RawData (GH)'!D1150)</f>
        <v>72</v>
      </c>
      <c r="G1150" s="35">
        <f>getMagnification('RawData (GH)'!E1150)</f>
        <v>7.7</v>
      </c>
      <c r="H1150" s="62">
        <f>getMinimalFocus('RawData (GH)'!F1150)</f>
        <v>0</v>
      </c>
      <c r="I1150" t="str">
        <f>getMount('RawData (GH)'!G1150)</f>
        <v>Canon EF</v>
      </c>
      <c r="J1150" t="str">
        <f>getSensorCompatibility('RawData (GH)'!H1150)</f>
        <v>APS-C/ Kleinbild</v>
      </c>
      <c r="K1150" s="45">
        <f>getWeightAsDouble('RawData (GH)'!I1150)</f>
        <v>15700</v>
      </c>
      <c r="L1150" s="34">
        <f>getSizeDiameter('RawData (GH)'!J1150)</f>
        <v>236.5</v>
      </c>
      <c r="M1150" s="34">
        <f>getSizeLength('RawData (GH)'!J1150)</f>
        <v>726</v>
      </c>
    </row>
    <row r="1151" spans="1:13" x14ac:dyDescent="0.25">
      <c r="A1151" t="str">
        <f>'RawData (GH)'!A1151</f>
        <v>Sigma AF 200-500mm 2.8 DG Asp APO für Nikon F grün</v>
      </c>
      <c r="B1151" s="5">
        <f>getFocalLengthStart('RawData (GH)'!B1151)</f>
        <v>200</v>
      </c>
      <c r="C1151" s="5">
        <f>getFocalLengthEnd('RawData (GH)'!B1151)</f>
        <v>500</v>
      </c>
      <c r="D1151" s="9">
        <f>getApertureStart('RawData (GH)'!C1151)</f>
        <v>2.8</v>
      </c>
      <c r="E1151" s="9">
        <f>getApertureEnd('RawData (GH)'!C1151)</f>
        <v>2.8</v>
      </c>
      <c r="F1151" s="2">
        <f>getFiltersizeAsDouble('RawData (GH)'!D1151)</f>
        <v>72</v>
      </c>
      <c r="G1151" s="35">
        <f>getMagnification('RawData (GH)'!E1151)</f>
        <v>7.7</v>
      </c>
      <c r="H1151" s="62">
        <f>getMinimalFocus('RawData (GH)'!F1151)</f>
        <v>0</v>
      </c>
      <c r="I1151" t="str">
        <f>getMount('RawData (GH)'!G1151)</f>
        <v>Nikon F</v>
      </c>
      <c r="J1151" t="str">
        <f>getSensorCompatibility('RawData (GH)'!H1151)</f>
        <v>APS-C/ Kleinbild</v>
      </c>
      <c r="K1151" s="45">
        <f>getWeightAsDouble('RawData (GH)'!I1151)</f>
        <v>15700</v>
      </c>
      <c r="L1151" s="34">
        <f>getSizeDiameter('RawData (GH)'!J1151)</f>
        <v>236.5</v>
      </c>
      <c r="M1151" s="34">
        <f>getSizeLength('RawData (GH)'!J1151)</f>
        <v>726</v>
      </c>
    </row>
    <row r="1152" spans="1:13" x14ac:dyDescent="0.25">
      <c r="A1152" t="str">
        <f>'RawData (GH)'!A1152</f>
        <v>Sigma AF 200-500mm 2.8 DG Asp APO für Sigma grün</v>
      </c>
      <c r="B1152" s="5">
        <f>getFocalLengthStart('RawData (GH)'!B1152)</f>
        <v>200</v>
      </c>
      <c r="C1152" s="5">
        <f>getFocalLengthEnd('RawData (GH)'!B1152)</f>
        <v>500</v>
      </c>
      <c r="D1152" s="9">
        <f>getApertureStart('RawData (GH)'!C1152)</f>
        <v>2.8</v>
      </c>
      <c r="E1152" s="9">
        <f>getApertureEnd('RawData (GH)'!C1152)</f>
        <v>2.8</v>
      </c>
      <c r="F1152" s="2">
        <f>getFiltersizeAsDouble('RawData (GH)'!D1152)</f>
        <v>72</v>
      </c>
      <c r="G1152" s="35">
        <f>getMagnification('RawData (GH)'!E1152)</f>
        <v>7.7</v>
      </c>
      <c r="H1152" s="62">
        <f>getMinimalFocus('RawData (GH)'!F1152)</f>
        <v>0</v>
      </c>
      <c r="I1152" t="str">
        <f>getMount('RawData (GH)'!G1152)</f>
        <v>Sigma SA</v>
      </c>
      <c r="J1152" t="str">
        <f>getSensorCompatibility('RawData (GH)'!H1152)</f>
        <v>APS-C</v>
      </c>
      <c r="K1152" s="45">
        <f>getWeightAsDouble('RawData (GH)'!I1152)</f>
        <v>15700</v>
      </c>
      <c r="L1152" s="34">
        <f>getSizeDiameter('RawData (GH)'!J1152)</f>
        <v>236.5</v>
      </c>
      <c r="M1152" s="34">
        <f>getSizeLength('RawData (GH)'!J1152)</f>
        <v>726</v>
      </c>
    </row>
    <row r="1153" spans="1:13" x14ac:dyDescent="0.25">
      <c r="A1153" t="str">
        <f>'RawData (GH)'!A1153</f>
        <v>Sigma AF 20-40mm 2.8 EX DG Asp IF für Canon EF schwarz</v>
      </c>
      <c r="B1153" s="5">
        <f>getFocalLengthStart('RawData (GH)'!B1153)</f>
        <v>20</v>
      </c>
      <c r="C1153" s="5">
        <f>getFocalLengthEnd('RawData (GH)'!B1153)</f>
        <v>40</v>
      </c>
      <c r="D1153" s="9">
        <f>getApertureStart('RawData (GH)'!C1153)</f>
        <v>2.8</v>
      </c>
      <c r="E1153" s="9">
        <f>getApertureEnd('RawData (GH)'!C1153)</f>
        <v>2.8</v>
      </c>
      <c r="F1153" s="2">
        <f>getFiltersizeAsDouble('RawData (GH)'!D1153)</f>
        <v>82</v>
      </c>
      <c r="G1153" s="35">
        <f>getMagnification('RawData (GH)'!E1153)</f>
        <v>4.76</v>
      </c>
      <c r="H1153" s="62">
        <f>getMinimalFocus('RawData (GH)'!F1153)</f>
        <v>0</v>
      </c>
      <c r="I1153" t="str">
        <f>getMount('RawData (GH)'!G1153)</f>
        <v>Canon EF</v>
      </c>
      <c r="J1153" t="str">
        <f>getSensorCompatibility('RawData (GH)'!H1153)</f>
        <v>APS-C/ Kleinbild</v>
      </c>
      <c r="K1153" s="45">
        <f>getWeightAsDouble('RawData (GH)'!I1153)</f>
        <v>595</v>
      </c>
      <c r="L1153" s="34">
        <f>getSizeDiameter('RawData (GH)'!J1153)</f>
        <v>89</v>
      </c>
      <c r="M1153" s="34">
        <f>getSizeLength('RawData (GH)'!J1153)</f>
        <v>107.8</v>
      </c>
    </row>
    <row r="1154" spans="1:13" x14ac:dyDescent="0.25">
      <c r="A1154" t="str">
        <f>'RawData (GH)'!A1154</f>
        <v>Sigma AF 20mm 1.8 EX DG Asp RF für Canon EF schwarz</v>
      </c>
      <c r="B1154" s="5">
        <f>getFocalLengthStart('RawData (GH)'!B1154)</f>
        <v>20</v>
      </c>
      <c r="C1154" s="5">
        <f>getFocalLengthEnd('RawData (GH)'!B1154)</f>
        <v>20</v>
      </c>
      <c r="D1154" s="9">
        <f>getApertureStart('RawData (GH)'!C1154)</f>
        <v>1.8</v>
      </c>
      <c r="E1154" s="9">
        <f>getApertureEnd('RawData (GH)'!C1154)</f>
        <v>1.8</v>
      </c>
      <c r="F1154" s="2">
        <f>getFiltersizeAsDouble('RawData (GH)'!D1154)</f>
        <v>82</v>
      </c>
      <c r="G1154" s="35">
        <f>getMagnification('RawData (GH)'!E1154)</f>
        <v>4</v>
      </c>
      <c r="H1154" s="62">
        <f>getMinimalFocus('RawData (GH)'!F1154)</f>
        <v>0</v>
      </c>
      <c r="I1154" t="str">
        <f>getMount('RawData (GH)'!G1154)</f>
        <v>Canon EF</v>
      </c>
      <c r="J1154" t="str">
        <f>getSensorCompatibility('RawData (GH)'!H1154)</f>
        <v>APS-C/ Kleinbild</v>
      </c>
      <c r="K1154" s="45">
        <f>getWeightAsDouble('RawData (GH)'!I1154)</f>
        <v>500</v>
      </c>
      <c r="L1154" s="34">
        <f>getSizeDiameter('RawData (GH)'!J1154)</f>
        <v>88.6</v>
      </c>
      <c r="M1154" s="34">
        <f>getSizeLength('RawData (GH)'!J1154)</f>
        <v>87</v>
      </c>
    </row>
    <row r="1155" spans="1:13" x14ac:dyDescent="0.25">
      <c r="A1155" t="str">
        <f>'RawData (GH)'!A1155</f>
        <v>Sigma AF 20mm 1.8 EX DG Asp RF für Nikon F schwarz</v>
      </c>
      <c r="B1155" s="5">
        <f>getFocalLengthStart('RawData (GH)'!B1155)</f>
        <v>20</v>
      </c>
      <c r="C1155" s="5">
        <f>getFocalLengthEnd('RawData (GH)'!B1155)</f>
        <v>20</v>
      </c>
      <c r="D1155" s="9">
        <f>getApertureStart('RawData (GH)'!C1155)</f>
        <v>1.8</v>
      </c>
      <c r="E1155" s="9">
        <f>getApertureEnd('RawData (GH)'!C1155)</f>
        <v>1.8</v>
      </c>
      <c r="F1155" s="2">
        <f>getFiltersizeAsDouble('RawData (GH)'!D1155)</f>
        <v>82</v>
      </c>
      <c r="G1155" s="35">
        <f>getMagnification('RawData (GH)'!E1155)</f>
        <v>4</v>
      </c>
      <c r="H1155" s="62">
        <f>getMinimalFocus('RawData (GH)'!F1155)</f>
        <v>0</v>
      </c>
      <c r="I1155" t="str">
        <f>getMount('RawData (GH)'!G1155)</f>
        <v>Nikon F</v>
      </c>
      <c r="J1155" t="str">
        <f>getSensorCompatibility('RawData (GH)'!H1155)</f>
        <v>APS-C/ Kleinbild</v>
      </c>
      <c r="K1155" s="45">
        <f>getWeightAsDouble('RawData (GH)'!I1155)</f>
        <v>500</v>
      </c>
      <c r="L1155" s="34">
        <f>getSizeDiameter('RawData (GH)'!J1155)</f>
        <v>88.6</v>
      </c>
      <c r="M1155" s="34">
        <f>getSizeLength('RawData (GH)'!J1155)</f>
        <v>87</v>
      </c>
    </row>
    <row r="1156" spans="1:13" x14ac:dyDescent="0.25">
      <c r="A1156" t="str">
        <f>'RawData (GH)'!A1156</f>
        <v>Sigma AF 20mm 1.8 EX DG Asp RF für Sony A schwarz</v>
      </c>
      <c r="B1156" s="5">
        <f>getFocalLengthStart('RawData (GH)'!B1156)</f>
        <v>20</v>
      </c>
      <c r="C1156" s="5">
        <f>getFocalLengthEnd('RawData (GH)'!B1156)</f>
        <v>20</v>
      </c>
      <c r="D1156" s="9">
        <f>getApertureStart('RawData (GH)'!C1156)</f>
        <v>1.8</v>
      </c>
      <c r="E1156" s="9">
        <f>getApertureEnd('RawData (GH)'!C1156)</f>
        <v>1.8</v>
      </c>
      <c r="F1156" s="2">
        <f>getFiltersizeAsDouble('RawData (GH)'!D1156)</f>
        <v>82</v>
      </c>
      <c r="G1156" s="35">
        <f>getMagnification('RawData (GH)'!E1156)</f>
        <v>4</v>
      </c>
      <c r="H1156" s="62">
        <f>getMinimalFocus('RawData (GH)'!F1156)</f>
        <v>0</v>
      </c>
      <c r="I1156" t="str">
        <f>getMount('RawData (GH)'!G1156)</f>
        <v>Sony A</v>
      </c>
      <c r="J1156" t="str">
        <f>getSensorCompatibility('RawData (GH)'!H1156)</f>
        <v>APS-C/ Kleinbild</v>
      </c>
      <c r="K1156" s="45">
        <f>getWeightAsDouble('RawData (GH)'!I1156)</f>
        <v>500</v>
      </c>
      <c r="L1156" s="34">
        <f>getSizeDiameter('RawData (GH)'!J1156)</f>
        <v>88.6</v>
      </c>
      <c r="M1156" s="34">
        <f>getSizeLength('RawData (GH)'!J1156)</f>
        <v>87</v>
      </c>
    </row>
    <row r="1157" spans="1:13" x14ac:dyDescent="0.25">
      <c r="A1157" t="str">
        <f>'RawData (GH)'!A1157</f>
        <v>Sigma AF 24-70mm 2.8 EX DG HSM für Nikon F schwarz</v>
      </c>
      <c r="B1157" s="5">
        <f>getFocalLengthStart('RawData (GH)'!B1157)</f>
        <v>24</v>
      </c>
      <c r="C1157" s="5">
        <f>getFocalLengthEnd('RawData (GH)'!B1157)</f>
        <v>70</v>
      </c>
      <c r="D1157" s="9">
        <f>getApertureStart('RawData (GH)'!C1157)</f>
        <v>2.8</v>
      </c>
      <c r="E1157" s="9">
        <f>getApertureEnd('RawData (GH)'!C1157)</f>
        <v>2.8</v>
      </c>
      <c r="F1157" s="2">
        <f>getFiltersizeAsDouble('RawData (GH)'!D1157)</f>
        <v>82</v>
      </c>
      <c r="G1157" s="35">
        <f>getMagnification('RawData (GH)'!E1157)</f>
        <v>5.3</v>
      </c>
      <c r="H1157" s="62">
        <f>getMinimalFocus('RawData (GH)'!F1157)</f>
        <v>0</v>
      </c>
      <c r="I1157" t="str">
        <f>getMount('RawData (GH)'!G1157)</f>
        <v>Nikon F</v>
      </c>
      <c r="J1157" t="str">
        <f>getSensorCompatibility('RawData (GH)'!H1157)</f>
        <v>APS-C/ Kleinbild</v>
      </c>
      <c r="K1157" s="45">
        <f>getWeightAsDouble('RawData (GH)'!I1157)</f>
        <v>790</v>
      </c>
      <c r="L1157" s="34">
        <f>getSizeDiameter('RawData (GH)'!J1157)</f>
        <v>88.6</v>
      </c>
      <c r="M1157" s="34">
        <f>getSizeLength('RawData (GH)'!J1157)</f>
        <v>94.7</v>
      </c>
    </row>
    <row r="1158" spans="1:13" x14ac:dyDescent="0.25">
      <c r="A1158" t="str">
        <f>'RawData (GH)'!A1158</f>
        <v>Sigma AF 24-70mm 2.8 EX DG HSM für Sony A schwarz</v>
      </c>
      <c r="B1158" s="5">
        <f>getFocalLengthStart('RawData (GH)'!B1158)</f>
        <v>24</v>
      </c>
      <c r="C1158" s="5">
        <f>getFocalLengthEnd('RawData (GH)'!B1158)</f>
        <v>70</v>
      </c>
      <c r="D1158" s="9">
        <f>getApertureStart('RawData (GH)'!C1158)</f>
        <v>2.8</v>
      </c>
      <c r="E1158" s="9">
        <f>getApertureEnd('RawData (GH)'!C1158)</f>
        <v>2.8</v>
      </c>
      <c r="F1158" s="2">
        <f>getFiltersizeAsDouble('RawData (GH)'!D1158)</f>
        <v>82</v>
      </c>
      <c r="G1158" s="35">
        <f>getMagnification('RawData (GH)'!E1158)</f>
        <v>5.3</v>
      </c>
      <c r="H1158" s="62">
        <f>getMinimalFocus('RawData (GH)'!F1158)</f>
        <v>0</v>
      </c>
      <c r="I1158" t="str">
        <f>getMount('RawData (GH)'!G1158)</f>
        <v>Sony A</v>
      </c>
      <c r="J1158" t="str">
        <f>getSensorCompatibility('RawData (GH)'!H1158)</f>
        <v>APS-C/ Kleinbild</v>
      </c>
      <c r="K1158" s="45">
        <f>getWeightAsDouble('RawData (GH)'!I1158)</f>
        <v>790</v>
      </c>
      <c r="L1158" s="34">
        <f>getSizeDiameter('RawData (GH)'!J1158)</f>
        <v>88.6</v>
      </c>
      <c r="M1158" s="34">
        <f>getSizeLength('RawData (GH)'!J1158)</f>
        <v>94.7</v>
      </c>
    </row>
    <row r="1159" spans="1:13" x14ac:dyDescent="0.25">
      <c r="A1159" t="str">
        <f>'RawData (GH)'!A1159</f>
        <v>Sigma AF 24mm 1.8 EX DG Asp Makro für Sigma schwarz</v>
      </c>
      <c r="B1159" s="5">
        <f>getFocalLengthStart('RawData (GH)'!B1159)</f>
        <v>24</v>
      </c>
      <c r="C1159" s="5">
        <f>getFocalLengthEnd('RawData (GH)'!B1159)</f>
        <v>24</v>
      </c>
      <c r="D1159" s="9">
        <f>getApertureStart('RawData (GH)'!C1159)</f>
        <v>1.8</v>
      </c>
      <c r="E1159" s="9">
        <f>getApertureEnd('RawData (GH)'!C1159)</f>
        <v>1.8</v>
      </c>
      <c r="F1159" s="2">
        <f>getFiltersizeAsDouble('RawData (GH)'!D1159)</f>
        <v>77</v>
      </c>
      <c r="G1159" s="35">
        <f>getMagnification('RawData (GH)'!E1159)</f>
        <v>2.7</v>
      </c>
      <c r="H1159" s="62">
        <f>getMinimalFocus('RawData (GH)'!F1159)</f>
        <v>0</v>
      </c>
      <c r="I1159" t="str">
        <f>getMount('RawData (GH)'!G1159)</f>
        <v>Sigma SA</v>
      </c>
      <c r="J1159" t="str">
        <f>getSensorCompatibility('RawData (GH)'!H1159)</f>
        <v>APS-C</v>
      </c>
      <c r="K1159" s="45">
        <f>getWeightAsDouble('RawData (GH)'!I1159)</f>
        <v>485</v>
      </c>
      <c r="L1159" s="34">
        <f>getSizeDiameter('RawData (GH)'!J1159)</f>
        <v>83.6</v>
      </c>
      <c r="M1159" s="34">
        <f>getSizeLength('RawData (GH)'!J1159)</f>
        <v>80</v>
      </c>
    </row>
    <row r="1160" spans="1:13" x14ac:dyDescent="0.25">
      <c r="A1160" t="str">
        <f>'RawData (GH)'!A1160</f>
        <v>Sigma AF 28-105mm 2.8-4.0 Asp IF für Sony A schwarz</v>
      </c>
      <c r="B1160" s="5">
        <f>getFocalLengthStart('RawData (GH)'!B1160)</f>
        <v>28</v>
      </c>
      <c r="C1160" s="5">
        <f>getFocalLengthEnd('RawData (GH)'!B1160)</f>
        <v>105</v>
      </c>
      <c r="D1160" s="9">
        <f>getApertureStart('RawData (GH)'!C1160)</f>
        <v>2.8</v>
      </c>
      <c r="E1160" s="9">
        <f>getApertureEnd('RawData (GH)'!C1160)</f>
        <v>4</v>
      </c>
      <c r="F1160" s="2">
        <f>getFiltersizeAsDouble('RawData (GH)'!D1160)</f>
        <v>72</v>
      </c>
      <c r="G1160" s="35">
        <f>getMagnification('RawData (GH)'!E1160)</f>
        <v>0</v>
      </c>
      <c r="H1160" s="62">
        <f>getMinimalFocus('RawData (GH)'!F1160)</f>
        <v>0</v>
      </c>
      <c r="I1160" t="str">
        <f>getMount('RawData (GH)'!G1160)</f>
        <v>Sony A</v>
      </c>
      <c r="J1160" t="str">
        <f>getSensorCompatibility('RawData (GH)'!H1160)</f>
        <v>APS-C</v>
      </c>
      <c r="K1160" s="45">
        <f>getWeightAsDouble('RawData (GH)'!I1160)</f>
        <v>405</v>
      </c>
      <c r="L1160" s="34">
        <f>getSizeDiameter('RawData (GH)'!J1160)</f>
        <v>79.5</v>
      </c>
      <c r="M1160" s="34">
        <f>getSizeLength('RawData (GH)'!J1160)</f>
        <v>77</v>
      </c>
    </row>
    <row r="1161" spans="1:13" x14ac:dyDescent="0.25">
      <c r="A1161" t="str">
        <f>'RawData (GH)'!A1161</f>
        <v>Sigma AF 28mm 1.8 EX DG Asp Makro für Sony A schwarz</v>
      </c>
      <c r="B1161" s="5">
        <f>getFocalLengthStart('RawData (GH)'!B1161)</f>
        <v>28</v>
      </c>
      <c r="C1161" s="5">
        <f>getFocalLengthEnd('RawData (GH)'!B1161)</f>
        <v>28</v>
      </c>
      <c r="D1161" s="9">
        <f>getApertureStart('RawData (GH)'!C1161)</f>
        <v>1.8</v>
      </c>
      <c r="E1161" s="9">
        <f>getApertureEnd('RawData (GH)'!C1161)</f>
        <v>1.8</v>
      </c>
      <c r="F1161" s="2">
        <f>getFiltersizeAsDouble('RawData (GH)'!D1161)</f>
        <v>77</v>
      </c>
      <c r="G1161" s="35">
        <f>getMagnification('RawData (GH)'!E1161)</f>
        <v>2.9</v>
      </c>
      <c r="H1161" s="62">
        <f>getMinimalFocus('RawData (GH)'!F1161)</f>
        <v>0</v>
      </c>
      <c r="I1161" t="str">
        <f>getMount('RawData (GH)'!G1161)</f>
        <v>Sony A</v>
      </c>
      <c r="J1161" t="str">
        <f>getSensorCompatibility('RawData (GH)'!H1161)</f>
        <v>APS-C/ Kleinbild</v>
      </c>
      <c r="K1161" s="45">
        <f>getWeightAsDouble('RawData (GH)'!I1161)</f>
        <v>485</v>
      </c>
      <c r="L1161" s="34">
        <f>getSizeDiameter('RawData (GH)'!J1161)</f>
        <v>83.6</v>
      </c>
      <c r="M1161" s="34">
        <f>getSizeLength('RawData (GH)'!J1161)</f>
        <v>80</v>
      </c>
    </row>
    <row r="1162" spans="1:13" x14ac:dyDescent="0.25">
      <c r="A1162" t="str">
        <f>'RawData (GH)'!A1162</f>
        <v>Sigma AF 300-800mm 5.6 EX DG APO HSM IF für Canon EF schwarz</v>
      </c>
      <c r="B1162" s="5">
        <f>getFocalLengthStart('RawData (GH)'!B1162)</f>
        <v>300</v>
      </c>
      <c r="C1162" s="5">
        <f>getFocalLengthEnd('RawData (GH)'!B1162)</f>
        <v>800</v>
      </c>
      <c r="D1162" s="9">
        <f>getApertureStart('RawData (GH)'!C1162)</f>
        <v>5.6</v>
      </c>
      <c r="E1162" s="9">
        <f>getApertureEnd('RawData (GH)'!C1162)</f>
        <v>5.6</v>
      </c>
      <c r="F1162" s="2">
        <f>getFiltersizeAsDouble('RawData (GH)'!D1162)</f>
        <v>46</v>
      </c>
      <c r="G1162" s="35">
        <f>getMagnification('RawData (GH)'!E1162)</f>
        <v>6.9</v>
      </c>
      <c r="H1162" s="62">
        <f>getMinimalFocus('RawData (GH)'!F1162)</f>
        <v>0</v>
      </c>
      <c r="I1162" t="str">
        <f>getMount('RawData (GH)'!G1162)</f>
        <v>Canon EF</v>
      </c>
      <c r="J1162" t="str">
        <f>getSensorCompatibility('RawData (GH)'!H1162)</f>
        <v>APS-C/ Kleinbild</v>
      </c>
      <c r="K1162" s="45">
        <f>getWeightAsDouble('RawData (GH)'!I1162)</f>
        <v>5880</v>
      </c>
      <c r="L1162" s="34">
        <f>getSizeDiameter('RawData (GH)'!J1162)</f>
        <v>156.5</v>
      </c>
      <c r="M1162" s="34">
        <f>getSizeLength('RawData (GH)'!J1162)</f>
        <v>544</v>
      </c>
    </row>
    <row r="1163" spans="1:13" x14ac:dyDescent="0.25">
      <c r="A1163" t="str">
        <f>'RawData (GH)'!A1163</f>
        <v>Sigma AF 300-800mm 5.6 EX DG APO HSM IF für Nikon F schwarz</v>
      </c>
      <c r="B1163" s="5">
        <f>getFocalLengthStart('RawData (GH)'!B1163)</f>
        <v>300</v>
      </c>
      <c r="C1163" s="5">
        <f>getFocalLengthEnd('RawData (GH)'!B1163)</f>
        <v>800</v>
      </c>
      <c r="D1163" s="9">
        <f>getApertureStart('RawData (GH)'!C1163)</f>
        <v>5.6</v>
      </c>
      <c r="E1163" s="9">
        <f>getApertureEnd('RawData (GH)'!C1163)</f>
        <v>5.6</v>
      </c>
      <c r="F1163" s="2">
        <f>getFiltersizeAsDouble('RawData (GH)'!D1163)</f>
        <v>46</v>
      </c>
      <c r="G1163" s="35">
        <f>getMagnification('RawData (GH)'!E1163)</f>
        <v>6.9</v>
      </c>
      <c r="H1163" s="62">
        <f>getMinimalFocus('RawData (GH)'!F1163)</f>
        <v>0</v>
      </c>
      <c r="I1163" t="str">
        <f>getMount('RawData (GH)'!G1163)</f>
        <v>Nikon F</v>
      </c>
      <c r="J1163" t="str">
        <f>getSensorCompatibility('RawData (GH)'!H1163)</f>
        <v>APS-C/ Kleinbild</v>
      </c>
      <c r="K1163" s="45">
        <f>getWeightAsDouble('RawData (GH)'!I1163)</f>
        <v>5880</v>
      </c>
      <c r="L1163" s="34">
        <f>getSizeDiameter('RawData (GH)'!J1163)</f>
        <v>156.5</v>
      </c>
      <c r="M1163" s="34">
        <f>getSizeLength('RawData (GH)'!J1163)</f>
        <v>544</v>
      </c>
    </row>
    <row r="1164" spans="1:13" x14ac:dyDescent="0.25">
      <c r="A1164" t="str">
        <f>'RawData (GH)'!A1164</f>
        <v>Sigma AF 300-800mm 5.6 EX DG APO HSM IF für Sigma schwarz</v>
      </c>
      <c r="B1164" s="5">
        <f>getFocalLengthStart('RawData (GH)'!B1164)</f>
        <v>300</v>
      </c>
      <c r="C1164" s="5">
        <f>getFocalLengthEnd('RawData (GH)'!B1164)</f>
        <v>800</v>
      </c>
      <c r="D1164" s="9">
        <f>getApertureStart('RawData (GH)'!C1164)</f>
        <v>5.6</v>
      </c>
      <c r="E1164" s="9">
        <f>getApertureEnd('RawData (GH)'!C1164)</f>
        <v>5.6</v>
      </c>
      <c r="F1164" s="2">
        <f>getFiltersizeAsDouble('RawData (GH)'!D1164)</f>
        <v>46</v>
      </c>
      <c r="G1164" s="35">
        <f>getMagnification('RawData (GH)'!E1164)</f>
        <v>6.9</v>
      </c>
      <c r="H1164" s="62">
        <f>getMinimalFocus('RawData (GH)'!F1164)</f>
        <v>0</v>
      </c>
      <c r="I1164" t="str">
        <f>getMount('RawData (GH)'!G1164)</f>
        <v>Sigma SA</v>
      </c>
      <c r="J1164" t="str">
        <f>getSensorCompatibility('RawData (GH)'!H1164)</f>
        <v>APS-C</v>
      </c>
      <c r="K1164" s="45">
        <f>getWeightAsDouble('RawData (GH)'!I1164)</f>
        <v>5880</v>
      </c>
      <c r="L1164" s="34">
        <f>getSizeDiameter('RawData (GH)'!J1164)</f>
        <v>156.5</v>
      </c>
      <c r="M1164" s="34">
        <f>getSizeLength('RawData (GH)'!J1164)</f>
        <v>544</v>
      </c>
    </row>
    <row r="1165" spans="1:13" x14ac:dyDescent="0.25">
      <c r="A1165" t="str">
        <f>'RawData (GH)'!A1165</f>
        <v>Sigma AF 300mm 2.8 EX DG APO HSM IF für Canon EF schwarz</v>
      </c>
      <c r="B1165" s="5">
        <f>getFocalLengthStart('RawData (GH)'!B1165)</f>
        <v>300</v>
      </c>
      <c r="C1165" s="5">
        <f>getFocalLengthEnd('RawData (GH)'!B1165)</f>
        <v>300</v>
      </c>
      <c r="D1165" s="9">
        <f>getApertureStart('RawData (GH)'!C1165)</f>
        <v>2.8</v>
      </c>
      <c r="E1165" s="9">
        <f>getApertureEnd('RawData (GH)'!C1165)</f>
        <v>2.8</v>
      </c>
      <c r="F1165" s="2">
        <f>getFiltersizeAsDouble('RawData (GH)'!D1165)</f>
        <v>46</v>
      </c>
      <c r="G1165" s="35">
        <f>getMagnification('RawData (GH)'!E1165)</f>
        <v>7.5</v>
      </c>
      <c r="H1165" s="62">
        <f>getMinimalFocus('RawData (GH)'!F1165)</f>
        <v>0</v>
      </c>
      <c r="I1165" t="str">
        <f>getMount('RawData (GH)'!G1165)</f>
        <v>Canon EF</v>
      </c>
      <c r="J1165" t="str">
        <f>getSensorCompatibility('RawData (GH)'!H1165)</f>
        <v>APS-C/ Kleinbild</v>
      </c>
      <c r="K1165" s="45">
        <f>getWeightAsDouble('RawData (GH)'!I1165)</f>
        <v>2400</v>
      </c>
      <c r="L1165" s="34">
        <f>getSizeDiameter('RawData (GH)'!J1165)</f>
        <v>119</v>
      </c>
      <c r="M1165" s="34">
        <f>getSizeLength('RawData (GH)'!J1165)</f>
        <v>214.5</v>
      </c>
    </row>
    <row r="1166" spans="1:13" x14ac:dyDescent="0.25">
      <c r="A1166" t="str">
        <f>'RawData (GH)'!A1166</f>
        <v>Sigma AF 300mm 2.8 EX DG APO HSM IF für Nikon F schwarz</v>
      </c>
      <c r="B1166" s="5">
        <f>getFocalLengthStart('RawData (GH)'!B1166)</f>
        <v>300</v>
      </c>
      <c r="C1166" s="5">
        <f>getFocalLengthEnd('RawData (GH)'!B1166)</f>
        <v>300</v>
      </c>
      <c r="D1166" s="9">
        <f>getApertureStart('RawData (GH)'!C1166)</f>
        <v>2.8</v>
      </c>
      <c r="E1166" s="9">
        <f>getApertureEnd('RawData (GH)'!C1166)</f>
        <v>2.8</v>
      </c>
      <c r="F1166" s="2">
        <f>getFiltersizeAsDouble('RawData (GH)'!D1166)</f>
        <v>46</v>
      </c>
      <c r="G1166" s="35">
        <f>getMagnification('RawData (GH)'!E1166)</f>
        <v>7.5</v>
      </c>
      <c r="H1166" s="62">
        <f>getMinimalFocus('RawData (GH)'!F1166)</f>
        <v>0</v>
      </c>
      <c r="I1166" t="str">
        <f>getMount('RawData (GH)'!G1166)</f>
        <v>Nikon F</v>
      </c>
      <c r="J1166" t="str">
        <f>getSensorCompatibility('RawData (GH)'!H1166)</f>
        <v>APS-C/ Kleinbild</v>
      </c>
      <c r="K1166" s="45">
        <f>getWeightAsDouble('RawData (GH)'!I1166)</f>
        <v>2400</v>
      </c>
      <c r="L1166" s="34">
        <f>getSizeDiameter('RawData (GH)'!J1166)</f>
        <v>119</v>
      </c>
      <c r="M1166" s="34">
        <f>getSizeLength('RawData (GH)'!J1166)</f>
        <v>214.5</v>
      </c>
    </row>
    <row r="1167" spans="1:13" x14ac:dyDescent="0.25">
      <c r="A1167" t="str">
        <f>'RawData (GH)'!A1167</f>
        <v>Sigma AF 300mm 2.8 EX DG APO HSM IF für Sigma schwarz</v>
      </c>
      <c r="B1167" s="5">
        <f>getFocalLengthStart('RawData (GH)'!B1167)</f>
        <v>300</v>
      </c>
      <c r="C1167" s="5">
        <f>getFocalLengthEnd('RawData (GH)'!B1167)</f>
        <v>300</v>
      </c>
      <c r="D1167" s="9">
        <f>getApertureStart('RawData (GH)'!C1167)</f>
        <v>2.8</v>
      </c>
      <c r="E1167" s="9">
        <f>getApertureEnd('RawData (GH)'!C1167)</f>
        <v>2.8</v>
      </c>
      <c r="F1167" s="2">
        <f>getFiltersizeAsDouble('RawData (GH)'!D1167)</f>
        <v>46</v>
      </c>
      <c r="G1167" s="35">
        <f>getMagnification('RawData (GH)'!E1167)</f>
        <v>7.5</v>
      </c>
      <c r="H1167" s="62">
        <f>getMinimalFocus('RawData (GH)'!F1167)</f>
        <v>0</v>
      </c>
      <c r="I1167" t="str">
        <f>getMount('RawData (GH)'!G1167)</f>
        <v>Sigma SA</v>
      </c>
      <c r="J1167" t="str">
        <f>getSensorCompatibility('RawData (GH)'!H1167)</f>
        <v>APS-C</v>
      </c>
      <c r="K1167" s="45">
        <f>getWeightAsDouble('RawData (GH)'!I1167)</f>
        <v>2400</v>
      </c>
      <c r="L1167" s="34">
        <f>getSizeDiameter('RawData (GH)'!J1167)</f>
        <v>119</v>
      </c>
      <c r="M1167" s="34">
        <f>getSizeLength('RawData (GH)'!J1167)</f>
        <v>214.5</v>
      </c>
    </row>
    <row r="1168" spans="1:13" x14ac:dyDescent="0.25">
      <c r="A1168" t="str">
        <f>'RawData (GH)'!A1168</f>
        <v>Sigma AF 300mm 2.8 EX DG APO IF für Pentax K schwarz</v>
      </c>
      <c r="B1168" s="5">
        <f>getFocalLengthStart('RawData (GH)'!B1168)</f>
        <v>300</v>
      </c>
      <c r="C1168" s="5">
        <f>getFocalLengthEnd('RawData (GH)'!B1168)</f>
        <v>300</v>
      </c>
      <c r="D1168" s="9">
        <f>getApertureStart('RawData (GH)'!C1168)</f>
        <v>2.8</v>
      </c>
      <c r="E1168" s="9">
        <f>getApertureEnd('RawData (GH)'!C1168)</f>
        <v>2.8</v>
      </c>
      <c r="F1168" s="2">
        <f>getFiltersizeAsDouble('RawData (GH)'!D1168)</f>
        <v>46</v>
      </c>
      <c r="G1168" s="35">
        <f>getMagnification('RawData (GH)'!E1168)</f>
        <v>7.5</v>
      </c>
      <c r="H1168" s="62">
        <f>getMinimalFocus('RawData (GH)'!F1168)</f>
        <v>0</v>
      </c>
      <c r="I1168" t="str">
        <f>getMount('RawData (GH)'!G1168)</f>
        <v>Pentax K</v>
      </c>
      <c r="J1168" t="str">
        <f>getSensorCompatibility('RawData (GH)'!H1168)</f>
        <v>APS-C/ Kleinbild</v>
      </c>
      <c r="K1168" s="45">
        <f>getWeightAsDouble('RawData (GH)'!I1168)</f>
        <v>2400</v>
      </c>
      <c r="L1168" s="34">
        <f>getSizeDiameter('RawData (GH)'!J1168)</f>
        <v>119</v>
      </c>
      <c r="M1168" s="34">
        <f>getSizeLength('RawData (GH)'!J1168)</f>
        <v>214.5</v>
      </c>
    </row>
    <row r="1169" spans="1:13" x14ac:dyDescent="0.25">
      <c r="A1169" t="str">
        <f>'RawData (GH)'!A1169</f>
        <v>Sigma AF 300mm 2.8 EX DG APO IF für Sony A schwarz</v>
      </c>
      <c r="B1169" s="5">
        <f>getFocalLengthStart('RawData (GH)'!B1169)</f>
        <v>300</v>
      </c>
      <c r="C1169" s="5">
        <f>getFocalLengthEnd('RawData (GH)'!B1169)</f>
        <v>300</v>
      </c>
      <c r="D1169" s="9">
        <f>getApertureStart('RawData (GH)'!C1169)</f>
        <v>2.8</v>
      </c>
      <c r="E1169" s="9">
        <f>getApertureEnd('RawData (GH)'!C1169)</f>
        <v>2.8</v>
      </c>
      <c r="F1169" s="2">
        <f>getFiltersizeAsDouble('RawData (GH)'!D1169)</f>
        <v>46</v>
      </c>
      <c r="G1169" s="35">
        <f>getMagnification('RawData (GH)'!E1169)</f>
        <v>7.5</v>
      </c>
      <c r="H1169" s="62">
        <f>getMinimalFocus('RawData (GH)'!F1169)</f>
        <v>0</v>
      </c>
      <c r="I1169" t="str">
        <f>getMount('RawData (GH)'!G1169)</f>
        <v>Sony A</v>
      </c>
      <c r="J1169" t="str">
        <f>getSensorCompatibility('RawData (GH)'!H1169)</f>
        <v>APS-C/ Kleinbild</v>
      </c>
      <c r="K1169" s="45">
        <f>getWeightAsDouble('RawData (GH)'!I1169)</f>
        <v>2400</v>
      </c>
      <c r="L1169" s="34">
        <f>getSizeDiameter('RawData (GH)'!J1169)</f>
        <v>119</v>
      </c>
      <c r="M1169" s="34">
        <f>getSizeLength('RawData (GH)'!J1169)</f>
        <v>214.5</v>
      </c>
    </row>
    <row r="1170" spans="1:13" x14ac:dyDescent="0.25">
      <c r="A1170" t="str">
        <f>'RawData (GH)'!A1170</f>
        <v>Sigma AF 30mm 1.4 EX DC für Sony A schwarz</v>
      </c>
      <c r="B1170" s="5">
        <f>getFocalLengthStart('RawData (GH)'!B1170)</f>
        <v>30</v>
      </c>
      <c r="C1170" s="5">
        <f>getFocalLengthEnd('RawData (GH)'!B1170)</f>
        <v>30</v>
      </c>
      <c r="D1170" s="9">
        <f>getApertureStart('RawData (GH)'!C1170)</f>
        <v>1.4</v>
      </c>
      <c r="E1170" s="9">
        <f>getApertureEnd('RawData (GH)'!C1170)</f>
        <v>1.4</v>
      </c>
      <c r="F1170" s="2">
        <f>getFiltersizeAsDouble('RawData (GH)'!D1170)</f>
        <v>62</v>
      </c>
      <c r="G1170" s="35">
        <f>getMagnification('RawData (GH)'!E1170)</f>
        <v>10.4</v>
      </c>
      <c r="H1170" s="62">
        <f>getMinimalFocus('RawData (GH)'!F1170)</f>
        <v>0</v>
      </c>
      <c r="I1170" t="str">
        <f>getMount('RawData (GH)'!G1170)</f>
        <v>Sony A</v>
      </c>
      <c r="J1170" t="str">
        <f>getSensorCompatibility('RawData (GH)'!H1170)</f>
        <v>APS-C</v>
      </c>
      <c r="K1170" s="45">
        <f>getWeightAsDouble('RawData (GH)'!I1170)</f>
        <v>430</v>
      </c>
      <c r="L1170" s="34">
        <f>getSizeDiameter('RawData (GH)'!J1170)</f>
        <v>76.599999999999994</v>
      </c>
      <c r="M1170" s="34">
        <f>getSizeLength('RawData (GH)'!J1170)</f>
        <v>59</v>
      </c>
    </row>
    <row r="1171" spans="1:13" x14ac:dyDescent="0.25">
      <c r="A1171" t="str">
        <f>'RawData (GH)'!A1171</f>
        <v>Sigma AF 30mm 1.4 EX DC HSM für Nikon F schwarz</v>
      </c>
      <c r="B1171" s="5">
        <f>getFocalLengthStart('RawData (GH)'!B1171)</f>
        <v>30</v>
      </c>
      <c r="C1171" s="5">
        <f>getFocalLengthEnd('RawData (GH)'!B1171)</f>
        <v>30</v>
      </c>
      <c r="D1171" s="9">
        <f>getApertureStart('RawData (GH)'!C1171)</f>
        <v>1.4</v>
      </c>
      <c r="E1171" s="9">
        <f>getApertureEnd('RawData (GH)'!C1171)</f>
        <v>1.4</v>
      </c>
      <c r="F1171" s="2">
        <f>getFiltersizeAsDouble('RawData (GH)'!D1171)</f>
        <v>62</v>
      </c>
      <c r="G1171" s="35">
        <f>getMagnification('RawData (GH)'!E1171)</f>
        <v>10.4</v>
      </c>
      <c r="H1171" s="62">
        <f>getMinimalFocus('RawData (GH)'!F1171)</f>
        <v>0</v>
      </c>
      <c r="I1171" t="str">
        <f>getMount('RawData (GH)'!G1171)</f>
        <v>Nikon F</v>
      </c>
      <c r="J1171" t="str">
        <f>getSensorCompatibility('RawData (GH)'!H1171)</f>
        <v>APS-C</v>
      </c>
      <c r="K1171" s="45">
        <f>getWeightAsDouble('RawData (GH)'!I1171)</f>
        <v>430</v>
      </c>
      <c r="L1171" s="34">
        <f>getSizeDiameter('RawData (GH)'!J1171)</f>
        <v>76.599999999999994</v>
      </c>
      <c r="M1171" s="34">
        <f>getSizeLength('RawData (GH)'!J1171)</f>
        <v>59</v>
      </c>
    </row>
    <row r="1172" spans="1:13" x14ac:dyDescent="0.25">
      <c r="A1172" t="str">
        <f>'RawData (GH)'!A1172</f>
        <v>Sigma AF 30mm 2.8 EX DN für Micro-Four-Thirds schwarz</v>
      </c>
      <c r="B1172" s="5">
        <f>getFocalLengthStart('RawData (GH)'!B1172)</f>
        <v>30</v>
      </c>
      <c r="C1172" s="5">
        <f>getFocalLengthEnd('RawData (GH)'!B1172)</f>
        <v>30</v>
      </c>
      <c r="D1172" s="9">
        <f>getApertureStart('RawData (GH)'!C1172)</f>
        <v>2.8</v>
      </c>
      <c r="E1172" s="9">
        <f>getApertureEnd('RawData (GH)'!C1172)</f>
        <v>2.8</v>
      </c>
      <c r="F1172" s="2">
        <f>getFiltersizeAsDouble('RawData (GH)'!D1172)</f>
        <v>46</v>
      </c>
      <c r="G1172" s="35">
        <f>getMagnification('RawData (GH)'!E1172)</f>
        <v>11.11</v>
      </c>
      <c r="H1172" s="62">
        <f>getMinimalFocus('RawData (GH)'!F1172)</f>
        <v>0</v>
      </c>
      <c r="I1172" t="str">
        <f>getMount('RawData (GH)'!G1172)</f>
        <v>Micro-Four-Thirds</v>
      </c>
      <c r="J1172" t="str">
        <f>getSensorCompatibility('RawData (GH)'!H1172)</f>
        <v>Four-Thirds</v>
      </c>
      <c r="K1172" s="45">
        <f>getWeightAsDouble('RawData (GH)'!I1172)</f>
        <v>135</v>
      </c>
      <c r="L1172" s="34">
        <f>getSizeDiameter('RawData (GH)'!J1172)</f>
        <v>60.6</v>
      </c>
      <c r="M1172" s="34">
        <f>getSizeLength('RawData (GH)'!J1172)</f>
        <v>38.6</v>
      </c>
    </row>
    <row r="1173" spans="1:13" x14ac:dyDescent="0.25">
      <c r="A1173" t="str">
        <f>'RawData (GH)'!A1173</f>
        <v>Sigma AF 4.5mm 2.8 EX DC HSM Zirkular Fisheye für Canon EF schwarz</v>
      </c>
      <c r="B1173" s="5">
        <f>getFocalLengthStart('RawData (GH)'!B1173)</f>
        <v>4.5</v>
      </c>
      <c r="C1173" s="5">
        <f>getFocalLengthEnd('RawData (GH)'!B1173)</f>
        <v>4.5</v>
      </c>
      <c r="D1173" s="9">
        <f>getApertureStart('RawData (GH)'!C1173)</f>
        <v>2.8</v>
      </c>
      <c r="E1173" s="9">
        <f>getApertureEnd('RawData (GH)'!C1173)</f>
        <v>2.8</v>
      </c>
      <c r="F1173" s="2">
        <f>getFiltersizeAsDouble('RawData (GH)'!D1173)</f>
        <v>0</v>
      </c>
      <c r="G1173" s="35">
        <f>getMagnification('RawData (GH)'!E1173)</f>
        <v>6</v>
      </c>
      <c r="H1173" s="62">
        <f>getMinimalFocus('RawData (GH)'!F1173)</f>
        <v>0</v>
      </c>
      <c r="I1173" t="str">
        <f>getMount('RawData (GH)'!G1173)</f>
        <v>Canon EF-S</v>
      </c>
      <c r="J1173" t="str">
        <f>getSensorCompatibility('RawData (GH)'!H1173)</f>
        <v>APS-C</v>
      </c>
      <c r="K1173" s="45">
        <f>getWeightAsDouble('RawData (GH)'!I1173)</f>
        <v>470</v>
      </c>
      <c r="L1173" s="34">
        <f>getSizeDiameter('RawData (GH)'!J1173)</f>
        <v>76.2</v>
      </c>
      <c r="M1173" s="34">
        <f>getSizeLength('RawData (GH)'!J1173)</f>
        <v>77.8</v>
      </c>
    </row>
    <row r="1174" spans="1:13" x14ac:dyDescent="0.25">
      <c r="A1174" t="str">
        <f>'RawData (GH)'!A1174</f>
        <v>Sigma AF 4.5mm 2.8 EX DC HSM Zirkular Fisheye für Nikon F schwarz</v>
      </c>
      <c r="B1174" s="5">
        <f>getFocalLengthStart('RawData (GH)'!B1174)</f>
        <v>4.5</v>
      </c>
      <c r="C1174" s="5">
        <f>getFocalLengthEnd('RawData (GH)'!B1174)</f>
        <v>4.5</v>
      </c>
      <c r="D1174" s="9">
        <f>getApertureStart('RawData (GH)'!C1174)</f>
        <v>2.8</v>
      </c>
      <c r="E1174" s="9">
        <f>getApertureEnd('RawData (GH)'!C1174)</f>
        <v>2.8</v>
      </c>
      <c r="F1174" s="2">
        <f>getFiltersizeAsDouble('RawData (GH)'!D1174)</f>
        <v>0</v>
      </c>
      <c r="G1174" s="35">
        <f>getMagnification('RawData (GH)'!E1174)</f>
        <v>6</v>
      </c>
      <c r="H1174" s="62">
        <f>getMinimalFocus('RawData (GH)'!F1174)</f>
        <v>0</v>
      </c>
      <c r="I1174" t="str">
        <f>getMount('RawData (GH)'!G1174)</f>
        <v>Nikon F</v>
      </c>
      <c r="J1174" t="str">
        <f>getSensorCompatibility('RawData (GH)'!H1174)</f>
        <v>APS-C</v>
      </c>
      <c r="K1174" s="45">
        <f>getWeightAsDouble('RawData (GH)'!I1174)</f>
        <v>470</v>
      </c>
      <c r="L1174" s="34">
        <f>getSizeDiameter('RawData (GH)'!J1174)</f>
        <v>76.2</v>
      </c>
      <c r="M1174" s="34">
        <f>getSizeLength('RawData (GH)'!J1174)</f>
        <v>77.8</v>
      </c>
    </row>
    <row r="1175" spans="1:13" x14ac:dyDescent="0.25">
      <c r="A1175" t="str">
        <f>'RawData (GH)'!A1175</f>
        <v>Sigma AF 4.5mm 2.8 EX DC HSM Zirkular Fisheye für Sigma schwarz</v>
      </c>
      <c r="B1175" s="5">
        <f>getFocalLengthStart('RawData (GH)'!B1175)</f>
        <v>4.5</v>
      </c>
      <c r="C1175" s="5">
        <f>getFocalLengthEnd('RawData (GH)'!B1175)</f>
        <v>4.5</v>
      </c>
      <c r="D1175" s="9">
        <f>getApertureStart('RawData (GH)'!C1175)</f>
        <v>2.8</v>
      </c>
      <c r="E1175" s="9">
        <f>getApertureEnd('RawData (GH)'!C1175)</f>
        <v>2.8</v>
      </c>
      <c r="F1175" s="2">
        <f>getFiltersizeAsDouble('RawData (GH)'!D1175)</f>
        <v>0</v>
      </c>
      <c r="G1175" s="35">
        <f>getMagnification('RawData (GH)'!E1175)</f>
        <v>6</v>
      </c>
      <c r="H1175" s="62">
        <f>getMinimalFocus('RawData (GH)'!F1175)</f>
        <v>0</v>
      </c>
      <c r="I1175" t="str">
        <f>getMount('RawData (GH)'!G1175)</f>
        <v>Sigma SA</v>
      </c>
      <c r="J1175" t="str">
        <f>getSensorCompatibility('RawData (GH)'!H1175)</f>
        <v>APS-C</v>
      </c>
      <c r="K1175" s="45">
        <f>getWeightAsDouble('RawData (GH)'!I1175)</f>
        <v>470</v>
      </c>
      <c r="L1175" s="34">
        <f>getSizeDiameter('RawData (GH)'!J1175)</f>
        <v>76.2</v>
      </c>
      <c r="M1175" s="34">
        <f>getSizeLength('RawData (GH)'!J1175)</f>
        <v>77.8</v>
      </c>
    </row>
    <row r="1176" spans="1:13" x14ac:dyDescent="0.25">
      <c r="A1176" t="str">
        <f>'RawData (GH)'!A1176</f>
        <v>Sigma AF 4.5mm 2.8 EX DC Zirkular Fisheye für Pentax K schwarz</v>
      </c>
      <c r="B1176" s="5">
        <f>getFocalLengthStart('RawData (GH)'!B1176)</f>
        <v>4.5</v>
      </c>
      <c r="C1176" s="5">
        <f>getFocalLengthEnd('RawData (GH)'!B1176)</f>
        <v>4.5</v>
      </c>
      <c r="D1176" s="9">
        <f>getApertureStart('RawData (GH)'!C1176)</f>
        <v>2.8</v>
      </c>
      <c r="E1176" s="9">
        <f>getApertureEnd('RawData (GH)'!C1176)</f>
        <v>2.8</v>
      </c>
      <c r="F1176" s="2">
        <f>getFiltersizeAsDouble('RawData (GH)'!D1176)</f>
        <v>0</v>
      </c>
      <c r="G1176" s="35">
        <f>getMagnification('RawData (GH)'!E1176)</f>
        <v>6</v>
      </c>
      <c r="H1176" s="62">
        <f>getMinimalFocus('RawData (GH)'!F1176)</f>
        <v>0</v>
      </c>
      <c r="I1176" t="str">
        <f>getMount('RawData (GH)'!G1176)</f>
        <v>Pentax K</v>
      </c>
      <c r="J1176" t="str">
        <f>getSensorCompatibility('RawData (GH)'!H1176)</f>
        <v>APS-C</v>
      </c>
      <c r="K1176" s="45">
        <f>getWeightAsDouble('RawData (GH)'!I1176)</f>
        <v>470</v>
      </c>
      <c r="L1176" s="34">
        <f>getSizeDiameter('RawData (GH)'!J1176)</f>
        <v>76.2</v>
      </c>
      <c r="M1176" s="34">
        <f>getSizeLength('RawData (GH)'!J1176)</f>
        <v>77.8</v>
      </c>
    </row>
    <row r="1177" spans="1:13" x14ac:dyDescent="0.25">
      <c r="A1177" t="str">
        <f>'RawData (GH)'!A1177</f>
        <v>Sigma AF 4.5mm 2.8 EX DC Zirkular Fisheye für Sony A schwarz</v>
      </c>
      <c r="B1177" s="5">
        <f>getFocalLengthStart('RawData (GH)'!B1177)</f>
        <v>4.5</v>
      </c>
      <c r="C1177" s="5">
        <f>getFocalLengthEnd('RawData (GH)'!B1177)</f>
        <v>4.5</v>
      </c>
      <c r="D1177" s="9">
        <f>getApertureStart('RawData (GH)'!C1177)</f>
        <v>2.8</v>
      </c>
      <c r="E1177" s="9">
        <f>getApertureEnd('RawData (GH)'!C1177)</f>
        <v>2.8</v>
      </c>
      <c r="F1177" s="2">
        <f>getFiltersizeAsDouble('RawData (GH)'!D1177)</f>
        <v>0</v>
      </c>
      <c r="G1177" s="35">
        <f>getMagnification('RawData (GH)'!E1177)</f>
        <v>6</v>
      </c>
      <c r="H1177" s="62">
        <f>getMinimalFocus('RawData (GH)'!F1177)</f>
        <v>0</v>
      </c>
      <c r="I1177" t="str">
        <f>getMount('RawData (GH)'!G1177)</f>
        <v>Sony A</v>
      </c>
      <c r="J1177" t="str">
        <f>getSensorCompatibility('RawData (GH)'!H1177)</f>
        <v>APS-C</v>
      </c>
      <c r="K1177" s="45">
        <f>getWeightAsDouble('RawData (GH)'!I1177)</f>
        <v>470</v>
      </c>
      <c r="L1177" s="34">
        <f>getSizeDiameter('RawData (GH)'!J1177)</f>
        <v>76.2</v>
      </c>
      <c r="M1177" s="34">
        <f>getSizeLength('RawData (GH)'!J1177)</f>
        <v>77.8</v>
      </c>
    </row>
    <row r="1178" spans="1:13" x14ac:dyDescent="0.25">
      <c r="A1178" t="str">
        <f>'RawData (GH)'!A1178</f>
        <v>Sigma AF 500mm 4.5 EX DG APO HSM IF für Canon EF schwarz</v>
      </c>
      <c r="B1178" s="5">
        <f>getFocalLengthStart('RawData (GH)'!B1178)</f>
        <v>500</v>
      </c>
      <c r="C1178" s="5">
        <f>getFocalLengthEnd('RawData (GH)'!B1178)</f>
        <v>500</v>
      </c>
      <c r="D1178" s="9">
        <f>getApertureStart('RawData (GH)'!C1178)</f>
        <v>4.5</v>
      </c>
      <c r="E1178" s="9">
        <f>getApertureEnd('RawData (GH)'!C1178)</f>
        <v>4.5</v>
      </c>
      <c r="F1178" s="2">
        <f>getFiltersizeAsDouble('RawData (GH)'!D1178)</f>
        <v>46</v>
      </c>
      <c r="G1178" s="35">
        <f>getMagnification('RawData (GH)'!E1178)</f>
        <v>7.7</v>
      </c>
      <c r="H1178" s="62">
        <f>getMinimalFocus('RawData (GH)'!F1178)</f>
        <v>0</v>
      </c>
      <c r="I1178" t="str">
        <f>getMount('RawData (GH)'!G1178)</f>
        <v>Canon EF</v>
      </c>
      <c r="J1178" t="str">
        <f>getSensorCompatibility('RawData (GH)'!H1178)</f>
        <v>APS-C/ Kleinbild</v>
      </c>
      <c r="K1178" s="45">
        <f>getWeightAsDouble('RawData (GH)'!I1178)</f>
        <v>3150</v>
      </c>
      <c r="L1178" s="34">
        <f>getSizeDiameter('RawData (GH)'!J1178)</f>
        <v>123</v>
      </c>
      <c r="M1178" s="34">
        <f>getSizeLength('RawData (GH)'!J1178)</f>
        <v>350</v>
      </c>
    </row>
    <row r="1179" spans="1:13" x14ac:dyDescent="0.25">
      <c r="A1179" t="str">
        <f>'RawData (GH)'!A1179</f>
        <v>Sigma AF 500mm 4.5 EX DG APO HSM IF für Nikon F schwarz</v>
      </c>
      <c r="B1179" s="5">
        <f>getFocalLengthStart('RawData (GH)'!B1179)</f>
        <v>500</v>
      </c>
      <c r="C1179" s="5">
        <f>getFocalLengthEnd('RawData (GH)'!B1179)</f>
        <v>500</v>
      </c>
      <c r="D1179" s="9">
        <f>getApertureStart('RawData (GH)'!C1179)</f>
        <v>4.5</v>
      </c>
      <c r="E1179" s="9">
        <f>getApertureEnd('RawData (GH)'!C1179)</f>
        <v>4.5</v>
      </c>
      <c r="F1179" s="2">
        <f>getFiltersizeAsDouble('RawData (GH)'!D1179)</f>
        <v>46</v>
      </c>
      <c r="G1179" s="35">
        <f>getMagnification('RawData (GH)'!E1179)</f>
        <v>7.7</v>
      </c>
      <c r="H1179" s="62">
        <f>getMinimalFocus('RawData (GH)'!F1179)</f>
        <v>0</v>
      </c>
      <c r="I1179" t="str">
        <f>getMount('RawData (GH)'!G1179)</f>
        <v>Nikon F</v>
      </c>
      <c r="J1179" t="str">
        <f>getSensorCompatibility('RawData (GH)'!H1179)</f>
        <v>APS-C/ Kleinbild</v>
      </c>
      <c r="K1179" s="45">
        <f>getWeightAsDouble('RawData (GH)'!I1179)</f>
        <v>3150</v>
      </c>
      <c r="L1179" s="34">
        <f>getSizeDiameter('RawData (GH)'!J1179)</f>
        <v>123</v>
      </c>
      <c r="M1179" s="34">
        <f>getSizeLength('RawData (GH)'!J1179)</f>
        <v>350</v>
      </c>
    </row>
    <row r="1180" spans="1:13" x14ac:dyDescent="0.25">
      <c r="A1180" t="str">
        <f>'RawData (GH)'!A1180</f>
        <v>Sigma AF 500mm 4.5 EX DG APO HSM IF für Sigma schwarz</v>
      </c>
      <c r="B1180" s="5">
        <f>getFocalLengthStart('RawData (GH)'!B1180)</f>
        <v>500</v>
      </c>
      <c r="C1180" s="5">
        <f>getFocalLengthEnd('RawData (GH)'!B1180)</f>
        <v>500</v>
      </c>
      <c r="D1180" s="9">
        <f>getApertureStart('RawData (GH)'!C1180)</f>
        <v>4.5</v>
      </c>
      <c r="E1180" s="9">
        <f>getApertureEnd('RawData (GH)'!C1180)</f>
        <v>4.5</v>
      </c>
      <c r="F1180" s="2">
        <f>getFiltersizeAsDouble('RawData (GH)'!D1180)</f>
        <v>46</v>
      </c>
      <c r="G1180" s="35">
        <f>getMagnification('RawData (GH)'!E1180)</f>
        <v>7.7</v>
      </c>
      <c r="H1180" s="62">
        <f>getMinimalFocus('RawData (GH)'!F1180)</f>
        <v>0</v>
      </c>
      <c r="I1180" t="str">
        <f>getMount('RawData (GH)'!G1180)</f>
        <v>Sigma SA</v>
      </c>
      <c r="J1180" t="str">
        <f>getSensorCompatibility('RawData (GH)'!H1180)</f>
        <v>APS-C</v>
      </c>
      <c r="K1180" s="45">
        <f>getWeightAsDouble('RawData (GH)'!I1180)</f>
        <v>3150</v>
      </c>
      <c r="L1180" s="34">
        <f>getSizeDiameter('RawData (GH)'!J1180)</f>
        <v>123</v>
      </c>
      <c r="M1180" s="34">
        <f>getSizeLength('RawData (GH)'!J1180)</f>
        <v>350</v>
      </c>
    </row>
    <row r="1181" spans="1:13" x14ac:dyDescent="0.25">
      <c r="A1181" t="str">
        <f>'RawData (GH)'!A1181</f>
        <v>Sigma AF 500mm 4.5 EX DG APO IF für Sony A schwarz</v>
      </c>
      <c r="B1181" s="5">
        <f>getFocalLengthStart('RawData (GH)'!B1181)</f>
        <v>500</v>
      </c>
      <c r="C1181" s="5">
        <f>getFocalLengthEnd('RawData (GH)'!B1181)</f>
        <v>500</v>
      </c>
      <c r="D1181" s="9">
        <f>getApertureStart('RawData (GH)'!C1181)</f>
        <v>4.5</v>
      </c>
      <c r="E1181" s="9">
        <f>getApertureEnd('RawData (GH)'!C1181)</f>
        <v>4.5</v>
      </c>
      <c r="F1181" s="2">
        <f>getFiltersizeAsDouble('RawData (GH)'!D1181)</f>
        <v>46</v>
      </c>
      <c r="G1181" s="35">
        <f>getMagnification('RawData (GH)'!E1181)</f>
        <v>7.7</v>
      </c>
      <c r="H1181" s="62">
        <f>getMinimalFocus('RawData (GH)'!F1181)</f>
        <v>0</v>
      </c>
      <c r="I1181" t="str">
        <f>getMount('RawData (GH)'!G1181)</f>
        <v>Sony A</v>
      </c>
      <c r="J1181" t="str">
        <f>getSensorCompatibility('RawData (GH)'!H1181)</f>
        <v>APS-C/ Kleinbild</v>
      </c>
      <c r="K1181" s="45">
        <f>getWeightAsDouble('RawData (GH)'!I1181)</f>
        <v>3150</v>
      </c>
      <c r="L1181" s="34">
        <f>getSizeDiameter('RawData (GH)'!J1181)</f>
        <v>123</v>
      </c>
      <c r="M1181" s="34">
        <f>getSizeLength('RawData (GH)'!J1181)</f>
        <v>350</v>
      </c>
    </row>
    <row r="1182" spans="1:13" x14ac:dyDescent="0.25">
      <c r="A1182" t="str">
        <f>'RawData (GH)'!A1182</f>
        <v>Sigma AF 50-200mm 4.0-5.6 DC OS HSM für Nikon F schwarz</v>
      </c>
      <c r="B1182" s="5">
        <f>getFocalLengthStart('RawData (GH)'!B1182)</f>
        <v>50</v>
      </c>
      <c r="C1182" s="5">
        <f>getFocalLengthEnd('RawData (GH)'!B1182)</f>
        <v>200</v>
      </c>
      <c r="D1182" s="9">
        <f>getApertureStart('RawData (GH)'!C1182)</f>
        <v>4</v>
      </c>
      <c r="E1182" s="9">
        <f>getApertureEnd('RawData (GH)'!C1182)</f>
        <v>5.6</v>
      </c>
      <c r="F1182" s="2">
        <f>getFiltersizeAsDouble('RawData (GH)'!D1182)</f>
        <v>55</v>
      </c>
      <c r="G1182" s="35">
        <f>getMagnification('RawData (GH)'!E1182)</f>
        <v>4.5</v>
      </c>
      <c r="H1182" s="62">
        <f>getMinimalFocus('RawData (GH)'!F1182)</f>
        <v>0</v>
      </c>
      <c r="I1182" t="str">
        <f>getMount('RawData (GH)'!G1182)</f>
        <v>Nikon F</v>
      </c>
      <c r="J1182" t="str">
        <f>getSensorCompatibility('RawData (GH)'!H1182)</f>
        <v>APS-C</v>
      </c>
      <c r="K1182" s="45">
        <f>getWeightAsDouble('RawData (GH)'!I1182)</f>
        <v>420</v>
      </c>
      <c r="L1182" s="34">
        <f>getSizeDiameter('RawData (GH)'!J1182)</f>
        <v>74</v>
      </c>
      <c r="M1182" s="34">
        <f>getSizeLength('RawData (GH)'!J1182)</f>
        <v>101.9</v>
      </c>
    </row>
    <row r="1183" spans="1:13" x14ac:dyDescent="0.25">
      <c r="A1183" t="str">
        <f>'RawData (GH)'!A1183</f>
        <v>Sigma AF 50-200mm 4.0-5.6 DC OS HSM für Pentax K schwarz</v>
      </c>
      <c r="B1183" s="5">
        <f>getFocalLengthStart('RawData (GH)'!B1183)</f>
        <v>50</v>
      </c>
      <c r="C1183" s="5">
        <f>getFocalLengthEnd('RawData (GH)'!B1183)</f>
        <v>200</v>
      </c>
      <c r="D1183" s="9">
        <f>getApertureStart('RawData (GH)'!C1183)</f>
        <v>4</v>
      </c>
      <c r="E1183" s="9">
        <f>getApertureEnd('RawData (GH)'!C1183)</f>
        <v>5.6</v>
      </c>
      <c r="F1183" s="2">
        <f>getFiltersizeAsDouble('RawData (GH)'!D1183)</f>
        <v>55</v>
      </c>
      <c r="G1183" s="35">
        <f>getMagnification('RawData (GH)'!E1183)</f>
        <v>4.5</v>
      </c>
      <c r="H1183" s="62">
        <f>getMinimalFocus('RawData (GH)'!F1183)</f>
        <v>0</v>
      </c>
      <c r="I1183" t="str">
        <f>getMount('RawData (GH)'!G1183)</f>
        <v>Pentax K</v>
      </c>
      <c r="J1183" t="str">
        <f>getSensorCompatibility('RawData (GH)'!H1183)</f>
        <v>APS-C</v>
      </c>
      <c r="K1183" s="45">
        <f>getWeightAsDouble('RawData (GH)'!I1183)</f>
        <v>420</v>
      </c>
      <c r="L1183" s="34">
        <f>getSizeDiameter('RawData (GH)'!J1183)</f>
        <v>74</v>
      </c>
      <c r="M1183" s="34">
        <f>getSizeLength('RawData (GH)'!J1183)</f>
        <v>101.9</v>
      </c>
    </row>
    <row r="1184" spans="1:13" x14ac:dyDescent="0.25">
      <c r="A1184" t="str">
        <f>'RawData (GH)'!A1184</f>
        <v>Sigma AF 50-200mm 4.0-5.6 DC OS HSM für Sony A schwarz</v>
      </c>
      <c r="B1184" s="5">
        <f>getFocalLengthStart('RawData (GH)'!B1184)</f>
        <v>50</v>
      </c>
      <c r="C1184" s="5">
        <f>getFocalLengthEnd('RawData (GH)'!B1184)</f>
        <v>200</v>
      </c>
      <c r="D1184" s="9">
        <f>getApertureStart('RawData (GH)'!C1184)</f>
        <v>4</v>
      </c>
      <c r="E1184" s="9">
        <f>getApertureEnd('RawData (GH)'!C1184)</f>
        <v>5.6</v>
      </c>
      <c r="F1184" s="2">
        <f>getFiltersizeAsDouble('RawData (GH)'!D1184)</f>
        <v>55</v>
      </c>
      <c r="G1184" s="35">
        <f>getMagnification('RawData (GH)'!E1184)</f>
        <v>4.5</v>
      </c>
      <c r="H1184" s="62">
        <f>getMinimalFocus('RawData (GH)'!F1184)</f>
        <v>0</v>
      </c>
      <c r="I1184" t="str">
        <f>getMount('RawData (GH)'!G1184)</f>
        <v>Sony A</v>
      </c>
      <c r="J1184" t="str">
        <f>getSensorCompatibility('RawData (GH)'!H1184)</f>
        <v>APS-C</v>
      </c>
      <c r="K1184" s="45">
        <f>getWeightAsDouble('RawData (GH)'!I1184)</f>
        <v>420</v>
      </c>
      <c r="L1184" s="34">
        <f>getSizeDiameter('RawData (GH)'!J1184)</f>
        <v>74</v>
      </c>
      <c r="M1184" s="34">
        <f>getSizeLength('RawData (GH)'!J1184)</f>
        <v>101.9</v>
      </c>
    </row>
    <row r="1185" spans="1:13" x14ac:dyDescent="0.25">
      <c r="A1185" t="str">
        <f>'RawData (GH)'!A1185</f>
        <v>Sigma AF 50-500mm 4.0-6.3 EX DG APO HSM RF für Canon EF schwarz</v>
      </c>
      <c r="B1185" s="5">
        <f>getFocalLengthStart('RawData (GH)'!B1185)</f>
        <v>50</v>
      </c>
      <c r="C1185" s="5">
        <f>getFocalLengthEnd('RawData (GH)'!B1185)</f>
        <v>500</v>
      </c>
      <c r="D1185" s="9">
        <f>getApertureStart('RawData (GH)'!C1185)</f>
        <v>4</v>
      </c>
      <c r="E1185" s="9">
        <f>getApertureEnd('RawData (GH)'!C1185)</f>
        <v>6.3</v>
      </c>
      <c r="F1185" s="2">
        <f>getFiltersizeAsDouble('RawData (GH)'!D1185)</f>
        <v>86</v>
      </c>
      <c r="G1185" s="35">
        <f>getMagnification('RawData (GH)'!E1185)</f>
        <v>3.13</v>
      </c>
      <c r="H1185" s="62">
        <f>getMinimalFocus('RawData (GH)'!F1185)</f>
        <v>0</v>
      </c>
      <c r="I1185" t="str">
        <f>getMount('RawData (GH)'!G1185)</f>
        <v>Canon EF</v>
      </c>
      <c r="J1185" t="str">
        <f>getSensorCompatibility('RawData (GH)'!H1185)</f>
        <v>APS-C/ Kleinbild</v>
      </c>
      <c r="K1185" s="45">
        <f>getWeightAsDouble('RawData (GH)'!I1185)</f>
        <v>1840</v>
      </c>
      <c r="L1185" s="34">
        <f>getSizeDiameter('RawData (GH)'!J1185)</f>
        <v>95</v>
      </c>
      <c r="M1185" s="34">
        <f>getSizeLength('RawData (GH)'!J1185)</f>
        <v>218.5</v>
      </c>
    </row>
    <row r="1186" spans="1:13" x14ac:dyDescent="0.25">
      <c r="A1186" t="str">
        <f>'RawData (GH)'!A1186</f>
        <v>Sigma AF 50-500mm 4.0-6.3 EX DG APO HSM RF für Nikon F schwarz</v>
      </c>
      <c r="B1186" s="5">
        <f>getFocalLengthStart('RawData (GH)'!B1186)</f>
        <v>50</v>
      </c>
      <c r="C1186" s="5">
        <f>getFocalLengthEnd('RawData (GH)'!B1186)</f>
        <v>500</v>
      </c>
      <c r="D1186" s="9">
        <f>getApertureStart('RawData (GH)'!C1186)</f>
        <v>4</v>
      </c>
      <c r="E1186" s="9">
        <f>getApertureEnd('RawData (GH)'!C1186)</f>
        <v>6.3</v>
      </c>
      <c r="F1186" s="2">
        <f>getFiltersizeAsDouble('RawData (GH)'!D1186)</f>
        <v>86</v>
      </c>
      <c r="G1186" s="35">
        <f>getMagnification('RawData (GH)'!E1186)</f>
        <v>3.13</v>
      </c>
      <c r="H1186" s="62">
        <f>getMinimalFocus('RawData (GH)'!F1186)</f>
        <v>0</v>
      </c>
      <c r="I1186" t="str">
        <f>getMount('RawData (GH)'!G1186)</f>
        <v>Nikon F</v>
      </c>
      <c r="J1186" t="str">
        <f>getSensorCompatibility('RawData (GH)'!H1186)</f>
        <v>APS-C/ Kleinbild</v>
      </c>
      <c r="K1186" s="45">
        <f>getWeightAsDouble('RawData (GH)'!I1186)</f>
        <v>1840</v>
      </c>
      <c r="L1186" s="34">
        <f>getSizeDiameter('RawData (GH)'!J1186)</f>
        <v>95</v>
      </c>
      <c r="M1186" s="34">
        <f>getSizeLength('RawData (GH)'!J1186)</f>
        <v>218.5</v>
      </c>
    </row>
    <row r="1187" spans="1:13" x14ac:dyDescent="0.25">
      <c r="A1187" t="str">
        <f>'RawData (GH)'!A1187</f>
        <v>Sigma AF 50-500mm 4.5-6.3 DG APO OS HSM für Canon EF schwarz</v>
      </c>
      <c r="B1187" s="5">
        <f>getFocalLengthStart('RawData (GH)'!B1187)</f>
        <v>50</v>
      </c>
      <c r="C1187" s="5">
        <f>getFocalLengthEnd('RawData (GH)'!B1187)</f>
        <v>500</v>
      </c>
      <c r="D1187" s="9">
        <f>getApertureStart('RawData (GH)'!C1187)</f>
        <v>4.5</v>
      </c>
      <c r="E1187" s="9">
        <f>getApertureEnd('RawData (GH)'!C1187)</f>
        <v>6.3</v>
      </c>
      <c r="F1187" s="2">
        <f>getFiltersizeAsDouble('RawData (GH)'!D1187)</f>
        <v>95</v>
      </c>
      <c r="G1187" s="35">
        <f>getMagnification('RawData (GH)'!E1187)</f>
        <v>3.1</v>
      </c>
      <c r="H1187" s="62">
        <f>getMinimalFocus('RawData (GH)'!F1187)</f>
        <v>0</v>
      </c>
      <c r="I1187" t="str">
        <f>getMount('RawData (GH)'!G1187)</f>
        <v>Canon EF</v>
      </c>
      <c r="J1187" t="str">
        <f>getSensorCompatibility('RawData (GH)'!H1187)</f>
        <v>APS-C/ Kleinbild</v>
      </c>
      <c r="K1187" s="45">
        <f>getWeightAsDouble('RawData (GH)'!I1187)</f>
        <v>1970</v>
      </c>
      <c r="L1187" s="34">
        <f>getSizeDiameter('RawData (GH)'!J1187)</f>
        <v>104.4</v>
      </c>
      <c r="M1187" s="34">
        <f>getSizeLength('RawData (GH)'!J1187)</f>
        <v>219</v>
      </c>
    </row>
    <row r="1188" spans="1:13" x14ac:dyDescent="0.25">
      <c r="A1188" t="str">
        <f>'RawData (GH)'!A1188</f>
        <v>Sigma AF 50-500mm 4.5-6.3 DG APO OS HSM für Nikon F schwarz</v>
      </c>
      <c r="B1188" s="5">
        <f>getFocalLengthStart('RawData (GH)'!B1188)</f>
        <v>50</v>
      </c>
      <c r="C1188" s="5">
        <f>getFocalLengthEnd('RawData (GH)'!B1188)</f>
        <v>500</v>
      </c>
      <c r="D1188" s="9">
        <f>getApertureStart('RawData (GH)'!C1188)</f>
        <v>4.5</v>
      </c>
      <c r="E1188" s="9">
        <f>getApertureEnd('RawData (GH)'!C1188)</f>
        <v>6.3</v>
      </c>
      <c r="F1188" s="2">
        <f>getFiltersizeAsDouble('RawData (GH)'!D1188)</f>
        <v>95</v>
      </c>
      <c r="G1188" s="35">
        <f>getMagnification('RawData (GH)'!E1188)</f>
        <v>3.1</v>
      </c>
      <c r="H1188" s="62">
        <f>getMinimalFocus('RawData (GH)'!F1188)</f>
        <v>0</v>
      </c>
      <c r="I1188" t="str">
        <f>getMount('RawData (GH)'!G1188)</f>
        <v>Nikon F</v>
      </c>
      <c r="J1188" t="str">
        <f>getSensorCompatibility('RawData (GH)'!H1188)</f>
        <v>APS-C/ Kleinbild</v>
      </c>
      <c r="K1188" s="45">
        <f>getWeightAsDouble('RawData (GH)'!I1188)</f>
        <v>1970</v>
      </c>
      <c r="L1188" s="34">
        <f>getSizeDiameter('RawData (GH)'!J1188)</f>
        <v>104.4</v>
      </c>
      <c r="M1188" s="34">
        <f>getSizeLength('RawData (GH)'!J1188)</f>
        <v>219</v>
      </c>
    </row>
    <row r="1189" spans="1:13" x14ac:dyDescent="0.25">
      <c r="A1189" t="str">
        <f>'RawData (GH)'!A1189</f>
        <v>Sigma AF 50-500mm 4.5-6.3 DG APO OS HSM für Pentax K schwarz</v>
      </c>
      <c r="B1189" s="5">
        <f>getFocalLengthStart('RawData (GH)'!B1189)</f>
        <v>50</v>
      </c>
      <c r="C1189" s="5">
        <f>getFocalLengthEnd('RawData (GH)'!B1189)</f>
        <v>500</v>
      </c>
      <c r="D1189" s="9">
        <f>getApertureStart('RawData (GH)'!C1189)</f>
        <v>4.5</v>
      </c>
      <c r="E1189" s="9">
        <f>getApertureEnd('RawData (GH)'!C1189)</f>
        <v>6.3</v>
      </c>
      <c r="F1189" s="2">
        <f>getFiltersizeAsDouble('RawData (GH)'!D1189)</f>
        <v>95</v>
      </c>
      <c r="G1189" s="35">
        <f>getMagnification('RawData (GH)'!E1189)</f>
        <v>3.1</v>
      </c>
      <c r="H1189" s="62">
        <f>getMinimalFocus('RawData (GH)'!F1189)</f>
        <v>0</v>
      </c>
      <c r="I1189" t="str">
        <f>getMount('RawData (GH)'!G1189)</f>
        <v>Pentax K</v>
      </c>
      <c r="J1189" t="str">
        <f>getSensorCompatibility('RawData (GH)'!H1189)</f>
        <v>APS-C/ Kleinbild</v>
      </c>
      <c r="K1189" s="45">
        <f>getWeightAsDouble('RawData (GH)'!I1189)</f>
        <v>1970</v>
      </c>
      <c r="L1189" s="34">
        <f>getSizeDiameter('RawData (GH)'!J1189)</f>
        <v>104.4</v>
      </c>
      <c r="M1189" s="34">
        <f>getSizeLength('RawData (GH)'!J1189)</f>
        <v>219</v>
      </c>
    </row>
    <row r="1190" spans="1:13" x14ac:dyDescent="0.25">
      <c r="A1190" t="str">
        <f>'RawData (GH)'!A1190</f>
        <v>Sigma AF 50-500mm 4.5-6.3 DG APO OS HSM für Sigma schwarz</v>
      </c>
      <c r="B1190" s="5">
        <f>getFocalLengthStart('RawData (GH)'!B1190)</f>
        <v>50</v>
      </c>
      <c r="C1190" s="5">
        <f>getFocalLengthEnd('RawData (GH)'!B1190)</f>
        <v>500</v>
      </c>
      <c r="D1190" s="9">
        <f>getApertureStart('RawData (GH)'!C1190)</f>
        <v>4.5</v>
      </c>
      <c r="E1190" s="9">
        <f>getApertureEnd('RawData (GH)'!C1190)</f>
        <v>6.3</v>
      </c>
      <c r="F1190" s="2">
        <f>getFiltersizeAsDouble('RawData (GH)'!D1190)</f>
        <v>95</v>
      </c>
      <c r="G1190" s="35">
        <f>getMagnification('RawData (GH)'!E1190)</f>
        <v>3.1</v>
      </c>
      <c r="H1190" s="62">
        <f>getMinimalFocus('RawData (GH)'!F1190)</f>
        <v>0</v>
      </c>
      <c r="I1190" t="str">
        <f>getMount('RawData (GH)'!G1190)</f>
        <v>Sigma SA</v>
      </c>
      <c r="J1190" t="str">
        <f>getSensorCompatibility('RawData (GH)'!H1190)</f>
        <v>APS-C</v>
      </c>
      <c r="K1190" s="45">
        <f>getWeightAsDouble('RawData (GH)'!I1190)</f>
        <v>1970</v>
      </c>
      <c r="L1190" s="34">
        <f>getSizeDiameter('RawData (GH)'!J1190)</f>
        <v>104.4</v>
      </c>
      <c r="M1190" s="34">
        <f>getSizeLength('RawData (GH)'!J1190)</f>
        <v>219</v>
      </c>
    </row>
    <row r="1191" spans="1:13" x14ac:dyDescent="0.25">
      <c r="A1191" t="str">
        <f>'RawData (GH)'!A1191</f>
        <v>Sigma AF 50-500mm 4.5-6.3 DG APO OS HSM für Sony A schwarz</v>
      </c>
      <c r="B1191" s="5">
        <f>getFocalLengthStart('RawData (GH)'!B1191)</f>
        <v>50</v>
      </c>
      <c r="C1191" s="5">
        <f>getFocalLengthEnd('RawData (GH)'!B1191)</f>
        <v>500</v>
      </c>
      <c r="D1191" s="9">
        <f>getApertureStart('RawData (GH)'!C1191)</f>
        <v>4.5</v>
      </c>
      <c r="E1191" s="9">
        <f>getApertureEnd('RawData (GH)'!C1191)</f>
        <v>6.3</v>
      </c>
      <c r="F1191" s="2">
        <f>getFiltersizeAsDouble('RawData (GH)'!D1191)</f>
        <v>95</v>
      </c>
      <c r="G1191" s="35">
        <f>getMagnification('RawData (GH)'!E1191)</f>
        <v>3.1</v>
      </c>
      <c r="H1191" s="62">
        <f>getMinimalFocus('RawData (GH)'!F1191)</f>
        <v>0</v>
      </c>
      <c r="I1191" t="str">
        <f>getMount('RawData (GH)'!G1191)</f>
        <v>Sony A</v>
      </c>
      <c r="J1191" t="str">
        <f>getSensorCompatibility('RawData (GH)'!H1191)</f>
        <v>APS-C/ Kleinbild</v>
      </c>
      <c r="K1191" s="45">
        <f>getWeightAsDouble('RawData (GH)'!I1191)</f>
        <v>1970</v>
      </c>
      <c r="L1191" s="34">
        <f>getSizeDiameter('RawData (GH)'!J1191)</f>
        <v>104.4</v>
      </c>
      <c r="M1191" s="34">
        <f>getSizeLength('RawData (GH)'!J1191)</f>
        <v>219</v>
      </c>
    </row>
    <row r="1192" spans="1:13" x14ac:dyDescent="0.25">
      <c r="A1192" t="str">
        <f>'RawData (GH)'!A1192</f>
        <v>Sigma AF 50mm 1.4 EX DG HSM für Canon EF schwarz</v>
      </c>
      <c r="B1192" s="5">
        <f>getFocalLengthStart('RawData (GH)'!B1192)</f>
        <v>50</v>
      </c>
      <c r="C1192" s="5">
        <f>getFocalLengthEnd('RawData (GH)'!B1192)</f>
        <v>50</v>
      </c>
      <c r="D1192" s="9">
        <f>getApertureStart('RawData (GH)'!C1192)</f>
        <v>1.4</v>
      </c>
      <c r="E1192" s="9">
        <f>getApertureEnd('RawData (GH)'!C1192)</f>
        <v>1.4</v>
      </c>
      <c r="F1192" s="2">
        <f>getFiltersizeAsDouble('RawData (GH)'!D1192)</f>
        <v>77</v>
      </c>
      <c r="G1192" s="35">
        <f>getMagnification('RawData (GH)'!E1192)</f>
        <v>7.4</v>
      </c>
      <c r="H1192" s="62">
        <f>getMinimalFocus('RawData (GH)'!F1192)</f>
        <v>0</v>
      </c>
      <c r="I1192" t="str">
        <f>getMount('RawData (GH)'!G1192)</f>
        <v>Canon EF</v>
      </c>
      <c r="J1192" t="str">
        <f>getSensorCompatibility('RawData (GH)'!H1192)</f>
        <v>APS-C/ Kleinbild</v>
      </c>
      <c r="K1192" s="45">
        <f>getWeightAsDouble('RawData (GH)'!I1192)</f>
        <v>505</v>
      </c>
      <c r="L1192" s="34">
        <f>getSizeDiameter('RawData (GH)'!J1192)</f>
        <v>84.5</v>
      </c>
      <c r="M1192" s="34">
        <f>getSizeLength('RawData (GH)'!J1192)</f>
        <v>68.2</v>
      </c>
    </row>
    <row r="1193" spans="1:13" x14ac:dyDescent="0.25">
      <c r="A1193" t="str">
        <f>'RawData (GH)'!A1193</f>
        <v>Sigma AF 50mm 1.4 EX DG HSM für Nikon F schwarz</v>
      </c>
      <c r="B1193" s="5">
        <f>getFocalLengthStart('RawData (GH)'!B1193)</f>
        <v>50</v>
      </c>
      <c r="C1193" s="5">
        <f>getFocalLengthEnd('RawData (GH)'!B1193)</f>
        <v>50</v>
      </c>
      <c r="D1193" s="9">
        <f>getApertureStart('RawData (GH)'!C1193)</f>
        <v>1.4</v>
      </c>
      <c r="E1193" s="9">
        <f>getApertureEnd('RawData (GH)'!C1193)</f>
        <v>1.4</v>
      </c>
      <c r="F1193" s="2">
        <f>getFiltersizeAsDouble('RawData (GH)'!D1193)</f>
        <v>77</v>
      </c>
      <c r="G1193" s="35">
        <f>getMagnification('RawData (GH)'!E1193)</f>
        <v>7.4</v>
      </c>
      <c r="H1193" s="62">
        <f>getMinimalFocus('RawData (GH)'!F1193)</f>
        <v>0</v>
      </c>
      <c r="I1193" t="str">
        <f>getMount('RawData (GH)'!G1193)</f>
        <v>Nikon F</v>
      </c>
      <c r="J1193" t="str">
        <f>getSensorCompatibility('RawData (GH)'!H1193)</f>
        <v>APS-C/ Kleinbild</v>
      </c>
      <c r="K1193" s="45">
        <f>getWeightAsDouble('RawData (GH)'!I1193)</f>
        <v>505</v>
      </c>
      <c r="L1193" s="34">
        <f>getSizeDiameter('RawData (GH)'!J1193)</f>
        <v>84.5</v>
      </c>
      <c r="M1193" s="34">
        <f>getSizeLength('RawData (GH)'!J1193)</f>
        <v>68.2</v>
      </c>
    </row>
    <row r="1194" spans="1:13" x14ac:dyDescent="0.25">
      <c r="A1194" t="str">
        <f>'RawData (GH)'!A1194</f>
        <v>Sigma AF 50mm 1.4 EX DG HSM für Sony A schwarz</v>
      </c>
      <c r="B1194" s="5">
        <f>getFocalLengthStart('RawData (GH)'!B1194)</f>
        <v>50</v>
      </c>
      <c r="C1194" s="5">
        <f>getFocalLengthEnd('RawData (GH)'!B1194)</f>
        <v>50</v>
      </c>
      <c r="D1194" s="9">
        <f>getApertureStart('RawData (GH)'!C1194)</f>
        <v>1.4</v>
      </c>
      <c r="E1194" s="9">
        <f>getApertureEnd('RawData (GH)'!C1194)</f>
        <v>1.4</v>
      </c>
      <c r="F1194" s="2">
        <f>getFiltersizeAsDouble('RawData (GH)'!D1194)</f>
        <v>77</v>
      </c>
      <c r="G1194" s="35">
        <f>getMagnification('RawData (GH)'!E1194)</f>
        <v>7.4</v>
      </c>
      <c r="H1194" s="62">
        <f>getMinimalFocus('RawData (GH)'!F1194)</f>
        <v>0</v>
      </c>
      <c r="I1194" t="str">
        <f>getMount('RawData (GH)'!G1194)</f>
        <v>Sony A</v>
      </c>
      <c r="J1194" t="str">
        <f>getSensorCompatibility('RawData (GH)'!H1194)</f>
        <v>APS-C/ Kleinbild</v>
      </c>
      <c r="K1194" s="45">
        <f>getWeightAsDouble('RawData (GH)'!I1194)</f>
        <v>505</v>
      </c>
      <c r="L1194" s="34">
        <f>getSizeDiameter('RawData (GH)'!J1194)</f>
        <v>84.5</v>
      </c>
      <c r="M1194" s="34">
        <f>getSizeLength('RawData (GH)'!J1194)</f>
        <v>68.2</v>
      </c>
    </row>
    <row r="1195" spans="1:13" x14ac:dyDescent="0.25">
      <c r="A1195" t="str">
        <f>'RawData (GH)'!A1195</f>
        <v>Sigma AF 50mm 2.8 EX DG Makro für Nikon F schwarz</v>
      </c>
      <c r="B1195" s="5">
        <f>getFocalLengthStart('RawData (GH)'!B1195)</f>
        <v>50</v>
      </c>
      <c r="C1195" s="5">
        <f>getFocalLengthEnd('RawData (GH)'!B1195)</f>
        <v>50</v>
      </c>
      <c r="D1195" s="9">
        <f>getApertureStart('RawData (GH)'!C1195)</f>
        <v>2.8</v>
      </c>
      <c r="E1195" s="9">
        <f>getApertureEnd('RawData (GH)'!C1195)</f>
        <v>2.8</v>
      </c>
      <c r="F1195" s="2">
        <f>getFiltersizeAsDouble('RawData (GH)'!D1195)</f>
        <v>55</v>
      </c>
      <c r="G1195" s="35">
        <f>getMagnification('RawData (GH)'!E1195)</f>
        <v>1</v>
      </c>
      <c r="H1195" s="62">
        <f>getMinimalFocus('RawData (GH)'!F1195)</f>
        <v>0</v>
      </c>
      <c r="I1195" t="str">
        <f>getMount('RawData (GH)'!G1195)</f>
        <v>Nikon F</v>
      </c>
      <c r="J1195" t="str">
        <f>getSensorCompatibility('RawData (GH)'!H1195)</f>
        <v>APS-C/ Kleinbild</v>
      </c>
      <c r="K1195" s="45">
        <f>getWeightAsDouble('RawData (GH)'!I1195)</f>
        <v>315</v>
      </c>
      <c r="L1195" s="34">
        <f>getSizeDiameter('RawData (GH)'!J1195)</f>
        <v>71.400000000000006</v>
      </c>
      <c r="M1195" s="34">
        <f>getSizeLength('RawData (GH)'!J1195)</f>
        <v>64</v>
      </c>
    </row>
    <row r="1196" spans="1:13" x14ac:dyDescent="0.25">
      <c r="A1196" t="str">
        <f>'RawData (GH)'!A1196</f>
        <v>Sigma AF 50mm 2.8 EX DG Makro für Sigma schwarz</v>
      </c>
      <c r="B1196" s="5">
        <f>getFocalLengthStart('RawData (GH)'!B1196)</f>
        <v>50</v>
      </c>
      <c r="C1196" s="5">
        <f>getFocalLengthEnd('RawData (GH)'!B1196)</f>
        <v>50</v>
      </c>
      <c r="D1196" s="9">
        <f>getApertureStart('RawData (GH)'!C1196)</f>
        <v>2.8</v>
      </c>
      <c r="E1196" s="9">
        <f>getApertureEnd('RawData (GH)'!C1196)</f>
        <v>2.8</v>
      </c>
      <c r="F1196" s="2">
        <f>getFiltersizeAsDouble('RawData (GH)'!D1196)</f>
        <v>55</v>
      </c>
      <c r="G1196" s="35">
        <f>getMagnification('RawData (GH)'!E1196)</f>
        <v>1</v>
      </c>
      <c r="H1196" s="62">
        <f>getMinimalFocus('RawData (GH)'!F1196)</f>
        <v>0</v>
      </c>
      <c r="I1196" t="str">
        <f>getMount('RawData (GH)'!G1196)</f>
        <v>Sigma SA</v>
      </c>
      <c r="J1196" t="str">
        <f>getSensorCompatibility('RawData (GH)'!H1196)</f>
        <v>APS-C</v>
      </c>
      <c r="K1196" s="45">
        <f>getWeightAsDouble('RawData (GH)'!I1196)</f>
        <v>315</v>
      </c>
      <c r="L1196" s="34">
        <f>getSizeDiameter('RawData (GH)'!J1196)</f>
        <v>71.400000000000006</v>
      </c>
      <c r="M1196" s="34">
        <f>getSizeLength('RawData (GH)'!J1196)</f>
        <v>64</v>
      </c>
    </row>
    <row r="1197" spans="1:13" x14ac:dyDescent="0.25">
      <c r="A1197" t="str">
        <f>'RawData (GH)'!A1197</f>
        <v>Sigma AF 50mm 2.8 EX DG Makro für Sony A schwarz</v>
      </c>
      <c r="B1197" s="5">
        <f>getFocalLengthStart('RawData (GH)'!B1197)</f>
        <v>50</v>
      </c>
      <c r="C1197" s="5">
        <f>getFocalLengthEnd('RawData (GH)'!B1197)</f>
        <v>50</v>
      </c>
      <c r="D1197" s="9">
        <f>getApertureStart('RawData (GH)'!C1197)</f>
        <v>2.8</v>
      </c>
      <c r="E1197" s="9">
        <f>getApertureEnd('RawData (GH)'!C1197)</f>
        <v>2.8</v>
      </c>
      <c r="F1197" s="2">
        <f>getFiltersizeAsDouble('RawData (GH)'!D1197)</f>
        <v>55</v>
      </c>
      <c r="G1197" s="35">
        <f>getMagnification('RawData (GH)'!E1197)</f>
        <v>1</v>
      </c>
      <c r="H1197" s="62">
        <f>getMinimalFocus('RawData (GH)'!F1197)</f>
        <v>0</v>
      </c>
      <c r="I1197" t="str">
        <f>getMount('RawData (GH)'!G1197)</f>
        <v>Sony A</v>
      </c>
      <c r="J1197" t="str">
        <f>getSensorCompatibility('RawData (GH)'!H1197)</f>
        <v>APS-C/ Kleinbild</v>
      </c>
      <c r="K1197" s="45">
        <f>getWeightAsDouble('RawData (GH)'!I1197)</f>
        <v>315</v>
      </c>
      <c r="L1197" s="34">
        <f>getSizeDiameter('RawData (GH)'!J1197)</f>
        <v>71.400000000000006</v>
      </c>
      <c r="M1197" s="34">
        <f>getSizeLength('RawData (GH)'!J1197)</f>
        <v>64</v>
      </c>
    </row>
    <row r="1198" spans="1:13" x14ac:dyDescent="0.25">
      <c r="A1198" t="str">
        <f>'RawData (GH)'!A1198</f>
        <v>Sigma AF 55-200mm 4.0-5.6 DC für Sigma schwarz</v>
      </c>
      <c r="B1198" s="5">
        <f>getFocalLengthStart('RawData (GH)'!B1198)</f>
        <v>55</v>
      </c>
      <c r="C1198" s="5">
        <f>getFocalLengthEnd('RawData (GH)'!B1198)</f>
        <v>200</v>
      </c>
      <c r="D1198" s="9">
        <f>getApertureStart('RawData (GH)'!C1198)</f>
        <v>4</v>
      </c>
      <c r="E1198" s="9">
        <f>getApertureEnd('RawData (GH)'!C1198)</f>
        <v>5.6</v>
      </c>
      <c r="F1198" s="2">
        <f>getFiltersizeAsDouble('RawData (GH)'!D1198)</f>
        <v>55</v>
      </c>
      <c r="G1198" s="35">
        <f>getMagnification('RawData (GH)'!E1198)</f>
        <v>5.56</v>
      </c>
      <c r="H1198" s="62">
        <f>getMinimalFocus('RawData (GH)'!F1198)</f>
        <v>0</v>
      </c>
      <c r="I1198" t="str">
        <f>getMount('RawData (GH)'!G1198)</f>
        <v>Sigma SA</v>
      </c>
      <c r="J1198" t="str">
        <f>getSensorCompatibility('RawData (GH)'!H1198)</f>
        <v>APS-C</v>
      </c>
      <c r="K1198" s="45">
        <f>getWeightAsDouble('RawData (GH)'!I1198)</f>
        <v>310</v>
      </c>
      <c r="L1198" s="34">
        <f>getSizeDiameter('RawData (GH)'!J1198)</f>
        <v>71</v>
      </c>
      <c r="M1198" s="34">
        <f>getSizeLength('RawData (GH)'!J1198)</f>
        <v>84.6</v>
      </c>
    </row>
    <row r="1199" spans="1:13" x14ac:dyDescent="0.25">
      <c r="A1199" t="str">
        <f>'RawData (GH)'!A1199</f>
        <v>Sigma AF 70-200mm 2.8 EX DG APO HSM OS für Canon EF schwarz</v>
      </c>
      <c r="B1199" s="5">
        <f>getFocalLengthStart('RawData (GH)'!B1199)</f>
        <v>70</v>
      </c>
      <c r="C1199" s="5">
        <f>getFocalLengthEnd('RawData (GH)'!B1199)</f>
        <v>200</v>
      </c>
      <c r="D1199" s="9">
        <f>getApertureStart('RawData (GH)'!C1199)</f>
        <v>2.8</v>
      </c>
      <c r="E1199" s="9">
        <f>getApertureEnd('RawData (GH)'!C1199)</f>
        <v>2.8</v>
      </c>
      <c r="F1199" s="2">
        <f>getFiltersizeAsDouble('RawData (GH)'!D1199)</f>
        <v>77</v>
      </c>
      <c r="G1199" s="35">
        <f>getMagnification('RawData (GH)'!E1199)</f>
        <v>8</v>
      </c>
      <c r="H1199" s="62">
        <f>getMinimalFocus('RawData (GH)'!F1199)</f>
        <v>0</v>
      </c>
      <c r="I1199" t="str">
        <f>getMount('RawData (GH)'!G1199)</f>
        <v>Canon EF</v>
      </c>
      <c r="J1199" t="str">
        <f>getSensorCompatibility('RawData (GH)'!H1199)</f>
        <v>APS-C/ Kleinbild</v>
      </c>
      <c r="K1199" s="45">
        <f>getWeightAsDouble('RawData (GH)'!I1199)</f>
        <v>1430</v>
      </c>
      <c r="L1199" s="34">
        <f>getSizeDiameter('RawData (GH)'!J1199)</f>
        <v>86.4</v>
      </c>
      <c r="M1199" s="34">
        <f>getSizeLength('RawData (GH)'!J1199)</f>
        <v>197.6</v>
      </c>
    </row>
    <row r="1200" spans="1:13" x14ac:dyDescent="0.25">
      <c r="A1200" t="str">
        <f>'RawData (GH)'!A1200</f>
        <v>Sigma AF 70-200mm 2.8 EX DG APO HSM OS für Nikon F schwarz</v>
      </c>
      <c r="B1200" s="5">
        <f>getFocalLengthStart('RawData (GH)'!B1200)</f>
        <v>70</v>
      </c>
      <c r="C1200" s="5">
        <f>getFocalLengthEnd('RawData (GH)'!B1200)</f>
        <v>200</v>
      </c>
      <c r="D1200" s="9">
        <f>getApertureStart('RawData (GH)'!C1200)</f>
        <v>2.8</v>
      </c>
      <c r="E1200" s="9">
        <f>getApertureEnd('RawData (GH)'!C1200)</f>
        <v>2.8</v>
      </c>
      <c r="F1200" s="2">
        <f>getFiltersizeAsDouble('RawData (GH)'!D1200)</f>
        <v>77</v>
      </c>
      <c r="G1200" s="35">
        <f>getMagnification('RawData (GH)'!E1200)</f>
        <v>8</v>
      </c>
      <c r="H1200" s="62">
        <f>getMinimalFocus('RawData (GH)'!F1200)</f>
        <v>0</v>
      </c>
      <c r="I1200" t="str">
        <f>getMount('RawData (GH)'!G1200)</f>
        <v>Nikon F</v>
      </c>
      <c r="J1200" t="str">
        <f>getSensorCompatibility('RawData (GH)'!H1200)</f>
        <v>APS-C/ Kleinbild</v>
      </c>
      <c r="K1200" s="45">
        <f>getWeightAsDouble('RawData (GH)'!I1200)</f>
        <v>1430</v>
      </c>
      <c r="L1200" s="34">
        <f>getSizeDiameter('RawData (GH)'!J1200)</f>
        <v>86.4</v>
      </c>
      <c r="M1200" s="34">
        <f>getSizeLength('RawData (GH)'!J1200)</f>
        <v>197.6</v>
      </c>
    </row>
    <row r="1201" spans="1:13" x14ac:dyDescent="0.25">
      <c r="A1201" t="str">
        <f>'RawData (GH)'!A1201</f>
        <v>Sigma AF 70-200mm 2.8 EX DG APO HSM OS für Sigma schwarz</v>
      </c>
      <c r="B1201" s="5">
        <f>getFocalLengthStart('RawData (GH)'!B1201)</f>
        <v>70</v>
      </c>
      <c r="C1201" s="5">
        <f>getFocalLengthEnd('RawData (GH)'!B1201)</f>
        <v>200</v>
      </c>
      <c r="D1201" s="9">
        <f>getApertureStart('RawData (GH)'!C1201)</f>
        <v>2.8</v>
      </c>
      <c r="E1201" s="9">
        <f>getApertureEnd('RawData (GH)'!C1201)</f>
        <v>2.8</v>
      </c>
      <c r="F1201" s="2">
        <f>getFiltersizeAsDouble('RawData (GH)'!D1201)</f>
        <v>77</v>
      </c>
      <c r="G1201" s="35">
        <f>getMagnification('RawData (GH)'!E1201)</f>
        <v>8</v>
      </c>
      <c r="H1201" s="62">
        <f>getMinimalFocus('RawData (GH)'!F1201)</f>
        <v>0</v>
      </c>
      <c r="I1201" t="str">
        <f>getMount('RawData (GH)'!G1201)</f>
        <v>Sigma SA</v>
      </c>
      <c r="J1201" t="str">
        <f>getSensorCompatibility('RawData (GH)'!H1201)</f>
        <v>APS-C</v>
      </c>
      <c r="K1201" s="45">
        <f>getWeightAsDouble('RawData (GH)'!I1201)</f>
        <v>1430</v>
      </c>
      <c r="L1201" s="34">
        <f>getSizeDiameter('RawData (GH)'!J1201)</f>
        <v>86.4</v>
      </c>
      <c r="M1201" s="34">
        <f>getSizeLength('RawData (GH)'!J1201)</f>
        <v>197.6</v>
      </c>
    </row>
    <row r="1202" spans="1:13" x14ac:dyDescent="0.25">
      <c r="A1202" t="str">
        <f>'RawData (GH)'!A1202</f>
        <v>Sigma AF 70-200mm 2.8 EX DG APO HSM OS für Sony A schwarz</v>
      </c>
      <c r="B1202" s="5">
        <f>getFocalLengthStart('RawData (GH)'!B1202)</f>
        <v>70</v>
      </c>
      <c r="C1202" s="5">
        <f>getFocalLengthEnd('RawData (GH)'!B1202)</f>
        <v>200</v>
      </c>
      <c r="D1202" s="9">
        <f>getApertureStart('RawData (GH)'!C1202)</f>
        <v>2.8</v>
      </c>
      <c r="E1202" s="9">
        <f>getApertureEnd('RawData (GH)'!C1202)</f>
        <v>2.8</v>
      </c>
      <c r="F1202" s="2">
        <f>getFiltersizeAsDouble('RawData (GH)'!D1202)</f>
        <v>77</v>
      </c>
      <c r="G1202" s="35">
        <f>getMagnification('RawData (GH)'!E1202)</f>
        <v>8</v>
      </c>
      <c r="H1202" s="62">
        <f>getMinimalFocus('RawData (GH)'!F1202)</f>
        <v>0</v>
      </c>
      <c r="I1202" t="str">
        <f>getMount('RawData (GH)'!G1202)</f>
        <v>Sony A</v>
      </c>
      <c r="J1202" t="str">
        <f>getSensorCompatibility('RawData (GH)'!H1202)</f>
        <v>APS-C/ Kleinbild</v>
      </c>
      <c r="K1202" s="45">
        <f>getWeightAsDouble('RawData (GH)'!I1202)</f>
        <v>1430</v>
      </c>
      <c r="L1202" s="34">
        <f>getSizeDiameter('RawData (GH)'!J1202)</f>
        <v>86.4</v>
      </c>
      <c r="M1202" s="34">
        <f>getSizeLength('RawData (GH)'!J1202)</f>
        <v>197.6</v>
      </c>
    </row>
    <row r="1203" spans="1:13" x14ac:dyDescent="0.25">
      <c r="A1203" t="str">
        <f>'RawData (GH)'!A1203</f>
        <v>Sigma AF 70-300mm 4.0-5.6 DG APO Makro für Canon EF schwarz</v>
      </c>
      <c r="B1203" s="5">
        <f>getFocalLengthStart('RawData (GH)'!B1203)</f>
        <v>70</v>
      </c>
      <c r="C1203" s="5">
        <f>getFocalLengthEnd('RawData (GH)'!B1203)</f>
        <v>300</v>
      </c>
      <c r="D1203" s="9">
        <f>getApertureStart('RawData (GH)'!C1203)</f>
        <v>4</v>
      </c>
      <c r="E1203" s="9">
        <f>getApertureEnd('RawData (GH)'!C1203)</f>
        <v>5.6</v>
      </c>
      <c r="F1203" s="2">
        <f>getFiltersizeAsDouble('RawData (GH)'!D1203)</f>
        <v>58</v>
      </c>
      <c r="G1203" s="35">
        <f>getMagnification('RawData (GH)'!E1203)</f>
        <v>4.0999999999999996</v>
      </c>
      <c r="H1203" s="62">
        <f>getMinimalFocus('RawData (GH)'!F1203)</f>
        <v>0</v>
      </c>
      <c r="I1203" t="str">
        <f>getMount('RawData (GH)'!G1203)</f>
        <v>Canon EF</v>
      </c>
      <c r="J1203" t="str">
        <f>getSensorCompatibility('RawData (GH)'!H1203)</f>
        <v>APS-C/ Kleinbild</v>
      </c>
      <c r="K1203" s="45">
        <f>getWeightAsDouble('RawData (GH)'!I1203)</f>
        <v>550</v>
      </c>
      <c r="L1203" s="34">
        <f>getSizeDiameter('RawData (GH)'!J1203)</f>
        <v>76.599999999999994</v>
      </c>
      <c r="M1203" s="34">
        <f>getSizeLength('RawData (GH)'!J1203)</f>
        <v>122</v>
      </c>
    </row>
    <row r="1204" spans="1:13" x14ac:dyDescent="0.25">
      <c r="A1204" t="str">
        <f>'RawData (GH)'!A1204</f>
        <v>Sigma AF 70-300mm 4.0-5.6 DG APO Makro für Nikon F schwarz</v>
      </c>
      <c r="B1204" s="5">
        <f>getFocalLengthStart('RawData (GH)'!B1204)</f>
        <v>70</v>
      </c>
      <c r="C1204" s="5">
        <f>getFocalLengthEnd('RawData (GH)'!B1204)</f>
        <v>300</v>
      </c>
      <c r="D1204" s="9">
        <f>getApertureStart('RawData (GH)'!C1204)</f>
        <v>4</v>
      </c>
      <c r="E1204" s="9">
        <f>getApertureEnd('RawData (GH)'!C1204)</f>
        <v>5.6</v>
      </c>
      <c r="F1204" s="2">
        <f>getFiltersizeAsDouble('RawData (GH)'!D1204)</f>
        <v>58</v>
      </c>
      <c r="G1204" s="35">
        <f>getMagnification('RawData (GH)'!E1204)</f>
        <v>4.0999999999999996</v>
      </c>
      <c r="H1204" s="62">
        <f>getMinimalFocus('RawData (GH)'!F1204)</f>
        <v>0</v>
      </c>
      <c r="I1204" t="str">
        <f>getMount('RawData (GH)'!G1204)</f>
        <v>Nikon F</v>
      </c>
      <c r="J1204" t="str">
        <f>getSensorCompatibility('RawData (GH)'!H1204)</f>
        <v>APS-C/ Kleinbild</v>
      </c>
      <c r="K1204" s="45">
        <f>getWeightAsDouble('RawData (GH)'!I1204)</f>
        <v>550</v>
      </c>
      <c r="L1204" s="34">
        <f>getSizeDiameter('RawData (GH)'!J1204)</f>
        <v>76.599999999999994</v>
      </c>
      <c r="M1204" s="34">
        <f>getSizeLength('RawData (GH)'!J1204)</f>
        <v>122</v>
      </c>
    </row>
    <row r="1205" spans="1:13" x14ac:dyDescent="0.25">
      <c r="A1205" t="str">
        <f>'RawData (GH)'!A1205</f>
        <v>Sigma AF 70-300mm 4.0-5.6 DG APO Makro für Pentax K schwarz</v>
      </c>
      <c r="B1205" s="5">
        <f>getFocalLengthStart('RawData (GH)'!B1205)</f>
        <v>70</v>
      </c>
      <c r="C1205" s="5">
        <f>getFocalLengthEnd('RawData (GH)'!B1205)</f>
        <v>300</v>
      </c>
      <c r="D1205" s="9">
        <f>getApertureStart('RawData (GH)'!C1205)</f>
        <v>4</v>
      </c>
      <c r="E1205" s="9">
        <f>getApertureEnd('RawData (GH)'!C1205)</f>
        <v>5.6</v>
      </c>
      <c r="F1205" s="2">
        <f>getFiltersizeAsDouble('RawData (GH)'!D1205)</f>
        <v>58</v>
      </c>
      <c r="G1205" s="35">
        <f>getMagnification('RawData (GH)'!E1205)</f>
        <v>4.0999999999999996</v>
      </c>
      <c r="H1205" s="62">
        <f>getMinimalFocus('RawData (GH)'!F1205)</f>
        <v>0</v>
      </c>
      <c r="I1205" t="str">
        <f>getMount('RawData (GH)'!G1205)</f>
        <v>Pentax K</v>
      </c>
      <c r="J1205" t="str">
        <f>getSensorCompatibility('RawData (GH)'!H1205)</f>
        <v>APS-C/ Kleinbild</v>
      </c>
      <c r="K1205" s="45">
        <f>getWeightAsDouble('RawData (GH)'!I1205)</f>
        <v>550</v>
      </c>
      <c r="L1205" s="34">
        <f>getSizeDiameter('RawData (GH)'!J1205)</f>
        <v>76.599999999999994</v>
      </c>
      <c r="M1205" s="34">
        <f>getSizeLength('RawData (GH)'!J1205)</f>
        <v>122</v>
      </c>
    </row>
    <row r="1206" spans="1:13" x14ac:dyDescent="0.25">
      <c r="A1206" t="str">
        <f>'RawData (GH)'!A1206</f>
        <v>Sigma AF 70-300mm 4.0-5.6 DG APO Makro für Sigma schwarz</v>
      </c>
      <c r="B1206" s="5">
        <f>getFocalLengthStart('RawData (GH)'!B1206)</f>
        <v>70</v>
      </c>
      <c r="C1206" s="5">
        <f>getFocalLengthEnd('RawData (GH)'!B1206)</f>
        <v>300</v>
      </c>
      <c r="D1206" s="9">
        <f>getApertureStart('RawData (GH)'!C1206)</f>
        <v>4</v>
      </c>
      <c r="E1206" s="9">
        <f>getApertureEnd('RawData (GH)'!C1206)</f>
        <v>5.6</v>
      </c>
      <c r="F1206" s="2">
        <f>getFiltersizeAsDouble('RawData (GH)'!D1206)</f>
        <v>58</v>
      </c>
      <c r="G1206" s="35">
        <f>getMagnification('RawData (GH)'!E1206)</f>
        <v>4.0999999999999996</v>
      </c>
      <c r="H1206" s="62">
        <f>getMinimalFocus('RawData (GH)'!F1206)</f>
        <v>0</v>
      </c>
      <c r="I1206" t="str">
        <f>getMount('RawData (GH)'!G1206)</f>
        <v>Sigma SA</v>
      </c>
      <c r="J1206" t="str">
        <f>getSensorCompatibility('RawData (GH)'!H1206)</f>
        <v>APS-C</v>
      </c>
      <c r="K1206" s="45">
        <f>getWeightAsDouble('RawData (GH)'!I1206)</f>
        <v>550</v>
      </c>
      <c r="L1206" s="34">
        <f>getSizeDiameter('RawData (GH)'!J1206)</f>
        <v>76.599999999999994</v>
      </c>
      <c r="M1206" s="34">
        <f>getSizeLength('RawData (GH)'!J1206)</f>
        <v>122</v>
      </c>
    </row>
    <row r="1207" spans="1:13" x14ac:dyDescent="0.25">
      <c r="A1207" t="str">
        <f>'RawData (GH)'!A1207</f>
        <v>Sigma AF 70-300mm 4.0-5.6 DG APO Makro für Sony A schwarz</v>
      </c>
      <c r="B1207" s="5">
        <f>getFocalLengthStart('RawData (GH)'!B1207)</f>
        <v>70</v>
      </c>
      <c r="C1207" s="5">
        <f>getFocalLengthEnd('RawData (GH)'!B1207)</f>
        <v>300</v>
      </c>
      <c r="D1207" s="9">
        <f>getApertureStart('RawData (GH)'!C1207)</f>
        <v>4</v>
      </c>
      <c r="E1207" s="9">
        <f>getApertureEnd('RawData (GH)'!C1207)</f>
        <v>5.6</v>
      </c>
      <c r="F1207" s="2">
        <f>getFiltersizeAsDouble('RawData (GH)'!D1207)</f>
        <v>58</v>
      </c>
      <c r="G1207" s="35">
        <f>getMagnification('RawData (GH)'!E1207)</f>
        <v>4.0999999999999996</v>
      </c>
      <c r="H1207" s="62">
        <f>getMinimalFocus('RawData (GH)'!F1207)</f>
        <v>0</v>
      </c>
      <c r="I1207" t="str">
        <f>getMount('RawData (GH)'!G1207)</f>
        <v>Sony A</v>
      </c>
      <c r="J1207" t="str">
        <f>getSensorCompatibility('RawData (GH)'!H1207)</f>
        <v>APS-C/ Kleinbild</v>
      </c>
      <c r="K1207" s="45">
        <f>getWeightAsDouble('RawData (GH)'!I1207)</f>
        <v>550</v>
      </c>
      <c r="L1207" s="34">
        <f>getSizeDiameter('RawData (GH)'!J1207)</f>
        <v>76.599999999999994</v>
      </c>
      <c r="M1207" s="34">
        <f>getSizeLength('RawData (GH)'!J1207)</f>
        <v>122</v>
      </c>
    </row>
    <row r="1208" spans="1:13" x14ac:dyDescent="0.25">
      <c r="A1208" t="str">
        <f>'RawData (GH)'!A1208</f>
        <v>Sigma AF 70-300mm 4.0-5.6 DG APO Makro mit AF-Motor für Nikon F schwarz</v>
      </c>
      <c r="B1208" s="5">
        <f>getFocalLengthStart('RawData (GH)'!B1208)</f>
        <v>70</v>
      </c>
      <c r="C1208" s="5">
        <f>getFocalLengthEnd('RawData (GH)'!B1208)</f>
        <v>300</v>
      </c>
      <c r="D1208" s="9">
        <f>getApertureStart('RawData (GH)'!C1208)</f>
        <v>4</v>
      </c>
      <c r="E1208" s="9">
        <f>getApertureEnd('RawData (GH)'!C1208)</f>
        <v>5.6</v>
      </c>
      <c r="F1208" s="2">
        <f>getFiltersizeAsDouble('RawData (GH)'!D1208)</f>
        <v>58</v>
      </c>
      <c r="G1208" s="35">
        <f>getMagnification('RawData (GH)'!E1208)</f>
        <v>4.0999999999999996</v>
      </c>
      <c r="H1208" s="62">
        <f>getMinimalFocus('RawData (GH)'!F1208)</f>
        <v>0</v>
      </c>
      <c r="I1208" t="str">
        <f>getMount('RawData (GH)'!G1208)</f>
        <v>Nikon F</v>
      </c>
      <c r="J1208" t="str">
        <f>getSensorCompatibility('RawData (GH)'!H1208)</f>
        <v>APS-C/ Kleinbild</v>
      </c>
      <c r="K1208" s="45">
        <f>getWeightAsDouble('RawData (GH)'!I1208)</f>
        <v>550</v>
      </c>
      <c r="L1208" s="34">
        <f>getSizeDiameter('RawData (GH)'!J1208)</f>
        <v>76.599999999999994</v>
      </c>
      <c r="M1208" s="34">
        <f>getSizeLength('RawData (GH)'!J1208)</f>
        <v>122</v>
      </c>
    </row>
    <row r="1209" spans="1:13" x14ac:dyDescent="0.25">
      <c r="A1209" t="str">
        <f>'RawData (GH)'!A1209</f>
        <v>Sigma AF 70-300mm 4.0-5.6 DG Makro für Canon EF schwarz</v>
      </c>
      <c r="B1209" s="5">
        <f>getFocalLengthStart('RawData (GH)'!B1209)</f>
        <v>70</v>
      </c>
      <c r="C1209" s="5">
        <f>getFocalLengthEnd('RawData (GH)'!B1209)</f>
        <v>300</v>
      </c>
      <c r="D1209" s="9">
        <f>getApertureStart('RawData (GH)'!C1209)</f>
        <v>4</v>
      </c>
      <c r="E1209" s="9">
        <f>getApertureEnd('RawData (GH)'!C1209)</f>
        <v>5.6</v>
      </c>
      <c r="F1209" s="2">
        <f>getFiltersizeAsDouble('RawData (GH)'!D1209)</f>
        <v>58</v>
      </c>
      <c r="G1209" s="35">
        <f>getMagnification('RawData (GH)'!E1209)</f>
        <v>4.0999999999999996</v>
      </c>
      <c r="H1209" s="62">
        <f>getMinimalFocus('RawData (GH)'!F1209)</f>
        <v>0</v>
      </c>
      <c r="I1209" t="str">
        <f>getMount('RawData (GH)'!G1209)</f>
        <v>Canon EF</v>
      </c>
      <c r="J1209" t="str">
        <f>getSensorCompatibility('RawData (GH)'!H1209)</f>
        <v>APS-C/ Kleinbild</v>
      </c>
      <c r="K1209" s="45">
        <f>getWeightAsDouble('RawData (GH)'!I1209)</f>
        <v>530</v>
      </c>
      <c r="L1209" s="34">
        <f>getSizeDiameter('RawData (GH)'!J1209)</f>
        <v>76.599999999999994</v>
      </c>
      <c r="M1209" s="34">
        <f>getSizeLength('RawData (GH)'!J1209)</f>
        <v>119.5</v>
      </c>
    </row>
    <row r="1210" spans="1:13" x14ac:dyDescent="0.25">
      <c r="A1210" t="str">
        <f>'RawData (GH)'!A1210</f>
        <v>Sigma AF 70-300mm 4.0-5.6 DG Makro für Nikon F schwarz</v>
      </c>
      <c r="B1210" s="5">
        <f>getFocalLengthStart('RawData (GH)'!B1210)</f>
        <v>70</v>
      </c>
      <c r="C1210" s="5">
        <f>getFocalLengthEnd('RawData (GH)'!B1210)</f>
        <v>300</v>
      </c>
      <c r="D1210" s="9">
        <f>getApertureStart('RawData (GH)'!C1210)</f>
        <v>4</v>
      </c>
      <c r="E1210" s="9">
        <f>getApertureEnd('RawData (GH)'!C1210)</f>
        <v>5.6</v>
      </c>
      <c r="F1210" s="2">
        <f>getFiltersizeAsDouble('RawData (GH)'!D1210)</f>
        <v>58</v>
      </c>
      <c r="G1210" s="35">
        <f>getMagnification('RawData (GH)'!E1210)</f>
        <v>4.0999999999999996</v>
      </c>
      <c r="H1210" s="62">
        <f>getMinimalFocus('RawData (GH)'!F1210)</f>
        <v>0</v>
      </c>
      <c r="I1210" t="str">
        <f>getMount('RawData (GH)'!G1210)</f>
        <v>Nikon F</v>
      </c>
      <c r="J1210" t="str">
        <f>getSensorCompatibility('RawData (GH)'!H1210)</f>
        <v>APS-C/ Kleinbild</v>
      </c>
      <c r="K1210" s="45">
        <f>getWeightAsDouble('RawData (GH)'!I1210)</f>
        <v>530</v>
      </c>
      <c r="L1210" s="34">
        <f>getSizeDiameter('RawData (GH)'!J1210)</f>
        <v>76.599999999999994</v>
      </c>
      <c r="M1210" s="34">
        <f>getSizeLength('RawData (GH)'!J1210)</f>
        <v>119.5</v>
      </c>
    </row>
    <row r="1211" spans="1:13" x14ac:dyDescent="0.25">
      <c r="A1211" t="str">
        <f>'RawData (GH)'!A1211</f>
        <v>Sigma AF 70-300mm 4.0-5.6 DG Makro für Pentax K schwarz</v>
      </c>
      <c r="B1211" s="5">
        <f>getFocalLengthStart('RawData (GH)'!B1211)</f>
        <v>70</v>
      </c>
      <c r="C1211" s="5">
        <f>getFocalLengthEnd('RawData (GH)'!B1211)</f>
        <v>300</v>
      </c>
      <c r="D1211" s="9">
        <f>getApertureStart('RawData (GH)'!C1211)</f>
        <v>4</v>
      </c>
      <c r="E1211" s="9">
        <f>getApertureEnd('RawData (GH)'!C1211)</f>
        <v>5.6</v>
      </c>
      <c r="F1211" s="2">
        <f>getFiltersizeAsDouble('RawData (GH)'!D1211)</f>
        <v>58</v>
      </c>
      <c r="G1211" s="35">
        <f>getMagnification('RawData (GH)'!E1211)</f>
        <v>4.0999999999999996</v>
      </c>
      <c r="H1211" s="62">
        <f>getMinimalFocus('RawData (GH)'!F1211)</f>
        <v>0</v>
      </c>
      <c r="I1211" t="str">
        <f>getMount('RawData (GH)'!G1211)</f>
        <v>Pentax K</v>
      </c>
      <c r="J1211" t="str">
        <f>getSensorCompatibility('RawData (GH)'!H1211)</f>
        <v>APS-C/ Kleinbild</v>
      </c>
      <c r="K1211" s="45">
        <f>getWeightAsDouble('RawData (GH)'!I1211)</f>
        <v>530</v>
      </c>
      <c r="L1211" s="34">
        <f>getSizeDiameter('RawData (GH)'!J1211)</f>
        <v>76.599999999999994</v>
      </c>
      <c r="M1211" s="34">
        <f>getSizeLength('RawData (GH)'!J1211)</f>
        <v>119.5</v>
      </c>
    </row>
    <row r="1212" spans="1:13" x14ac:dyDescent="0.25">
      <c r="A1212" t="str">
        <f>'RawData (GH)'!A1212</f>
        <v>Sigma AF 70-300mm 4.0-5.6 DG Makro für Sigma schwarz</v>
      </c>
      <c r="B1212" s="5">
        <f>getFocalLengthStart('RawData (GH)'!B1212)</f>
        <v>70</v>
      </c>
      <c r="C1212" s="5">
        <f>getFocalLengthEnd('RawData (GH)'!B1212)</f>
        <v>300</v>
      </c>
      <c r="D1212" s="9">
        <f>getApertureStart('RawData (GH)'!C1212)</f>
        <v>4</v>
      </c>
      <c r="E1212" s="9">
        <f>getApertureEnd('RawData (GH)'!C1212)</f>
        <v>5.6</v>
      </c>
      <c r="F1212" s="2">
        <f>getFiltersizeAsDouble('RawData (GH)'!D1212)</f>
        <v>58</v>
      </c>
      <c r="G1212" s="35">
        <f>getMagnification('RawData (GH)'!E1212)</f>
        <v>4.0999999999999996</v>
      </c>
      <c r="H1212" s="62">
        <f>getMinimalFocus('RawData (GH)'!F1212)</f>
        <v>0</v>
      </c>
      <c r="I1212" t="str">
        <f>getMount('RawData (GH)'!G1212)</f>
        <v>Sigma SA</v>
      </c>
      <c r="J1212" t="str">
        <f>getSensorCompatibility('RawData (GH)'!H1212)</f>
        <v>APS-C</v>
      </c>
      <c r="K1212" s="45">
        <f>getWeightAsDouble('RawData (GH)'!I1212)</f>
        <v>530</v>
      </c>
      <c r="L1212" s="34">
        <f>getSizeDiameter('RawData (GH)'!J1212)</f>
        <v>76.599999999999994</v>
      </c>
      <c r="M1212" s="34">
        <f>getSizeLength('RawData (GH)'!J1212)</f>
        <v>119.5</v>
      </c>
    </row>
    <row r="1213" spans="1:13" x14ac:dyDescent="0.25">
      <c r="A1213" t="str">
        <f>'RawData (GH)'!A1213</f>
        <v>Sigma AF 70-300mm 4.0-5.6 DG Makro für Sony A schwarz</v>
      </c>
      <c r="B1213" s="5">
        <f>getFocalLengthStart('RawData (GH)'!B1213)</f>
        <v>70</v>
      </c>
      <c r="C1213" s="5">
        <f>getFocalLengthEnd('RawData (GH)'!B1213)</f>
        <v>300</v>
      </c>
      <c r="D1213" s="9">
        <f>getApertureStart('RawData (GH)'!C1213)</f>
        <v>4</v>
      </c>
      <c r="E1213" s="9">
        <f>getApertureEnd('RawData (GH)'!C1213)</f>
        <v>5.6</v>
      </c>
      <c r="F1213" s="2">
        <f>getFiltersizeAsDouble('RawData (GH)'!D1213)</f>
        <v>58</v>
      </c>
      <c r="G1213" s="35">
        <f>getMagnification('RawData (GH)'!E1213)</f>
        <v>4.0999999999999996</v>
      </c>
      <c r="H1213" s="62">
        <f>getMinimalFocus('RawData (GH)'!F1213)</f>
        <v>0</v>
      </c>
      <c r="I1213" t="str">
        <f>getMount('RawData (GH)'!G1213)</f>
        <v>Sony A</v>
      </c>
      <c r="J1213" t="str">
        <f>getSensorCompatibility('RawData (GH)'!H1213)</f>
        <v>APS-C/ Kleinbild</v>
      </c>
      <c r="K1213" s="45">
        <f>getWeightAsDouble('RawData (GH)'!I1213)</f>
        <v>530</v>
      </c>
      <c r="L1213" s="34">
        <f>getSizeDiameter('RawData (GH)'!J1213)</f>
        <v>76.599999999999994</v>
      </c>
      <c r="M1213" s="34">
        <f>getSizeLength('RawData (GH)'!J1213)</f>
        <v>119.5</v>
      </c>
    </row>
    <row r="1214" spans="1:13" x14ac:dyDescent="0.25">
      <c r="A1214" t="str">
        <f>'RawData (GH)'!A1214</f>
        <v>Sigma AF 70-300mm 4.0-5.6 DG Makro mit AF-Motor für Nikon F schwarz</v>
      </c>
      <c r="B1214" s="5">
        <f>getFocalLengthStart('RawData (GH)'!B1214)</f>
        <v>70</v>
      </c>
      <c r="C1214" s="5">
        <f>getFocalLengthEnd('RawData (GH)'!B1214)</f>
        <v>300</v>
      </c>
      <c r="D1214" s="9">
        <f>getApertureStart('RawData (GH)'!C1214)</f>
        <v>4</v>
      </c>
      <c r="E1214" s="9">
        <f>getApertureEnd('RawData (GH)'!C1214)</f>
        <v>5.6</v>
      </c>
      <c r="F1214" s="2">
        <f>getFiltersizeAsDouble('RawData (GH)'!D1214)</f>
        <v>58</v>
      </c>
      <c r="G1214" s="35">
        <f>getMagnification('RawData (GH)'!E1214)</f>
        <v>4.0999999999999996</v>
      </c>
      <c r="H1214" s="62">
        <f>getMinimalFocus('RawData (GH)'!F1214)</f>
        <v>0</v>
      </c>
      <c r="I1214" t="str">
        <f>getMount('RawData (GH)'!G1214)</f>
        <v>Nikon F</v>
      </c>
      <c r="J1214" t="str">
        <f>getSensorCompatibility('RawData (GH)'!H1214)</f>
        <v>APS-C/ Kleinbild</v>
      </c>
      <c r="K1214" s="45">
        <f>getWeightAsDouble('RawData (GH)'!I1214)</f>
        <v>540</v>
      </c>
      <c r="L1214" s="34">
        <f>getSizeDiameter('RawData (GH)'!J1214)</f>
        <v>76.599999999999994</v>
      </c>
      <c r="M1214" s="34">
        <f>getSizeLength('RawData (GH)'!J1214)</f>
        <v>119.5</v>
      </c>
    </row>
    <row r="1215" spans="1:13" x14ac:dyDescent="0.25">
      <c r="A1215" t="str">
        <f>'RawData (GH)'!A1215</f>
        <v>Sigma AF 70-300mm 4.0-5.6 DG OS für Canon EF schwarz</v>
      </c>
      <c r="B1215" s="5">
        <f>getFocalLengthStart('RawData (GH)'!B1215)</f>
        <v>70</v>
      </c>
      <c r="C1215" s="5">
        <f>getFocalLengthEnd('RawData (GH)'!B1215)</f>
        <v>300</v>
      </c>
      <c r="D1215" s="9">
        <f>getApertureStart('RawData (GH)'!C1215)</f>
        <v>4</v>
      </c>
      <c r="E1215" s="9">
        <f>getApertureEnd('RawData (GH)'!C1215)</f>
        <v>5.6</v>
      </c>
      <c r="F1215" s="2">
        <f>getFiltersizeAsDouble('RawData (GH)'!D1215)</f>
        <v>62</v>
      </c>
      <c r="G1215" s="35">
        <f>getMagnification('RawData (GH)'!E1215)</f>
        <v>3.9</v>
      </c>
      <c r="H1215" s="62">
        <f>getMinimalFocus('RawData (GH)'!F1215)</f>
        <v>0</v>
      </c>
      <c r="I1215" t="str">
        <f>getMount('RawData (GH)'!G1215)</f>
        <v>Canon EF</v>
      </c>
      <c r="J1215" t="str">
        <f>getSensorCompatibility('RawData (GH)'!H1215)</f>
        <v>APS-C/ Kleinbild</v>
      </c>
      <c r="K1215" s="45">
        <f>getWeightAsDouble('RawData (GH)'!I1215)</f>
        <v>610</v>
      </c>
      <c r="L1215" s="34">
        <f>getSizeDiameter('RawData (GH)'!J1215)</f>
        <v>76.5</v>
      </c>
      <c r="M1215" s="34">
        <f>getSizeLength('RawData (GH)'!J1215)</f>
        <v>126.5</v>
      </c>
    </row>
    <row r="1216" spans="1:13" x14ac:dyDescent="0.25">
      <c r="A1216" t="str">
        <f>'RawData (GH)'!A1216</f>
        <v>Sigma AF 70-300mm 4.0-5.6 DG OS für Nikon F schwarz</v>
      </c>
      <c r="B1216" s="5">
        <f>getFocalLengthStart('RawData (GH)'!B1216)</f>
        <v>70</v>
      </c>
      <c r="C1216" s="5">
        <f>getFocalLengthEnd('RawData (GH)'!B1216)</f>
        <v>300</v>
      </c>
      <c r="D1216" s="9">
        <f>getApertureStart('RawData (GH)'!C1216)</f>
        <v>4</v>
      </c>
      <c r="E1216" s="9">
        <f>getApertureEnd('RawData (GH)'!C1216)</f>
        <v>5.6</v>
      </c>
      <c r="F1216" s="2">
        <f>getFiltersizeAsDouble('RawData (GH)'!D1216)</f>
        <v>62</v>
      </c>
      <c r="G1216" s="35">
        <f>getMagnification('RawData (GH)'!E1216)</f>
        <v>3.9</v>
      </c>
      <c r="H1216" s="62">
        <f>getMinimalFocus('RawData (GH)'!F1216)</f>
        <v>0</v>
      </c>
      <c r="I1216" t="str">
        <f>getMount('RawData (GH)'!G1216)</f>
        <v>Nikon F</v>
      </c>
      <c r="J1216" t="str">
        <f>getSensorCompatibility('RawData (GH)'!H1216)</f>
        <v>APS-C/ Kleinbild</v>
      </c>
      <c r="K1216" s="45">
        <f>getWeightAsDouble('RawData (GH)'!I1216)</f>
        <v>610</v>
      </c>
      <c r="L1216" s="34">
        <f>getSizeDiameter('RawData (GH)'!J1216)</f>
        <v>76.5</v>
      </c>
      <c r="M1216" s="34">
        <f>getSizeLength('RawData (GH)'!J1216)</f>
        <v>126.5</v>
      </c>
    </row>
    <row r="1217" spans="1:13" x14ac:dyDescent="0.25">
      <c r="A1217" t="str">
        <f>'RawData (GH)'!A1217</f>
        <v>Sigma AF 70-300mm 4.0-5.6 DG OS für Pentax K schwarz</v>
      </c>
      <c r="B1217" s="5">
        <f>getFocalLengthStart('RawData (GH)'!B1217)</f>
        <v>70</v>
      </c>
      <c r="C1217" s="5">
        <f>getFocalLengthEnd('RawData (GH)'!B1217)</f>
        <v>300</v>
      </c>
      <c r="D1217" s="9">
        <f>getApertureStart('RawData (GH)'!C1217)</f>
        <v>4</v>
      </c>
      <c r="E1217" s="9">
        <f>getApertureEnd('RawData (GH)'!C1217)</f>
        <v>5.6</v>
      </c>
      <c r="F1217" s="2">
        <f>getFiltersizeAsDouble('RawData (GH)'!D1217)</f>
        <v>62</v>
      </c>
      <c r="G1217" s="35">
        <f>getMagnification('RawData (GH)'!E1217)</f>
        <v>3.9</v>
      </c>
      <c r="H1217" s="62">
        <f>getMinimalFocus('RawData (GH)'!F1217)</f>
        <v>0</v>
      </c>
      <c r="I1217" t="str">
        <f>getMount('RawData (GH)'!G1217)</f>
        <v>Pentax K</v>
      </c>
      <c r="J1217" t="str">
        <f>getSensorCompatibility('RawData (GH)'!H1217)</f>
        <v>APS-C/ Kleinbild</v>
      </c>
      <c r="K1217" s="45">
        <f>getWeightAsDouble('RawData (GH)'!I1217)</f>
        <v>610</v>
      </c>
      <c r="L1217" s="34">
        <f>getSizeDiameter('RawData (GH)'!J1217)</f>
        <v>76.5</v>
      </c>
      <c r="M1217" s="34">
        <f>getSizeLength('RawData (GH)'!J1217)</f>
        <v>126.5</v>
      </c>
    </row>
    <row r="1218" spans="1:13" x14ac:dyDescent="0.25">
      <c r="A1218" t="str">
        <f>'RawData (GH)'!A1218</f>
        <v>Sigma AF 70-300mm 4.0-5.6 DG OS für Sigma schwarz</v>
      </c>
      <c r="B1218" s="5">
        <f>getFocalLengthStart('RawData (GH)'!B1218)</f>
        <v>70</v>
      </c>
      <c r="C1218" s="5">
        <f>getFocalLengthEnd('RawData (GH)'!B1218)</f>
        <v>300</v>
      </c>
      <c r="D1218" s="9">
        <f>getApertureStart('RawData (GH)'!C1218)</f>
        <v>4</v>
      </c>
      <c r="E1218" s="9">
        <f>getApertureEnd('RawData (GH)'!C1218)</f>
        <v>5.6</v>
      </c>
      <c r="F1218" s="2">
        <f>getFiltersizeAsDouble('RawData (GH)'!D1218)</f>
        <v>62</v>
      </c>
      <c r="G1218" s="35">
        <f>getMagnification('RawData (GH)'!E1218)</f>
        <v>3.9</v>
      </c>
      <c r="H1218" s="62">
        <f>getMinimalFocus('RawData (GH)'!F1218)</f>
        <v>0</v>
      </c>
      <c r="I1218" t="str">
        <f>getMount('RawData (GH)'!G1218)</f>
        <v>Sigma SA</v>
      </c>
      <c r="J1218" t="str">
        <f>getSensorCompatibility('RawData (GH)'!H1218)</f>
        <v>APS-C</v>
      </c>
      <c r="K1218" s="45">
        <f>getWeightAsDouble('RawData (GH)'!I1218)</f>
        <v>610</v>
      </c>
      <c r="L1218" s="34">
        <f>getSizeDiameter('RawData (GH)'!J1218)</f>
        <v>76.5</v>
      </c>
      <c r="M1218" s="34">
        <f>getSizeLength('RawData (GH)'!J1218)</f>
        <v>126.5</v>
      </c>
    </row>
    <row r="1219" spans="1:13" x14ac:dyDescent="0.25">
      <c r="A1219" t="str">
        <f>'RawData (GH)'!A1219</f>
        <v>Sigma AF 70-300mm 4.0-5.6 DG OS für Sony A schwarz</v>
      </c>
      <c r="B1219" s="5">
        <f>getFocalLengthStart('RawData (GH)'!B1219)</f>
        <v>70</v>
      </c>
      <c r="C1219" s="5">
        <f>getFocalLengthEnd('RawData (GH)'!B1219)</f>
        <v>300</v>
      </c>
      <c r="D1219" s="9">
        <f>getApertureStart('RawData (GH)'!C1219)</f>
        <v>4</v>
      </c>
      <c r="E1219" s="9">
        <f>getApertureEnd('RawData (GH)'!C1219)</f>
        <v>5.6</v>
      </c>
      <c r="F1219" s="2">
        <f>getFiltersizeAsDouble('RawData (GH)'!D1219)</f>
        <v>62</v>
      </c>
      <c r="G1219" s="35">
        <f>getMagnification('RawData (GH)'!E1219)</f>
        <v>3.9</v>
      </c>
      <c r="H1219" s="62">
        <f>getMinimalFocus('RawData (GH)'!F1219)</f>
        <v>0</v>
      </c>
      <c r="I1219" t="str">
        <f>getMount('RawData (GH)'!G1219)</f>
        <v>Sony A</v>
      </c>
      <c r="J1219" t="str">
        <f>getSensorCompatibility('RawData (GH)'!H1219)</f>
        <v>APS-C/ Kleinbild</v>
      </c>
      <c r="K1219" s="45">
        <f>getWeightAsDouble('RawData (GH)'!I1219)</f>
        <v>610</v>
      </c>
      <c r="L1219" s="34">
        <f>getSizeDiameter('RawData (GH)'!J1219)</f>
        <v>76.5</v>
      </c>
      <c r="M1219" s="34">
        <f>getSizeLength('RawData (GH)'!J1219)</f>
        <v>126.5</v>
      </c>
    </row>
    <row r="1220" spans="1:13" x14ac:dyDescent="0.25">
      <c r="A1220" t="str">
        <f>'RawData (GH)'!A1220</f>
        <v>Sigma AF 70mm 2.8 EX DG Makro für Canon EF schwarz</v>
      </c>
      <c r="B1220" s="5">
        <f>getFocalLengthStart('RawData (GH)'!B1220)</f>
        <v>70</v>
      </c>
      <c r="C1220" s="5">
        <f>getFocalLengthEnd('RawData (GH)'!B1220)</f>
        <v>70</v>
      </c>
      <c r="D1220" s="9">
        <f>getApertureStart('RawData (GH)'!C1220)</f>
        <v>2.8</v>
      </c>
      <c r="E1220" s="9">
        <f>getApertureEnd('RawData (GH)'!C1220)</f>
        <v>2.8</v>
      </c>
      <c r="F1220" s="2">
        <f>getFiltersizeAsDouble('RawData (GH)'!D1220)</f>
        <v>62</v>
      </c>
      <c r="G1220" s="35">
        <f>getMagnification('RawData (GH)'!E1220)</f>
        <v>1</v>
      </c>
      <c r="H1220" s="62">
        <f>getMinimalFocus('RawData (GH)'!F1220)</f>
        <v>0</v>
      </c>
      <c r="I1220" t="str">
        <f>getMount('RawData (GH)'!G1220)</f>
        <v>Canon EF</v>
      </c>
      <c r="J1220" t="str">
        <f>getSensorCompatibility('RawData (GH)'!H1220)</f>
        <v>APS-C/ Kleinbild</v>
      </c>
      <c r="K1220" s="45">
        <f>getWeightAsDouble('RawData (GH)'!I1220)</f>
        <v>527</v>
      </c>
      <c r="L1220" s="34">
        <f>getSizeDiameter('RawData (GH)'!J1220)</f>
        <v>76</v>
      </c>
      <c r="M1220" s="34">
        <f>getSizeLength('RawData (GH)'!J1220)</f>
        <v>95</v>
      </c>
    </row>
    <row r="1221" spans="1:13" x14ac:dyDescent="0.25">
      <c r="A1221" t="str">
        <f>'RawData (GH)'!A1221</f>
        <v>Sigma AF 70mm 2.8 EX DG Makro für Nikon F schwarz</v>
      </c>
      <c r="B1221" s="5">
        <f>getFocalLengthStart('RawData (GH)'!B1221)</f>
        <v>70</v>
      </c>
      <c r="C1221" s="5">
        <f>getFocalLengthEnd('RawData (GH)'!B1221)</f>
        <v>70</v>
      </c>
      <c r="D1221" s="9">
        <f>getApertureStart('RawData (GH)'!C1221)</f>
        <v>2.8</v>
      </c>
      <c r="E1221" s="9">
        <f>getApertureEnd('RawData (GH)'!C1221)</f>
        <v>2.8</v>
      </c>
      <c r="F1221" s="2">
        <f>getFiltersizeAsDouble('RawData (GH)'!D1221)</f>
        <v>62</v>
      </c>
      <c r="G1221" s="35">
        <f>getMagnification('RawData (GH)'!E1221)</f>
        <v>1</v>
      </c>
      <c r="H1221" s="62">
        <f>getMinimalFocus('RawData (GH)'!F1221)</f>
        <v>0</v>
      </c>
      <c r="I1221" t="str">
        <f>getMount('RawData (GH)'!G1221)</f>
        <v>Nikon F</v>
      </c>
      <c r="J1221" t="str">
        <f>getSensorCompatibility('RawData (GH)'!H1221)</f>
        <v>APS-C/ Kleinbild</v>
      </c>
      <c r="K1221" s="45">
        <f>getWeightAsDouble('RawData (GH)'!I1221)</f>
        <v>527</v>
      </c>
      <c r="L1221" s="34">
        <f>getSizeDiameter('RawData (GH)'!J1221)</f>
        <v>76</v>
      </c>
      <c r="M1221" s="34">
        <f>getSizeLength('RawData (GH)'!J1221)</f>
        <v>95</v>
      </c>
    </row>
    <row r="1222" spans="1:13" x14ac:dyDescent="0.25">
      <c r="A1222" t="str">
        <f>'RawData (GH)'!A1222</f>
        <v>Sigma AF 70mm 2.8 EX DG Makro für Sigma schwarz</v>
      </c>
      <c r="B1222" s="5">
        <f>getFocalLengthStart('RawData (GH)'!B1222)</f>
        <v>70</v>
      </c>
      <c r="C1222" s="5">
        <f>getFocalLengthEnd('RawData (GH)'!B1222)</f>
        <v>70</v>
      </c>
      <c r="D1222" s="9">
        <f>getApertureStart('RawData (GH)'!C1222)</f>
        <v>2.8</v>
      </c>
      <c r="E1222" s="9">
        <f>getApertureEnd('RawData (GH)'!C1222)</f>
        <v>2.8</v>
      </c>
      <c r="F1222" s="2">
        <f>getFiltersizeAsDouble('RawData (GH)'!D1222)</f>
        <v>62</v>
      </c>
      <c r="G1222" s="35">
        <f>getMagnification('RawData (GH)'!E1222)</f>
        <v>1</v>
      </c>
      <c r="H1222" s="62">
        <f>getMinimalFocus('RawData (GH)'!F1222)</f>
        <v>0</v>
      </c>
      <c r="I1222" t="str">
        <f>getMount('RawData (GH)'!G1222)</f>
        <v>Sigma SA</v>
      </c>
      <c r="J1222" t="str">
        <f>getSensorCompatibility('RawData (GH)'!H1222)</f>
        <v>APS-C</v>
      </c>
      <c r="K1222" s="45">
        <f>getWeightAsDouble('RawData (GH)'!I1222)</f>
        <v>527</v>
      </c>
      <c r="L1222" s="34">
        <f>getSizeDiameter('RawData (GH)'!J1222)</f>
        <v>76</v>
      </c>
      <c r="M1222" s="34">
        <f>getSizeLength('RawData (GH)'!J1222)</f>
        <v>95</v>
      </c>
    </row>
    <row r="1223" spans="1:13" x14ac:dyDescent="0.25">
      <c r="A1223" t="str">
        <f>'RawData (GH)'!A1223</f>
        <v>Sigma AF 70mm 2.8 EX DG Makro für Sony A schwarz</v>
      </c>
      <c r="B1223" s="5">
        <f>getFocalLengthStart('RawData (GH)'!B1223)</f>
        <v>70</v>
      </c>
      <c r="C1223" s="5">
        <f>getFocalLengthEnd('RawData (GH)'!B1223)</f>
        <v>70</v>
      </c>
      <c r="D1223" s="9">
        <f>getApertureStart('RawData (GH)'!C1223)</f>
        <v>2.8</v>
      </c>
      <c r="E1223" s="9">
        <f>getApertureEnd('RawData (GH)'!C1223)</f>
        <v>2.8</v>
      </c>
      <c r="F1223" s="2">
        <f>getFiltersizeAsDouble('RawData (GH)'!D1223)</f>
        <v>62</v>
      </c>
      <c r="G1223" s="35">
        <f>getMagnification('RawData (GH)'!E1223)</f>
        <v>1</v>
      </c>
      <c r="H1223" s="62">
        <f>getMinimalFocus('RawData (GH)'!F1223)</f>
        <v>0</v>
      </c>
      <c r="I1223" t="str">
        <f>getMount('RawData (GH)'!G1223)</f>
        <v>Sony A</v>
      </c>
      <c r="J1223" t="str">
        <f>getSensorCompatibility('RawData (GH)'!H1223)</f>
        <v>APS-C/ Kleinbild</v>
      </c>
      <c r="K1223" s="45">
        <f>getWeightAsDouble('RawData (GH)'!I1223)</f>
        <v>527</v>
      </c>
      <c r="L1223" s="34">
        <f>getSizeDiameter('RawData (GH)'!J1223)</f>
        <v>76</v>
      </c>
      <c r="M1223" s="34">
        <f>getSizeLength('RawData (GH)'!J1223)</f>
        <v>95</v>
      </c>
    </row>
    <row r="1224" spans="1:13" x14ac:dyDescent="0.25">
      <c r="A1224" t="str">
        <f>'RawData (GH)'!A1224</f>
        <v>Sigma AF 800mm 5.6 EX DG APO HSM IF für Canon EF schwarz</v>
      </c>
      <c r="B1224" s="5">
        <f>getFocalLengthStart('RawData (GH)'!B1224)</f>
        <v>800</v>
      </c>
      <c r="C1224" s="5">
        <f>getFocalLengthEnd('RawData (GH)'!B1224)</f>
        <v>800</v>
      </c>
      <c r="D1224" s="9">
        <f>getApertureStart('RawData (GH)'!C1224)</f>
        <v>5.6</v>
      </c>
      <c r="E1224" s="9">
        <f>getApertureEnd('RawData (GH)'!C1224)</f>
        <v>5.6</v>
      </c>
      <c r="F1224" s="2">
        <f>getFiltersizeAsDouble('RawData (GH)'!D1224)</f>
        <v>46</v>
      </c>
      <c r="G1224" s="35">
        <f>getMagnification('RawData (GH)'!E1224)</f>
        <v>8.8000000000000007</v>
      </c>
      <c r="H1224" s="62">
        <f>getMinimalFocus('RawData (GH)'!F1224)</f>
        <v>0</v>
      </c>
      <c r="I1224" t="str">
        <f>getMount('RawData (GH)'!G1224)</f>
        <v>Canon EF</v>
      </c>
      <c r="J1224" t="str">
        <f>getSensorCompatibility('RawData (GH)'!H1224)</f>
        <v>APS-C/ Kleinbild</v>
      </c>
      <c r="K1224" s="45">
        <f>getWeightAsDouble('RawData (GH)'!I1224)</f>
        <v>4900</v>
      </c>
      <c r="L1224" s="34">
        <f>getSizeDiameter('RawData (GH)'!J1224)</f>
        <v>156.5</v>
      </c>
      <c r="M1224" s="34">
        <f>getSizeLength('RawData (GH)'!J1224)</f>
        <v>521</v>
      </c>
    </row>
    <row r="1225" spans="1:13" x14ac:dyDescent="0.25">
      <c r="A1225" t="str">
        <f>'RawData (GH)'!A1225</f>
        <v>Sigma AF 800mm 5.6 EX DG APO HSM IF für Nikon F schwarz</v>
      </c>
      <c r="B1225" s="5">
        <f>getFocalLengthStart('RawData (GH)'!B1225)</f>
        <v>800</v>
      </c>
      <c r="C1225" s="5">
        <f>getFocalLengthEnd('RawData (GH)'!B1225)</f>
        <v>800</v>
      </c>
      <c r="D1225" s="9">
        <f>getApertureStart('RawData (GH)'!C1225)</f>
        <v>5.6</v>
      </c>
      <c r="E1225" s="9">
        <f>getApertureEnd('RawData (GH)'!C1225)</f>
        <v>5.6</v>
      </c>
      <c r="F1225" s="2">
        <f>getFiltersizeAsDouble('RawData (GH)'!D1225)</f>
        <v>46</v>
      </c>
      <c r="G1225" s="35">
        <f>getMagnification('RawData (GH)'!E1225)</f>
        <v>8.8000000000000007</v>
      </c>
      <c r="H1225" s="62">
        <f>getMinimalFocus('RawData (GH)'!F1225)</f>
        <v>0</v>
      </c>
      <c r="I1225" t="str">
        <f>getMount('RawData (GH)'!G1225)</f>
        <v>Nikon F</v>
      </c>
      <c r="J1225" t="str">
        <f>getSensorCompatibility('RawData (GH)'!H1225)</f>
        <v>APS-C/ Kleinbild</v>
      </c>
      <c r="K1225" s="45">
        <f>getWeightAsDouble('RawData (GH)'!I1225)</f>
        <v>4900</v>
      </c>
      <c r="L1225" s="34">
        <f>getSizeDiameter('RawData (GH)'!J1225)</f>
        <v>156.5</v>
      </c>
      <c r="M1225" s="34">
        <f>getSizeLength('RawData (GH)'!J1225)</f>
        <v>521</v>
      </c>
    </row>
    <row r="1226" spans="1:13" x14ac:dyDescent="0.25">
      <c r="A1226" t="str">
        <f>'RawData (GH)'!A1226</f>
        <v>Sigma AF 800mm 5.6 EX DG APO HSM IF für Sigma schwarz</v>
      </c>
      <c r="B1226" s="5">
        <f>getFocalLengthStart('RawData (GH)'!B1226)</f>
        <v>800</v>
      </c>
      <c r="C1226" s="5">
        <f>getFocalLengthEnd('RawData (GH)'!B1226)</f>
        <v>800</v>
      </c>
      <c r="D1226" s="9">
        <f>getApertureStart('RawData (GH)'!C1226)</f>
        <v>5.6</v>
      </c>
      <c r="E1226" s="9">
        <f>getApertureEnd('RawData (GH)'!C1226)</f>
        <v>5.6</v>
      </c>
      <c r="F1226" s="2">
        <f>getFiltersizeAsDouble('RawData (GH)'!D1226)</f>
        <v>46</v>
      </c>
      <c r="G1226" s="35">
        <f>getMagnification('RawData (GH)'!E1226)</f>
        <v>8.8000000000000007</v>
      </c>
      <c r="H1226" s="62">
        <f>getMinimalFocus('RawData (GH)'!F1226)</f>
        <v>0</v>
      </c>
      <c r="I1226" t="str">
        <f>getMount('RawData (GH)'!G1226)</f>
        <v>Sigma SA</v>
      </c>
      <c r="J1226" t="str">
        <f>getSensorCompatibility('RawData (GH)'!H1226)</f>
        <v>APS-C</v>
      </c>
      <c r="K1226" s="45">
        <f>getWeightAsDouble('RawData (GH)'!I1226)</f>
        <v>4900</v>
      </c>
      <c r="L1226" s="34">
        <f>getSizeDiameter('RawData (GH)'!J1226)</f>
        <v>156.5</v>
      </c>
      <c r="M1226" s="34">
        <f>getSizeLength('RawData (GH)'!J1226)</f>
        <v>521</v>
      </c>
    </row>
    <row r="1227" spans="1:13" x14ac:dyDescent="0.25">
      <c r="A1227" t="str">
        <f>'RawData (GH)'!A1227</f>
        <v>Sigma AF 8-16mm 4.5-5.6 DC HSM für Canon EF schwarz</v>
      </c>
      <c r="B1227" s="5">
        <f>getFocalLengthStart('RawData (GH)'!B1227)</f>
        <v>8</v>
      </c>
      <c r="C1227" s="5">
        <f>getFocalLengthEnd('RawData (GH)'!B1227)</f>
        <v>16</v>
      </c>
      <c r="D1227" s="9">
        <f>getApertureStart('RawData (GH)'!C1227)</f>
        <v>4.5</v>
      </c>
      <c r="E1227" s="9">
        <f>getApertureEnd('RawData (GH)'!C1227)</f>
        <v>5.6</v>
      </c>
      <c r="F1227" s="2">
        <f>getFiltersizeAsDouble('RawData (GH)'!D1227)</f>
        <v>0</v>
      </c>
      <c r="G1227" s="35">
        <f>getMagnification('RawData (GH)'!E1227)</f>
        <v>7.8</v>
      </c>
      <c r="H1227" s="62">
        <f>getMinimalFocus('RawData (GH)'!F1227)</f>
        <v>0</v>
      </c>
      <c r="I1227" t="str">
        <f>getMount('RawData (GH)'!G1227)</f>
        <v>Canon EF-S</v>
      </c>
      <c r="J1227" t="str">
        <f>getSensorCompatibility('RawData (GH)'!H1227)</f>
        <v>APS-C</v>
      </c>
      <c r="K1227" s="45">
        <f>getWeightAsDouble('RawData (GH)'!I1227)</f>
        <v>545</v>
      </c>
      <c r="L1227" s="34">
        <f>getSizeDiameter('RawData (GH)'!J1227)</f>
        <v>75</v>
      </c>
      <c r="M1227" s="34">
        <f>getSizeLength('RawData (GH)'!J1227)</f>
        <v>105.7</v>
      </c>
    </row>
    <row r="1228" spans="1:13" x14ac:dyDescent="0.25">
      <c r="A1228" t="str">
        <f>'RawData (GH)'!A1228</f>
        <v>Sigma AF 8-16mm 4.5-5.6 DC HSM für Nikon F schwarz</v>
      </c>
      <c r="B1228" s="5">
        <f>getFocalLengthStart('RawData (GH)'!B1228)</f>
        <v>8</v>
      </c>
      <c r="C1228" s="5">
        <f>getFocalLengthEnd('RawData (GH)'!B1228)</f>
        <v>16</v>
      </c>
      <c r="D1228" s="9">
        <f>getApertureStart('RawData (GH)'!C1228)</f>
        <v>4.5</v>
      </c>
      <c r="E1228" s="9">
        <f>getApertureEnd('RawData (GH)'!C1228)</f>
        <v>5.6</v>
      </c>
      <c r="F1228" s="2">
        <f>getFiltersizeAsDouble('RawData (GH)'!D1228)</f>
        <v>0</v>
      </c>
      <c r="G1228" s="35">
        <f>getMagnification('RawData (GH)'!E1228)</f>
        <v>7.8</v>
      </c>
      <c r="H1228" s="62">
        <f>getMinimalFocus('RawData (GH)'!F1228)</f>
        <v>0</v>
      </c>
      <c r="I1228" t="str">
        <f>getMount('RawData (GH)'!G1228)</f>
        <v>Nikon F</v>
      </c>
      <c r="J1228" t="str">
        <f>getSensorCompatibility('RawData (GH)'!H1228)</f>
        <v>APS-C</v>
      </c>
      <c r="K1228" s="45">
        <f>getWeightAsDouble('RawData (GH)'!I1228)</f>
        <v>545</v>
      </c>
      <c r="L1228" s="34">
        <f>getSizeDiameter('RawData (GH)'!J1228)</f>
        <v>75</v>
      </c>
      <c r="M1228" s="34">
        <f>getSizeLength('RawData (GH)'!J1228)</f>
        <v>105.7</v>
      </c>
    </row>
    <row r="1229" spans="1:13" x14ac:dyDescent="0.25">
      <c r="A1229" t="str">
        <f>'RawData (GH)'!A1229</f>
        <v>Sigma AF 8-16mm 4.5-5.6 DC HSM für Pentax K schwarz</v>
      </c>
      <c r="B1229" s="5">
        <f>getFocalLengthStart('RawData (GH)'!B1229)</f>
        <v>8</v>
      </c>
      <c r="C1229" s="5">
        <f>getFocalLengthEnd('RawData (GH)'!B1229)</f>
        <v>16</v>
      </c>
      <c r="D1229" s="9">
        <f>getApertureStart('RawData (GH)'!C1229)</f>
        <v>4.5</v>
      </c>
      <c r="E1229" s="9">
        <f>getApertureEnd('RawData (GH)'!C1229)</f>
        <v>5.6</v>
      </c>
      <c r="F1229" s="2">
        <f>getFiltersizeAsDouble('RawData (GH)'!D1229)</f>
        <v>0</v>
      </c>
      <c r="G1229" s="35">
        <f>getMagnification('RawData (GH)'!E1229)</f>
        <v>7.8</v>
      </c>
      <c r="H1229" s="62">
        <f>getMinimalFocus('RawData (GH)'!F1229)</f>
        <v>0</v>
      </c>
      <c r="I1229" t="str">
        <f>getMount('RawData (GH)'!G1229)</f>
        <v>Pentax K</v>
      </c>
      <c r="J1229" t="str">
        <f>getSensorCompatibility('RawData (GH)'!H1229)</f>
        <v>APS-C</v>
      </c>
      <c r="K1229" s="45">
        <f>getWeightAsDouble('RawData (GH)'!I1229)</f>
        <v>545</v>
      </c>
      <c r="L1229" s="34">
        <f>getSizeDiameter('RawData (GH)'!J1229)</f>
        <v>75</v>
      </c>
      <c r="M1229" s="34">
        <f>getSizeLength('RawData (GH)'!J1229)</f>
        <v>105.7</v>
      </c>
    </row>
    <row r="1230" spans="1:13" x14ac:dyDescent="0.25">
      <c r="A1230" t="str">
        <f>'RawData (GH)'!A1230</f>
        <v>Sigma AF 8-16mm 4.5-5.6 DC HSM für Sigma schwarz</v>
      </c>
      <c r="B1230" s="5">
        <f>getFocalLengthStart('RawData (GH)'!B1230)</f>
        <v>8</v>
      </c>
      <c r="C1230" s="5">
        <f>getFocalLengthEnd('RawData (GH)'!B1230)</f>
        <v>16</v>
      </c>
      <c r="D1230" s="9">
        <f>getApertureStart('RawData (GH)'!C1230)</f>
        <v>4.5</v>
      </c>
      <c r="E1230" s="9">
        <f>getApertureEnd('RawData (GH)'!C1230)</f>
        <v>5.6</v>
      </c>
      <c r="F1230" s="2">
        <f>getFiltersizeAsDouble('RawData (GH)'!D1230)</f>
        <v>0</v>
      </c>
      <c r="G1230" s="35">
        <f>getMagnification('RawData (GH)'!E1230)</f>
        <v>7.8</v>
      </c>
      <c r="H1230" s="62">
        <f>getMinimalFocus('RawData (GH)'!F1230)</f>
        <v>0</v>
      </c>
      <c r="I1230" t="str">
        <f>getMount('RawData (GH)'!G1230)</f>
        <v>Sigma SA</v>
      </c>
      <c r="J1230" t="str">
        <f>getSensorCompatibility('RawData (GH)'!H1230)</f>
        <v>APS-C</v>
      </c>
      <c r="K1230" s="45">
        <f>getWeightAsDouble('RawData (GH)'!I1230)</f>
        <v>545</v>
      </c>
      <c r="L1230" s="34">
        <f>getSizeDiameter('RawData (GH)'!J1230)</f>
        <v>75</v>
      </c>
      <c r="M1230" s="34">
        <f>getSizeLength('RawData (GH)'!J1230)</f>
        <v>105.7</v>
      </c>
    </row>
    <row r="1231" spans="1:13" x14ac:dyDescent="0.25">
      <c r="A1231" t="str">
        <f>'RawData (GH)'!A1231</f>
        <v>Sigma AF 8-16mm 4.5-5.6 DC HSM für Sony A schwarz</v>
      </c>
      <c r="B1231" s="5">
        <f>getFocalLengthStart('RawData (GH)'!B1231)</f>
        <v>8</v>
      </c>
      <c r="C1231" s="5">
        <f>getFocalLengthEnd('RawData (GH)'!B1231)</f>
        <v>16</v>
      </c>
      <c r="D1231" s="9">
        <f>getApertureStart('RawData (GH)'!C1231)</f>
        <v>4.5</v>
      </c>
      <c r="E1231" s="9">
        <f>getApertureEnd('RawData (GH)'!C1231)</f>
        <v>5.6</v>
      </c>
      <c r="F1231" s="2">
        <f>getFiltersizeAsDouble('RawData (GH)'!D1231)</f>
        <v>0</v>
      </c>
      <c r="G1231" s="35">
        <f>getMagnification('RawData (GH)'!E1231)</f>
        <v>7.8</v>
      </c>
      <c r="H1231" s="62">
        <f>getMinimalFocus('RawData (GH)'!F1231)</f>
        <v>0</v>
      </c>
      <c r="I1231" t="str">
        <f>getMount('RawData (GH)'!G1231)</f>
        <v>Sony A</v>
      </c>
      <c r="J1231" t="str">
        <f>getSensorCompatibility('RawData (GH)'!H1231)</f>
        <v>APS-C</v>
      </c>
      <c r="K1231" s="45">
        <f>getWeightAsDouble('RawData (GH)'!I1231)</f>
        <v>545</v>
      </c>
      <c r="L1231" s="34">
        <f>getSizeDiameter('RawData (GH)'!J1231)</f>
        <v>75</v>
      </c>
      <c r="M1231" s="34">
        <f>getSizeLength('RawData (GH)'!J1231)</f>
        <v>105.7</v>
      </c>
    </row>
    <row r="1232" spans="1:13" x14ac:dyDescent="0.25">
      <c r="A1232" t="str">
        <f>'RawData (GH)'!A1232</f>
        <v>Sigma AF 85mm 1.4 EX DG HSM für Canon EF schwarz</v>
      </c>
      <c r="B1232" s="5">
        <f>getFocalLengthStart('RawData (GH)'!B1232)</f>
        <v>85</v>
      </c>
      <c r="C1232" s="5">
        <f>getFocalLengthEnd('RawData (GH)'!B1232)</f>
        <v>85</v>
      </c>
      <c r="D1232" s="9">
        <f>getApertureStart('RawData (GH)'!C1232)</f>
        <v>1.4</v>
      </c>
      <c r="E1232" s="9">
        <f>getApertureEnd('RawData (GH)'!C1232)</f>
        <v>1.4</v>
      </c>
      <c r="F1232" s="2">
        <f>getFiltersizeAsDouble('RawData (GH)'!D1232)</f>
        <v>77</v>
      </c>
      <c r="G1232" s="35">
        <f>getMagnification('RawData (GH)'!E1232)</f>
        <v>8.6</v>
      </c>
      <c r="H1232" s="62">
        <f>getMinimalFocus('RawData (GH)'!F1232)</f>
        <v>0</v>
      </c>
      <c r="I1232" t="str">
        <f>getMount('RawData (GH)'!G1232)</f>
        <v>Canon EF</v>
      </c>
      <c r="J1232" t="str">
        <f>getSensorCompatibility('RawData (GH)'!H1232)</f>
        <v>APS-C/ Kleinbild</v>
      </c>
      <c r="K1232" s="45">
        <f>getWeightAsDouble('RawData (GH)'!I1232)</f>
        <v>719</v>
      </c>
      <c r="L1232" s="34">
        <f>getSizeDiameter('RawData (GH)'!J1232)</f>
        <v>84.7</v>
      </c>
      <c r="M1232" s="34">
        <f>getSizeLength('RawData (GH)'!J1232)</f>
        <v>87.6</v>
      </c>
    </row>
    <row r="1233" spans="1:13" x14ac:dyDescent="0.25">
      <c r="A1233" t="str">
        <f>'RawData (GH)'!A1233</f>
        <v>Sigma AF 85mm 1.4 EX DG HSM für Nikon F schwarz</v>
      </c>
      <c r="B1233" s="5">
        <f>getFocalLengthStart('RawData (GH)'!B1233)</f>
        <v>85</v>
      </c>
      <c r="C1233" s="5">
        <f>getFocalLengthEnd('RawData (GH)'!B1233)</f>
        <v>85</v>
      </c>
      <c r="D1233" s="9">
        <f>getApertureStart('RawData (GH)'!C1233)</f>
        <v>1.4</v>
      </c>
      <c r="E1233" s="9">
        <f>getApertureEnd('RawData (GH)'!C1233)</f>
        <v>1.4</v>
      </c>
      <c r="F1233" s="2">
        <f>getFiltersizeAsDouble('RawData (GH)'!D1233)</f>
        <v>77</v>
      </c>
      <c r="G1233" s="35">
        <f>getMagnification('RawData (GH)'!E1233)</f>
        <v>8.6</v>
      </c>
      <c r="H1233" s="62">
        <f>getMinimalFocus('RawData (GH)'!F1233)</f>
        <v>0</v>
      </c>
      <c r="I1233" t="str">
        <f>getMount('RawData (GH)'!G1233)</f>
        <v>Nikon F</v>
      </c>
      <c r="J1233" t="str">
        <f>getSensorCompatibility('RawData (GH)'!H1233)</f>
        <v>APS-C/ Kleinbild</v>
      </c>
      <c r="K1233" s="45">
        <f>getWeightAsDouble('RawData (GH)'!I1233)</f>
        <v>719</v>
      </c>
      <c r="L1233" s="34">
        <f>getSizeDiameter('RawData (GH)'!J1233)</f>
        <v>84.7</v>
      </c>
      <c r="M1233" s="34">
        <f>getSizeLength('RawData (GH)'!J1233)</f>
        <v>87.6</v>
      </c>
    </row>
    <row r="1234" spans="1:13" x14ac:dyDescent="0.25">
      <c r="A1234" t="str">
        <f>'RawData (GH)'!A1234</f>
        <v>Sigma AF 85mm 1.4 EX DG HSM für Pentax K schwarz</v>
      </c>
      <c r="B1234" s="5">
        <f>getFocalLengthStart('RawData (GH)'!B1234)</f>
        <v>85</v>
      </c>
      <c r="C1234" s="5">
        <f>getFocalLengthEnd('RawData (GH)'!B1234)</f>
        <v>85</v>
      </c>
      <c r="D1234" s="9">
        <f>getApertureStart('RawData (GH)'!C1234)</f>
        <v>1.4</v>
      </c>
      <c r="E1234" s="9">
        <f>getApertureEnd('RawData (GH)'!C1234)</f>
        <v>1.4</v>
      </c>
      <c r="F1234" s="2">
        <f>getFiltersizeAsDouble('RawData (GH)'!D1234)</f>
        <v>77</v>
      </c>
      <c r="G1234" s="35">
        <f>getMagnification('RawData (GH)'!E1234)</f>
        <v>8.6</v>
      </c>
      <c r="H1234" s="62">
        <f>getMinimalFocus('RawData (GH)'!F1234)</f>
        <v>0</v>
      </c>
      <c r="I1234" t="str">
        <f>getMount('RawData (GH)'!G1234)</f>
        <v>Pentax K</v>
      </c>
      <c r="J1234" t="str">
        <f>getSensorCompatibility('RawData (GH)'!H1234)</f>
        <v>APS-C/ Kleinbild</v>
      </c>
      <c r="K1234" s="45">
        <f>getWeightAsDouble('RawData (GH)'!I1234)</f>
        <v>719</v>
      </c>
      <c r="L1234" s="34">
        <f>getSizeDiameter('RawData (GH)'!J1234)</f>
        <v>84.7</v>
      </c>
      <c r="M1234" s="34">
        <f>getSizeLength('RawData (GH)'!J1234)</f>
        <v>87.6</v>
      </c>
    </row>
    <row r="1235" spans="1:13" x14ac:dyDescent="0.25">
      <c r="A1235" t="str">
        <f>'RawData (GH)'!A1235</f>
        <v>Sigma AF 85mm 1.4 EX DG HSM für Sigma schwarz</v>
      </c>
      <c r="B1235" s="5">
        <f>getFocalLengthStart('RawData (GH)'!B1235)</f>
        <v>85</v>
      </c>
      <c r="C1235" s="5">
        <f>getFocalLengthEnd('RawData (GH)'!B1235)</f>
        <v>85</v>
      </c>
      <c r="D1235" s="9">
        <f>getApertureStart('RawData (GH)'!C1235)</f>
        <v>1.4</v>
      </c>
      <c r="E1235" s="9">
        <f>getApertureEnd('RawData (GH)'!C1235)</f>
        <v>1.4</v>
      </c>
      <c r="F1235" s="2">
        <f>getFiltersizeAsDouble('RawData (GH)'!D1235)</f>
        <v>77</v>
      </c>
      <c r="G1235" s="35">
        <f>getMagnification('RawData (GH)'!E1235)</f>
        <v>8.6</v>
      </c>
      <c r="H1235" s="62">
        <f>getMinimalFocus('RawData (GH)'!F1235)</f>
        <v>0</v>
      </c>
      <c r="I1235" t="str">
        <f>getMount('RawData (GH)'!G1235)</f>
        <v>Sigma SA</v>
      </c>
      <c r="J1235" t="str">
        <f>getSensorCompatibility('RawData (GH)'!H1235)</f>
        <v>APS-C</v>
      </c>
      <c r="K1235" s="45">
        <f>getWeightAsDouble('RawData (GH)'!I1235)</f>
        <v>719</v>
      </c>
      <c r="L1235" s="34">
        <f>getSizeDiameter('RawData (GH)'!J1235)</f>
        <v>84.7</v>
      </c>
      <c r="M1235" s="34">
        <f>getSizeLength('RawData (GH)'!J1235)</f>
        <v>87.6</v>
      </c>
    </row>
    <row r="1236" spans="1:13" x14ac:dyDescent="0.25">
      <c r="A1236" t="str">
        <f>'RawData (GH)'!A1236</f>
        <v>Sigma AF 85mm 1.4 EX DG HSM für Sony A schwarz</v>
      </c>
      <c r="B1236" s="5">
        <f>getFocalLengthStart('RawData (GH)'!B1236)</f>
        <v>85</v>
      </c>
      <c r="C1236" s="5">
        <f>getFocalLengthEnd('RawData (GH)'!B1236)</f>
        <v>85</v>
      </c>
      <c r="D1236" s="9">
        <f>getApertureStart('RawData (GH)'!C1236)</f>
        <v>1.4</v>
      </c>
      <c r="E1236" s="9">
        <f>getApertureEnd('RawData (GH)'!C1236)</f>
        <v>1.4</v>
      </c>
      <c r="F1236" s="2">
        <f>getFiltersizeAsDouble('RawData (GH)'!D1236)</f>
        <v>77</v>
      </c>
      <c r="G1236" s="35">
        <f>getMagnification('RawData (GH)'!E1236)</f>
        <v>8.6</v>
      </c>
      <c r="H1236" s="62">
        <f>getMinimalFocus('RawData (GH)'!F1236)</f>
        <v>0</v>
      </c>
      <c r="I1236" t="str">
        <f>getMount('RawData (GH)'!G1236)</f>
        <v>Sony A</v>
      </c>
      <c r="J1236" t="str">
        <f>getSensorCompatibility('RawData (GH)'!H1236)</f>
        <v>APS-C/ Kleinbild</v>
      </c>
      <c r="K1236" s="45">
        <f>getWeightAsDouble('RawData (GH)'!I1236)</f>
        <v>719</v>
      </c>
      <c r="L1236" s="34">
        <f>getSizeDiameter('RawData (GH)'!J1236)</f>
        <v>84.7</v>
      </c>
      <c r="M1236" s="34">
        <f>getSizeLength('RawData (GH)'!J1236)</f>
        <v>87.6</v>
      </c>
    </row>
    <row r="1237" spans="1:13" x14ac:dyDescent="0.25">
      <c r="A1237" t="str">
        <f>'RawData (GH)'!A1237</f>
        <v>Sigma AF 8mm 3.5 EX DG Zirkular Fisheye für Canon EF schwarz</v>
      </c>
      <c r="B1237" s="5">
        <f>getFocalLengthStart('RawData (GH)'!B1237)</f>
        <v>8</v>
      </c>
      <c r="C1237" s="5">
        <f>getFocalLengthEnd('RawData (GH)'!B1237)</f>
        <v>8</v>
      </c>
      <c r="D1237" s="9">
        <f>getApertureStart('RawData (GH)'!C1237)</f>
        <v>3.5</v>
      </c>
      <c r="E1237" s="9">
        <f>getApertureEnd('RawData (GH)'!C1237)</f>
        <v>3.5</v>
      </c>
      <c r="F1237" s="2">
        <f>getFiltersizeAsDouble('RawData (GH)'!D1237)</f>
        <v>0</v>
      </c>
      <c r="G1237" s="35">
        <f>getMagnification('RawData (GH)'!E1237)</f>
        <v>4.5999999999999996</v>
      </c>
      <c r="H1237" s="62">
        <f>getMinimalFocus('RawData (GH)'!F1237)</f>
        <v>0</v>
      </c>
      <c r="I1237" t="str">
        <f>getMount('RawData (GH)'!G1237)</f>
        <v>Canon EF</v>
      </c>
      <c r="J1237" t="str">
        <f>getSensorCompatibility('RawData (GH)'!H1237)</f>
        <v>APS-C/ Kleinbild</v>
      </c>
      <c r="K1237" s="45">
        <f>getWeightAsDouble('RawData (GH)'!I1237)</f>
        <v>400</v>
      </c>
      <c r="L1237" s="34">
        <f>getSizeDiameter('RawData (GH)'!J1237)</f>
        <v>73.5</v>
      </c>
      <c r="M1237" s="34">
        <f>getSizeLength('RawData (GH)'!J1237)</f>
        <v>68.599999999999994</v>
      </c>
    </row>
    <row r="1238" spans="1:13" x14ac:dyDescent="0.25">
      <c r="A1238" t="str">
        <f>'RawData (GH)'!A1238</f>
        <v>Sigma AF 8mm 3.5 EX DG Zirkular Fisheye für Nikon F schwarz</v>
      </c>
      <c r="B1238" s="5">
        <f>getFocalLengthStart('RawData (GH)'!B1238)</f>
        <v>8</v>
      </c>
      <c r="C1238" s="5">
        <f>getFocalLengthEnd('RawData (GH)'!B1238)</f>
        <v>8</v>
      </c>
      <c r="D1238" s="9">
        <f>getApertureStart('RawData (GH)'!C1238)</f>
        <v>3.5</v>
      </c>
      <c r="E1238" s="9">
        <f>getApertureEnd('RawData (GH)'!C1238)</f>
        <v>3.5</v>
      </c>
      <c r="F1238" s="2">
        <f>getFiltersizeAsDouble('RawData (GH)'!D1238)</f>
        <v>0</v>
      </c>
      <c r="G1238" s="35">
        <f>getMagnification('RawData (GH)'!E1238)</f>
        <v>4.5999999999999996</v>
      </c>
      <c r="H1238" s="62">
        <f>getMinimalFocus('RawData (GH)'!F1238)</f>
        <v>0</v>
      </c>
      <c r="I1238" t="str">
        <f>getMount('RawData (GH)'!G1238)</f>
        <v>Nikon F</v>
      </c>
      <c r="J1238" t="str">
        <f>getSensorCompatibility('RawData (GH)'!H1238)</f>
        <v>APS-C/ Kleinbild</v>
      </c>
      <c r="K1238" s="45">
        <f>getWeightAsDouble('RawData (GH)'!I1238)</f>
        <v>400</v>
      </c>
      <c r="L1238" s="34">
        <f>getSizeDiameter('RawData (GH)'!J1238)</f>
        <v>73.5</v>
      </c>
      <c r="M1238" s="34">
        <f>getSizeLength('RawData (GH)'!J1238)</f>
        <v>68.599999999999994</v>
      </c>
    </row>
    <row r="1239" spans="1:13" x14ac:dyDescent="0.25">
      <c r="A1239" t="str">
        <f>'RawData (GH)'!A1239</f>
        <v>Sigma AF 8mm 3.5 EX DG Zirkular Fisheye für Sigma schwarz</v>
      </c>
      <c r="B1239" s="5">
        <f>getFocalLengthStart('RawData (GH)'!B1239)</f>
        <v>8</v>
      </c>
      <c r="C1239" s="5">
        <f>getFocalLengthEnd('RawData (GH)'!B1239)</f>
        <v>8</v>
      </c>
      <c r="D1239" s="9">
        <f>getApertureStart('RawData (GH)'!C1239)</f>
        <v>3.5</v>
      </c>
      <c r="E1239" s="9">
        <f>getApertureEnd('RawData (GH)'!C1239)</f>
        <v>3.5</v>
      </c>
      <c r="F1239" s="2">
        <f>getFiltersizeAsDouble('RawData (GH)'!D1239)</f>
        <v>0</v>
      </c>
      <c r="G1239" s="35">
        <f>getMagnification('RawData (GH)'!E1239)</f>
        <v>4.5999999999999996</v>
      </c>
      <c r="H1239" s="62">
        <f>getMinimalFocus('RawData (GH)'!F1239)</f>
        <v>0</v>
      </c>
      <c r="I1239" t="str">
        <f>getMount('RawData (GH)'!G1239)</f>
        <v>Sigma SA</v>
      </c>
      <c r="J1239" t="str">
        <f>getSensorCompatibility('RawData (GH)'!H1239)</f>
        <v>APS-C</v>
      </c>
      <c r="K1239" s="45">
        <f>getWeightAsDouble('RawData (GH)'!I1239)</f>
        <v>400</v>
      </c>
      <c r="L1239" s="34">
        <f>getSizeDiameter('RawData (GH)'!J1239)</f>
        <v>73.5</v>
      </c>
      <c r="M1239" s="34">
        <f>getSizeLength('RawData (GH)'!J1239)</f>
        <v>68.599999999999994</v>
      </c>
    </row>
    <row r="1240" spans="1:13" x14ac:dyDescent="0.25">
      <c r="A1240" t="str">
        <f>'RawData (GH)'!A1240</f>
        <v>Sigma Art AF 12-24mm 4.0 DG HSM für Canon EF schwarz</v>
      </c>
      <c r="B1240" s="5">
        <f>getFocalLengthStart('RawData (GH)'!B1240)</f>
        <v>12</v>
      </c>
      <c r="C1240" s="5">
        <f>getFocalLengthEnd('RawData (GH)'!B1240)</f>
        <v>24</v>
      </c>
      <c r="D1240" s="9">
        <f>getApertureStart('RawData (GH)'!C1240)</f>
        <v>4</v>
      </c>
      <c r="E1240" s="9">
        <f>getApertureEnd('RawData (GH)'!C1240)</f>
        <v>4</v>
      </c>
      <c r="F1240" s="2">
        <f>getFiltersizeAsDouble('RawData (GH)'!D1240)</f>
        <v>0</v>
      </c>
      <c r="G1240" s="35">
        <f>getMagnification('RawData (GH)'!E1240)</f>
        <v>4.9000000000000004</v>
      </c>
      <c r="H1240" s="62">
        <f>getMinimalFocus('RawData (GH)'!F1240)</f>
        <v>0</v>
      </c>
      <c r="I1240" t="str">
        <f>getMount('RawData (GH)'!G1240)</f>
        <v>Canon EF</v>
      </c>
      <c r="J1240" t="str">
        <f>getSensorCompatibility('RawData (GH)'!H1240)</f>
        <v>APS-C/ Kleinbild</v>
      </c>
      <c r="K1240" s="45">
        <f>getWeightAsDouble('RawData (GH)'!I1240)</f>
        <v>1150</v>
      </c>
      <c r="L1240" s="34">
        <f>getSizeDiameter('RawData (GH)'!J1240)</f>
        <v>102</v>
      </c>
      <c r="M1240" s="34">
        <f>getSizeLength('RawData (GH)'!J1240)</f>
        <v>131.5</v>
      </c>
    </row>
    <row r="1241" spans="1:13" x14ac:dyDescent="0.25">
      <c r="A1241" t="str">
        <f>'RawData (GH)'!A1241</f>
        <v>Sigma Art AF 12-24mm 4.0 DG HSM für Nikon F schwarz</v>
      </c>
      <c r="B1241" s="5">
        <f>getFocalLengthStart('RawData (GH)'!B1241)</f>
        <v>12</v>
      </c>
      <c r="C1241" s="5">
        <f>getFocalLengthEnd('RawData (GH)'!B1241)</f>
        <v>24</v>
      </c>
      <c r="D1241" s="9">
        <f>getApertureStart('RawData (GH)'!C1241)</f>
        <v>4</v>
      </c>
      <c r="E1241" s="9">
        <f>getApertureEnd('RawData (GH)'!C1241)</f>
        <v>4</v>
      </c>
      <c r="F1241" s="2">
        <f>getFiltersizeAsDouble('RawData (GH)'!D1241)</f>
        <v>0</v>
      </c>
      <c r="G1241" s="35">
        <f>getMagnification('RawData (GH)'!E1241)</f>
        <v>4.9000000000000004</v>
      </c>
      <c r="H1241" s="62">
        <f>getMinimalFocus('RawData (GH)'!F1241)</f>
        <v>0</v>
      </c>
      <c r="I1241" t="str">
        <f>getMount('RawData (GH)'!G1241)</f>
        <v>Nikon F</v>
      </c>
      <c r="J1241" t="str">
        <f>getSensorCompatibility('RawData (GH)'!H1241)</f>
        <v>APS-C/ Kleinbild</v>
      </c>
      <c r="K1241" s="45">
        <f>getWeightAsDouble('RawData (GH)'!I1241)</f>
        <v>1150</v>
      </c>
      <c r="L1241" s="34">
        <f>getSizeDiameter('RawData (GH)'!J1241)</f>
        <v>102</v>
      </c>
      <c r="M1241" s="34">
        <f>getSizeLength('RawData (GH)'!J1241)</f>
        <v>131.5</v>
      </c>
    </row>
    <row r="1242" spans="1:13" x14ac:dyDescent="0.25">
      <c r="A1242" t="str">
        <f>'RawData (GH)'!A1242</f>
        <v>Sigma Art AF 12-24mm 4.0 DG HSM für Sigma schwarz</v>
      </c>
      <c r="B1242" s="5">
        <f>getFocalLengthStart('RawData (GH)'!B1242)</f>
        <v>12</v>
      </c>
      <c r="C1242" s="5">
        <f>getFocalLengthEnd('RawData (GH)'!B1242)</f>
        <v>24</v>
      </c>
      <c r="D1242" s="9">
        <f>getApertureStart('RawData (GH)'!C1242)</f>
        <v>4</v>
      </c>
      <c r="E1242" s="9">
        <f>getApertureEnd('RawData (GH)'!C1242)</f>
        <v>4</v>
      </c>
      <c r="F1242" s="2">
        <f>getFiltersizeAsDouble('RawData (GH)'!D1242)</f>
        <v>0</v>
      </c>
      <c r="G1242" s="35">
        <f>getMagnification('RawData (GH)'!E1242)</f>
        <v>4.9000000000000004</v>
      </c>
      <c r="H1242" s="62">
        <f>getMinimalFocus('RawData (GH)'!F1242)</f>
        <v>0</v>
      </c>
      <c r="I1242" t="str">
        <f>getMount('RawData (GH)'!G1242)</f>
        <v>Sigma SA</v>
      </c>
      <c r="J1242" t="str">
        <f>getSensorCompatibility('RawData (GH)'!H1242)</f>
        <v>APS-C/ Kleinbild</v>
      </c>
      <c r="K1242" s="45">
        <f>getWeightAsDouble('RawData (GH)'!I1242)</f>
        <v>1150</v>
      </c>
      <c r="L1242" s="34">
        <f>getSizeDiameter('RawData (GH)'!J1242)</f>
        <v>102</v>
      </c>
      <c r="M1242" s="34">
        <f>getSizeLength('RawData (GH)'!J1242)</f>
        <v>131.5</v>
      </c>
    </row>
    <row r="1243" spans="1:13" x14ac:dyDescent="0.25">
      <c r="A1243" t="str">
        <f>'RawData (GH)'!A1243</f>
        <v>Sigma Art AF 135mm 1.8 DG HSM für Canon EF schwarz</v>
      </c>
      <c r="B1243" s="5">
        <f>getFocalLengthStart('RawData (GH)'!B1243)</f>
        <v>135</v>
      </c>
      <c r="C1243" s="5">
        <f>getFocalLengthEnd('RawData (GH)'!B1243)</f>
        <v>135</v>
      </c>
      <c r="D1243" s="9">
        <f>getApertureStart('RawData (GH)'!C1243)</f>
        <v>1.8</v>
      </c>
      <c r="E1243" s="9">
        <f>getApertureEnd('RawData (GH)'!C1243)</f>
        <v>1.8</v>
      </c>
      <c r="F1243" s="2">
        <f>getFiltersizeAsDouble('RawData (GH)'!D1243)</f>
        <v>82</v>
      </c>
      <c r="G1243" s="35">
        <f>getMagnification('RawData (GH)'!E1243)</f>
        <v>5</v>
      </c>
      <c r="H1243" s="62">
        <f>getMinimalFocus('RawData (GH)'!F1243)</f>
        <v>0</v>
      </c>
      <c r="I1243" t="str">
        <f>getMount('RawData (GH)'!G1243)</f>
        <v>Canon EF</v>
      </c>
      <c r="J1243" t="str">
        <f>getSensorCompatibility('RawData (GH)'!H1243)</f>
        <v>APS-C/ Kleinbild</v>
      </c>
      <c r="K1243" s="45">
        <f>getWeightAsDouble('RawData (GH)'!I1243)</f>
        <v>1130</v>
      </c>
      <c r="L1243" s="34">
        <f>getSizeDiameter('RawData (GH)'!J1243)</f>
        <v>91.4</v>
      </c>
      <c r="M1243" s="34">
        <f>getSizeLength('RawData (GH)'!J1243)</f>
        <v>114.9</v>
      </c>
    </row>
    <row r="1244" spans="1:13" x14ac:dyDescent="0.25">
      <c r="A1244" t="str">
        <f>'RawData (GH)'!A1244</f>
        <v>Sigma Art AF 135mm 1.8 DG HSM für Nikon F schwarz</v>
      </c>
      <c r="B1244" s="5">
        <f>getFocalLengthStart('RawData (GH)'!B1244)</f>
        <v>135</v>
      </c>
      <c r="C1244" s="5">
        <f>getFocalLengthEnd('RawData (GH)'!B1244)</f>
        <v>135</v>
      </c>
      <c r="D1244" s="9">
        <f>getApertureStart('RawData (GH)'!C1244)</f>
        <v>1.8</v>
      </c>
      <c r="E1244" s="9">
        <f>getApertureEnd('RawData (GH)'!C1244)</f>
        <v>1.8</v>
      </c>
      <c r="F1244" s="2">
        <f>getFiltersizeAsDouble('RawData (GH)'!D1244)</f>
        <v>82</v>
      </c>
      <c r="G1244" s="35">
        <f>getMagnification('RawData (GH)'!E1244)</f>
        <v>5</v>
      </c>
      <c r="H1244" s="62">
        <f>getMinimalFocus('RawData (GH)'!F1244)</f>
        <v>0</v>
      </c>
      <c r="I1244" t="str">
        <f>getMount('RawData (GH)'!G1244)</f>
        <v>Nikon F</v>
      </c>
      <c r="J1244" t="str">
        <f>getSensorCompatibility('RawData (GH)'!H1244)</f>
        <v>APS-C/ Kleinbild</v>
      </c>
      <c r="K1244" s="45">
        <f>getWeightAsDouble('RawData (GH)'!I1244)</f>
        <v>1130</v>
      </c>
      <c r="L1244" s="34">
        <f>getSizeDiameter('RawData (GH)'!J1244)</f>
        <v>91.4</v>
      </c>
      <c r="M1244" s="34">
        <f>getSizeLength('RawData (GH)'!J1244)</f>
        <v>114.9</v>
      </c>
    </row>
    <row r="1245" spans="1:13" x14ac:dyDescent="0.25">
      <c r="A1245" t="str">
        <f>'RawData (GH)'!A1245</f>
        <v>Sigma Art AF 135mm 1.8 DG HSM für Sigma schwarz</v>
      </c>
      <c r="B1245" s="5">
        <f>getFocalLengthStart('RawData (GH)'!B1245)</f>
        <v>135</v>
      </c>
      <c r="C1245" s="5">
        <f>getFocalLengthEnd('RawData (GH)'!B1245)</f>
        <v>135</v>
      </c>
      <c r="D1245" s="9">
        <f>getApertureStart('RawData (GH)'!C1245)</f>
        <v>1.8</v>
      </c>
      <c r="E1245" s="9">
        <f>getApertureEnd('RawData (GH)'!C1245)</f>
        <v>1.8</v>
      </c>
      <c r="F1245" s="2">
        <f>getFiltersizeAsDouble('RawData (GH)'!D1245)</f>
        <v>82</v>
      </c>
      <c r="G1245" s="35">
        <f>getMagnification('RawData (GH)'!E1245)</f>
        <v>5</v>
      </c>
      <c r="H1245" s="62">
        <f>getMinimalFocus('RawData (GH)'!F1245)</f>
        <v>0</v>
      </c>
      <c r="I1245" t="str">
        <f>getMount('RawData (GH)'!G1245)</f>
        <v>Sigma SA</v>
      </c>
      <c r="J1245" t="str">
        <f>getSensorCompatibility('RawData (GH)'!H1245)</f>
        <v>APS-C/ Kleinbild</v>
      </c>
      <c r="K1245" s="45">
        <f>getWeightAsDouble('RawData (GH)'!I1245)</f>
        <v>1130</v>
      </c>
      <c r="L1245" s="34">
        <f>getSizeDiameter('RawData (GH)'!J1245)</f>
        <v>91.4</v>
      </c>
      <c r="M1245" s="34">
        <f>getSizeLength('RawData (GH)'!J1245)</f>
        <v>114.9</v>
      </c>
    </row>
    <row r="1246" spans="1:13" x14ac:dyDescent="0.25">
      <c r="A1246" t="str">
        <f>'RawData (GH)'!A1246</f>
        <v>Sigma Art AF 14mm 1.8 DG HSM für Canon EF schwarz</v>
      </c>
      <c r="B1246" s="5">
        <f>getFocalLengthStart('RawData (GH)'!B1246)</f>
        <v>14</v>
      </c>
      <c r="C1246" s="5">
        <f>getFocalLengthEnd('RawData (GH)'!B1246)</f>
        <v>14</v>
      </c>
      <c r="D1246" s="9">
        <f>getApertureStart('RawData (GH)'!C1246)</f>
        <v>1.8</v>
      </c>
      <c r="E1246" s="9">
        <f>getApertureEnd('RawData (GH)'!C1246)</f>
        <v>1.8</v>
      </c>
      <c r="F1246" s="2">
        <f>getFiltersizeAsDouble('RawData (GH)'!D1246)</f>
        <v>0</v>
      </c>
      <c r="G1246" s="35">
        <f>getMagnification('RawData (GH)'!E1246)</f>
        <v>9.8000000000000007</v>
      </c>
      <c r="H1246" s="62">
        <f>getMinimalFocus('RawData (GH)'!F1246)</f>
        <v>0</v>
      </c>
      <c r="I1246" t="str">
        <f>getMount('RawData (GH)'!G1246)</f>
        <v>Canon EF</v>
      </c>
      <c r="J1246" t="str">
        <f>getSensorCompatibility('RawData (GH)'!H1246)</f>
        <v>APS-C/ Kleinbild</v>
      </c>
      <c r="K1246" s="45">
        <f>getWeightAsDouble('RawData (GH)'!I1246)</f>
        <v>1170</v>
      </c>
      <c r="L1246" s="34">
        <f>getSizeDiameter('RawData (GH)'!J1246)</f>
        <v>95.4</v>
      </c>
      <c r="M1246" s="34">
        <f>getSizeLength('RawData (GH)'!J1246)</f>
        <v>126</v>
      </c>
    </row>
    <row r="1247" spans="1:13" x14ac:dyDescent="0.25">
      <c r="A1247" t="str">
        <f>'RawData (GH)'!A1247</f>
        <v>Sigma Art AF 14mm 1.8 DG HSM für Nikon F schwarz</v>
      </c>
      <c r="B1247" s="5">
        <f>getFocalLengthStart('RawData (GH)'!B1247)</f>
        <v>14</v>
      </c>
      <c r="C1247" s="5">
        <f>getFocalLengthEnd('RawData (GH)'!B1247)</f>
        <v>14</v>
      </c>
      <c r="D1247" s="9">
        <f>getApertureStart('RawData (GH)'!C1247)</f>
        <v>1.8</v>
      </c>
      <c r="E1247" s="9">
        <f>getApertureEnd('RawData (GH)'!C1247)</f>
        <v>1.8</v>
      </c>
      <c r="F1247" s="2">
        <f>getFiltersizeAsDouble('RawData (GH)'!D1247)</f>
        <v>0</v>
      </c>
      <c r="G1247" s="35">
        <f>getMagnification('RawData (GH)'!E1247)</f>
        <v>9.8000000000000007</v>
      </c>
      <c r="H1247" s="62">
        <f>getMinimalFocus('RawData (GH)'!F1247)</f>
        <v>0</v>
      </c>
      <c r="I1247" t="str">
        <f>getMount('RawData (GH)'!G1247)</f>
        <v>Nikon F</v>
      </c>
      <c r="J1247" t="str">
        <f>getSensorCompatibility('RawData (GH)'!H1247)</f>
        <v>APS-C/ Kleinbild</v>
      </c>
      <c r="K1247" s="45">
        <f>getWeightAsDouble('RawData (GH)'!I1247)</f>
        <v>1170</v>
      </c>
      <c r="L1247" s="34">
        <f>getSizeDiameter('RawData (GH)'!J1247)</f>
        <v>95.4</v>
      </c>
      <c r="M1247" s="34">
        <f>getSizeLength('RawData (GH)'!J1247)</f>
        <v>126</v>
      </c>
    </row>
    <row r="1248" spans="1:13" x14ac:dyDescent="0.25">
      <c r="A1248" t="str">
        <f>'RawData (GH)'!A1248</f>
        <v>Sigma Art AF 14mm 1.8 DG HSM für Sigma schwarz</v>
      </c>
      <c r="B1248" s="5">
        <f>getFocalLengthStart('RawData (GH)'!B1248)</f>
        <v>14</v>
      </c>
      <c r="C1248" s="5">
        <f>getFocalLengthEnd('RawData (GH)'!B1248)</f>
        <v>14</v>
      </c>
      <c r="D1248" s="9">
        <f>getApertureStart('RawData (GH)'!C1248)</f>
        <v>1.8</v>
      </c>
      <c r="E1248" s="9">
        <f>getApertureEnd('RawData (GH)'!C1248)</f>
        <v>1.8</v>
      </c>
      <c r="F1248" s="2">
        <f>getFiltersizeAsDouble('RawData (GH)'!D1248)</f>
        <v>0</v>
      </c>
      <c r="G1248" s="35">
        <f>getMagnification('RawData (GH)'!E1248)</f>
        <v>9.8000000000000007</v>
      </c>
      <c r="H1248" s="62">
        <f>getMinimalFocus('RawData (GH)'!F1248)</f>
        <v>0</v>
      </c>
      <c r="I1248" t="str">
        <f>getMount('RawData (GH)'!G1248)</f>
        <v>Sigma SA</v>
      </c>
      <c r="J1248" t="str">
        <f>getSensorCompatibility('RawData (GH)'!H1248)</f>
        <v>APS-C/ Kleinbild</v>
      </c>
      <c r="K1248" s="45">
        <f>getWeightAsDouble('RawData (GH)'!I1248)</f>
        <v>1170</v>
      </c>
      <c r="L1248" s="34">
        <f>getSizeDiameter('RawData (GH)'!J1248)</f>
        <v>95.4</v>
      </c>
      <c r="M1248" s="34">
        <f>getSizeLength('RawData (GH)'!J1248)</f>
        <v>126</v>
      </c>
    </row>
    <row r="1249" spans="1:13" x14ac:dyDescent="0.25">
      <c r="A1249" t="str">
        <f>'RawData (GH)'!A1249</f>
        <v>Sigma Art AF 18-35mm 1.8 DC HSM IF für Canon EF schwarz</v>
      </c>
      <c r="B1249" s="5">
        <f>getFocalLengthStart('RawData (GH)'!B1249)</f>
        <v>18</v>
      </c>
      <c r="C1249" s="5">
        <f>getFocalLengthEnd('RawData (GH)'!B1249)</f>
        <v>35</v>
      </c>
      <c r="D1249" s="9">
        <f>getApertureStart('RawData (GH)'!C1249)</f>
        <v>1.8</v>
      </c>
      <c r="E1249" s="9">
        <f>getApertureEnd('RawData (GH)'!C1249)</f>
        <v>1.8</v>
      </c>
      <c r="F1249" s="2">
        <f>getFiltersizeAsDouble('RawData (GH)'!D1249)</f>
        <v>72</v>
      </c>
      <c r="G1249" s="35">
        <f>getMagnification('RawData (GH)'!E1249)</f>
        <v>4.3</v>
      </c>
      <c r="H1249" s="62">
        <f>getMinimalFocus('RawData (GH)'!F1249)</f>
        <v>0</v>
      </c>
      <c r="I1249" t="str">
        <f>getMount('RawData (GH)'!G1249)</f>
        <v>Canon EF-S</v>
      </c>
      <c r="J1249" t="str">
        <f>getSensorCompatibility('RawData (GH)'!H1249)</f>
        <v>APS-C</v>
      </c>
      <c r="K1249" s="45">
        <f>getWeightAsDouble('RawData (GH)'!I1249)</f>
        <v>810</v>
      </c>
      <c r="L1249" s="34">
        <f>getSizeDiameter('RawData (GH)'!J1249)</f>
        <v>78</v>
      </c>
      <c r="M1249" s="34">
        <f>getSizeLength('RawData (GH)'!J1249)</f>
        <v>121</v>
      </c>
    </row>
    <row r="1250" spans="1:13" x14ac:dyDescent="0.25">
      <c r="A1250" t="str">
        <f>'RawData (GH)'!A1250</f>
        <v>Sigma Art AF 18-35mm 1.8 DC HSM IF für Nikon F schwarz</v>
      </c>
      <c r="B1250" s="5">
        <f>getFocalLengthStart('RawData (GH)'!B1250)</f>
        <v>18</v>
      </c>
      <c r="C1250" s="5">
        <f>getFocalLengthEnd('RawData (GH)'!B1250)</f>
        <v>35</v>
      </c>
      <c r="D1250" s="9">
        <f>getApertureStart('RawData (GH)'!C1250)</f>
        <v>1.8</v>
      </c>
      <c r="E1250" s="9">
        <f>getApertureEnd('RawData (GH)'!C1250)</f>
        <v>1.8</v>
      </c>
      <c r="F1250" s="2">
        <f>getFiltersizeAsDouble('RawData (GH)'!D1250)</f>
        <v>72</v>
      </c>
      <c r="G1250" s="35">
        <f>getMagnification('RawData (GH)'!E1250)</f>
        <v>4.3</v>
      </c>
      <c r="H1250" s="62">
        <f>getMinimalFocus('RawData (GH)'!F1250)</f>
        <v>0</v>
      </c>
      <c r="I1250" t="str">
        <f>getMount('RawData (GH)'!G1250)</f>
        <v>Nikon F</v>
      </c>
      <c r="J1250" t="str">
        <f>getSensorCompatibility('RawData (GH)'!H1250)</f>
        <v>APS-C</v>
      </c>
      <c r="K1250" s="45">
        <f>getWeightAsDouble('RawData (GH)'!I1250)</f>
        <v>810</v>
      </c>
      <c r="L1250" s="34">
        <f>getSizeDiameter('RawData (GH)'!J1250)</f>
        <v>78</v>
      </c>
      <c r="M1250" s="34">
        <f>getSizeLength('RawData (GH)'!J1250)</f>
        <v>121</v>
      </c>
    </row>
    <row r="1251" spans="1:13" x14ac:dyDescent="0.25">
      <c r="A1251" t="str">
        <f>'RawData (GH)'!A1251</f>
        <v>Sigma Art AF 18-35mm 1.8 DC HSM IF für Pentax K schwarz</v>
      </c>
      <c r="B1251" s="5">
        <f>getFocalLengthStart('RawData (GH)'!B1251)</f>
        <v>18</v>
      </c>
      <c r="C1251" s="5">
        <f>getFocalLengthEnd('RawData (GH)'!B1251)</f>
        <v>35</v>
      </c>
      <c r="D1251" s="9">
        <f>getApertureStart('RawData (GH)'!C1251)</f>
        <v>1.8</v>
      </c>
      <c r="E1251" s="9">
        <f>getApertureEnd('RawData (GH)'!C1251)</f>
        <v>1.8</v>
      </c>
      <c r="F1251" s="2">
        <f>getFiltersizeAsDouble('RawData (GH)'!D1251)</f>
        <v>72</v>
      </c>
      <c r="G1251" s="35">
        <f>getMagnification('RawData (GH)'!E1251)</f>
        <v>4.3</v>
      </c>
      <c r="H1251" s="62">
        <f>getMinimalFocus('RawData (GH)'!F1251)</f>
        <v>0</v>
      </c>
      <c r="I1251" t="str">
        <f>getMount('RawData (GH)'!G1251)</f>
        <v>Pentax K</v>
      </c>
      <c r="J1251" t="str">
        <f>getSensorCompatibility('RawData (GH)'!H1251)</f>
        <v>APS-C</v>
      </c>
      <c r="K1251" s="45">
        <f>getWeightAsDouble('RawData (GH)'!I1251)</f>
        <v>810</v>
      </c>
      <c r="L1251" s="34">
        <f>getSizeDiameter('RawData (GH)'!J1251)</f>
        <v>78</v>
      </c>
      <c r="M1251" s="34">
        <f>getSizeLength('RawData (GH)'!J1251)</f>
        <v>121</v>
      </c>
    </row>
    <row r="1252" spans="1:13" x14ac:dyDescent="0.25">
      <c r="A1252" t="str">
        <f>'RawData (GH)'!A1252</f>
        <v>Sigma Art AF 18-35mm 1.8 DC HSM IF für Sigma schwarz</v>
      </c>
      <c r="B1252" s="5">
        <f>getFocalLengthStart('RawData (GH)'!B1252)</f>
        <v>18</v>
      </c>
      <c r="C1252" s="5">
        <f>getFocalLengthEnd('RawData (GH)'!B1252)</f>
        <v>35</v>
      </c>
      <c r="D1252" s="9">
        <f>getApertureStart('RawData (GH)'!C1252)</f>
        <v>1.8</v>
      </c>
      <c r="E1252" s="9">
        <f>getApertureEnd('RawData (GH)'!C1252)</f>
        <v>1.8</v>
      </c>
      <c r="F1252" s="2">
        <f>getFiltersizeAsDouble('RawData (GH)'!D1252)</f>
        <v>72</v>
      </c>
      <c r="G1252" s="35">
        <f>getMagnification('RawData (GH)'!E1252)</f>
        <v>4.3</v>
      </c>
      <c r="H1252" s="62">
        <f>getMinimalFocus('RawData (GH)'!F1252)</f>
        <v>0</v>
      </c>
      <c r="I1252" t="str">
        <f>getMount('RawData (GH)'!G1252)</f>
        <v>Sigma SA</v>
      </c>
      <c r="J1252" t="str">
        <f>getSensorCompatibility('RawData (GH)'!H1252)</f>
        <v>APS-C</v>
      </c>
      <c r="K1252" s="45">
        <f>getWeightAsDouble('RawData (GH)'!I1252)</f>
        <v>810</v>
      </c>
      <c r="L1252" s="34">
        <f>getSizeDiameter('RawData (GH)'!J1252)</f>
        <v>78</v>
      </c>
      <c r="M1252" s="34">
        <f>getSizeLength('RawData (GH)'!J1252)</f>
        <v>121</v>
      </c>
    </row>
    <row r="1253" spans="1:13" x14ac:dyDescent="0.25">
      <c r="A1253" t="str">
        <f>'RawData (GH)'!A1253</f>
        <v>Sigma Art AF 18-35mm 1.8 DC HSM IF für Sony A schwarz</v>
      </c>
      <c r="B1253" s="5">
        <f>getFocalLengthStart('RawData (GH)'!B1253)</f>
        <v>18</v>
      </c>
      <c r="C1253" s="5">
        <f>getFocalLengthEnd('RawData (GH)'!B1253)</f>
        <v>35</v>
      </c>
      <c r="D1253" s="9">
        <f>getApertureStart('RawData (GH)'!C1253)</f>
        <v>1.8</v>
      </c>
      <c r="E1253" s="9">
        <f>getApertureEnd('RawData (GH)'!C1253)</f>
        <v>1.8</v>
      </c>
      <c r="F1253" s="2">
        <f>getFiltersizeAsDouble('RawData (GH)'!D1253)</f>
        <v>72</v>
      </c>
      <c r="G1253" s="35">
        <f>getMagnification('RawData (GH)'!E1253)</f>
        <v>4.3</v>
      </c>
      <c r="H1253" s="62">
        <f>getMinimalFocus('RawData (GH)'!F1253)</f>
        <v>0</v>
      </c>
      <c r="I1253" t="str">
        <f>getMount('RawData (GH)'!G1253)</f>
        <v>Sony A</v>
      </c>
      <c r="J1253" t="str">
        <f>getSensorCompatibility('RawData (GH)'!H1253)</f>
        <v>APS-C</v>
      </c>
      <c r="K1253" s="45">
        <f>getWeightAsDouble('RawData (GH)'!I1253)</f>
        <v>810</v>
      </c>
      <c r="L1253" s="34">
        <f>getSizeDiameter('RawData (GH)'!J1253)</f>
        <v>78</v>
      </c>
      <c r="M1253" s="34">
        <f>getSizeLength('RawData (GH)'!J1253)</f>
        <v>121</v>
      </c>
    </row>
    <row r="1254" spans="1:13" x14ac:dyDescent="0.25">
      <c r="A1254" t="str">
        <f>'RawData (GH)'!A1254</f>
        <v>Sigma Art AF 19mm 2.8 DN für Micro-Four-Thirds schwarz</v>
      </c>
      <c r="B1254" s="5">
        <f>getFocalLengthStart('RawData (GH)'!B1254)</f>
        <v>19</v>
      </c>
      <c r="C1254" s="5">
        <f>getFocalLengthEnd('RawData (GH)'!B1254)</f>
        <v>19</v>
      </c>
      <c r="D1254" s="9">
        <f>getApertureStart('RawData (GH)'!C1254)</f>
        <v>2.8</v>
      </c>
      <c r="E1254" s="9">
        <f>getApertureEnd('RawData (GH)'!C1254)</f>
        <v>2.8</v>
      </c>
      <c r="F1254" s="2">
        <f>getFiltersizeAsDouble('RawData (GH)'!D1254)</f>
        <v>46</v>
      </c>
      <c r="G1254" s="35">
        <f>getMagnification('RawData (GH)'!E1254)</f>
        <v>7.4</v>
      </c>
      <c r="H1254" s="62">
        <f>getMinimalFocus('RawData (GH)'!F1254)</f>
        <v>0</v>
      </c>
      <c r="I1254" t="str">
        <f>getMount('RawData (GH)'!G1254)</f>
        <v>Micro-Four-Thirds</v>
      </c>
      <c r="J1254" t="str">
        <f>getSensorCompatibility('RawData (GH)'!H1254)</f>
        <v>Four-Thirds</v>
      </c>
      <c r="K1254" s="45">
        <f>getWeightAsDouble('RawData (GH)'!I1254)</f>
        <v>0</v>
      </c>
      <c r="L1254" s="34">
        <f>getSizeDiameter('RawData (GH)'!J1254)</f>
        <v>60.8</v>
      </c>
      <c r="M1254" s="34">
        <f>getSizeLength('RawData (GH)'!J1254)</f>
        <v>45.7</v>
      </c>
    </row>
    <row r="1255" spans="1:13" x14ac:dyDescent="0.25">
      <c r="A1255" t="str">
        <f>'RawData (GH)'!A1255</f>
        <v>Sigma Art AF 19mm 2.8 DN für Micro-Four-Thirds silber</v>
      </c>
      <c r="B1255" s="5">
        <f>getFocalLengthStart('RawData (GH)'!B1255)</f>
        <v>19</v>
      </c>
      <c r="C1255" s="5">
        <f>getFocalLengthEnd('RawData (GH)'!B1255)</f>
        <v>19</v>
      </c>
      <c r="D1255" s="9">
        <f>getApertureStart('RawData (GH)'!C1255)</f>
        <v>2.8</v>
      </c>
      <c r="E1255" s="9">
        <f>getApertureEnd('RawData (GH)'!C1255)</f>
        <v>2.8</v>
      </c>
      <c r="F1255" s="2">
        <f>getFiltersizeAsDouble('RawData (GH)'!D1255)</f>
        <v>46</v>
      </c>
      <c r="G1255" s="35">
        <f>getMagnification('RawData (GH)'!E1255)</f>
        <v>7.4</v>
      </c>
      <c r="H1255" s="62">
        <f>getMinimalFocus('RawData (GH)'!F1255)</f>
        <v>0</v>
      </c>
      <c r="I1255" t="str">
        <f>getMount('RawData (GH)'!G1255)</f>
        <v>Micro-Four-Thirds</v>
      </c>
      <c r="J1255" t="str">
        <f>getSensorCompatibility('RawData (GH)'!H1255)</f>
        <v>Four-Thirds</v>
      </c>
      <c r="K1255" s="45">
        <f>getWeightAsDouble('RawData (GH)'!I1255)</f>
        <v>0</v>
      </c>
      <c r="L1255" s="34">
        <f>getSizeDiameter('RawData (GH)'!J1255)</f>
        <v>60.8</v>
      </c>
      <c r="M1255" s="34">
        <f>getSizeLength('RawData (GH)'!J1255)</f>
        <v>45.7</v>
      </c>
    </row>
    <row r="1256" spans="1:13" x14ac:dyDescent="0.25">
      <c r="A1256" t="str">
        <f>'RawData (GH)'!A1256</f>
        <v>Sigma Art AF 19mm 2.8 DN für Sony E schwarz</v>
      </c>
      <c r="B1256" s="5">
        <f>getFocalLengthStart('RawData (GH)'!B1256)</f>
        <v>19</v>
      </c>
      <c r="C1256" s="5">
        <f>getFocalLengthEnd('RawData (GH)'!B1256)</f>
        <v>19</v>
      </c>
      <c r="D1256" s="9">
        <f>getApertureStart('RawData (GH)'!C1256)</f>
        <v>2.8</v>
      </c>
      <c r="E1256" s="9">
        <f>getApertureEnd('RawData (GH)'!C1256)</f>
        <v>2.8</v>
      </c>
      <c r="F1256" s="2">
        <f>getFiltersizeAsDouble('RawData (GH)'!D1256)</f>
        <v>46</v>
      </c>
      <c r="G1256" s="35">
        <f>getMagnification('RawData (GH)'!E1256)</f>
        <v>7.4</v>
      </c>
      <c r="H1256" s="62">
        <f>getMinimalFocus('RawData (GH)'!F1256)</f>
        <v>0</v>
      </c>
      <c r="I1256" t="str">
        <f>getMount('RawData (GH)'!G1256)</f>
        <v>Sony E</v>
      </c>
      <c r="J1256" t="str">
        <f>getSensorCompatibility('RawData (GH)'!H1256)</f>
        <v>APS-C</v>
      </c>
      <c r="K1256" s="45">
        <f>getWeightAsDouble('RawData (GH)'!I1256)</f>
        <v>0</v>
      </c>
      <c r="L1256" s="34">
        <f>getSizeDiameter('RawData (GH)'!J1256)</f>
        <v>60.8</v>
      </c>
      <c r="M1256" s="34">
        <f>getSizeLength('RawData (GH)'!J1256)</f>
        <v>45.7</v>
      </c>
    </row>
    <row r="1257" spans="1:13" x14ac:dyDescent="0.25">
      <c r="A1257" t="str">
        <f>'RawData (GH)'!A1257</f>
        <v>Sigma Art AF 19mm 2.8 DN für Sony E silber</v>
      </c>
      <c r="B1257" s="5">
        <f>getFocalLengthStart('RawData (GH)'!B1257)</f>
        <v>19</v>
      </c>
      <c r="C1257" s="5">
        <f>getFocalLengthEnd('RawData (GH)'!B1257)</f>
        <v>19</v>
      </c>
      <c r="D1257" s="9">
        <f>getApertureStart('RawData (GH)'!C1257)</f>
        <v>2.8</v>
      </c>
      <c r="E1257" s="9">
        <f>getApertureEnd('RawData (GH)'!C1257)</f>
        <v>2.8</v>
      </c>
      <c r="F1257" s="2">
        <f>getFiltersizeAsDouble('RawData (GH)'!D1257)</f>
        <v>46</v>
      </c>
      <c r="G1257" s="35">
        <f>getMagnification('RawData (GH)'!E1257)</f>
        <v>7.4</v>
      </c>
      <c r="H1257" s="62">
        <f>getMinimalFocus('RawData (GH)'!F1257)</f>
        <v>0</v>
      </c>
      <c r="I1257" t="str">
        <f>getMount('RawData (GH)'!G1257)</f>
        <v>Sony E</v>
      </c>
      <c r="J1257" t="str">
        <f>getSensorCompatibility('RawData (GH)'!H1257)</f>
        <v>APS-C</v>
      </c>
      <c r="K1257" s="45">
        <f>getWeightAsDouble('RawData (GH)'!I1257)</f>
        <v>0</v>
      </c>
      <c r="L1257" s="34">
        <f>getSizeDiameter('RawData (GH)'!J1257)</f>
        <v>60.8</v>
      </c>
      <c r="M1257" s="34">
        <f>getSizeLength('RawData (GH)'!J1257)</f>
        <v>45.7</v>
      </c>
    </row>
    <row r="1258" spans="1:13" x14ac:dyDescent="0.25">
      <c r="A1258" t="str">
        <f>'RawData (GH)'!A1258</f>
        <v>Sigma Art AF 20mm 1.4 DG HSM für Canon EF schwarz</v>
      </c>
      <c r="B1258" s="5">
        <f>getFocalLengthStart('RawData (GH)'!B1258)</f>
        <v>20</v>
      </c>
      <c r="C1258" s="5">
        <f>getFocalLengthEnd('RawData (GH)'!B1258)</f>
        <v>20</v>
      </c>
      <c r="D1258" s="9">
        <f>getApertureStart('RawData (GH)'!C1258)</f>
        <v>1.4</v>
      </c>
      <c r="E1258" s="9">
        <f>getApertureEnd('RawData (GH)'!C1258)</f>
        <v>1.4</v>
      </c>
      <c r="F1258" s="2">
        <f>getFiltersizeAsDouble('RawData (GH)'!D1258)</f>
        <v>0</v>
      </c>
      <c r="G1258" s="35">
        <f>getMagnification('RawData (GH)'!E1258)</f>
        <v>7.1</v>
      </c>
      <c r="H1258" s="62">
        <f>getMinimalFocus('RawData (GH)'!F1258)</f>
        <v>0</v>
      </c>
      <c r="I1258" t="str">
        <f>getMount('RawData (GH)'!G1258)</f>
        <v>Canon EF</v>
      </c>
      <c r="J1258" t="str">
        <f>getSensorCompatibility('RawData (GH)'!H1258)</f>
        <v>APS-C/ Kleinbild</v>
      </c>
      <c r="K1258" s="45">
        <f>getWeightAsDouble('RawData (GH)'!I1258)</f>
        <v>950</v>
      </c>
      <c r="L1258" s="34">
        <f>getSizeDiameter('RawData (GH)'!J1258)</f>
        <v>90.7</v>
      </c>
      <c r="M1258" s="34">
        <f>getSizeLength('RawData (GH)'!J1258)</f>
        <v>129.80000000000001</v>
      </c>
    </row>
    <row r="1259" spans="1:13" x14ac:dyDescent="0.25">
      <c r="A1259" t="str">
        <f>'RawData (GH)'!A1259</f>
        <v>Sigma Art AF 20mm 1.4 DG HSM für Nikon F schwarz</v>
      </c>
      <c r="B1259" s="5">
        <f>getFocalLengthStart('RawData (GH)'!B1259)</f>
        <v>20</v>
      </c>
      <c r="C1259" s="5">
        <f>getFocalLengthEnd('RawData (GH)'!B1259)</f>
        <v>20</v>
      </c>
      <c r="D1259" s="9">
        <f>getApertureStart('RawData (GH)'!C1259)</f>
        <v>1.4</v>
      </c>
      <c r="E1259" s="9">
        <f>getApertureEnd('RawData (GH)'!C1259)</f>
        <v>1.4</v>
      </c>
      <c r="F1259" s="2">
        <f>getFiltersizeAsDouble('RawData (GH)'!D1259)</f>
        <v>0</v>
      </c>
      <c r="G1259" s="35">
        <f>getMagnification('RawData (GH)'!E1259)</f>
        <v>7.1</v>
      </c>
      <c r="H1259" s="62">
        <f>getMinimalFocus('RawData (GH)'!F1259)</f>
        <v>0</v>
      </c>
      <c r="I1259" t="str">
        <f>getMount('RawData (GH)'!G1259)</f>
        <v>Nikon F</v>
      </c>
      <c r="J1259" t="str">
        <f>getSensorCompatibility('RawData (GH)'!H1259)</f>
        <v>APS-C/ Kleinbild</v>
      </c>
      <c r="K1259" s="45">
        <f>getWeightAsDouble('RawData (GH)'!I1259)</f>
        <v>950</v>
      </c>
      <c r="L1259" s="34">
        <f>getSizeDiameter('RawData (GH)'!J1259)</f>
        <v>90.7</v>
      </c>
      <c r="M1259" s="34">
        <f>getSizeLength('RawData (GH)'!J1259)</f>
        <v>129.80000000000001</v>
      </c>
    </row>
    <row r="1260" spans="1:13" x14ac:dyDescent="0.25">
      <c r="A1260" t="str">
        <f>'RawData (GH)'!A1260</f>
        <v>Sigma Art AF 20mm 1.4 DG HSM für Sigma schwarz</v>
      </c>
      <c r="B1260" s="5">
        <f>getFocalLengthStart('RawData (GH)'!B1260)</f>
        <v>20</v>
      </c>
      <c r="C1260" s="5">
        <f>getFocalLengthEnd('RawData (GH)'!B1260)</f>
        <v>20</v>
      </c>
      <c r="D1260" s="9">
        <f>getApertureStart('RawData (GH)'!C1260)</f>
        <v>1.4</v>
      </c>
      <c r="E1260" s="9">
        <f>getApertureEnd('RawData (GH)'!C1260)</f>
        <v>1.4</v>
      </c>
      <c r="F1260" s="2">
        <f>getFiltersizeAsDouble('RawData (GH)'!D1260)</f>
        <v>0</v>
      </c>
      <c r="G1260" s="35">
        <f>getMagnification('RawData (GH)'!E1260)</f>
        <v>7.1</v>
      </c>
      <c r="H1260" s="62">
        <f>getMinimalFocus('RawData (GH)'!F1260)</f>
        <v>0</v>
      </c>
      <c r="I1260" t="str">
        <f>getMount('RawData (GH)'!G1260)</f>
        <v>Sigma SA</v>
      </c>
      <c r="J1260" t="str">
        <f>getSensorCompatibility('RawData (GH)'!H1260)</f>
        <v>APS-C/ Kleinbild</v>
      </c>
      <c r="K1260" s="45">
        <f>getWeightAsDouble('RawData (GH)'!I1260)</f>
        <v>950</v>
      </c>
      <c r="L1260" s="34">
        <f>getSizeDiameter('RawData (GH)'!J1260)</f>
        <v>90.7</v>
      </c>
      <c r="M1260" s="34">
        <f>getSizeLength('RawData (GH)'!J1260)</f>
        <v>129.80000000000001</v>
      </c>
    </row>
    <row r="1261" spans="1:13" x14ac:dyDescent="0.25">
      <c r="A1261" t="str">
        <f>'RawData (GH)'!A1261</f>
        <v>Sigma Art AF 24-105mm 4.0 DG HSM für Sony A schwarz</v>
      </c>
      <c r="B1261" s="5">
        <f>getFocalLengthStart('RawData (GH)'!B1261)</f>
        <v>24</v>
      </c>
      <c r="C1261" s="5">
        <f>getFocalLengthEnd('RawData (GH)'!B1261)</f>
        <v>105</v>
      </c>
      <c r="D1261" s="9">
        <f>getApertureStart('RawData (GH)'!C1261)</f>
        <v>4</v>
      </c>
      <c r="E1261" s="9">
        <f>getApertureEnd('RawData (GH)'!C1261)</f>
        <v>4</v>
      </c>
      <c r="F1261" s="2">
        <f>getFiltersizeAsDouble('RawData (GH)'!D1261)</f>
        <v>82</v>
      </c>
      <c r="G1261" s="35">
        <f>getMagnification('RawData (GH)'!E1261)</f>
        <v>4.5999999999999996</v>
      </c>
      <c r="H1261" s="62">
        <f>getMinimalFocus('RawData (GH)'!F1261)</f>
        <v>0</v>
      </c>
      <c r="I1261" t="str">
        <f>getMount('RawData (GH)'!G1261)</f>
        <v>Sony A</v>
      </c>
      <c r="J1261" t="str">
        <f>getSensorCompatibility('RawData (GH)'!H1261)</f>
        <v>APS-C/ Kleinbild</v>
      </c>
      <c r="K1261" s="45">
        <f>getWeightAsDouble('RawData (GH)'!I1261)</f>
        <v>885</v>
      </c>
      <c r="L1261" s="34">
        <f>getSizeDiameter('RawData (GH)'!J1261)</f>
        <v>88.6</v>
      </c>
      <c r="M1261" s="34">
        <f>getSizeLength('RawData (GH)'!J1261)</f>
        <v>109.4</v>
      </c>
    </row>
    <row r="1262" spans="1:13" x14ac:dyDescent="0.25">
      <c r="A1262" t="str">
        <f>'RawData (GH)'!A1262</f>
        <v>Sigma Art AF 24-105mm 4.0 DG OS HSM für Canon EF schwarz</v>
      </c>
      <c r="B1262" s="5">
        <f>getFocalLengthStart('RawData (GH)'!B1262)</f>
        <v>24</v>
      </c>
      <c r="C1262" s="5">
        <f>getFocalLengthEnd('RawData (GH)'!B1262)</f>
        <v>105</v>
      </c>
      <c r="D1262" s="9">
        <f>getApertureStart('RawData (GH)'!C1262)</f>
        <v>4</v>
      </c>
      <c r="E1262" s="9">
        <f>getApertureEnd('RawData (GH)'!C1262)</f>
        <v>4</v>
      </c>
      <c r="F1262" s="2">
        <f>getFiltersizeAsDouble('RawData (GH)'!D1262)</f>
        <v>82</v>
      </c>
      <c r="G1262" s="35">
        <f>getMagnification('RawData (GH)'!E1262)</f>
        <v>4.5999999999999996</v>
      </c>
      <c r="H1262" s="62">
        <f>getMinimalFocus('RawData (GH)'!F1262)</f>
        <v>0</v>
      </c>
      <c r="I1262" t="str">
        <f>getMount('RawData (GH)'!G1262)</f>
        <v>Canon EF</v>
      </c>
      <c r="J1262" t="str">
        <f>getSensorCompatibility('RawData (GH)'!H1262)</f>
        <v>APS-C/ Kleinbild</v>
      </c>
      <c r="K1262" s="45">
        <f>getWeightAsDouble('RawData (GH)'!I1262)</f>
        <v>885</v>
      </c>
      <c r="L1262" s="34">
        <f>getSizeDiameter('RawData (GH)'!J1262)</f>
        <v>88.6</v>
      </c>
      <c r="M1262" s="34">
        <f>getSizeLength('RawData (GH)'!J1262)</f>
        <v>109.4</v>
      </c>
    </row>
    <row r="1263" spans="1:13" x14ac:dyDescent="0.25">
      <c r="A1263" t="str">
        <f>'RawData (GH)'!A1263</f>
        <v>Sigma Art AF 24-105mm 4.0 DG OS HSM für Nikon F schwarz</v>
      </c>
      <c r="B1263" s="5">
        <f>getFocalLengthStart('RawData (GH)'!B1263)</f>
        <v>24</v>
      </c>
      <c r="C1263" s="5">
        <f>getFocalLengthEnd('RawData (GH)'!B1263)</f>
        <v>105</v>
      </c>
      <c r="D1263" s="9">
        <f>getApertureStart('RawData (GH)'!C1263)</f>
        <v>4</v>
      </c>
      <c r="E1263" s="9">
        <f>getApertureEnd('RawData (GH)'!C1263)</f>
        <v>4</v>
      </c>
      <c r="F1263" s="2">
        <f>getFiltersizeAsDouble('RawData (GH)'!D1263)</f>
        <v>82</v>
      </c>
      <c r="G1263" s="35">
        <f>getMagnification('RawData (GH)'!E1263)</f>
        <v>4.5999999999999996</v>
      </c>
      <c r="H1263" s="62">
        <f>getMinimalFocus('RawData (GH)'!F1263)</f>
        <v>0</v>
      </c>
      <c r="I1263" t="str">
        <f>getMount('RawData (GH)'!G1263)</f>
        <v>Nikon F</v>
      </c>
      <c r="J1263" t="str">
        <f>getSensorCompatibility('RawData (GH)'!H1263)</f>
        <v>APS-C/ Kleinbild</v>
      </c>
      <c r="K1263" s="45">
        <f>getWeightAsDouble('RawData (GH)'!I1263)</f>
        <v>885</v>
      </c>
      <c r="L1263" s="34">
        <f>getSizeDiameter('RawData (GH)'!J1263)</f>
        <v>88.6</v>
      </c>
      <c r="M1263" s="34">
        <f>getSizeLength('RawData (GH)'!J1263)</f>
        <v>109.4</v>
      </c>
    </row>
    <row r="1264" spans="1:13" x14ac:dyDescent="0.25">
      <c r="A1264" t="str">
        <f>'RawData (GH)'!A1264</f>
        <v>Sigma Art AF 24-105mm 4.0 DG OS HSM für Sigma schwarz</v>
      </c>
      <c r="B1264" s="5">
        <f>getFocalLengthStart('RawData (GH)'!B1264)</f>
        <v>24</v>
      </c>
      <c r="C1264" s="5">
        <f>getFocalLengthEnd('RawData (GH)'!B1264)</f>
        <v>105</v>
      </c>
      <c r="D1264" s="9">
        <f>getApertureStart('RawData (GH)'!C1264)</f>
        <v>4</v>
      </c>
      <c r="E1264" s="9">
        <f>getApertureEnd('RawData (GH)'!C1264)</f>
        <v>4</v>
      </c>
      <c r="F1264" s="2">
        <f>getFiltersizeAsDouble('RawData (GH)'!D1264)</f>
        <v>82</v>
      </c>
      <c r="G1264" s="35">
        <f>getMagnification('RawData (GH)'!E1264)</f>
        <v>4.5999999999999996</v>
      </c>
      <c r="H1264" s="62">
        <f>getMinimalFocus('RawData (GH)'!F1264)</f>
        <v>0</v>
      </c>
      <c r="I1264" t="str">
        <f>getMount('RawData (GH)'!G1264)</f>
        <v>Sigma SA</v>
      </c>
      <c r="J1264" t="str">
        <f>getSensorCompatibility('RawData (GH)'!H1264)</f>
        <v>APS-C/ Kleinbild</v>
      </c>
      <c r="K1264" s="45">
        <f>getWeightAsDouble('RawData (GH)'!I1264)</f>
        <v>885</v>
      </c>
      <c r="L1264" s="34">
        <f>getSizeDiameter('RawData (GH)'!J1264)</f>
        <v>88.6</v>
      </c>
      <c r="M1264" s="34">
        <f>getSizeLength('RawData (GH)'!J1264)</f>
        <v>109.4</v>
      </c>
    </row>
    <row r="1265" spans="1:13" x14ac:dyDescent="0.25">
      <c r="A1265" t="str">
        <f>'RawData (GH)'!A1265</f>
        <v>Sigma Art AF 24-35mm 2.0 DG HSM für Canon EF schwarz</v>
      </c>
      <c r="B1265" s="5">
        <f>getFocalLengthStart('RawData (GH)'!B1265)</f>
        <v>24</v>
      </c>
      <c r="C1265" s="5">
        <f>getFocalLengthEnd('RawData (GH)'!B1265)</f>
        <v>35</v>
      </c>
      <c r="D1265" s="9">
        <f>getApertureStart('RawData (GH)'!C1265)</f>
        <v>2</v>
      </c>
      <c r="E1265" s="9">
        <f>getApertureEnd('RawData (GH)'!C1265)</f>
        <v>2</v>
      </c>
      <c r="F1265" s="2">
        <f>getFiltersizeAsDouble('RawData (GH)'!D1265)</f>
        <v>82</v>
      </c>
      <c r="G1265" s="35">
        <f>getMagnification('RawData (GH)'!E1265)</f>
        <v>4.4000000000000004</v>
      </c>
      <c r="H1265" s="62">
        <f>getMinimalFocus('RawData (GH)'!F1265)</f>
        <v>0</v>
      </c>
      <c r="I1265" t="str">
        <f>getMount('RawData (GH)'!G1265)</f>
        <v>Canon EF</v>
      </c>
      <c r="J1265" t="str">
        <f>getSensorCompatibility('RawData (GH)'!H1265)</f>
        <v>APS-C/ Kleinbild</v>
      </c>
      <c r="K1265" s="45">
        <f>getWeightAsDouble('RawData (GH)'!I1265)</f>
        <v>940</v>
      </c>
      <c r="L1265" s="34">
        <f>getSizeDiameter('RawData (GH)'!J1265)</f>
        <v>87.6</v>
      </c>
      <c r="M1265" s="34">
        <f>getSizeLength('RawData (GH)'!J1265)</f>
        <v>122.7</v>
      </c>
    </row>
    <row r="1266" spans="1:13" x14ac:dyDescent="0.25">
      <c r="A1266" t="str">
        <f>'RawData (GH)'!A1266</f>
        <v>Sigma Art AF 24-35mm 2.0 DG HSM für Nikon F schwarz</v>
      </c>
      <c r="B1266" s="5">
        <f>getFocalLengthStart('RawData (GH)'!B1266)</f>
        <v>24</v>
      </c>
      <c r="C1266" s="5">
        <f>getFocalLengthEnd('RawData (GH)'!B1266)</f>
        <v>35</v>
      </c>
      <c r="D1266" s="9">
        <f>getApertureStart('RawData (GH)'!C1266)</f>
        <v>2</v>
      </c>
      <c r="E1266" s="9">
        <f>getApertureEnd('RawData (GH)'!C1266)</f>
        <v>2</v>
      </c>
      <c r="F1266" s="2">
        <f>getFiltersizeAsDouble('RawData (GH)'!D1266)</f>
        <v>82</v>
      </c>
      <c r="G1266" s="35">
        <f>getMagnification('RawData (GH)'!E1266)</f>
        <v>4.4000000000000004</v>
      </c>
      <c r="H1266" s="62">
        <f>getMinimalFocus('RawData (GH)'!F1266)</f>
        <v>0</v>
      </c>
      <c r="I1266" t="str">
        <f>getMount('RawData (GH)'!G1266)</f>
        <v>Nikon F</v>
      </c>
      <c r="J1266" t="str">
        <f>getSensorCompatibility('RawData (GH)'!H1266)</f>
        <v>APS-C/ Kleinbild</v>
      </c>
      <c r="K1266" s="45">
        <f>getWeightAsDouble('RawData (GH)'!I1266)</f>
        <v>940</v>
      </c>
      <c r="L1266" s="34">
        <f>getSizeDiameter('RawData (GH)'!J1266)</f>
        <v>87.6</v>
      </c>
      <c r="M1266" s="34">
        <f>getSizeLength('RawData (GH)'!J1266)</f>
        <v>122.7</v>
      </c>
    </row>
    <row r="1267" spans="1:13" x14ac:dyDescent="0.25">
      <c r="A1267" t="str">
        <f>'RawData (GH)'!A1267</f>
        <v>Sigma Art AF 24-35mm 2.0 DG HSM für Sigma schwarz</v>
      </c>
      <c r="B1267" s="5">
        <f>getFocalLengthStart('RawData (GH)'!B1267)</f>
        <v>24</v>
      </c>
      <c r="C1267" s="5">
        <f>getFocalLengthEnd('RawData (GH)'!B1267)</f>
        <v>35</v>
      </c>
      <c r="D1267" s="9">
        <f>getApertureStart('RawData (GH)'!C1267)</f>
        <v>2</v>
      </c>
      <c r="E1267" s="9">
        <f>getApertureEnd('RawData (GH)'!C1267)</f>
        <v>2</v>
      </c>
      <c r="F1267" s="2">
        <f>getFiltersizeAsDouble('RawData (GH)'!D1267)</f>
        <v>82</v>
      </c>
      <c r="G1267" s="35">
        <f>getMagnification('RawData (GH)'!E1267)</f>
        <v>4.4000000000000004</v>
      </c>
      <c r="H1267" s="62">
        <f>getMinimalFocus('RawData (GH)'!F1267)</f>
        <v>0</v>
      </c>
      <c r="I1267" t="str">
        <f>getMount('RawData (GH)'!G1267)</f>
        <v>Sigma SA</v>
      </c>
      <c r="J1267" t="str">
        <f>getSensorCompatibility('RawData (GH)'!H1267)</f>
        <v>APS-C/ Kleinbild</v>
      </c>
      <c r="K1267" s="45">
        <f>getWeightAsDouble('RawData (GH)'!I1267)</f>
        <v>940</v>
      </c>
      <c r="L1267" s="34">
        <f>getSizeDiameter('RawData (GH)'!J1267)</f>
        <v>87.6</v>
      </c>
      <c r="M1267" s="34">
        <f>getSizeLength('RawData (GH)'!J1267)</f>
        <v>122.7</v>
      </c>
    </row>
    <row r="1268" spans="1:13" x14ac:dyDescent="0.25">
      <c r="A1268" t="str">
        <f>'RawData (GH)'!A1268</f>
        <v>Sigma Art AF 24-70mm 2.8 DG OS HSM für Canon EF schwarz</v>
      </c>
      <c r="B1268" s="5">
        <f>getFocalLengthStart('RawData (GH)'!B1268)</f>
        <v>24</v>
      </c>
      <c r="C1268" s="5">
        <f>getFocalLengthEnd('RawData (GH)'!B1268)</f>
        <v>70</v>
      </c>
      <c r="D1268" s="9">
        <f>getApertureStart('RawData (GH)'!C1268)</f>
        <v>2.8</v>
      </c>
      <c r="E1268" s="9">
        <f>getApertureEnd('RawData (GH)'!C1268)</f>
        <v>2.8</v>
      </c>
      <c r="F1268" s="2">
        <f>getFiltersizeAsDouble('RawData (GH)'!D1268)</f>
        <v>82</v>
      </c>
      <c r="G1268" s="35">
        <f>getMagnification('RawData (GH)'!E1268)</f>
        <v>4.76</v>
      </c>
      <c r="H1268" s="62">
        <f>getMinimalFocus('RawData (GH)'!F1268)</f>
        <v>0</v>
      </c>
      <c r="I1268" t="str">
        <f>getMount('RawData (GH)'!G1268)</f>
        <v>Canon EF</v>
      </c>
      <c r="J1268" t="str">
        <f>getSensorCompatibility('RawData (GH)'!H1268)</f>
        <v>APS-C/ Kleinbild</v>
      </c>
      <c r="K1268" s="45">
        <f>getWeightAsDouble('RawData (GH)'!I1268)</f>
        <v>1020</v>
      </c>
      <c r="L1268" s="34">
        <f>getSizeDiameter('RawData (GH)'!J1268)</f>
        <v>88</v>
      </c>
      <c r="M1268" s="34">
        <f>getSizeLength('RawData (GH)'!J1268)</f>
        <v>107.6</v>
      </c>
    </row>
    <row r="1269" spans="1:13" x14ac:dyDescent="0.25">
      <c r="A1269" t="str">
        <f>'RawData (GH)'!A1269</f>
        <v>Sigma Art AF 24-70mm 2.8 DG OS HSM für Nikon F schwarz</v>
      </c>
      <c r="B1269" s="5">
        <f>getFocalLengthStart('RawData (GH)'!B1269)</f>
        <v>24</v>
      </c>
      <c r="C1269" s="5">
        <f>getFocalLengthEnd('RawData (GH)'!B1269)</f>
        <v>70</v>
      </c>
      <c r="D1269" s="9">
        <f>getApertureStart('RawData (GH)'!C1269)</f>
        <v>2.8</v>
      </c>
      <c r="E1269" s="9">
        <f>getApertureEnd('RawData (GH)'!C1269)</f>
        <v>2.8</v>
      </c>
      <c r="F1269" s="2">
        <f>getFiltersizeAsDouble('RawData (GH)'!D1269)</f>
        <v>82</v>
      </c>
      <c r="G1269" s="35">
        <f>getMagnification('RawData (GH)'!E1269)</f>
        <v>4.76</v>
      </c>
      <c r="H1269" s="62">
        <f>getMinimalFocus('RawData (GH)'!F1269)</f>
        <v>0</v>
      </c>
      <c r="I1269" t="str">
        <f>getMount('RawData (GH)'!G1269)</f>
        <v>Nikon F</v>
      </c>
      <c r="J1269" t="str">
        <f>getSensorCompatibility('RawData (GH)'!H1269)</f>
        <v>APS-C/ Kleinbild</v>
      </c>
      <c r="K1269" s="45">
        <f>getWeightAsDouble('RawData (GH)'!I1269)</f>
        <v>1020</v>
      </c>
      <c r="L1269" s="34">
        <f>getSizeDiameter('RawData (GH)'!J1269)</f>
        <v>88</v>
      </c>
      <c r="M1269" s="34">
        <f>getSizeLength('RawData (GH)'!J1269)</f>
        <v>107.6</v>
      </c>
    </row>
    <row r="1270" spans="1:13" x14ac:dyDescent="0.25">
      <c r="A1270" t="str">
        <f>'RawData (GH)'!A1270</f>
        <v>Sigma Art AF 24-70mm 2.8 DG OS HSM für Sigma schwarz</v>
      </c>
      <c r="B1270" s="5">
        <f>getFocalLengthStart('RawData (GH)'!B1270)</f>
        <v>24</v>
      </c>
      <c r="C1270" s="5">
        <f>getFocalLengthEnd('RawData (GH)'!B1270)</f>
        <v>70</v>
      </c>
      <c r="D1270" s="9">
        <f>getApertureStart('RawData (GH)'!C1270)</f>
        <v>2.8</v>
      </c>
      <c r="E1270" s="9">
        <f>getApertureEnd('RawData (GH)'!C1270)</f>
        <v>2.8</v>
      </c>
      <c r="F1270" s="2">
        <f>getFiltersizeAsDouble('RawData (GH)'!D1270)</f>
        <v>82</v>
      </c>
      <c r="G1270" s="35">
        <f>getMagnification('RawData (GH)'!E1270)</f>
        <v>4.76</v>
      </c>
      <c r="H1270" s="62">
        <f>getMinimalFocus('RawData (GH)'!F1270)</f>
        <v>0</v>
      </c>
      <c r="I1270" t="str">
        <f>getMount('RawData (GH)'!G1270)</f>
        <v>Sigma SA</v>
      </c>
      <c r="J1270" t="str">
        <f>getSensorCompatibility('RawData (GH)'!H1270)</f>
        <v>APS-C/ Kleinbild</v>
      </c>
      <c r="K1270" s="45">
        <f>getWeightAsDouble('RawData (GH)'!I1270)</f>
        <v>1020</v>
      </c>
      <c r="L1270" s="34">
        <f>getSizeDiameter('RawData (GH)'!J1270)</f>
        <v>88</v>
      </c>
      <c r="M1270" s="34">
        <f>getSizeLength('RawData (GH)'!J1270)</f>
        <v>107.6</v>
      </c>
    </row>
    <row r="1271" spans="1:13" x14ac:dyDescent="0.25">
      <c r="A1271" t="str">
        <f>'RawData (GH)'!A1271</f>
        <v>Sigma Art AF 24mm 1.4 DG HSM für Canon EF schwarz</v>
      </c>
      <c r="B1271" s="5">
        <f>getFocalLengthStart('RawData (GH)'!B1271)</f>
        <v>24</v>
      </c>
      <c r="C1271" s="5">
        <f>getFocalLengthEnd('RawData (GH)'!B1271)</f>
        <v>24</v>
      </c>
      <c r="D1271" s="9">
        <f>getApertureStart('RawData (GH)'!C1271)</f>
        <v>1.4</v>
      </c>
      <c r="E1271" s="9">
        <f>getApertureEnd('RawData (GH)'!C1271)</f>
        <v>1.4</v>
      </c>
      <c r="F1271" s="2">
        <f>getFiltersizeAsDouble('RawData (GH)'!D1271)</f>
        <v>77</v>
      </c>
      <c r="G1271" s="35">
        <f>getMagnification('RawData (GH)'!E1271)</f>
        <v>5.3</v>
      </c>
      <c r="H1271" s="62">
        <f>getMinimalFocus('RawData (GH)'!F1271)</f>
        <v>0</v>
      </c>
      <c r="I1271" t="str">
        <f>getMount('RawData (GH)'!G1271)</f>
        <v>Canon EF</v>
      </c>
      <c r="J1271" t="str">
        <f>getSensorCompatibility('RawData (GH)'!H1271)</f>
        <v>APS-C/ Kleinbild</v>
      </c>
      <c r="K1271" s="45">
        <f>getWeightAsDouble('RawData (GH)'!I1271)</f>
        <v>665</v>
      </c>
      <c r="L1271" s="34">
        <f>getSizeDiameter('RawData (GH)'!J1271)</f>
        <v>85</v>
      </c>
      <c r="M1271" s="34">
        <f>getSizeLength('RawData (GH)'!J1271)</f>
        <v>90.2</v>
      </c>
    </row>
    <row r="1272" spans="1:13" x14ac:dyDescent="0.25">
      <c r="A1272" t="str">
        <f>'RawData (GH)'!A1272</f>
        <v>Sigma Art AF 24mm 1.4 DG HSM für Nikon F schwarz</v>
      </c>
      <c r="B1272" s="5">
        <f>getFocalLengthStart('RawData (GH)'!B1272)</f>
        <v>24</v>
      </c>
      <c r="C1272" s="5">
        <f>getFocalLengthEnd('RawData (GH)'!B1272)</f>
        <v>24</v>
      </c>
      <c r="D1272" s="9">
        <f>getApertureStart('RawData (GH)'!C1272)</f>
        <v>1.4</v>
      </c>
      <c r="E1272" s="9">
        <f>getApertureEnd('RawData (GH)'!C1272)</f>
        <v>1.4</v>
      </c>
      <c r="F1272" s="2">
        <f>getFiltersizeAsDouble('RawData (GH)'!D1272)</f>
        <v>77</v>
      </c>
      <c r="G1272" s="35">
        <f>getMagnification('RawData (GH)'!E1272)</f>
        <v>5.3</v>
      </c>
      <c r="H1272" s="62">
        <f>getMinimalFocus('RawData (GH)'!F1272)</f>
        <v>0</v>
      </c>
      <c r="I1272" t="str">
        <f>getMount('RawData (GH)'!G1272)</f>
        <v>Nikon F</v>
      </c>
      <c r="J1272" t="str">
        <f>getSensorCompatibility('RawData (GH)'!H1272)</f>
        <v>APS-C/ Kleinbild</v>
      </c>
      <c r="K1272" s="45">
        <f>getWeightAsDouble('RawData (GH)'!I1272)</f>
        <v>665</v>
      </c>
      <c r="L1272" s="34">
        <f>getSizeDiameter('RawData (GH)'!J1272)</f>
        <v>85</v>
      </c>
      <c r="M1272" s="34">
        <f>getSizeLength('RawData (GH)'!J1272)</f>
        <v>90.2</v>
      </c>
    </row>
    <row r="1273" spans="1:13" x14ac:dyDescent="0.25">
      <c r="A1273" t="str">
        <f>'RawData (GH)'!A1273</f>
        <v>Sigma Art AF 24mm 1.4 DG HSM für Sigma schwarz</v>
      </c>
      <c r="B1273" s="5">
        <f>getFocalLengthStart('RawData (GH)'!B1273)</f>
        <v>24</v>
      </c>
      <c r="C1273" s="5">
        <f>getFocalLengthEnd('RawData (GH)'!B1273)</f>
        <v>24</v>
      </c>
      <c r="D1273" s="9">
        <f>getApertureStart('RawData (GH)'!C1273)</f>
        <v>1.4</v>
      </c>
      <c r="E1273" s="9">
        <f>getApertureEnd('RawData (GH)'!C1273)</f>
        <v>1.4</v>
      </c>
      <c r="F1273" s="2">
        <f>getFiltersizeAsDouble('RawData (GH)'!D1273)</f>
        <v>77</v>
      </c>
      <c r="G1273" s="35">
        <f>getMagnification('RawData (GH)'!E1273)</f>
        <v>5.3</v>
      </c>
      <c r="H1273" s="62">
        <f>getMinimalFocus('RawData (GH)'!F1273)</f>
        <v>0</v>
      </c>
      <c r="I1273" t="str">
        <f>getMount('RawData (GH)'!G1273)</f>
        <v>Sigma SA</v>
      </c>
      <c r="J1273" t="str">
        <f>getSensorCompatibility('RawData (GH)'!H1273)</f>
        <v>APS-C/ Kleinbild</v>
      </c>
      <c r="K1273" s="45">
        <f>getWeightAsDouble('RawData (GH)'!I1273)</f>
        <v>665</v>
      </c>
      <c r="L1273" s="34">
        <f>getSizeDiameter('RawData (GH)'!J1273)</f>
        <v>85</v>
      </c>
      <c r="M1273" s="34">
        <f>getSizeLength('RawData (GH)'!J1273)</f>
        <v>90.2</v>
      </c>
    </row>
    <row r="1274" spans="1:13" x14ac:dyDescent="0.25">
      <c r="A1274" t="str">
        <f>'RawData (GH)'!A1274</f>
        <v>Sigma Art AF 30mm 1.4 DC HSM für Canon EF schwarz</v>
      </c>
      <c r="B1274" s="5">
        <f>getFocalLengthStart('RawData (GH)'!B1274)</f>
        <v>30</v>
      </c>
      <c r="C1274" s="5">
        <f>getFocalLengthEnd('RawData (GH)'!B1274)</f>
        <v>30</v>
      </c>
      <c r="D1274" s="9">
        <f>getApertureStart('RawData (GH)'!C1274)</f>
        <v>1.4</v>
      </c>
      <c r="E1274" s="9">
        <f>getApertureEnd('RawData (GH)'!C1274)</f>
        <v>1.4</v>
      </c>
      <c r="F1274" s="2">
        <f>getFiltersizeAsDouble('RawData (GH)'!D1274)</f>
        <v>62</v>
      </c>
      <c r="G1274" s="35">
        <f>getMagnification('RawData (GH)'!E1274)</f>
        <v>6.8</v>
      </c>
      <c r="H1274" s="62">
        <f>getMinimalFocus('RawData (GH)'!F1274)</f>
        <v>0</v>
      </c>
      <c r="I1274" t="str">
        <f>getMount('RawData (GH)'!G1274)</f>
        <v>Canon EF-S</v>
      </c>
      <c r="J1274" t="str">
        <f>getSensorCompatibility('RawData (GH)'!H1274)</f>
        <v>APS-C</v>
      </c>
      <c r="K1274" s="45">
        <f>getWeightAsDouble('RawData (GH)'!I1274)</f>
        <v>435</v>
      </c>
      <c r="L1274" s="34">
        <f>getSizeDiameter('RawData (GH)'!J1274)</f>
        <v>74.2</v>
      </c>
      <c r="M1274" s="34">
        <f>getSizeLength('RawData (GH)'!J1274)</f>
        <v>63.3</v>
      </c>
    </row>
    <row r="1275" spans="1:13" x14ac:dyDescent="0.25">
      <c r="A1275" t="str">
        <f>'RawData (GH)'!A1275</f>
        <v>Sigma Art AF 30mm 1.4 DC HSM für Nikon F schwarz</v>
      </c>
      <c r="B1275" s="5">
        <f>getFocalLengthStart('RawData (GH)'!B1275)</f>
        <v>30</v>
      </c>
      <c r="C1275" s="5">
        <f>getFocalLengthEnd('RawData (GH)'!B1275)</f>
        <v>30</v>
      </c>
      <c r="D1275" s="9">
        <f>getApertureStart('RawData (GH)'!C1275)</f>
        <v>1.4</v>
      </c>
      <c r="E1275" s="9">
        <f>getApertureEnd('RawData (GH)'!C1275)</f>
        <v>1.4</v>
      </c>
      <c r="F1275" s="2">
        <f>getFiltersizeAsDouble('RawData (GH)'!D1275)</f>
        <v>62</v>
      </c>
      <c r="G1275" s="35">
        <f>getMagnification('RawData (GH)'!E1275)</f>
        <v>6.8</v>
      </c>
      <c r="H1275" s="62">
        <f>getMinimalFocus('RawData (GH)'!F1275)</f>
        <v>0</v>
      </c>
      <c r="I1275" t="str">
        <f>getMount('RawData (GH)'!G1275)</f>
        <v>Nikon F</v>
      </c>
      <c r="J1275" t="str">
        <f>getSensorCompatibility('RawData (GH)'!H1275)</f>
        <v>APS-C</v>
      </c>
      <c r="K1275" s="45">
        <f>getWeightAsDouble('RawData (GH)'!I1275)</f>
        <v>435</v>
      </c>
      <c r="L1275" s="34">
        <f>getSizeDiameter('RawData (GH)'!J1275)</f>
        <v>74.2</v>
      </c>
      <c r="M1275" s="34">
        <f>getSizeLength('RawData (GH)'!J1275)</f>
        <v>63.3</v>
      </c>
    </row>
    <row r="1276" spans="1:13" x14ac:dyDescent="0.25">
      <c r="A1276" t="str">
        <f>'RawData (GH)'!A1276</f>
        <v>Sigma Art AF 30mm 1.4 DC HSM für Pentax K schwarz</v>
      </c>
      <c r="B1276" s="5">
        <f>getFocalLengthStart('RawData (GH)'!B1276)</f>
        <v>30</v>
      </c>
      <c r="C1276" s="5">
        <f>getFocalLengthEnd('RawData (GH)'!B1276)</f>
        <v>30</v>
      </c>
      <c r="D1276" s="9">
        <f>getApertureStart('RawData (GH)'!C1276)</f>
        <v>1.4</v>
      </c>
      <c r="E1276" s="9">
        <f>getApertureEnd('RawData (GH)'!C1276)</f>
        <v>1.4</v>
      </c>
      <c r="F1276" s="2">
        <f>getFiltersizeAsDouble('RawData (GH)'!D1276)</f>
        <v>62</v>
      </c>
      <c r="G1276" s="35">
        <f>getMagnification('RawData (GH)'!E1276)</f>
        <v>6.8</v>
      </c>
      <c r="H1276" s="62">
        <f>getMinimalFocus('RawData (GH)'!F1276)</f>
        <v>0</v>
      </c>
      <c r="I1276" t="str">
        <f>getMount('RawData (GH)'!G1276)</f>
        <v>Pentax K</v>
      </c>
      <c r="J1276" t="str">
        <f>getSensorCompatibility('RawData (GH)'!H1276)</f>
        <v>APS-C</v>
      </c>
      <c r="K1276" s="45">
        <f>getWeightAsDouble('RawData (GH)'!I1276)</f>
        <v>435</v>
      </c>
      <c r="L1276" s="34">
        <f>getSizeDiameter('RawData (GH)'!J1276)</f>
        <v>74.2</v>
      </c>
      <c r="M1276" s="34">
        <f>getSizeLength('RawData (GH)'!J1276)</f>
        <v>63.3</v>
      </c>
    </row>
    <row r="1277" spans="1:13" x14ac:dyDescent="0.25">
      <c r="A1277" t="str">
        <f>'RawData (GH)'!A1277</f>
        <v>Sigma Art AF 30mm 1.4 DC HSM für Sigma schwarz</v>
      </c>
      <c r="B1277" s="5">
        <f>getFocalLengthStart('RawData (GH)'!B1277)</f>
        <v>30</v>
      </c>
      <c r="C1277" s="5">
        <f>getFocalLengthEnd('RawData (GH)'!B1277)</f>
        <v>30</v>
      </c>
      <c r="D1277" s="9">
        <f>getApertureStart('RawData (GH)'!C1277)</f>
        <v>1.4</v>
      </c>
      <c r="E1277" s="9">
        <f>getApertureEnd('RawData (GH)'!C1277)</f>
        <v>1.4</v>
      </c>
      <c r="F1277" s="2">
        <f>getFiltersizeAsDouble('RawData (GH)'!D1277)</f>
        <v>62</v>
      </c>
      <c r="G1277" s="35">
        <f>getMagnification('RawData (GH)'!E1277)</f>
        <v>6.8</v>
      </c>
      <c r="H1277" s="62">
        <f>getMinimalFocus('RawData (GH)'!F1277)</f>
        <v>0</v>
      </c>
      <c r="I1277" t="str">
        <f>getMount('RawData (GH)'!G1277)</f>
        <v>Sigma SA</v>
      </c>
      <c r="J1277" t="str">
        <f>getSensorCompatibility('RawData (GH)'!H1277)</f>
        <v>APS-C</v>
      </c>
      <c r="K1277" s="45">
        <f>getWeightAsDouble('RawData (GH)'!I1277)</f>
        <v>435</v>
      </c>
      <c r="L1277" s="34">
        <f>getSizeDiameter('RawData (GH)'!J1277)</f>
        <v>74.2</v>
      </c>
      <c r="M1277" s="34">
        <f>getSizeLength('RawData (GH)'!J1277)</f>
        <v>63.3</v>
      </c>
    </row>
    <row r="1278" spans="1:13" x14ac:dyDescent="0.25">
      <c r="A1278" t="str">
        <f>'RawData (GH)'!A1278</f>
        <v>Sigma Art AF 30mm 1.4 DC HSM für Sony A schwarz</v>
      </c>
      <c r="B1278" s="5">
        <f>getFocalLengthStart('RawData (GH)'!B1278)</f>
        <v>30</v>
      </c>
      <c r="C1278" s="5">
        <f>getFocalLengthEnd('RawData (GH)'!B1278)</f>
        <v>30</v>
      </c>
      <c r="D1278" s="9">
        <f>getApertureStart('RawData (GH)'!C1278)</f>
        <v>1.4</v>
      </c>
      <c r="E1278" s="9">
        <f>getApertureEnd('RawData (GH)'!C1278)</f>
        <v>1.4</v>
      </c>
      <c r="F1278" s="2">
        <f>getFiltersizeAsDouble('RawData (GH)'!D1278)</f>
        <v>62</v>
      </c>
      <c r="G1278" s="35">
        <f>getMagnification('RawData (GH)'!E1278)</f>
        <v>6.8</v>
      </c>
      <c r="H1278" s="62">
        <f>getMinimalFocus('RawData (GH)'!F1278)</f>
        <v>0</v>
      </c>
      <c r="I1278" t="str">
        <f>getMount('RawData (GH)'!G1278)</f>
        <v>Sony A</v>
      </c>
      <c r="J1278" t="str">
        <f>getSensorCompatibility('RawData (GH)'!H1278)</f>
        <v>APS-C</v>
      </c>
      <c r="K1278" s="45">
        <f>getWeightAsDouble('RawData (GH)'!I1278)</f>
        <v>435</v>
      </c>
      <c r="L1278" s="34">
        <f>getSizeDiameter('RawData (GH)'!J1278)</f>
        <v>74.2</v>
      </c>
      <c r="M1278" s="34">
        <f>getSizeLength('RawData (GH)'!J1278)</f>
        <v>63.3</v>
      </c>
    </row>
    <row r="1279" spans="1:13" x14ac:dyDescent="0.25">
      <c r="A1279" t="str">
        <f>'RawData (GH)'!A1279</f>
        <v>Sigma Art AF 30mm 2.8 DN für Micro-Four-Thirds schwarz</v>
      </c>
      <c r="B1279" s="5">
        <f>getFocalLengthStart('RawData (GH)'!B1279)</f>
        <v>30</v>
      </c>
      <c r="C1279" s="5">
        <f>getFocalLengthEnd('RawData (GH)'!B1279)</f>
        <v>30</v>
      </c>
      <c r="D1279" s="9">
        <f>getApertureStart('RawData (GH)'!C1279)</f>
        <v>2.8</v>
      </c>
      <c r="E1279" s="9">
        <f>getApertureEnd('RawData (GH)'!C1279)</f>
        <v>2.8</v>
      </c>
      <c r="F1279" s="2">
        <f>getFiltersizeAsDouble('RawData (GH)'!D1279)</f>
        <v>46</v>
      </c>
      <c r="G1279" s="35">
        <f>getMagnification('RawData (GH)'!E1279)</f>
        <v>8.1</v>
      </c>
      <c r="H1279" s="62">
        <f>getMinimalFocus('RawData (GH)'!F1279)</f>
        <v>0</v>
      </c>
      <c r="I1279" t="str">
        <f>getMount('RawData (GH)'!G1279)</f>
        <v>Micro-Four-Thirds</v>
      </c>
      <c r="J1279" t="str">
        <f>getSensorCompatibility('RawData (GH)'!H1279)</f>
        <v>Four-Thirds</v>
      </c>
      <c r="K1279" s="45">
        <f>getWeightAsDouble('RawData (GH)'!I1279)</f>
        <v>0</v>
      </c>
      <c r="L1279" s="34">
        <f>getSizeDiameter('RawData (GH)'!J1279)</f>
        <v>60.8</v>
      </c>
      <c r="M1279" s="34">
        <f>getSizeLength('RawData (GH)'!J1279)</f>
        <v>40.5</v>
      </c>
    </row>
    <row r="1280" spans="1:13" x14ac:dyDescent="0.25">
      <c r="A1280" t="str">
        <f>'RawData (GH)'!A1280</f>
        <v>Sigma Art AF 30mm 2.8 DN für Micro-Four-Thirds silber</v>
      </c>
      <c r="B1280" s="5">
        <f>getFocalLengthStart('RawData (GH)'!B1280)</f>
        <v>30</v>
      </c>
      <c r="C1280" s="5">
        <f>getFocalLengthEnd('RawData (GH)'!B1280)</f>
        <v>30</v>
      </c>
      <c r="D1280" s="9">
        <f>getApertureStart('RawData (GH)'!C1280)</f>
        <v>2.8</v>
      </c>
      <c r="E1280" s="9">
        <f>getApertureEnd('RawData (GH)'!C1280)</f>
        <v>2.8</v>
      </c>
      <c r="F1280" s="2">
        <f>getFiltersizeAsDouble('RawData (GH)'!D1280)</f>
        <v>46</v>
      </c>
      <c r="G1280" s="35">
        <f>getMagnification('RawData (GH)'!E1280)</f>
        <v>8.1</v>
      </c>
      <c r="H1280" s="62">
        <f>getMinimalFocus('RawData (GH)'!F1280)</f>
        <v>0</v>
      </c>
      <c r="I1280" t="str">
        <f>getMount('RawData (GH)'!G1280)</f>
        <v>Micro-Four-Thirds</v>
      </c>
      <c r="J1280" t="str">
        <f>getSensorCompatibility('RawData (GH)'!H1280)</f>
        <v>Four-Thirds</v>
      </c>
      <c r="K1280" s="45">
        <f>getWeightAsDouble('RawData (GH)'!I1280)</f>
        <v>0</v>
      </c>
      <c r="L1280" s="34">
        <f>getSizeDiameter('RawData (GH)'!J1280)</f>
        <v>60.8</v>
      </c>
      <c r="M1280" s="34">
        <f>getSizeLength('RawData (GH)'!J1280)</f>
        <v>40.5</v>
      </c>
    </row>
    <row r="1281" spans="1:13" x14ac:dyDescent="0.25">
      <c r="A1281" t="str">
        <f>'RawData (GH)'!A1281</f>
        <v>Sigma Art AF 30mm 2.8 DN für Sony E schwarz</v>
      </c>
      <c r="B1281" s="5">
        <f>getFocalLengthStart('RawData (GH)'!B1281)</f>
        <v>30</v>
      </c>
      <c r="C1281" s="5">
        <f>getFocalLengthEnd('RawData (GH)'!B1281)</f>
        <v>30</v>
      </c>
      <c r="D1281" s="9">
        <f>getApertureStart('RawData (GH)'!C1281)</f>
        <v>2.8</v>
      </c>
      <c r="E1281" s="9">
        <f>getApertureEnd('RawData (GH)'!C1281)</f>
        <v>2.8</v>
      </c>
      <c r="F1281" s="2">
        <f>getFiltersizeAsDouble('RawData (GH)'!D1281)</f>
        <v>46</v>
      </c>
      <c r="G1281" s="35">
        <f>getMagnification('RawData (GH)'!E1281)</f>
        <v>8.1</v>
      </c>
      <c r="H1281" s="62">
        <f>getMinimalFocus('RawData (GH)'!F1281)</f>
        <v>0</v>
      </c>
      <c r="I1281" t="str">
        <f>getMount('RawData (GH)'!G1281)</f>
        <v>Sony E</v>
      </c>
      <c r="J1281" t="str">
        <f>getSensorCompatibility('RawData (GH)'!H1281)</f>
        <v>APS-C</v>
      </c>
      <c r="K1281" s="45">
        <f>getWeightAsDouble('RawData (GH)'!I1281)</f>
        <v>0</v>
      </c>
      <c r="L1281" s="34">
        <f>getSizeDiameter('RawData (GH)'!J1281)</f>
        <v>60.8</v>
      </c>
      <c r="M1281" s="34">
        <f>getSizeLength('RawData (GH)'!J1281)</f>
        <v>40.5</v>
      </c>
    </row>
    <row r="1282" spans="1:13" x14ac:dyDescent="0.25">
      <c r="A1282" t="str">
        <f>'RawData (GH)'!A1282</f>
        <v>Sigma Art AF 30mm 2.8 DN für Sony E silber</v>
      </c>
      <c r="B1282" s="5">
        <f>getFocalLengthStart('RawData (GH)'!B1282)</f>
        <v>30</v>
      </c>
      <c r="C1282" s="5">
        <f>getFocalLengthEnd('RawData (GH)'!B1282)</f>
        <v>30</v>
      </c>
      <c r="D1282" s="9">
        <f>getApertureStart('RawData (GH)'!C1282)</f>
        <v>2.8</v>
      </c>
      <c r="E1282" s="9">
        <f>getApertureEnd('RawData (GH)'!C1282)</f>
        <v>2.8</v>
      </c>
      <c r="F1282" s="2">
        <f>getFiltersizeAsDouble('RawData (GH)'!D1282)</f>
        <v>46</v>
      </c>
      <c r="G1282" s="35">
        <f>getMagnification('RawData (GH)'!E1282)</f>
        <v>8.1</v>
      </c>
      <c r="H1282" s="62">
        <f>getMinimalFocus('RawData (GH)'!F1282)</f>
        <v>0</v>
      </c>
      <c r="I1282" t="str">
        <f>getMount('RawData (GH)'!G1282)</f>
        <v>Sony E</v>
      </c>
      <c r="J1282" t="str">
        <f>getSensorCompatibility('RawData (GH)'!H1282)</f>
        <v>APS-C</v>
      </c>
      <c r="K1282" s="45">
        <f>getWeightAsDouble('RawData (GH)'!I1282)</f>
        <v>0</v>
      </c>
      <c r="L1282" s="34">
        <f>getSizeDiameter('RawData (GH)'!J1282)</f>
        <v>60.8</v>
      </c>
      <c r="M1282" s="34">
        <f>getSizeLength('RawData (GH)'!J1282)</f>
        <v>40.5</v>
      </c>
    </row>
    <row r="1283" spans="1:13" x14ac:dyDescent="0.25">
      <c r="A1283" t="str">
        <f>'RawData (GH)'!A1283</f>
        <v>Sigma Art AF 35mm 1.4 DG HSM für Canon EF schwarz</v>
      </c>
      <c r="B1283" s="5">
        <f>getFocalLengthStart('RawData (GH)'!B1283)</f>
        <v>35</v>
      </c>
      <c r="C1283" s="5">
        <f>getFocalLengthEnd('RawData (GH)'!B1283)</f>
        <v>35</v>
      </c>
      <c r="D1283" s="9">
        <f>getApertureStart('RawData (GH)'!C1283)</f>
        <v>1.4</v>
      </c>
      <c r="E1283" s="9">
        <f>getApertureEnd('RawData (GH)'!C1283)</f>
        <v>1.4</v>
      </c>
      <c r="F1283" s="2">
        <f>getFiltersizeAsDouble('RawData (GH)'!D1283)</f>
        <v>67</v>
      </c>
      <c r="G1283" s="35">
        <f>getMagnification('RawData (GH)'!E1283)</f>
        <v>5.2</v>
      </c>
      <c r="H1283" s="62">
        <f>getMinimalFocus('RawData (GH)'!F1283)</f>
        <v>0</v>
      </c>
      <c r="I1283" t="str">
        <f>getMount('RawData (GH)'!G1283)</f>
        <v>Canon EF</v>
      </c>
      <c r="J1283" t="str">
        <f>getSensorCompatibility('RawData (GH)'!H1283)</f>
        <v>APS-C/ Kleinbild</v>
      </c>
      <c r="K1283" s="45">
        <f>getWeightAsDouble('RawData (GH)'!I1283)</f>
        <v>665</v>
      </c>
      <c r="L1283" s="34">
        <f>getSizeDiameter('RawData (GH)'!J1283)</f>
        <v>77</v>
      </c>
      <c r="M1283" s="34">
        <f>getSizeLength('RawData (GH)'!J1283)</f>
        <v>94</v>
      </c>
    </row>
    <row r="1284" spans="1:13" x14ac:dyDescent="0.25">
      <c r="A1284" t="str">
        <f>'RawData (GH)'!A1284</f>
        <v>Sigma Art AF 35mm 1.4 DG HSM für Nikon F schwarz</v>
      </c>
      <c r="B1284" s="5">
        <f>getFocalLengthStart('RawData (GH)'!B1284)</f>
        <v>35</v>
      </c>
      <c r="C1284" s="5">
        <f>getFocalLengthEnd('RawData (GH)'!B1284)</f>
        <v>35</v>
      </c>
      <c r="D1284" s="9">
        <f>getApertureStart('RawData (GH)'!C1284)</f>
        <v>1.4</v>
      </c>
      <c r="E1284" s="9">
        <f>getApertureEnd('RawData (GH)'!C1284)</f>
        <v>1.4</v>
      </c>
      <c r="F1284" s="2">
        <f>getFiltersizeAsDouble('RawData (GH)'!D1284)</f>
        <v>67</v>
      </c>
      <c r="G1284" s="35">
        <f>getMagnification('RawData (GH)'!E1284)</f>
        <v>5.2</v>
      </c>
      <c r="H1284" s="62">
        <f>getMinimalFocus('RawData (GH)'!F1284)</f>
        <v>0</v>
      </c>
      <c r="I1284" t="str">
        <f>getMount('RawData (GH)'!G1284)</f>
        <v>Nikon F</v>
      </c>
      <c r="J1284" t="str">
        <f>getSensorCompatibility('RawData (GH)'!H1284)</f>
        <v>APS-C/ Kleinbild</v>
      </c>
      <c r="K1284" s="45">
        <f>getWeightAsDouble('RawData (GH)'!I1284)</f>
        <v>665</v>
      </c>
      <c r="L1284" s="34">
        <f>getSizeDiameter('RawData (GH)'!J1284)</f>
        <v>77</v>
      </c>
      <c r="M1284" s="34">
        <f>getSizeLength('RawData (GH)'!J1284)</f>
        <v>94</v>
      </c>
    </row>
    <row r="1285" spans="1:13" x14ac:dyDescent="0.25">
      <c r="A1285" t="str">
        <f>'RawData (GH)'!A1285</f>
        <v>Sigma Art AF 35mm 1.4 DG HSM für Pentax K schwarz</v>
      </c>
      <c r="B1285" s="5">
        <f>getFocalLengthStart('RawData (GH)'!B1285)</f>
        <v>35</v>
      </c>
      <c r="C1285" s="5">
        <f>getFocalLengthEnd('RawData (GH)'!B1285)</f>
        <v>35</v>
      </c>
      <c r="D1285" s="9">
        <f>getApertureStart('RawData (GH)'!C1285)</f>
        <v>1.4</v>
      </c>
      <c r="E1285" s="9">
        <f>getApertureEnd('RawData (GH)'!C1285)</f>
        <v>1.4</v>
      </c>
      <c r="F1285" s="2">
        <f>getFiltersizeAsDouble('RawData (GH)'!D1285)</f>
        <v>67</v>
      </c>
      <c r="G1285" s="35">
        <f>getMagnification('RawData (GH)'!E1285)</f>
        <v>5.2</v>
      </c>
      <c r="H1285" s="62">
        <f>getMinimalFocus('RawData (GH)'!F1285)</f>
        <v>0</v>
      </c>
      <c r="I1285" t="str">
        <f>getMount('RawData (GH)'!G1285)</f>
        <v>Pentax K</v>
      </c>
      <c r="J1285" t="str">
        <f>getSensorCompatibility('RawData (GH)'!H1285)</f>
        <v>APS-C/ Kleinbild</v>
      </c>
      <c r="K1285" s="45">
        <f>getWeightAsDouble('RawData (GH)'!I1285)</f>
        <v>665</v>
      </c>
      <c r="L1285" s="34">
        <f>getSizeDiameter('RawData (GH)'!J1285)</f>
        <v>77</v>
      </c>
      <c r="M1285" s="34">
        <f>getSizeLength('RawData (GH)'!J1285)</f>
        <v>94</v>
      </c>
    </row>
    <row r="1286" spans="1:13" x14ac:dyDescent="0.25">
      <c r="A1286" t="str">
        <f>'RawData (GH)'!A1286</f>
        <v>Sigma Art AF 35mm 1.4 DG HSM für Sigma schwarz</v>
      </c>
      <c r="B1286" s="5">
        <f>getFocalLengthStart('RawData (GH)'!B1286)</f>
        <v>35</v>
      </c>
      <c r="C1286" s="5">
        <f>getFocalLengthEnd('RawData (GH)'!B1286)</f>
        <v>35</v>
      </c>
      <c r="D1286" s="9">
        <f>getApertureStart('RawData (GH)'!C1286)</f>
        <v>1.4</v>
      </c>
      <c r="E1286" s="9">
        <f>getApertureEnd('RawData (GH)'!C1286)</f>
        <v>1.4</v>
      </c>
      <c r="F1286" s="2">
        <f>getFiltersizeAsDouble('RawData (GH)'!D1286)</f>
        <v>67</v>
      </c>
      <c r="G1286" s="35">
        <f>getMagnification('RawData (GH)'!E1286)</f>
        <v>5.2</v>
      </c>
      <c r="H1286" s="62">
        <f>getMinimalFocus('RawData (GH)'!F1286)</f>
        <v>0</v>
      </c>
      <c r="I1286" t="str">
        <f>getMount('RawData (GH)'!G1286)</f>
        <v>Sigma SA</v>
      </c>
      <c r="J1286" t="str">
        <f>getSensorCompatibility('RawData (GH)'!H1286)</f>
        <v>APS-C/ Kleinbild</v>
      </c>
      <c r="K1286" s="45">
        <f>getWeightAsDouble('RawData (GH)'!I1286)</f>
        <v>665</v>
      </c>
      <c r="L1286" s="34">
        <f>getSizeDiameter('RawData (GH)'!J1286)</f>
        <v>77</v>
      </c>
      <c r="M1286" s="34">
        <f>getSizeLength('RawData (GH)'!J1286)</f>
        <v>94</v>
      </c>
    </row>
    <row r="1287" spans="1:13" x14ac:dyDescent="0.25">
      <c r="A1287" t="str">
        <f>'RawData (GH)'!A1287</f>
        <v>Sigma Art AF 35mm 1.4 DG HSM für Sony A schwarz</v>
      </c>
      <c r="B1287" s="5">
        <f>getFocalLengthStart('RawData (GH)'!B1287)</f>
        <v>35</v>
      </c>
      <c r="C1287" s="5">
        <f>getFocalLengthEnd('RawData (GH)'!B1287)</f>
        <v>35</v>
      </c>
      <c r="D1287" s="9">
        <f>getApertureStart('RawData (GH)'!C1287)</f>
        <v>1.4</v>
      </c>
      <c r="E1287" s="9">
        <f>getApertureEnd('RawData (GH)'!C1287)</f>
        <v>1.4</v>
      </c>
      <c r="F1287" s="2">
        <f>getFiltersizeAsDouble('RawData (GH)'!D1287)</f>
        <v>67</v>
      </c>
      <c r="G1287" s="35">
        <f>getMagnification('RawData (GH)'!E1287)</f>
        <v>5.2</v>
      </c>
      <c r="H1287" s="62">
        <f>getMinimalFocus('RawData (GH)'!F1287)</f>
        <v>0</v>
      </c>
      <c r="I1287" t="str">
        <f>getMount('RawData (GH)'!G1287)</f>
        <v>Sony A</v>
      </c>
      <c r="J1287" t="str">
        <f>getSensorCompatibility('RawData (GH)'!H1287)</f>
        <v>APS-C/ Kleinbild</v>
      </c>
      <c r="K1287" s="45">
        <f>getWeightAsDouble('RawData (GH)'!I1287)</f>
        <v>665</v>
      </c>
      <c r="L1287" s="34">
        <f>getSizeDiameter('RawData (GH)'!J1287)</f>
        <v>77</v>
      </c>
      <c r="M1287" s="34">
        <f>getSizeLength('RawData (GH)'!J1287)</f>
        <v>94</v>
      </c>
    </row>
    <row r="1288" spans="1:13" x14ac:dyDescent="0.25">
      <c r="A1288" t="str">
        <f>'RawData (GH)'!A1288</f>
        <v>Sigma Art AF 50-100mm 1.8 DC HSM für Canon EF schwarz</v>
      </c>
      <c r="B1288" s="5">
        <f>getFocalLengthStart('RawData (GH)'!B1288)</f>
        <v>50</v>
      </c>
      <c r="C1288" s="5">
        <f>getFocalLengthEnd('RawData (GH)'!B1288)</f>
        <v>100</v>
      </c>
      <c r="D1288" s="9">
        <f>getApertureStart('RawData (GH)'!C1288)</f>
        <v>1.8</v>
      </c>
      <c r="E1288" s="9">
        <f>getApertureEnd('RawData (GH)'!C1288)</f>
        <v>1.8</v>
      </c>
      <c r="F1288" s="2">
        <f>getFiltersizeAsDouble('RawData (GH)'!D1288)</f>
        <v>82</v>
      </c>
      <c r="G1288" s="35">
        <f>getMagnification('RawData (GH)'!E1288)</f>
        <v>6.7</v>
      </c>
      <c r="H1288" s="62">
        <f>getMinimalFocus('RawData (GH)'!F1288)</f>
        <v>0</v>
      </c>
      <c r="I1288" t="str">
        <f>getMount('RawData (GH)'!G1288)</f>
        <v>Canon EF-S</v>
      </c>
      <c r="J1288" t="str">
        <f>getSensorCompatibility('RawData (GH)'!H1288)</f>
        <v>APS-C</v>
      </c>
      <c r="K1288" s="45">
        <f>getWeightAsDouble('RawData (GH)'!I1288)</f>
        <v>1490</v>
      </c>
      <c r="L1288" s="34">
        <f>getSizeDiameter('RawData (GH)'!J1288)</f>
        <v>93.5</v>
      </c>
      <c r="M1288" s="34">
        <f>getSizeLength('RawData (GH)'!J1288)</f>
        <v>170.7</v>
      </c>
    </row>
    <row r="1289" spans="1:13" x14ac:dyDescent="0.25">
      <c r="A1289" t="str">
        <f>'RawData (GH)'!A1289</f>
        <v>Sigma Art AF 50-100mm 1.8 DC HSM für Nikon F schwarz</v>
      </c>
      <c r="B1289" s="5">
        <f>getFocalLengthStart('RawData (GH)'!B1289)</f>
        <v>50</v>
      </c>
      <c r="C1289" s="5">
        <f>getFocalLengthEnd('RawData (GH)'!B1289)</f>
        <v>100</v>
      </c>
      <c r="D1289" s="9">
        <f>getApertureStart('RawData (GH)'!C1289)</f>
        <v>1.8</v>
      </c>
      <c r="E1289" s="9">
        <f>getApertureEnd('RawData (GH)'!C1289)</f>
        <v>1.8</v>
      </c>
      <c r="F1289" s="2">
        <f>getFiltersizeAsDouble('RawData (GH)'!D1289)</f>
        <v>82</v>
      </c>
      <c r="G1289" s="35">
        <f>getMagnification('RawData (GH)'!E1289)</f>
        <v>6.7</v>
      </c>
      <c r="H1289" s="62">
        <f>getMinimalFocus('RawData (GH)'!F1289)</f>
        <v>0</v>
      </c>
      <c r="I1289" t="str">
        <f>getMount('RawData (GH)'!G1289)</f>
        <v>Nikon F</v>
      </c>
      <c r="J1289" t="str">
        <f>getSensorCompatibility('RawData (GH)'!H1289)</f>
        <v>APS-C</v>
      </c>
      <c r="K1289" s="45">
        <f>getWeightAsDouble('RawData (GH)'!I1289)</f>
        <v>1490</v>
      </c>
      <c r="L1289" s="34">
        <f>getSizeDiameter('RawData (GH)'!J1289)</f>
        <v>93.5</v>
      </c>
      <c r="M1289" s="34">
        <f>getSizeLength('RawData (GH)'!J1289)</f>
        <v>170.7</v>
      </c>
    </row>
    <row r="1290" spans="1:13" x14ac:dyDescent="0.25">
      <c r="A1290" t="str">
        <f>'RawData (GH)'!A1290</f>
        <v>Sigma Art AF 50-100mm 1.8 DC HSM für Sigma schwarz</v>
      </c>
      <c r="B1290" s="5">
        <f>getFocalLengthStart('RawData (GH)'!B1290)</f>
        <v>50</v>
      </c>
      <c r="C1290" s="5">
        <f>getFocalLengthEnd('RawData (GH)'!B1290)</f>
        <v>100</v>
      </c>
      <c r="D1290" s="9">
        <f>getApertureStart('RawData (GH)'!C1290)</f>
        <v>1.8</v>
      </c>
      <c r="E1290" s="9">
        <f>getApertureEnd('RawData (GH)'!C1290)</f>
        <v>1.8</v>
      </c>
      <c r="F1290" s="2">
        <f>getFiltersizeAsDouble('RawData (GH)'!D1290)</f>
        <v>82</v>
      </c>
      <c r="G1290" s="35">
        <f>getMagnification('RawData (GH)'!E1290)</f>
        <v>6.7</v>
      </c>
      <c r="H1290" s="62">
        <f>getMinimalFocus('RawData (GH)'!F1290)</f>
        <v>0</v>
      </c>
      <c r="I1290" t="str">
        <f>getMount('RawData (GH)'!G1290)</f>
        <v>Sigma SA</v>
      </c>
      <c r="J1290" t="str">
        <f>getSensorCompatibility('RawData (GH)'!H1290)</f>
        <v>APS-C</v>
      </c>
      <c r="K1290" s="45">
        <f>getWeightAsDouble('RawData (GH)'!I1290)</f>
        <v>1490</v>
      </c>
      <c r="L1290" s="34">
        <f>getSizeDiameter('RawData (GH)'!J1290)</f>
        <v>93.5</v>
      </c>
      <c r="M1290" s="34">
        <f>getSizeLength('RawData (GH)'!J1290)</f>
        <v>170.7</v>
      </c>
    </row>
    <row r="1291" spans="1:13" x14ac:dyDescent="0.25">
      <c r="A1291" t="str">
        <f>'RawData (GH)'!A1291</f>
        <v>Sigma Art AF 50mm 1.4 DG HSM für Canon EF schwarz</v>
      </c>
      <c r="B1291" s="5">
        <f>getFocalLengthStart('RawData (GH)'!B1291)</f>
        <v>50</v>
      </c>
      <c r="C1291" s="5">
        <f>getFocalLengthEnd('RawData (GH)'!B1291)</f>
        <v>50</v>
      </c>
      <c r="D1291" s="9">
        <f>getApertureStart('RawData (GH)'!C1291)</f>
        <v>1.4</v>
      </c>
      <c r="E1291" s="9">
        <f>getApertureEnd('RawData (GH)'!C1291)</f>
        <v>1.4</v>
      </c>
      <c r="F1291" s="2">
        <f>getFiltersizeAsDouble('RawData (GH)'!D1291)</f>
        <v>77</v>
      </c>
      <c r="G1291" s="35">
        <f>getMagnification('RawData (GH)'!E1291)</f>
        <v>5.6</v>
      </c>
      <c r="H1291" s="62">
        <f>getMinimalFocus('RawData (GH)'!F1291)</f>
        <v>0</v>
      </c>
      <c r="I1291" t="str">
        <f>getMount('RawData (GH)'!G1291)</f>
        <v>Canon EF</v>
      </c>
      <c r="J1291" t="str">
        <f>getSensorCompatibility('RawData (GH)'!H1291)</f>
        <v>APS-C/ Kleinbild</v>
      </c>
      <c r="K1291" s="45">
        <f>getWeightAsDouble('RawData (GH)'!I1291)</f>
        <v>815</v>
      </c>
      <c r="L1291" s="34">
        <f>getSizeDiameter('RawData (GH)'!J1291)</f>
        <v>85</v>
      </c>
      <c r="M1291" s="34">
        <f>getSizeLength('RawData (GH)'!J1291)</f>
        <v>100</v>
      </c>
    </row>
    <row r="1292" spans="1:13" x14ac:dyDescent="0.25">
      <c r="A1292" t="str">
        <f>'RawData (GH)'!A1292</f>
        <v>Sigma Art AF 50mm 1.4 DG HSM für Nikon F schwarz</v>
      </c>
      <c r="B1292" s="5">
        <f>getFocalLengthStart('RawData (GH)'!B1292)</f>
        <v>50</v>
      </c>
      <c r="C1292" s="5">
        <f>getFocalLengthEnd('RawData (GH)'!B1292)</f>
        <v>50</v>
      </c>
      <c r="D1292" s="9">
        <f>getApertureStart('RawData (GH)'!C1292)</f>
        <v>1.4</v>
      </c>
      <c r="E1292" s="9">
        <f>getApertureEnd('RawData (GH)'!C1292)</f>
        <v>1.4</v>
      </c>
      <c r="F1292" s="2">
        <f>getFiltersizeAsDouble('RawData (GH)'!D1292)</f>
        <v>77</v>
      </c>
      <c r="G1292" s="35">
        <f>getMagnification('RawData (GH)'!E1292)</f>
        <v>5.6</v>
      </c>
      <c r="H1292" s="62">
        <f>getMinimalFocus('RawData (GH)'!F1292)</f>
        <v>0</v>
      </c>
      <c r="I1292" t="str">
        <f>getMount('RawData (GH)'!G1292)</f>
        <v>Nikon F</v>
      </c>
      <c r="J1292" t="str">
        <f>getSensorCompatibility('RawData (GH)'!H1292)</f>
        <v>APS-C/ Kleinbild</v>
      </c>
      <c r="K1292" s="45">
        <f>getWeightAsDouble('RawData (GH)'!I1292)</f>
        <v>815</v>
      </c>
      <c r="L1292" s="34">
        <f>getSizeDiameter('RawData (GH)'!J1292)</f>
        <v>85</v>
      </c>
      <c r="M1292" s="34">
        <f>getSizeLength('RawData (GH)'!J1292)</f>
        <v>100</v>
      </c>
    </row>
    <row r="1293" spans="1:13" x14ac:dyDescent="0.25">
      <c r="A1293" t="str">
        <f>'RawData (GH)'!A1293</f>
        <v>Sigma Art AF 50mm 1.4 DG HSM für Sigma schwarz</v>
      </c>
      <c r="B1293" s="5">
        <f>getFocalLengthStart('RawData (GH)'!B1293)</f>
        <v>50</v>
      </c>
      <c r="C1293" s="5">
        <f>getFocalLengthEnd('RawData (GH)'!B1293)</f>
        <v>50</v>
      </c>
      <c r="D1293" s="9">
        <f>getApertureStart('RawData (GH)'!C1293)</f>
        <v>1.4</v>
      </c>
      <c r="E1293" s="9">
        <f>getApertureEnd('RawData (GH)'!C1293)</f>
        <v>1.4</v>
      </c>
      <c r="F1293" s="2">
        <f>getFiltersizeAsDouble('RawData (GH)'!D1293)</f>
        <v>77</v>
      </c>
      <c r="G1293" s="35">
        <f>getMagnification('RawData (GH)'!E1293)</f>
        <v>5.6</v>
      </c>
      <c r="H1293" s="62">
        <f>getMinimalFocus('RawData (GH)'!F1293)</f>
        <v>0</v>
      </c>
      <c r="I1293" t="str">
        <f>getMount('RawData (GH)'!G1293)</f>
        <v>Sigma SA</v>
      </c>
      <c r="J1293" t="str">
        <f>getSensorCompatibility('RawData (GH)'!H1293)</f>
        <v>APS-C/ Kleinbild</v>
      </c>
      <c r="K1293" s="45">
        <f>getWeightAsDouble('RawData (GH)'!I1293)</f>
        <v>815</v>
      </c>
      <c r="L1293" s="34">
        <f>getSizeDiameter('RawData (GH)'!J1293)</f>
        <v>85</v>
      </c>
      <c r="M1293" s="34">
        <f>getSizeLength('RawData (GH)'!J1293)</f>
        <v>100</v>
      </c>
    </row>
    <row r="1294" spans="1:13" x14ac:dyDescent="0.25">
      <c r="A1294" t="str">
        <f>'RawData (GH)'!A1294</f>
        <v>Sigma Art AF 50mm 1.4 DG HSM für Sony A schwarz</v>
      </c>
      <c r="B1294" s="5">
        <f>getFocalLengthStart('RawData (GH)'!B1294)</f>
        <v>50</v>
      </c>
      <c r="C1294" s="5">
        <f>getFocalLengthEnd('RawData (GH)'!B1294)</f>
        <v>50</v>
      </c>
      <c r="D1294" s="9">
        <f>getApertureStart('RawData (GH)'!C1294)</f>
        <v>1.4</v>
      </c>
      <c r="E1294" s="9">
        <f>getApertureEnd('RawData (GH)'!C1294)</f>
        <v>1.4</v>
      </c>
      <c r="F1294" s="2">
        <f>getFiltersizeAsDouble('RawData (GH)'!D1294)</f>
        <v>77</v>
      </c>
      <c r="G1294" s="35">
        <f>getMagnification('RawData (GH)'!E1294)</f>
        <v>5.6</v>
      </c>
      <c r="H1294" s="62">
        <f>getMinimalFocus('RawData (GH)'!F1294)</f>
        <v>0</v>
      </c>
      <c r="I1294" t="str">
        <f>getMount('RawData (GH)'!G1294)</f>
        <v>Sony A</v>
      </c>
      <c r="J1294" t="str">
        <f>getSensorCompatibility('RawData (GH)'!H1294)</f>
        <v>APS-C/ Kleinbild</v>
      </c>
      <c r="K1294" s="45">
        <f>getWeightAsDouble('RawData (GH)'!I1294)</f>
        <v>815</v>
      </c>
      <c r="L1294" s="34">
        <f>getSizeDiameter('RawData (GH)'!J1294)</f>
        <v>85</v>
      </c>
      <c r="M1294" s="34">
        <f>getSizeLength('RawData (GH)'!J1294)</f>
        <v>100</v>
      </c>
    </row>
    <row r="1295" spans="1:13" x14ac:dyDescent="0.25">
      <c r="A1295" t="str">
        <f>'RawData (GH)'!A1295</f>
        <v>Sigma Art AF 60mm 2.8 DN für Micro-Four-Thirds schwarz</v>
      </c>
      <c r="B1295" s="5">
        <f>getFocalLengthStart('RawData (GH)'!B1295)</f>
        <v>60</v>
      </c>
      <c r="C1295" s="5">
        <f>getFocalLengthEnd('RawData (GH)'!B1295)</f>
        <v>60</v>
      </c>
      <c r="D1295" s="9">
        <f>getApertureStart('RawData (GH)'!C1295)</f>
        <v>2.8</v>
      </c>
      <c r="E1295" s="9">
        <f>getApertureEnd('RawData (GH)'!C1295)</f>
        <v>2.8</v>
      </c>
      <c r="F1295" s="2">
        <f>getFiltersizeAsDouble('RawData (GH)'!D1295)</f>
        <v>46</v>
      </c>
      <c r="G1295" s="35">
        <f>getMagnification('RawData (GH)'!E1295)</f>
        <v>7.2</v>
      </c>
      <c r="H1295" s="62">
        <f>getMinimalFocus('RawData (GH)'!F1295)</f>
        <v>0</v>
      </c>
      <c r="I1295" t="str">
        <f>getMount('RawData (GH)'!G1295)</f>
        <v>Micro-Four-Thirds</v>
      </c>
      <c r="J1295" t="str">
        <f>getSensorCompatibility('RawData (GH)'!H1295)</f>
        <v>Four-Thirds</v>
      </c>
      <c r="K1295" s="45">
        <f>getWeightAsDouble('RawData (GH)'!I1295)</f>
        <v>0</v>
      </c>
      <c r="L1295" s="34">
        <f>getSizeDiameter('RawData (GH)'!J1295)</f>
        <v>60.8</v>
      </c>
      <c r="M1295" s="34">
        <f>getSizeLength('RawData (GH)'!J1295)</f>
        <v>55.6</v>
      </c>
    </row>
    <row r="1296" spans="1:13" x14ac:dyDescent="0.25">
      <c r="A1296" t="str">
        <f>'RawData (GH)'!A1296</f>
        <v>Sigma Art AF 60mm 2.8 DN für Micro-Four-Thirds silber</v>
      </c>
      <c r="B1296" s="5">
        <f>getFocalLengthStart('RawData (GH)'!B1296)</f>
        <v>60</v>
      </c>
      <c r="C1296" s="5">
        <f>getFocalLengthEnd('RawData (GH)'!B1296)</f>
        <v>60</v>
      </c>
      <c r="D1296" s="9">
        <f>getApertureStart('RawData (GH)'!C1296)</f>
        <v>2.8</v>
      </c>
      <c r="E1296" s="9">
        <f>getApertureEnd('RawData (GH)'!C1296)</f>
        <v>2.8</v>
      </c>
      <c r="F1296" s="2">
        <f>getFiltersizeAsDouble('RawData (GH)'!D1296)</f>
        <v>46</v>
      </c>
      <c r="G1296" s="35">
        <f>getMagnification('RawData (GH)'!E1296)</f>
        <v>7.2</v>
      </c>
      <c r="H1296" s="62">
        <f>getMinimalFocus('RawData (GH)'!F1296)</f>
        <v>0</v>
      </c>
      <c r="I1296" t="str">
        <f>getMount('RawData (GH)'!G1296)</f>
        <v>Micro-Four-Thirds</v>
      </c>
      <c r="J1296" t="str">
        <f>getSensorCompatibility('RawData (GH)'!H1296)</f>
        <v>Four-Thirds</v>
      </c>
      <c r="K1296" s="45">
        <f>getWeightAsDouble('RawData (GH)'!I1296)</f>
        <v>0</v>
      </c>
      <c r="L1296" s="34">
        <f>getSizeDiameter('RawData (GH)'!J1296)</f>
        <v>60.8</v>
      </c>
      <c r="M1296" s="34">
        <f>getSizeLength('RawData (GH)'!J1296)</f>
        <v>55.6</v>
      </c>
    </row>
    <row r="1297" spans="1:13" x14ac:dyDescent="0.25">
      <c r="A1297" t="str">
        <f>'RawData (GH)'!A1297</f>
        <v>Sigma Art AF 60mm 2.8 DN für Sony E schwarz</v>
      </c>
      <c r="B1297" s="5">
        <f>getFocalLengthStart('RawData (GH)'!B1297)</f>
        <v>60</v>
      </c>
      <c r="C1297" s="5">
        <f>getFocalLengthEnd('RawData (GH)'!B1297)</f>
        <v>60</v>
      </c>
      <c r="D1297" s="9">
        <f>getApertureStart('RawData (GH)'!C1297)</f>
        <v>2.8</v>
      </c>
      <c r="E1297" s="9">
        <f>getApertureEnd('RawData (GH)'!C1297)</f>
        <v>2.8</v>
      </c>
      <c r="F1297" s="2">
        <f>getFiltersizeAsDouble('RawData (GH)'!D1297)</f>
        <v>46</v>
      </c>
      <c r="G1297" s="35">
        <f>getMagnification('RawData (GH)'!E1297)</f>
        <v>7.2</v>
      </c>
      <c r="H1297" s="62">
        <f>getMinimalFocus('RawData (GH)'!F1297)</f>
        <v>0</v>
      </c>
      <c r="I1297" t="str">
        <f>getMount('RawData (GH)'!G1297)</f>
        <v>Sony E</v>
      </c>
      <c r="J1297" t="str">
        <f>getSensorCompatibility('RawData (GH)'!H1297)</f>
        <v>APS-C</v>
      </c>
      <c r="K1297" s="45">
        <f>getWeightAsDouble('RawData (GH)'!I1297)</f>
        <v>0</v>
      </c>
      <c r="L1297" s="34">
        <f>getSizeDiameter('RawData (GH)'!J1297)</f>
        <v>60.8</v>
      </c>
      <c r="M1297" s="34">
        <f>getSizeLength('RawData (GH)'!J1297)</f>
        <v>55.6</v>
      </c>
    </row>
    <row r="1298" spans="1:13" x14ac:dyDescent="0.25">
      <c r="A1298" t="str">
        <f>'RawData (GH)'!A1298</f>
        <v>Sigma Art AF 60mm 2.8 DN für Sony E silber</v>
      </c>
      <c r="B1298" s="5">
        <f>getFocalLengthStart('RawData (GH)'!B1298)</f>
        <v>60</v>
      </c>
      <c r="C1298" s="5">
        <f>getFocalLengthEnd('RawData (GH)'!B1298)</f>
        <v>60</v>
      </c>
      <c r="D1298" s="9">
        <f>getApertureStart('RawData (GH)'!C1298)</f>
        <v>2.8</v>
      </c>
      <c r="E1298" s="9">
        <f>getApertureEnd('RawData (GH)'!C1298)</f>
        <v>2.8</v>
      </c>
      <c r="F1298" s="2">
        <f>getFiltersizeAsDouble('RawData (GH)'!D1298)</f>
        <v>46</v>
      </c>
      <c r="G1298" s="35">
        <f>getMagnification('RawData (GH)'!E1298)</f>
        <v>7.2</v>
      </c>
      <c r="H1298" s="62">
        <f>getMinimalFocus('RawData (GH)'!F1298)</f>
        <v>0</v>
      </c>
      <c r="I1298" t="str">
        <f>getMount('RawData (GH)'!G1298)</f>
        <v>Sony E</v>
      </c>
      <c r="J1298" t="str">
        <f>getSensorCompatibility('RawData (GH)'!H1298)</f>
        <v>APS-C</v>
      </c>
      <c r="K1298" s="45">
        <f>getWeightAsDouble('RawData (GH)'!I1298)</f>
        <v>0</v>
      </c>
      <c r="L1298" s="34">
        <f>getSizeDiameter('RawData (GH)'!J1298)</f>
        <v>60.8</v>
      </c>
      <c r="M1298" s="34">
        <f>getSizeLength('RawData (GH)'!J1298)</f>
        <v>55.6</v>
      </c>
    </row>
    <row r="1299" spans="1:13" x14ac:dyDescent="0.25">
      <c r="A1299" t="str">
        <f>'RawData (GH)'!A1299</f>
        <v>Sigma Art AF 85mm 1.4 DG HSM für Canon EF schwarz</v>
      </c>
      <c r="B1299" s="5">
        <f>getFocalLengthStart('RawData (GH)'!B1299)</f>
        <v>85</v>
      </c>
      <c r="C1299" s="5">
        <f>getFocalLengthEnd('RawData (GH)'!B1299)</f>
        <v>85</v>
      </c>
      <c r="D1299" s="9">
        <f>getApertureStart('RawData (GH)'!C1299)</f>
        <v>1.4</v>
      </c>
      <c r="E1299" s="9">
        <f>getApertureEnd('RawData (GH)'!C1299)</f>
        <v>1.4</v>
      </c>
      <c r="F1299" s="2">
        <f>getFiltersizeAsDouble('RawData (GH)'!D1299)</f>
        <v>86</v>
      </c>
      <c r="G1299" s="35">
        <f>getMagnification('RawData (GH)'!E1299)</f>
        <v>8.5</v>
      </c>
      <c r="H1299" s="62">
        <f>getMinimalFocus('RawData (GH)'!F1299)</f>
        <v>0</v>
      </c>
      <c r="I1299" t="str">
        <f>getMount('RawData (GH)'!G1299)</f>
        <v>Canon EF</v>
      </c>
      <c r="J1299" t="str">
        <f>getSensorCompatibility('RawData (GH)'!H1299)</f>
        <v>APS-C/ Kleinbild</v>
      </c>
      <c r="K1299" s="45">
        <f>getWeightAsDouble('RawData (GH)'!I1299)</f>
        <v>1130</v>
      </c>
      <c r="L1299" s="34">
        <f>getSizeDiameter('RawData (GH)'!J1299)</f>
        <v>94.7</v>
      </c>
      <c r="M1299" s="34">
        <f>getSizeLength('RawData (GH)'!J1299)</f>
        <v>126.2</v>
      </c>
    </row>
    <row r="1300" spans="1:13" x14ac:dyDescent="0.25">
      <c r="A1300" t="str">
        <f>'RawData (GH)'!A1300</f>
        <v>Sigma Art AF 85mm 1.4 DG HSM für Nikon F schwarz</v>
      </c>
      <c r="B1300" s="5">
        <f>getFocalLengthStart('RawData (GH)'!B1300)</f>
        <v>85</v>
      </c>
      <c r="C1300" s="5">
        <f>getFocalLengthEnd('RawData (GH)'!B1300)</f>
        <v>85</v>
      </c>
      <c r="D1300" s="9">
        <f>getApertureStart('RawData (GH)'!C1300)</f>
        <v>1.4</v>
      </c>
      <c r="E1300" s="9">
        <f>getApertureEnd('RawData (GH)'!C1300)</f>
        <v>1.4</v>
      </c>
      <c r="F1300" s="2">
        <f>getFiltersizeAsDouble('RawData (GH)'!D1300)</f>
        <v>86</v>
      </c>
      <c r="G1300" s="35">
        <f>getMagnification('RawData (GH)'!E1300)</f>
        <v>8.5</v>
      </c>
      <c r="H1300" s="62">
        <f>getMinimalFocus('RawData (GH)'!F1300)</f>
        <v>0</v>
      </c>
      <c r="I1300" t="str">
        <f>getMount('RawData (GH)'!G1300)</f>
        <v>Nikon F</v>
      </c>
      <c r="J1300" t="str">
        <f>getSensorCompatibility('RawData (GH)'!H1300)</f>
        <v>APS-C/ Kleinbild</v>
      </c>
      <c r="K1300" s="45">
        <f>getWeightAsDouble('RawData (GH)'!I1300)</f>
        <v>1130</v>
      </c>
      <c r="L1300" s="34">
        <f>getSizeDiameter('RawData (GH)'!J1300)</f>
        <v>94.7</v>
      </c>
      <c r="M1300" s="34">
        <f>getSizeLength('RawData (GH)'!J1300)</f>
        <v>126.2</v>
      </c>
    </row>
    <row r="1301" spans="1:13" x14ac:dyDescent="0.25">
      <c r="A1301" t="str">
        <f>'RawData (GH)'!A1301</f>
        <v>Sigma Art AF 85mm 1.4 DG HSM für Sigma schwarz</v>
      </c>
      <c r="B1301" s="5">
        <f>getFocalLengthStart('RawData (GH)'!B1301)</f>
        <v>85</v>
      </c>
      <c r="C1301" s="5">
        <f>getFocalLengthEnd('RawData (GH)'!B1301)</f>
        <v>85</v>
      </c>
      <c r="D1301" s="9">
        <f>getApertureStart('RawData (GH)'!C1301)</f>
        <v>1.4</v>
      </c>
      <c r="E1301" s="9">
        <f>getApertureEnd('RawData (GH)'!C1301)</f>
        <v>1.4</v>
      </c>
      <c r="F1301" s="2">
        <f>getFiltersizeAsDouble('RawData (GH)'!D1301)</f>
        <v>86</v>
      </c>
      <c r="G1301" s="35">
        <f>getMagnification('RawData (GH)'!E1301)</f>
        <v>8.5</v>
      </c>
      <c r="H1301" s="62">
        <f>getMinimalFocus('RawData (GH)'!F1301)</f>
        <v>0</v>
      </c>
      <c r="I1301" t="str">
        <f>getMount('RawData (GH)'!G1301)</f>
        <v>Sigma SA</v>
      </c>
      <c r="J1301" t="str">
        <f>getSensorCompatibility('RawData (GH)'!H1301)</f>
        <v>APS-C/ Kleinbild</v>
      </c>
      <c r="K1301" s="45">
        <f>getWeightAsDouble('RawData (GH)'!I1301)</f>
        <v>1130</v>
      </c>
      <c r="L1301" s="34">
        <f>getSizeDiameter('RawData (GH)'!J1301)</f>
        <v>94.7</v>
      </c>
      <c r="M1301" s="34">
        <f>getSizeLength('RawData (GH)'!J1301)</f>
        <v>126.2</v>
      </c>
    </row>
    <row r="1302" spans="1:13" x14ac:dyDescent="0.25">
      <c r="A1302" t="str">
        <f>'RawData (GH)'!A1302</f>
        <v>Sigma Contemporary AF 100-400mm 5.0-6.3 DG OS HSM für Canon EF schwarz</v>
      </c>
      <c r="B1302" s="5">
        <f>getFocalLengthStart('RawData (GH)'!B1302)</f>
        <v>100</v>
      </c>
      <c r="C1302" s="5">
        <f>getFocalLengthEnd('RawData (GH)'!B1302)</f>
        <v>400</v>
      </c>
      <c r="D1302" s="9">
        <f>getApertureStart('RawData (GH)'!C1302)</f>
        <v>5</v>
      </c>
      <c r="E1302" s="9">
        <f>getApertureEnd('RawData (GH)'!C1302)</f>
        <v>6.3</v>
      </c>
      <c r="F1302" s="2">
        <f>getFiltersizeAsDouble('RawData (GH)'!D1302)</f>
        <v>67</v>
      </c>
      <c r="G1302" s="35">
        <f>getMagnification('RawData (GH)'!E1302)</f>
        <v>3.85</v>
      </c>
      <c r="H1302" s="62">
        <f>getMinimalFocus('RawData (GH)'!F1302)</f>
        <v>0</v>
      </c>
      <c r="I1302" t="str">
        <f>getMount('RawData (GH)'!G1302)</f>
        <v>Canon EF</v>
      </c>
      <c r="J1302" t="str">
        <f>getSensorCompatibility('RawData (GH)'!H1302)</f>
        <v>APS-C/ Kleinbild</v>
      </c>
      <c r="K1302" s="45">
        <f>getWeightAsDouble('RawData (GH)'!I1302)</f>
        <v>1160</v>
      </c>
      <c r="L1302" s="34">
        <f>getSizeDiameter('RawData (GH)'!J1302)</f>
        <v>86.4</v>
      </c>
      <c r="M1302" s="34">
        <f>getSizeLength('RawData (GH)'!J1302)</f>
        <v>182.3</v>
      </c>
    </row>
    <row r="1303" spans="1:13" x14ac:dyDescent="0.25">
      <c r="A1303" t="str">
        <f>'RawData (GH)'!A1303</f>
        <v>Sigma Contemporary AF 100-400mm 5.0-6.3 DG OS HSM für Nikon F schwarz</v>
      </c>
      <c r="B1303" s="5">
        <f>getFocalLengthStart('RawData (GH)'!B1303)</f>
        <v>100</v>
      </c>
      <c r="C1303" s="5">
        <f>getFocalLengthEnd('RawData (GH)'!B1303)</f>
        <v>400</v>
      </c>
      <c r="D1303" s="9">
        <f>getApertureStart('RawData (GH)'!C1303)</f>
        <v>5</v>
      </c>
      <c r="E1303" s="9">
        <f>getApertureEnd('RawData (GH)'!C1303)</f>
        <v>6.3</v>
      </c>
      <c r="F1303" s="2">
        <f>getFiltersizeAsDouble('RawData (GH)'!D1303)</f>
        <v>67</v>
      </c>
      <c r="G1303" s="35">
        <f>getMagnification('RawData (GH)'!E1303)</f>
        <v>3.85</v>
      </c>
      <c r="H1303" s="62">
        <f>getMinimalFocus('RawData (GH)'!F1303)</f>
        <v>0</v>
      </c>
      <c r="I1303" t="str">
        <f>getMount('RawData (GH)'!G1303)</f>
        <v>Nikon F</v>
      </c>
      <c r="J1303" t="str">
        <f>getSensorCompatibility('RawData (GH)'!H1303)</f>
        <v>APS-C/ Kleinbild</v>
      </c>
      <c r="K1303" s="45">
        <f>getWeightAsDouble('RawData (GH)'!I1303)</f>
        <v>1160</v>
      </c>
      <c r="L1303" s="34">
        <f>getSizeDiameter('RawData (GH)'!J1303)</f>
        <v>86.4</v>
      </c>
      <c r="M1303" s="34">
        <f>getSizeLength('RawData (GH)'!J1303)</f>
        <v>182.3</v>
      </c>
    </row>
    <row r="1304" spans="1:13" x14ac:dyDescent="0.25">
      <c r="A1304" t="str">
        <f>'RawData (GH)'!A1304</f>
        <v>Sigma Contemporary AF 100-400mm 5.0-6.3 DG OS HSM für Sigma schwarz</v>
      </c>
      <c r="B1304" s="5">
        <f>getFocalLengthStart('RawData (GH)'!B1304)</f>
        <v>100</v>
      </c>
      <c r="C1304" s="5">
        <f>getFocalLengthEnd('RawData (GH)'!B1304)</f>
        <v>400</v>
      </c>
      <c r="D1304" s="9">
        <f>getApertureStart('RawData (GH)'!C1304)</f>
        <v>5</v>
      </c>
      <c r="E1304" s="9">
        <f>getApertureEnd('RawData (GH)'!C1304)</f>
        <v>6.3</v>
      </c>
      <c r="F1304" s="2">
        <f>getFiltersizeAsDouble('RawData (GH)'!D1304)</f>
        <v>67</v>
      </c>
      <c r="G1304" s="35">
        <f>getMagnification('RawData (GH)'!E1304)</f>
        <v>3.85</v>
      </c>
      <c r="H1304" s="62">
        <f>getMinimalFocus('RawData (GH)'!F1304)</f>
        <v>0</v>
      </c>
      <c r="I1304" t="str">
        <f>getMount('RawData (GH)'!G1304)</f>
        <v>Sigma SA</v>
      </c>
      <c r="J1304" t="str">
        <f>getSensorCompatibility('RawData (GH)'!H1304)</f>
        <v>APS-C/ Kleinbild</v>
      </c>
      <c r="K1304" s="45">
        <f>getWeightAsDouble('RawData (GH)'!I1304)</f>
        <v>1160</v>
      </c>
      <c r="L1304" s="34">
        <f>getSizeDiameter('RawData (GH)'!J1304)</f>
        <v>86.4</v>
      </c>
      <c r="M1304" s="34">
        <f>getSizeLength('RawData (GH)'!J1304)</f>
        <v>182.3</v>
      </c>
    </row>
    <row r="1305" spans="1:13" x14ac:dyDescent="0.25">
      <c r="A1305" t="str">
        <f>'RawData (GH)'!A1305</f>
        <v>Sigma Contemporary AF 150-600mm 5.0-6.3 DG OS HSM für Canon EF schwarz</v>
      </c>
      <c r="B1305" s="5">
        <f>getFocalLengthStart('RawData (GH)'!B1305)</f>
        <v>150</v>
      </c>
      <c r="C1305" s="5">
        <f>getFocalLengthEnd('RawData (GH)'!B1305)</f>
        <v>600</v>
      </c>
      <c r="D1305" s="9">
        <f>getApertureStart('RawData (GH)'!C1305)</f>
        <v>5</v>
      </c>
      <c r="E1305" s="9">
        <f>getApertureEnd('RawData (GH)'!C1305)</f>
        <v>6.3</v>
      </c>
      <c r="F1305" s="2">
        <f>getFiltersizeAsDouble('RawData (GH)'!D1305)</f>
        <v>95</v>
      </c>
      <c r="G1305" s="35">
        <f>getMagnification('RawData (GH)'!E1305)</f>
        <v>5</v>
      </c>
      <c r="H1305" s="62">
        <f>getMinimalFocus('RawData (GH)'!F1305)</f>
        <v>0</v>
      </c>
      <c r="I1305" t="str">
        <f>getMount('RawData (GH)'!G1305)</f>
        <v>Canon EF</v>
      </c>
      <c r="J1305" t="str">
        <f>getSensorCompatibility('RawData (GH)'!H1305)</f>
        <v>APS-C/ Kleinbild</v>
      </c>
      <c r="K1305" s="45">
        <f>getWeightAsDouble('RawData (GH)'!I1305)</f>
        <v>1930</v>
      </c>
      <c r="L1305" s="34">
        <f>getSizeDiameter('RawData (GH)'!J1305)</f>
        <v>105</v>
      </c>
      <c r="M1305" s="34">
        <f>getSizeLength('RawData (GH)'!J1305)</f>
        <v>260.10000000000002</v>
      </c>
    </row>
    <row r="1306" spans="1:13" x14ac:dyDescent="0.25">
      <c r="A1306" t="str">
        <f>'RawData (GH)'!A1306</f>
        <v>Sigma Contemporary AF 150-600mm 5.0-6.3 DG OS HSM für Nikon F schwarz</v>
      </c>
      <c r="B1306" s="5">
        <f>getFocalLengthStart('RawData (GH)'!B1306)</f>
        <v>150</v>
      </c>
      <c r="C1306" s="5">
        <f>getFocalLengthEnd('RawData (GH)'!B1306)</f>
        <v>600</v>
      </c>
      <c r="D1306" s="9">
        <f>getApertureStart('RawData (GH)'!C1306)</f>
        <v>5</v>
      </c>
      <c r="E1306" s="9">
        <f>getApertureEnd('RawData (GH)'!C1306)</f>
        <v>6.3</v>
      </c>
      <c r="F1306" s="2">
        <f>getFiltersizeAsDouble('RawData (GH)'!D1306)</f>
        <v>95</v>
      </c>
      <c r="G1306" s="35">
        <f>getMagnification('RawData (GH)'!E1306)</f>
        <v>5</v>
      </c>
      <c r="H1306" s="62">
        <f>getMinimalFocus('RawData (GH)'!F1306)</f>
        <v>0</v>
      </c>
      <c r="I1306" t="str">
        <f>getMount('RawData (GH)'!G1306)</f>
        <v>Nikon F</v>
      </c>
      <c r="J1306" t="str">
        <f>getSensorCompatibility('RawData (GH)'!H1306)</f>
        <v>APS-C/ Kleinbild</v>
      </c>
      <c r="K1306" s="45">
        <f>getWeightAsDouble('RawData (GH)'!I1306)</f>
        <v>1930</v>
      </c>
      <c r="L1306" s="34">
        <f>getSizeDiameter('RawData (GH)'!J1306)</f>
        <v>105</v>
      </c>
      <c r="M1306" s="34">
        <f>getSizeLength('RawData (GH)'!J1306)</f>
        <v>260.10000000000002</v>
      </c>
    </row>
    <row r="1307" spans="1:13" x14ac:dyDescent="0.25">
      <c r="A1307" t="str">
        <f>'RawData (GH)'!A1307</f>
        <v>Sigma Contemporary AF 150-600mm 5.0-6.3 DG OS HSM für Sigma schwarz</v>
      </c>
      <c r="B1307" s="5">
        <f>getFocalLengthStart('RawData (GH)'!B1307)</f>
        <v>150</v>
      </c>
      <c r="C1307" s="5">
        <f>getFocalLengthEnd('RawData (GH)'!B1307)</f>
        <v>600</v>
      </c>
      <c r="D1307" s="9">
        <f>getApertureStart('RawData (GH)'!C1307)</f>
        <v>5</v>
      </c>
      <c r="E1307" s="9">
        <f>getApertureEnd('RawData (GH)'!C1307)</f>
        <v>6.3</v>
      </c>
      <c r="F1307" s="2">
        <f>getFiltersizeAsDouble('RawData (GH)'!D1307)</f>
        <v>95</v>
      </c>
      <c r="G1307" s="35">
        <f>getMagnification('RawData (GH)'!E1307)</f>
        <v>5</v>
      </c>
      <c r="H1307" s="62">
        <f>getMinimalFocus('RawData (GH)'!F1307)</f>
        <v>0</v>
      </c>
      <c r="I1307" t="str">
        <f>getMount('RawData (GH)'!G1307)</f>
        <v>Sigma SA</v>
      </c>
      <c r="J1307" t="str">
        <f>getSensorCompatibility('RawData (GH)'!H1307)</f>
        <v>APS-C/ Kleinbild</v>
      </c>
      <c r="K1307" s="45">
        <f>getWeightAsDouble('RawData (GH)'!I1307)</f>
        <v>1930</v>
      </c>
      <c r="L1307" s="34">
        <f>getSizeDiameter('RawData (GH)'!J1307)</f>
        <v>105</v>
      </c>
      <c r="M1307" s="34">
        <f>getSizeLength('RawData (GH)'!J1307)</f>
        <v>260.10000000000002</v>
      </c>
    </row>
    <row r="1308" spans="1:13" x14ac:dyDescent="0.25">
      <c r="A1308" t="str">
        <f>'RawData (GH)'!A1308</f>
        <v>Sigma Contemporary AF 150-600mm 5.0-6.3 DG OS HSM inkl. 1.4x Telekonverter für Canon EF schwarz</v>
      </c>
      <c r="B1308" s="5">
        <f>getFocalLengthStart('RawData (GH)'!B1308)</f>
        <v>150</v>
      </c>
      <c r="C1308" s="5">
        <f>getFocalLengthEnd('RawData (GH)'!B1308)</f>
        <v>600</v>
      </c>
      <c r="D1308" s="9">
        <f>getApertureStart('RawData (GH)'!C1308)</f>
        <v>5</v>
      </c>
      <c r="E1308" s="9">
        <f>getApertureEnd('RawData (GH)'!C1308)</f>
        <v>6.3</v>
      </c>
      <c r="F1308" s="2">
        <f>getFiltersizeAsDouble('RawData (GH)'!D1308)</f>
        <v>95</v>
      </c>
      <c r="G1308" s="35">
        <f>getMagnification('RawData (GH)'!E1308)</f>
        <v>5</v>
      </c>
      <c r="H1308" s="62">
        <f>getMinimalFocus('RawData (GH)'!F1308)</f>
        <v>0</v>
      </c>
      <c r="I1308" t="str">
        <f>getMount('RawData (GH)'!G1308)</f>
        <v>Canon EF</v>
      </c>
      <c r="J1308" t="str">
        <f>getSensorCompatibility('RawData (GH)'!H1308)</f>
        <v>APS-C/ Kleinbild</v>
      </c>
      <c r="K1308" s="45">
        <f>getWeightAsDouble('RawData (GH)'!I1308)</f>
        <v>1930</v>
      </c>
      <c r="L1308" s="34">
        <f>getSizeDiameter('RawData (GH)'!J1308)</f>
        <v>105</v>
      </c>
      <c r="M1308" s="34">
        <f>getSizeLength('RawData (GH)'!J1308)</f>
        <v>260.10000000000002</v>
      </c>
    </row>
    <row r="1309" spans="1:13" x14ac:dyDescent="0.25">
      <c r="A1309" t="str">
        <f>'RawData (GH)'!A1309</f>
        <v>Sigma Contemporary AF 150-600mm 5.0-6.3 DG OS HSM inkl. 1.4x Telekonverter für Nikon F schwarz</v>
      </c>
      <c r="B1309" s="5">
        <f>getFocalLengthStart('RawData (GH)'!B1309)</f>
        <v>150</v>
      </c>
      <c r="C1309" s="5">
        <f>getFocalLengthEnd('RawData (GH)'!B1309)</f>
        <v>600</v>
      </c>
      <c r="D1309" s="9">
        <f>getApertureStart('RawData (GH)'!C1309)</f>
        <v>5</v>
      </c>
      <c r="E1309" s="9">
        <f>getApertureEnd('RawData (GH)'!C1309)</f>
        <v>6.3</v>
      </c>
      <c r="F1309" s="2">
        <f>getFiltersizeAsDouble('RawData (GH)'!D1309)</f>
        <v>95</v>
      </c>
      <c r="G1309" s="35">
        <f>getMagnification('RawData (GH)'!E1309)</f>
        <v>5</v>
      </c>
      <c r="H1309" s="62">
        <f>getMinimalFocus('RawData (GH)'!F1309)</f>
        <v>0</v>
      </c>
      <c r="I1309" t="str">
        <f>getMount('RawData (GH)'!G1309)</f>
        <v>Nikon F</v>
      </c>
      <c r="J1309" t="str">
        <f>getSensorCompatibility('RawData (GH)'!H1309)</f>
        <v>APS-C/ Kleinbild</v>
      </c>
      <c r="K1309" s="45">
        <f>getWeightAsDouble('RawData (GH)'!I1309)</f>
        <v>1930</v>
      </c>
      <c r="L1309" s="34">
        <f>getSizeDiameter('RawData (GH)'!J1309)</f>
        <v>105</v>
      </c>
      <c r="M1309" s="34">
        <f>getSizeLength('RawData (GH)'!J1309)</f>
        <v>260.10000000000002</v>
      </c>
    </row>
    <row r="1310" spans="1:13" x14ac:dyDescent="0.25">
      <c r="A1310" t="str">
        <f>'RawData (GH)'!A1310</f>
        <v>Sigma Contemporary AF 150-600mm 5.0-6.3 DG OS HSM inkl. 1.4x Telekonverter für Sigma schwarz</v>
      </c>
      <c r="B1310" s="5">
        <f>getFocalLengthStart('RawData (GH)'!B1310)</f>
        <v>150</v>
      </c>
      <c r="C1310" s="5">
        <f>getFocalLengthEnd('RawData (GH)'!B1310)</f>
        <v>600</v>
      </c>
      <c r="D1310" s="9">
        <f>getApertureStart('RawData (GH)'!C1310)</f>
        <v>5</v>
      </c>
      <c r="E1310" s="9">
        <f>getApertureEnd('RawData (GH)'!C1310)</f>
        <v>6.3</v>
      </c>
      <c r="F1310" s="2">
        <f>getFiltersizeAsDouble('RawData (GH)'!D1310)</f>
        <v>95</v>
      </c>
      <c r="G1310" s="35">
        <f>getMagnification('RawData (GH)'!E1310)</f>
        <v>5</v>
      </c>
      <c r="H1310" s="62">
        <f>getMinimalFocus('RawData (GH)'!F1310)</f>
        <v>0</v>
      </c>
      <c r="I1310" t="str">
        <f>getMount('RawData (GH)'!G1310)</f>
        <v>Sigma SA</v>
      </c>
      <c r="J1310" t="str">
        <f>getSensorCompatibility('RawData (GH)'!H1310)</f>
        <v>APS-C/ Kleinbild</v>
      </c>
      <c r="K1310" s="45">
        <f>getWeightAsDouble('RawData (GH)'!I1310)</f>
        <v>1930</v>
      </c>
      <c r="L1310" s="34">
        <f>getSizeDiameter('RawData (GH)'!J1310)</f>
        <v>105</v>
      </c>
      <c r="M1310" s="34">
        <f>getSizeLength('RawData (GH)'!J1310)</f>
        <v>260.10000000000002</v>
      </c>
    </row>
    <row r="1311" spans="1:13" x14ac:dyDescent="0.25">
      <c r="A1311" t="str">
        <f>'RawData (GH)'!A1311</f>
        <v>Sigma Contemporary AF 17-70mm 2.8-4.0 DC Makro HSM für Pentax K schwarz</v>
      </c>
      <c r="B1311" s="5">
        <f>getFocalLengthStart('RawData (GH)'!B1311)</f>
        <v>17</v>
      </c>
      <c r="C1311" s="5">
        <f>getFocalLengthEnd('RawData (GH)'!B1311)</f>
        <v>70</v>
      </c>
      <c r="D1311" s="9">
        <f>getApertureStart('RawData (GH)'!C1311)</f>
        <v>2.8</v>
      </c>
      <c r="E1311" s="9">
        <f>getApertureEnd('RawData (GH)'!C1311)</f>
        <v>4</v>
      </c>
      <c r="F1311" s="2">
        <f>getFiltersizeAsDouble('RawData (GH)'!D1311)</f>
        <v>72</v>
      </c>
      <c r="G1311" s="35">
        <f>getMagnification('RawData (GH)'!E1311)</f>
        <v>2.9</v>
      </c>
      <c r="H1311" s="62">
        <f>getMinimalFocus('RawData (GH)'!F1311)</f>
        <v>0</v>
      </c>
      <c r="I1311" t="str">
        <f>getMount('RawData (GH)'!G1311)</f>
        <v>Pentax K</v>
      </c>
      <c r="J1311" t="str">
        <f>getSensorCompatibility('RawData (GH)'!H1311)</f>
        <v>APS-C</v>
      </c>
      <c r="K1311" s="45">
        <f>getWeightAsDouble('RawData (GH)'!I1311)</f>
        <v>470</v>
      </c>
      <c r="L1311" s="34">
        <f>getSizeDiameter('RawData (GH)'!J1311)</f>
        <v>79</v>
      </c>
      <c r="M1311" s="34">
        <f>getSizeLength('RawData (GH)'!J1311)</f>
        <v>82</v>
      </c>
    </row>
    <row r="1312" spans="1:13" x14ac:dyDescent="0.25">
      <c r="A1312" t="str">
        <f>'RawData (GH)'!A1312</f>
        <v>Sigma Contemporary AF 17-70mm 2.8-4.0 DC Makro HSM für Sony A schwarz</v>
      </c>
      <c r="B1312" s="5">
        <f>getFocalLengthStart('RawData (GH)'!B1312)</f>
        <v>17</v>
      </c>
      <c r="C1312" s="5">
        <f>getFocalLengthEnd('RawData (GH)'!B1312)</f>
        <v>70</v>
      </c>
      <c r="D1312" s="9">
        <f>getApertureStart('RawData (GH)'!C1312)</f>
        <v>2.8</v>
      </c>
      <c r="E1312" s="9">
        <f>getApertureEnd('RawData (GH)'!C1312)</f>
        <v>4</v>
      </c>
      <c r="F1312" s="2">
        <f>getFiltersizeAsDouble('RawData (GH)'!D1312)</f>
        <v>72</v>
      </c>
      <c r="G1312" s="35">
        <f>getMagnification('RawData (GH)'!E1312)</f>
        <v>2.9</v>
      </c>
      <c r="H1312" s="62">
        <f>getMinimalFocus('RawData (GH)'!F1312)</f>
        <v>0</v>
      </c>
      <c r="I1312" t="str">
        <f>getMount('RawData (GH)'!G1312)</f>
        <v>Sony A</v>
      </c>
      <c r="J1312" t="str">
        <f>getSensorCompatibility('RawData (GH)'!H1312)</f>
        <v>APS-C</v>
      </c>
      <c r="K1312" s="45">
        <f>getWeightAsDouble('RawData (GH)'!I1312)</f>
        <v>470</v>
      </c>
      <c r="L1312" s="34">
        <f>getSizeDiameter('RawData (GH)'!J1312)</f>
        <v>79</v>
      </c>
      <c r="M1312" s="34">
        <f>getSizeLength('RawData (GH)'!J1312)</f>
        <v>82</v>
      </c>
    </row>
    <row r="1313" spans="1:13" x14ac:dyDescent="0.25">
      <c r="A1313" t="str">
        <f>'RawData (GH)'!A1313</f>
        <v>Sigma Contemporary AF 17-70mm 2.8-4.0 DC Makro OS HSM für Canon EF schwarz</v>
      </c>
      <c r="B1313" s="5">
        <f>getFocalLengthStart('RawData (GH)'!B1313)</f>
        <v>17</v>
      </c>
      <c r="C1313" s="5">
        <f>getFocalLengthEnd('RawData (GH)'!B1313)</f>
        <v>70</v>
      </c>
      <c r="D1313" s="9">
        <f>getApertureStart('RawData (GH)'!C1313)</f>
        <v>2.8</v>
      </c>
      <c r="E1313" s="9">
        <f>getApertureEnd('RawData (GH)'!C1313)</f>
        <v>4</v>
      </c>
      <c r="F1313" s="2">
        <f>getFiltersizeAsDouble('RawData (GH)'!D1313)</f>
        <v>72</v>
      </c>
      <c r="G1313" s="35">
        <f>getMagnification('RawData (GH)'!E1313)</f>
        <v>2.9</v>
      </c>
      <c r="H1313" s="62">
        <f>getMinimalFocus('RawData (GH)'!F1313)</f>
        <v>0</v>
      </c>
      <c r="I1313" t="str">
        <f>getMount('RawData (GH)'!G1313)</f>
        <v>Canon EF-S</v>
      </c>
      <c r="J1313" t="str">
        <f>getSensorCompatibility('RawData (GH)'!H1313)</f>
        <v>APS-C</v>
      </c>
      <c r="K1313" s="45">
        <f>getWeightAsDouble('RawData (GH)'!I1313)</f>
        <v>470</v>
      </c>
      <c r="L1313" s="34">
        <f>getSizeDiameter('RawData (GH)'!J1313)</f>
        <v>79</v>
      </c>
      <c r="M1313" s="34">
        <f>getSizeLength('RawData (GH)'!J1313)</f>
        <v>82</v>
      </c>
    </row>
    <row r="1314" spans="1:13" x14ac:dyDescent="0.25">
      <c r="A1314" t="str">
        <f>'RawData (GH)'!A1314</f>
        <v>Sigma Contemporary AF 17-70mm 2.8-4.0 DC Makro OS HSM für Nikon F schwarz</v>
      </c>
      <c r="B1314" s="5">
        <f>getFocalLengthStart('RawData (GH)'!B1314)</f>
        <v>17</v>
      </c>
      <c r="C1314" s="5">
        <f>getFocalLengthEnd('RawData (GH)'!B1314)</f>
        <v>70</v>
      </c>
      <c r="D1314" s="9">
        <f>getApertureStart('RawData (GH)'!C1314)</f>
        <v>2.8</v>
      </c>
      <c r="E1314" s="9">
        <f>getApertureEnd('RawData (GH)'!C1314)</f>
        <v>4</v>
      </c>
      <c r="F1314" s="2">
        <f>getFiltersizeAsDouble('RawData (GH)'!D1314)</f>
        <v>72</v>
      </c>
      <c r="G1314" s="35">
        <f>getMagnification('RawData (GH)'!E1314)</f>
        <v>2.9</v>
      </c>
      <c r="H1314" s="62">
        <f>getMinimalFocus('RawData (GH)'!F1314)</f>
        <v>0</v>
      </c>
      <c r="I1314" t="str">
        <f>getMount('RawData (GH)'!G1314)</f>
        <v>Nikon F</v>
      </c>
      <c r="J1314" t="str">
        <f>getSensorCompatibility('RawData (GH)'!H1314)</f>
        <v>APS-C</v>
      </c>
      <c r="K1314" s="45">
        <f>getWeightAsDouble('RawData (GH)'!I1314)</f>
        <v>470</v>
      </c>
      <c r="L1314" s="34">
        <f>getSizeDiameter('RawData (GH)'!J1314)</f>
        <v>79</v>
      </c>
      <c r="M1314" s="34">
        <f>getSizeLength('RawData (GH)'!J1314)</f>
        <v>82</v>
      </c>
    </row>
    <row r="1315" spans="1:13" x14ac:dyDescent="0.25">
      <c r="A1315" t="str">
        <f>'RawData (GH)'!A1315</f>
        <v>Sigma Contemporary AF 17-70mm 2.8-4.0 DC Makro OS HSM für Sigma schwarz</v>
      </c>
      <c r="B1315" s="5">
        <f>getFocalLengthStart('RawData (GH)'!B1315)</f>
        <v>17</v>
      </c>
      <c r="C1315" s="5">
        <f>getFocalLengthEnd('RawData (GH)'!B1315)</f>
        <v>70</v>
      </c>
      <c r="D1315" s="9">
        <f>getApertureStart('RawData (GH)'!C1315)</f>
        <v>2.8</v>
      </c>
      <c r="E1315" s="9">
        <f>getApertureEnd('RawData (GH)'!C1315)</f>
        <v>4</v>
      </c>
      <c r="F1315" s="2">
        <f>getFiltersizeAsDouble('RawData (GH)'!D1315)</f>
        <v>72</v>
      </c>
      <c r="G1315" s="35">
        <f>getMagnification('RawData (GH)'!E1315)</f>
        <v>2.9</v>
      </c>
      <c r="H1315" s="62">
        <f>getMinimalFocus('RawData (GH)'!F1315)</f>
        <v>0</v>
      </c>
      <c r="I1315" t="str">
        <f>getMount('RawData (GH)'!G1315)</f>
        <v>Sigma SA</v>
      </c>
      <c r="J1315" t="str">
        <f>getSensorCompatibility('RawData (GH)'!H1315)</f>
        <v>APS-C</v>
      </c>
      <c r="K1315" s="45">
        <f>getWeightAsDouble('RawData (GH)'!I1315)</f>
        <v>470</v>
      </c>
      <c r="L1315" s="34">
        <f>getSizeDiameter('RawData (GH)'!J1315)</f>
        <v>79</v>
      </c>
      <c r="M1315" s="34">
        <f>getSizeLength('RawData (GH)'!J1315)</f>
        <v>82</v>
      </c>
    </row>
    <row r="1316" spans="1:13" x14ac:dyDescent="0.25">
      <c r="A1316" t="str">
        <f>'RawData (GH)'!A1316</f>
        <v>Sigma Contemporary AF 18-200mm 3.5-6.3 DC Makro HSM für Pentax K schwarz</v>
      </c>
      <c r="B1316" s="5">
        <f>getFocalLengthStart('RawData (GH)'!B1316)</f>
        <v>18</v>
      </c>
      <c r="C1316" s="5">
        <f>getFocalLengthEnd('RawData (GH)'!B1316)</f>
        <v>200</v>
      </c>
      <c r="D1316" s="9">
        <f>getApertureStart('RawData (GH)'!C1316)</f>
        <v>3.5</v>
      </c>
      <c r="E1316" s="9">
        <f>getApertureEnd('RawData (GH)'!C1316)</f>
        <v>6.3</v>
      </c>
      <c r="F1316" s="2">
        <f>getFiltersizeAsDouble('RawData (GH)'!D1316)</f>
        <v>62</v>
      </c>
      <c r="G1316" s="35">
        <f>getMagnification('RawData (GH)'!E1316)</f>
        <v>3</v>
      </c>
      <c r="H1316" s="62">
        <f>getMinimalFocus('RawData (GH)'!F1316)</f>
        <v>0</v>
      </c>
      <c r="I1316" t="str">
        <f>getMount('RawData (GH)'!G1316)</f>
        <v>Pentax K</v>
      </c>
      <c r="J1316" t="str">
        <f>getSensorCompatibility('RawData (GH)'!H1316)</f>
        <v>APS-C</v>
      </c>
      <c r="K1316" s="45">
        <f>getWeightAsDouble('RawData (GH)'!I1316)</f>
        <v>430</v>
      </c>
      <c r="L1316" s="34">
        <f>getSizeDiameter('RawData (GH)'!J1316)</f>
        <v>71</v>
      </c>
      <c r="M1316" s="34">
        <f>getSizeLength('RawData (GH)'!J1316)</f>
        <v>86</v>
      </c>
    </row>
    <row r="1317" spans="1:13" x14ac:dyDescent="0.25">
      <c r="A1317" t="str">
        <f>'RawData (GH)'!A1317</f>
        <v>Sigma Contemporary AF 18-200mm 3.5-6.3 DC Makro HSM für Sony A schwarz</v>
      </c>
      <c r="B1317" s="5">
        <f>getFocalLengthStart('RawData (GH)'!B1317)</f>
        <v>18</v>
      </c>
      <c r="C1317" s="5">
        <f>getFocalLengthEnd('RawData (GH)'!B1317)</f>
        <v>200</v>
      </c>
      <c r="D1317" s="9">
        <f>getApertureStart('RawData (GH)'!C1317)</f>
        <v>3.5</v>
      </c>
      <c r="E1317" s="9">
        <f>getApertureEnd('RawData (GH)'!C1317)</f>
        <v>6.3</v>
      </c>
      <c r="F1317" s="2">
        <f>getFiltersizeAsDouble('RawData (GH)'!D1317)</f>
        <v>62</v>
      </c>
      <c r="G1317" s="35">
        <f>getMagnification('RawData (GH)'!E1317)</f>
        <v>3</v>
      </c>
      <c r="H1317" s="62">
        <f>getMinimalFocus('RawData (GH)'!F1317)</f>
        <v>0</v>
      </c>
      <c r="I1317" t="str">
        <f>getMount('RawData (GH)'!G1317)</f>
        <v>Sony A</v>
      </c>
      <c r="J1317" t="str">
        <f>getSensorCompatibility('RawData (GH)'!H1317)</f>
        <v>APS-C</v>
      </c>
      <c r="K1317" s="45">
        <f>getWeightAsDouble('RawData (GH)'!I1317)</f>
        <v>430</v>
      </c>
      <c r="L1317" s="34">
        <f>getSizeDiameter('RawData (GH)'!J1317)</f>
        <v>71</v>
      </c>
      <c r="M1317" s="34">
        <f>getSizeLength('RawData (GH)'!J1317)</f>
        <v>86</v>
      </c>
    </row>
    <row r="1318" spans="1:13" x14ac:dyDescent="0.25">
      <c r="A1318" t="str">
        <f>'RawData (GH)'!A1318</f>
        <v>Sigma Contemporary AF 18-200mm 3.5-6.3 DC Makro OS HSM für Canon EF schwarz</v>
      </c>
      <c r="B1318" s="5">
        <f>getFocalLengthStart('RawData (GH)'!B1318)</f>
        <v>18</v>
      </c>
      <c r="C1318" s="5">
        <f>getFocalLengthEnd('RawData (GH)'!B1318)</f>
        <v>200</v>
      </c>
      <c r="D1318" s="9">
        <f>getApertureStart('RawData (GH)'!C1318)</f>
        <v>3.5</v>
      </c>
      <c r="E1318" s="9">
        <f>getApertureEnd('RawData (GH)'!C1318)</f>
        <v>6.3</v>
      </c>
      <c r="F1318" s="2">
        <f>getFiltersizeAsDouble('RawData (GH)'!D1318)</f>
        <v>62</v>
      </c>
      <c r="G1318" s="35">
        <f>getMagnification('RawData (GH)'!E1318)</f>
        <v>3</v>
      </c>
      <c r="H1318" s="62">
        <f>getMinimalFocus('RawData (GH)'!F1318)</f>
        <v>0</v>
      </c>
      <c r="I1318" t="str">
        <f>getMount('RawData (GH)'!G1318)</f>
        <v>Canon EF-S</v>
      </c>
      <c r="J1318" t="str">
        <f>getSensorCompatibility('RawData (GH)'!H1318)</f>
        <v>APS-C</v>
      </c>
      <c r="K1318" s="45">
        <f>getWeightAsDouble('RawData (GH)'!I1318)</f>
        <v>430</v>
      </c>
      <c r="L1318" s="34">
        <f>getSizeDiameter('RawData (GH)'!J1318)</f>
        <v>71</v>
      </c>
      <c r="M1318" s="34">
        <f>getSizeLength('RawData (GH)'!J1318)</f>
        <v>86</v>
      </c>
    </row>
    <row r="1319" spans="1:13" x14ac:dyDescent="0.25">
      <c r="A1319" t="str">
        <f>'RawData (GH)'!A1319</f>
        <v>Sigma Contemporary AF 18-200mm 3.5-6.3 DC Makro OS HSM für Nikon F schwarz</v>
      </c>
      <c r="B1319" s="5">
        <f>getFocalLengthStart('RawData (GH)'!B1319)</f>
        <v>18</v>
      </c>
      <c r="C1319" s="5">
        <f>getFocalLengthEnd('RawData (GH)'!B1319)</f>
        <v>200</v>
      </c>
      <c r="D1319" s="9">
        <f>getApertureStart('RawData (GH)'!C1319)</f>
        <v>3.5</v>
      </c>
      <c r="E1319" s="9">
        <f>getApertureEnd('RawData (GH)'!C1319)</f>
        <v>6.3</v>
      </c>
      <c r="F1319" s="2">
        <f>getFiltersizeAsDouble('RawData (GH)'!D1319)</f>
        <v>62</v>
      </c>
      <c r="G1319" s="35">
        <f>getMagnification('RawData (GH)'!E1319)</f>
        <v>3</v>
      </c>
      <c r="H1319" s="62">
        <f>getMinimalFocus('RawData (GH)'!F1319)</f>
        <v>0</v>
      </c>
      <c r="I1319" t="str">
        <f>getMount('RawData (GH)'!G1319)</f>
        <v>Nikon F</v>
      </c>
      <c r="J1319" t="str">
        <f>getSensorCompatibility('RawData (GH)'!H1319)</f>
        <v>APS-C</v>
      </c>
      <c r="K1319" s="45">
        <f>getWeightAsDouble('RawData (GH)'!I1319)</f>
        <v>430</v>
      </c>
      <c r="L1319" s="34">
        <f>getSizeDiameter('RawData (GH)'!J1319)</f>
        <v>71</v>
      </c>
      <c r="M1319" s="34">
        <f>getSizeLength('RawData (GH)'!J1319)</f>
        <v>86</v>
      </c>
    </row>
    <row r="1320" spans="1:13" x14ac:dyDescent="0.25">
      <c r="A1320" t="str">
        <f>'RawData (GH)'!A1320</f>
        <v>Sigma Contemporary AF 18-200mm 3.5-6.3 DC Makro OS HSM für Sigma schwarz</v>
      </c>
      <c r="B1320" s="5">
        <f>getFocalLengthStart('RawData (GH)'!B1320)</f>
        <v>18</v>
      </c>
      <c r="C1320" s="5">
        <f>getFocalLengthEnd('RawData (GH)'!B1320)</f>
        <v>200</v>
      </c>
      <c r="D1320" s="9">
        <f>getApertureStart('RawData (GH)'!C1320)</f>
        <v>3.5</v>
      </c>
      <c r="E1320" s="9">
        <f>getApertureEnd('RawData (GH)'!C1320)</f>
        <v>6.3</v>
      </c>
      <c r="F1320" s="2">
        <f>getFiltersizeAsDouble('RawData (GH)'!D1320)</f>
        <v>62</v>
      </c>
      <c r="G1320" s="35">
        <f>getMagnification('RawData (GH)'!E1320)</f>
        <v>3</v>
      </c>
      <c r="H1320" s="62">
        <f>getMinimalFocus('RawData (GH)'!F1320)</f>
        <v>0</v>
      </c>
      <c r="I1320" t="str">
        <f>getMount('RawData (GH)'!G1320)</f>
        <v>Sigma SA</v>
      </c>
      <c r="J1320" t="str">
        <f>getSensorCompatibility('RawData (GH)'!H1320)</f>
        <v>APS-C</v>
      </c>
      <c r="K1320" s="45">
        <f>getWeightAsDouble('RawData (GH)'!I1320)</f>
        <v>430</v>
      </c>
      <c r="L1320" s="34">
        <f>getSizeDiameter('RawData (GH)'!J1320)</f>
        <v>71</v>
      </c>
      <c r="M1320" s="34">
        <f>getSizeLength('RawData (GH)'!J1320)</f>
        <v>86</v>
      </c>
    </row>
    <row r="1321" spans="1:13" x14ac:dyDescent="0.25">
      <c r="A1321" t="str">
        <f>'RawData (GH)'!A1321</f>
        <v>Sigma Contemporary AF 18-300mm 3.5-6.3 DC Makro HSM für Sony A schwarz</v>
      </c>
      <c r="B1321" s="5">
        <f>getFocalLengthStart('RawData (GH)'!B1321)</f>
        <v>18</v>
      </c>
      <c r="C1321" s="5">
        <f>getFocalLengthEnd('RawData (GH)'!B1321)</f>
        <v>300</v>
      </c>
      <c r="D1321" s="9">
        <f>getApertureStart('RawData (GH)'!C1321)</f>
        <v>3.5</v>
      </c>
      <c r="E1321" s="9">
        <f>getApertureEnd('RawData (GH)'!C1321)</f>
        <v>6.3</v>
      </c>
      <c r="F1321" s="2">
        <f>getFiltersizeAsDouble('RawData (GH)'!D1321)</f>
        <v>72</v>
      </c>
      <c r="G1321" s="35">
        <f>getMagnification('RawData (GH)'!E1321)</f>
        <v>3</v>
      </c>
      <c r="H1321" s="62">
        <f>getMinimalFocus('RawData (GH)'!F1321)</f>
        <v>0</v>
      </c>
      <c r="I1321" t="str">
        <f>getMount('RawData (GH)'!G1321)</f>
        <v>Sony A</v>
      </c>
      <c r="J1321" t="str">
        <f>getSensorCompatibility('RawData (GH)'!H1321)</f>
        <v>APS-C</v>
      </c>
      <c r="K1321" s="45">
        <f>getWeightAsDouble('RawData (GH)'!I1321)</f>
        <v>585</v>
      </c>
      <c r="L1321" s="34">
        <f>getSizeDiameter('RawData (GH)'!J1321)</f>
        <v>79</v>
      </c>
      <c r="M1321" s="34">
        <f>getSizeLength('RawData (GH)'!J1321)</f>
        <v>101.5</v>
      </c>
    </row>
    <row r="1322" spans="1:13" x14ac:dyDescent="0.25">
      <c r="A1322" t="str">
        <f>'RawData (GH)'!A1322</f>
        <v>Sigma Contemporary AF 18-300mm 3.5-6.3 DC Makro OS HSM für Canon EF schwarz</v>
      </c>
      <c r="B1322" s="5">
        <f>getFocalLengthStart('RawData (GH)'!B1322)</f>
        <v>18</v>
      </c>
      <c r="C1322" s="5">
        <f>getFocalLengthEnd('RawData (GH)'!B1322)</f>
        <v>300</v>
      </c>
      <c r="D1322" s="9">
        <f>getApertureStart('RawData (GH)'!C1322)</f>
        <v>3.5</v>
      </c>
      <c r="E1322" s="9">
        <f>getApertureEnd('RawData (GH)'!C1322)</f>
        <v>6.3</v>
      </c>
      <c r="F1322" s="2">
        <f>getFiltersizeAsDouble('RawData (GH)'!D1322)</f>
        <v>72</v>
      </c>
      <c r="G1322" s="35">
        <f>getMagnification('RawData (GH)'!E1322)</f>
        <v>3</v>
      </c>
      <c r="H1322" s="62">
        <f>getMinimalFocus('RawData (GH)'!F1322)</f>
        <v>0</v>
      </c>
      <c r="I1322" t="str">
        <f>getMount('RawData (GH)'!G1322)</f>
        <v>Canon EF-S</v>
      </c>
      <c r="J1322" t="str">
        <f>getSensorCompatibility('RawData (GH)'!H1322)</f>
        <v>APS-C</v>
      </c>
      <c r="K1322" s="45">
        <f>getWeightAsDouble('RawData (GH)'!I1322)</f>
        <v>585</v>
      </c>
      <c r="L1322" s="34">
        <f>getSizeDiameter('RawData (GH)'!J1322)</f>
        <v>79</v>
      </c>
      <c r="M1322" s="34">
        <f>getSizeLength('RawData (GH)'!J1322)</f>
        <v>101.5</v>
      </c>
    </row>
    <row r="1323" spans="1:13" x14ac:dyDescent="0.25">
      <c r="A1323" t="str">
        <f>'RawData (GH)'!A1323</f>
        <v>Sigma Contemporary AF 18-300mm 3.5-6.3 DC Makro OS HSM für Nikon F schwarz</v>
      </c>
      <c r="B1323" s="5">
        <f>getFocalLengthStart('RawData (GH)'!B1323)</f>
        <v>18</v>
      </c>
      <c r="C1323" s="5">
        <f>getFocalLengthEnd('RawData (GH)'!B1323)</f>
        <v>300</v>
      </c>
      <c r="D1323" s="9">
        <f>getApertureStart('RawData (GH)'!C1323)</f>
        <v>3.5</v>
      </c>
      <c r="E1323" s="9">
        <f>getApertureEnd('RawData (GH)'!C1323)</f>
        <v>6.3</v>
      </c>
      <c r="F1323" s="2">
        <f>getFiltersizeAsDouble('RawData (GH)'!D1323)</f>
        <v>72</v>
      </c>
      <c r="G1323" s="35">
        <f>getMagnification('RawData (GH)'!E1323)</f>
        <v>3</v>
      </c>
      <c r="H1323" s="62">
        <f>getMinimalFocus('RawData (GH)'!F1323)</f>
        <v>0</v>
      </c>
      <c r="I1323" t="str">
        <f>getMount('RawData (GH)'!G1323)</f>
        <v>Nikon F</v>
      </c>
      <c r="J1323" t="str">
        <f>getSensorCompatibility('RawData (GH)'!H1323)</f>
        <v>APS-C</v>
      </c>
      <c r="K1323" s="45">
        <f>getWeightAsDouble('RawData (GH)'!I1323)</f>
        <v>585</v>
      </c>
      <c r="L1323" s="34">
        <f>getSizeDiameter('RawData (GH)'!J1323)</f>
        <v>79</v>
      </c>
      <c r="M1323" s="34">
        <f>getSizeLength('RawData (GH)'!J1323)</f>
        <v>101.5</v>
      </c>
    </row>
    <row r="1324" spans="1:13" x14ac:dyDescent="0.25">
      <c r="A1324" t="str">
        <f>'RawData (GH)'!A1324</f>
        <v>Sigma Contemporary AF 18-300mm 3.5-6.3 DC Makro OS HSM für Pentax K schwarz</v>
      </c>
      <c r="B1324" s="5">
        <f>getFocalLengthStart('RawData (GH)'!B1324)</f>
        <v>18</v>
      </c>
      <c r="C1324" s="5">
        <f>getFocalLengthEnd('RawData (GH)'!B1324)</f>
        <v>300</v>
      </c>
      <c r="D1324" s="9">
        <f>getApertureStart('RawData (GH)'!C1324)</f>
        <v>3.5</v>
      </c>
      <c r="E1324" s="9">
        <f>getApertureEnd('RawData (GH)'!C1324)</f>
        <v>6.3</v>
      </c>
      <c r="F1324" s="2">
        <f>getFiltersizeAsDouble('RawData (GH)'!D1324)</f>
        <v>72</v>
      </c>
      <c r="G1324" s="35">
        <f>getMagnification('RawData (GH)'!E1324)</f>
        <v>3</v>
      </c>
      <c r="H1324" s="62">
        <f>getMinimalFocus('RawData (GH)'!F1324)</f>
        <v>0</v>
      </c>
      <c r="I1324" t="str">
        <f>getMount('RawData (GH)'!G1324)</f>
        <v>Pentax K</v>
      </c>
      <c r="J1324" t="str">
        <f>getSensorCompatibility('RawData (GH)'!H1324)</f>
        <v>APS-C</v>
      </c>
      <c r="K1324" s="45">
        <f>getWeightAsDouble('RawData (GH)'!I1324)</f>
        <v>585</v>
      </c>
      <c r="L1324" s="34">
        <f>getSizeDiameter('RawData (GH)'!J1324)</f>
        <v>79</v>
      </c>
      <c r="M1324" s="34">
        <f>getSizeLength('RawData (GH)'!J1324)</f>
        <v>101.5</v>
      </c>
    </row>
    <row r="1325" spans="1:13" x14ac:dyDescent="0.25">
      <c r="A1325" t="str">
        <f>'RawData (GH)'!A1325</f>
        <v>Sigma Contemporary AF 18-300mm 3.5-6.3 DC Makro OS HSM für Sigma schwarz</v>
      </c>
      <c r="B1325" s="5">
        <f>getFocalLengthStart('RawData (GH)'!B1325)</f>
        <v>18</v>
      </c>
      <c r="C1325" s="5">
        <f>getFocalLengthEnd('RawData (GH)'!B1325)</f>
        <v>300</v>
      </c>
      <c r="D1325" s="9">
        <f>getApertureStart('RawData (GH)'!C1325)</f>
        <v>3.5</v>
      </c>
      <c r="E1325" s="9">
        <f>getApertureEnd('RawData (GH)'!C1325)</f>
        <v>6.3</v>
      </c>
      <c r="F1325" s="2">
        <f>getFiltersizeAsDouble('RawData (GH)'!D1325)</f>
        <v>72</v>
      </c>
      <c r="G1325" s="35">
        <f>getMagnification('RawData (GH)'!E1325)</f>
        <v>3</v>
      </c>
      <c r="H1325" s="62">
        <f>getMinimalFocus('RawData (GH)'!F1325)</f>
        <v>0</v>
      </c>
      <c r="I1325" t="str">
        <f>getMount('RawData (GH)'!G1325)</f>
        <v>Sigma SA</v>
      </c>
      <c r="J1325" t="str">
        <f>getSensorCompatibility('RawData (GH)'!H1325)</f>
        <v>APS-C</v>
      </c>
      <c r="K1325" s="45">
        <f>getWeightAsDouble('RawData (GH)'!I1325)</f>
        <v>585</v>
      </c>
      <c r="L1325" s="34">
        <f>getSizeDiameter('RawData (GH)'!J1325)</f>
        <v>79</v>
      </c>
      <c r="M1325" s="34">
        <f>getSizeLength('RawData (GH)'!J1325)</f>
        <v>101.5</v>
      </c>
    </row>
    <row r="1326" spans="1:13" x14ac:dyDescent="0.25">
      <c r="A1326" t="str">
        <f>'RawData (GH)'!A1326</f>
        <v>Sigma Contemporary AF 30mm 1.4 DC DN für Micro-Four-Thirds schwarz</v>
      </c>
      <c r="B1326" s="5">
        <f>getFocalLengthStart('RawData (GH)'!B1326)</f>
        <v>30</v>
      </c>
      <c r="C1326" s="5">
        <f>getFocalLengthEnd('RawData (GH)'!B1326)</f>
        <v>30</v>
      </c>
      <c r="D1326" s="9">
        <f>getApertureStart('RawData (GH)'!C1326)</f>
        <v>1.4</v>
      </c>
      <c r="E1326" s="9">
        <f>getApertureEnd('RawData (GH)'!C1326)</f>
        <v>1.4</v>
      </c>
      <c r="F1326" s="2">
        <f>getFiltersizeAsDouble('RawData (GH)'!D1326)</f>
        <v>52</v>
      </c>
      <c r="G1326" s="35">
        <f>getMagnification('RawData (GH)'!E1326)</f>
        <v>7</v>
      </c>
      <c r="H1326" s="62">
        <f>getMinimalFocus('RawData (GH)'!F1326)</f>
        <v>0</v>
      </c>
      <c r="I1326" t="str">
        <f>getMount('RawData (GH)'!G1326)</f>
        <v>Micro-Four-Thirds</v>
      </c>
      <c r="J1326" t="str">
        <f>getSensorCompatibility('RawData (GH)'!H1326)</f>
        <v>APS-C</v>
      </c>
      <c r="K1326" s="45">
        <f>getWeightAsDouble('RawData (GH)'!I1326)</f>
        <v>265</v>
      </c>
      <c r="L1326" s="34">
        <f>getSizeDiameter('RawData (GH)'!J1326)</f>
        <v>64.8</v>
      </c>
      <c r="M1326" s="34">
        <f>getSizeLength('RawData (GH)'!J1326)</f>
        <v>73.3</v>
      </c>
    </row>
    <row r="1327" spans="1:13" x14ac:dyDescent="0.25">
      <c r="A1327" t="str">
        <f>'RawData (GH)'!A1327</f>
        <v>Sigma Contemporary AF 30mm 1.4 DC DN für Sony E schwarz</v>
      </c>
      <c r="B1327" s="5">
        <f>getFocalLengthStart('RawData (GH)'!B1327)</f>
        <v>30</v>
      </c>
      <c r="C1327" s="5">
        <f>getFocalLengthEnd('RawData (GH)'!B1327)</f>
        <v>30</v>
      </c>
      <c r="D1327" s="9">
        <f>getApertureStart('RawData (GH)'!C1327)</f>
        <v>1.4</v>
      </c>
      <c r="E1327" s="9">
        <f>getApertureEnd('RawData (GH)'!C1327)</f>
        <v>1.4</v>
      </c>
      <c r="F1327" s="2">
        <f>getFiltersizeAsDouble('RawData (GH)'!D1327)</f>
        <v>52</v>
      </c>
      <c r="G1327" s="35">
        <f>getMagnification('RawData (GH)'!E1327)</f>
        <v>7</v>
      </c>
      <c r="H1327" s="62">
        <f>getMinimalFocus('RawData (GH)'!F1327)</f>
        <v>0</v>
      </c>
      <c r="I1327" t="str">
        <f>getMount('RawData (GH)'!G1327)</f>
        <v>Sony E</v>
      </c>
      <c r="J1327" t="str">
        <f>getSensorCompatibility('RawData (GH)'!H1327)</f>
        <v>APS-C</v>
      </c>
      <c r="K1327" s="45">
        <f>getWeightAsDouble('RawData (GH)'!I1327)</f>
        <v>265</v>
      </c>
      <c r="L1327" s="34">
        <f>getSizeDiameter('RawData (GH)'!J1327)</f>
        <v>64.8</v>
      </c>
      <c r="M1327" s="34">
        <f>getSizeLength('RawData (GH)'!J1327)</f>
        <v>73.3</v>
      </c>
    </row>
    <row r="1328" spans="1:13" x14ac:dyDescent="0.25">
      <c r="A1328" t="str">
        <f>'RawData (GH)'!A1328</f>
        <v>Sigma Sports AF 120-300mm 2.8 DG HSM OS für Canon EF schwarz</v>
      </c>
      <c r="B1328" s="5">
        <f>getFocalLengthStart('RawData (GH)'!B1328)</f>
        <v>120</v>
      </c>
      <c r="C1328" s="5">
        <f>getFocalLengthEnd('RawData (GH)'!B1328)</f>
        <v>300</v>
      </c>
      <c r="D1328" s="9">
        <f>getApertureStart('RawData (GH)'!C1328)</f>
        <v>2.8</v>
      </c>
      <c r="E1328" s="9">
        <f>getApertureEnd('RawData (GH)'!C1328)</f>
        <v>2.8</v>
      </c>
      <c r="F1328" s="2">
        <f>getFiltersizeAsDouble('RawData (GH)'!D1328)</f>
        <v>105</v>
      </c>
      <c r="G1328" s="35">
        <f>getMagnification('RawData (GH)'!E1328)</f>
        <v>8.1</v>
      </c>
      <c r="H1328" s="62">
        <f>getMinimalFocus('RawData (GH)'!F1328)</f>
        <v>0</v>
      </c>
      <c r="I1328" t="str">
        <f>getMount('RawData (GH)'!G1328)</f>
        <v>Canon EF</v>
      </c>
      <c r="J1328" t="str">
        <f>getSensorCompatibility('RawData (GH)'!H1328)</f>
        <v>APS-C/ Kleinbild</v>
      </c>
      <c r="K1328" s="45">
        <f>getWeightAsDouble('RawData (GH)'!I1328)</f>
        <v>3390</v>
      </c>
      <c r="L1328" s="34">
        <f>getSizeDiameter('RawData (GH)'!J1328)</f>
        <v>124.4</v>
      </c>
      <c r="M1328" s="34">
        <f>getSizeLength('RawData (GH)'!J1328)</f>
        <v>291</v>
      </c>
    </row>
    <row r="1329" spans="1:13" x14ac:dyDescent="0.25">
      <c r="A1329" t="str">
        <f>'RawData (GH)'!A1329</f>
        <v>Sigma Sports AF 120-300mm 2.8 DG HSM OS für Nikon F schwarz</v>
      </c>
      <c r="B1329" s="5">
        <f>getFocalLengthStart('RawData (GH)'!B1329)</f>
        <v>120</v>
      </c>
      <c r="C1329" s="5">
        <f>getFocalLengthEnd('RawData (GH)'!B1329)</f>
        <v>300</v>
      </c>
      <c r="D1329" s="9">
        <f>getApertureStart('RawData (GH)'!C1329)</f>
        <v>2.8</v>
      </c>
      <c r="E1329" s="9">
        <f>getApertureEnd('RawData (GH)'!C1329)</f>
        <v>2.8</v>
      </c>
      <c r="F1329" s="2">
        <f>getFiltersizeAsDouble('RawData (GH)'!D1329)</f>
        <v>105</v>
      </c>
      <c r="G1329" s="35">
        <f>getMagnification('RawData (GH)'!E1329)</f>
        <v>8.1</v>
      </c>
      <c r="H1329" s="62">
        <f>getMinimalFocus('RawData (GH)'!F1329)</f>
        <v>0</v>
      </c>
      <c r="I1329" t="str">
        <f>getMount('RawData (GH)'!G1329)</f>
        <v>Nikon F</v>
      </c>
      <c r="J1329" t="str">
        <f>getSensorCompatibility('RawData (GH)'!H1329)</f>
        <v>APS-C/ Kleinbild</v>
      </c>
      <c r="K1329" s="45">
        <f>getWeightAsDouble('RawData (GH)'!I1329)</f>
        <v>3390</v>
      </c>
      <c r="L1329" s="34">
        <f>getSizeDiameter('RawData (GH)'!J1329)</f>
        <v>124.4</v>
      </c>
      <c r="M1329" s="34">
        <f>getSizeLength('RawData (GH)'!J1329)</f>
        <v>291</v>
      </c>
    </row>
    <row r="1330" spans="1:13" x14ac:dyDescent="0.25">
      <c r="A1330" t="str">
        <f>'RawData (GH)'!A1330</f>
        <v>Sigma Sports AF 120-300mm 2.8 DG HSM OS für Sigma schwarz</v>
      </c>
      <c r="B1330" s="5">
        <f>getFocalLengthStart('RawData (GH)'!B1330)</f>
        <v>120</v>
      </c>
      <c r="C1330" s="5">
        <f>getFocalLengthEnd('RawData (GH)'!B1330)</f>
        <v>300</v>
      </c>
      <c r="D1330" s="9">
        <f>getApertureStart('RawData (GH)'!C1330)</f>
        <v>2.8</v>
      </c>
      <c r="E1330" s="9">
        <f>getApertureEnd('RawData (GH)'!C1330)</f>
        <v>2.8</v>
      </c>
      <c r="F1330" s="2">
        <f>getFiltersizeAsDouble('RawData (GH)'!D1330)</f>
        <v>105</v>
      </c>
      <c r="G1330" s="35">
        <f>getMagnification('RawData (GH)'!E1330)</f>
        <v>8.1</v>
      </c>
      <c r="H1330" s="62">
        <f>getMinimalFocus('RawData (GH)'!F1330)</f>
        <v>0</v>
      </c>
      <c r="I1330" t="str">
        <f>getMount('RawData (GH)'!G1330)</f>
        <v>Sigma SA</v>
      </c>
      <c r="J1330" t="str">
        <f>getSensorCompatibility('RawData (GH)'!H1330)</f>
        <v>APS-C</v>
      </c>
      <c r="K1330" s="45">
        <f>getWeightAsDouble('RawData (GH)'!I1330)</f>
        <v>3390</v>
      </c>
      <c r="L1330" s="34">
        <f>getSizeDiameter('RawData (GH)'!J1330)</f>
        <v>124.4</v>
      </c>
      <c r="M1330" s="34">
        <f>getSizeLength('RawData (GH)'!J1330)</f>
        <v>291</v>
      </c>
    </row>
    <row r="1331" spans="1:13" x14ac:dyDescent="0.25">
      <c r="A1331" t="str">
        <f>'RawData (GH)'!A1331</f>
        <v>Sigma Sports AF 150-600mm 5.0-6.3 DG OS HSM für Canon EF schwarz</v>
      </c>
      <c r="B1331" s="5">
        <f>getFocalLengthStart('RawData (GH)'!B1331)</f>
        <v>150</v>
      </c>
      <c r="C1331" s="5">
        <f>getFocalLengthEnd('RawData (GH)'!B1331)</f>
        <v>600</v>
      </c>
      <c r="D1331" s="9">
        <f>getApertureStart('RawData (GH)'!C1331)</f>
        <v>5</v>
      </c>
      <c r="E1331" s="9">
        <f>getApertureEnd('RawData (GH)'!C1331)</f>
        <v>6.3</v>
      </c>
      <c r="F1331" s="2">
        <f>getFiltersizeAsDouble('RawData (GH)'!D1331)</f>
        <v>105</v>
      </c>
      <c r="G1331" s="35">
        <f>getMagnification('RawData (GH)'!E1331)</f>
        <v>5</v>
      </c>
      <c r="H1331" s="62">
        <f>getMinimalFocus('RawData (GH)'!F1331)</f>
        <v>0</v>
      </c>
      <c r="I1331" t="str">
        <f>getMount('RawData (GH)'!G1331)</f>
        <v>Canon EF</v>
      </c>
      <c r="J1331" t="str">
        <f>getSensorCompatibility('RawData (GH)'!H1331)</f>
        <v>APS-C/ Kleinbild</v>
      </c>
      <c r="K1331" s="45">
        <f>getWeightAsDouble('RawData (GH)'!I1331)</f>
        <v>2860</v>
      </c>
      <c r="L1331" s="34">
        <f>getSizeDiameter('RawData (GH)'!J1331)</f>
        <v>121</v>
      </c>
      <c r="M1331" s="34">
        <f>getSizeLength('RawData (GH)'!J1331)</f>
        <v>290.2</v>
      </c>
    </row>
    <row r="1332" spans="1:13" x14ac:dyDescent="0.25">
      <c r="A1332" t="str">
        <f>'RawData (GH)'!A1332</f>
        <v>Sigma Sports AF 150-600mm 5.0-6.3 DG OS HSM für Nikon F schwarz</v>
      </c>
      <c r="B1332" s="5">
        <f>getFocalLengthStart('RawData (GH)'!B1332)</f>
        <v>150</v>
      </c>
      <c r="C1332" s="5">
        <f>getFocalLengthEnd('RawData (GH)'!B1332)</f>
        <v>600</v>
      </c>
      <c r="D1332" s="9">
        <f>getApertureStart('RawData (GH)'!C1332)</f>
        <v>5</v>
      </c>
      <c r="E1332" s="9">
        <f>getApertureEnd('RawData (GH)'!C1332)</f>
        <v>6.3</v>
      </c>
      <c r="F1332" s="2">
        <f>getFiltersizeAsDouble('RawData (GH)'!D1332)</f>
        <v>105</v>
      </c>
      <c r="G1332" s="35">
        <f>getMagnification('RawData (GH)'!E1332)</f>
        <v>5</v>
      </c>
      <c r="H1332" s="62">
        <f>getMinimalFocus('RawData (GH)'!F1332)</f>
        <v>0</v>
      </c>
      <c r="I1332" t="str">
        <f>getMount('RawData (GH)'!G1332)</f>
        <v>Nikon F</v>
      </c>
      <c r="J1332" t="str">
        <f>getSensorCompatibility('RawData (GH)'!H1332)</f>
        <v>APS-C/ Kleinbild</v>
      </c>
      <c r="K1332" s="45">
        <f>getWeightAsDouble('RawData (GH)'!I1332)</f>
        <v>2860</v>
      </c>
      <c r="L1332" s="34">
        <f>getSizeDiameter('RawData (GH)'!J1332)</f>
        <v>121</v>
      </c>
      <c r="M1332" s="34">
        <f>getSizeLength('RawData (GH)'!J1332)</f>
        <v>290.2</v>
      </c>
    </row>
    <row r="1333" spans="1:13" x14ac:dyDescent="0.25">
      <c r="A1333" t="str">
        <f>'RawData (GH)'!A1333</f>
        <v>Sigma Sports AF 150-600mm 5.0-6.3 DG OS HSM für Sigma schwarz</v>
      </c>
      <c r="B1333" s="5">
        <f>getFocalLengthStart('RawData (GH)'!B1333)</f>
        <v>150</v>
      </c>
      <c r="C1333" s="5">
        <f>getFocalLengthEnd('RawData (GH)'!B1333)</f>
        <v>600</v>
      </c>
      <c r="D1333" s="9">
        <f>getApertureStart('RawData (GH)'!C1333)</f>
        <v>5</v>
      </c>
      <c r="E1333" s="9">
        <f>getApertureEnd('RawData (GH)'!C1333)</f>
        <v>6.3</v>
      </c>
      <c r="F1333" s="2">
        <f>getFiltersizeAsDouble('RawData (GH)'!D1333)</f>
        <v>105</v>
      </c>
      <c r="G1333" s="35">
        <f>getMagnification('RawData (GH)'!E1333)</f>
        <v>5</v>
      </c>
      <c r="H1333" s="62">
        <f>getMinimalFocus('RawData (GH)'!F1333)</f>
        <v>0</v>
      </c>
      <c r="I1333" t="str">
        <f>getMount('RawData (GH)'!G1333)</f>
        <v>Sigma SA</v>
      </c>
      <c r="J1333" t="str">
        <f>getSensorCompatibility('RawData (GH)'!H1333)</f>
        <v>APS-C</v>
      </c>
      <c r="K1333" s="45">
        <f>getWeightAsDouble('RawData (GH)'!I1333)</f>
        <v>2860</v>
      </c>
      <c r="L1333" s="34">
        <f>getSizeDiameter('RawData (GH)'!J1333)</f>
        <v>121</v>
      </c>
      <c r="M1333" s="34">
        <f>getSizeLength('RawData (GH)'!J1333)</f>
        <v>290.2</v>
      </c>
    </row>
    <row r="1334" spans="1:13" x14ac:dyDescent="0.25">
      <c r="A1334" t="str">
        <f>'RawData (GH)'!A1334</f>
        <v>Sigma Sports AF 150-600mm 5.0-6.3 DG OS HSM inkl. 1.4x Telekonverter für Canon EF schwarz</v>
      </c>
      <c r="B1334" s="5">
        <f>getFocalLengthStart('RawData (GH)'!B1334)</f>
        <v>150</v>
      </c>
      <c r="C1334" s="5">
        <f>getFocalLengthEnd('RawData (GH)'!B1334)</f>
        <v>600</v>
      </c>
      <c r="D1334" s="9">
        <f>getApertureStart('RawData (GH)'!C1334)</f>
        <v>5</v>
      </c>
      <c r="E1334" s="9">
        <f>getApertureEnd('RawData (GH)'!C1334)</f>
        <v>6.3</v>
      </c>
      <c r="F1334" s="2">
        <f>getFiltersizeAsDouble('RawData (GH)'!D1334)</f>
        <v>105</v>
      </c>
      <c r="G1334" s="35">
        <f>getMagnification('RawData (GH)'!E1334)</f>
        <v>5</v>
      </c>
      <c r="H1334" s="62">
        <f>getMinimalFocus('RawData (GH)'!F1334)</f>
        <v>0</v>
      </c>
      <c r="I1334" t="str">
        <f>getMount('RawData (GH)'!G1334)</f>
        <v>Canon EF</v>
      </c>
      <c r="J1334" t="str">
        <f>getSensorCompatibility('RawData (GH)'!H1334)</f>
        <v>APS-C/ Kleinbild</v>
      </c>
      <c r="K1334" s="45">
        <f>getWeightAsDouble('RawData (GH)'!I1334)</f>
        <v>2860</v>
      </c>
      <c r="L1334" s="34">
        <f>getSizeDiameter('RawData (GH)'!J1334)</f>
        <v>121</v>
      </c>
      <c r="M1334" s="34">
        <f>getSizeLength('RawData (GH)'!J1334)</f>
        <v>290.2</v>
      </c>
    </row>
    <row r="1335" spans="1:13" x14ac:dyDescent="0.25">
      <c r="A1335" t="str">
        <f>'RawData (GH)'!A1335</f>
        <v>Sigma Sports AF 150-600mm 5.0-6.3 DG OS HSM inkl. 1.4x Telekonverter für Nikon F schwarz</v>
      </c>
      <c r="B1335" s="5">
        <f>getFocalLengthStart('RawData (GH)'!B1335)</f>
        <v>150</v>
      </c>
      <c r="C1335" s="5">
        <f>getFocalLengthEnd('RawData (GH)'!B1335)</f>
        <v>600</v>
      </c>
      <c r="D1335" s="9">
        <f>getApertureStart('RawData (GH)'!C1335)</f>
        <v>5</v>
      </c>
      <c r="E1335" s="9">
        <f>getApertureEnd('RawData (GH)'!C1335)</f>
        <v>6.3</v>
      </c>
      <c r="F1335" s="2">
        <f>getFiltersizeAsDouble('RawData (GH)'!D1335)</f>
        <v>105</v>
      </c>
      <c r="G1335" s="35">
        <f>getMagnification('RawData (GH)'!E1335)</f>
        <v>5</v>
      </c>
      <c r="H1335" s="62">
        <f>getMinimalFocus('RawData (GH)'!F1335)</f>
        <v>0</v>
      </c>
      <c r="I1335" t="str">
        <f>getMount('RawData (GH)'!G1335)</f>
        <v>Nikon F</v>
      </c>
      <c r="J1335" t="str">
        <f>getSensorCompatibility('RawData (GH)'!H1335)</f>
        <v>APS-C/ Kleinbild</v>
      </c>
      <c r="K1335" s="45">
        <f>getWeightAsDouble('RawData (GH)'!I1335)</f>
        <v>2860</v>
      </c>
      <c r="L1335" s="34">
        <f>getSizeDiameter('RawData (GH)'!J1335)</f>
        <v>121</v>
      </c>
      <c r="M1335" s="34">
        <f>getSizeLength('RawData (GH)'!J1335)</f>
        <v>290.2</v>
      </c>
    </row>
    <row r="1336" spans="1:13" x14ac:dyDescent="0.25">
      <c r="A1336" t="str">
        <f>'RawData (GH)'!A1336</f>
        <v>Sigma Sports AF 150-600mm 5.0-6.3 DG OS HSM inkl. 1.4x Telekonverter für Sigma schwarz</v>
      </c>
      <c r="B1336" s="5">
        <f>getFocalLengthStart('RawData (GH)'!B1336)</f>
        <v>150</v>
      </c>
      <c r="C1336" s="5">
        <f>getFocalLengthEnd('RawData (GH)'!B1336)</f>
        <v>600</v>
      </c>
      <c r="D1336" s="9">
        <f>getApertureStart('RawData (GH)'!C1336)</f>
        <v>5</v>
      </c>
      <c r="E1336" s="9">
        <f>getApertureEnd('RawData (GH)'!C1336)</f>
        <v>6.3</v>
      </c>
      <c r="F1336" s="2">
        <f>getFiltersizeAsDouble('RawData (GH)'!D1336)</f>
        <v>105</v>
      </c>
      <c r="G1336" s="35">
        <f>getMagnification('RawData (GH)'!E1336)</f>
        <v>5</v>
      </c>
      <c r="H1336" s="62">
        <f>getMinimalFocus('RawData (GH)'!F1336)</f>
        <v>0</v>
      </c>
      <c r="I1336" t="str">
        <f>getMount('RawData (GH)'!G1336)</f>
        <v>Sigma SA</v>
      </c>
      <c r="J1336" t="str">
        <f>getSensorCompatibility('RawData (GH)'!H1336)</f>
        <v>APS-C</v>
      </c>
      <c r="K1336" s="45">
        <f>getWeightAsDouble('RawData (GH)'!I1336)</f>
        <v>2860</v>
      </c>
      <c r="L1336" s="34">
        <f>getSizeDiameter('RawData (GH)'!J1336)</f>
        <v>121</v>
      </c>
      <c r="M1336" s="34">
        <f>getSizeLength('RawData (GH)'!J1336)</f>
        <v>290.2</v>
      </c>
    </row>
    <row r="1337" spans="1:13" x14ac:dyDescent="0.25">
      <c r="A1337" t="str">
        <f>'RawData (GH)'!A1337</f>
        <v>Sigma Sports AF 500mm 4.0 DG OS HSM für Canon EF schwarz</v>
      </c>
      <c r="B1337" s="5">
        <f>getFocalLengthStart('RawData (GH)'!B1337)</f>
        <v>500</v>
      </c>
      <c r="C1337" s="5">
        <f>getFocalLengthEnd('RawData (GH)'!B1337)</f>
        <v>500</v>
      </c>
      <c r="D1337" s="9">
        <f>getApertureStart('RawData (GH)'!C1337)</f>
        <v>4</v>
      </c>
      <c r="E1337" s="9">
        <f>getApertureEnd('RawData (GH)'!C1337)</f>
        <v>4</v>
      </c>
      <c r="F1337" s="2">
        <f>getFiltersizeAsDouble('RawData (GH)'!D1337)</f>
        <v>46</v>
      </c>
      <c r="G1337" s="35">
        <f>getMagnification('RawData (GH)'!E1337)</f>
        <v>6.5</v>
      </c>
      <c r="H1337" s="62">
        <f>getMinimalFocus('RawData (GH)'!F1337)</f>
        <v>0</v>
      </c>
      <c r="I1337" t="str">
        <f>getMount('RawData (GH)'!G1337)</f>
        <v>Canon EF</v>
      </c>
      <c r="J1337" t="str">
        <f>getSensorCompatibility('RawData (GH)'!H1337)</f>
        <v>APS-C/ Kleinbild</v>
      </c>
      <c r="K1337" s="45">
        <f>getWeightAsDouble('RawData (GH)'!I1337)</f>
        <v>3310</v>
      </c>
      <c r="L1337" s="34">
        <f>getSizeDiameter('RawData (GH)'!J1337)</f>
        <v>144.80000000000001</v>
      </c>
      <c r="M1337" s="34">
        <f>getSizeLength('RawData (GH)'!J1337)</f>
        <v>380.3</v>
      </c>
    </row>
    <row r="1338" spans="1:13" x14ac:dyDescent="0.25">
      <c r="A1338" t="str">
        <f>'RawData (GH)'!A1338</f>
        <v>Sigma Sports AF 500mm 4.0 DG OS HSM für Nikon F schwarz</v>
      </c>
      <c r="B1338" s="5">
        <f>getFocalLengthStart('RawData (GH)'!B1338)</f>
        <v>500</v>
      </c>
      <c r="C1338" s="5">
        <f>getFocalLengthEnd('RawData (GH)'!B1338)</f>
        <v>500</v>
      </c>
      <c r="D1338" s="9">
        <f>getApertureStart('RawData (GH)'!C1338)</f>
        <v>4</v>
      </c>
      <c r="E1338" s="9">
        <f>getApertureEnd('RawData (GH)'!C1338)</f>
        <v>4</v>
      </c>
      <c r="F1338" s="2">
        <f>getFiltersizeAsDouble('RawData (GH)'!D1338)</f>
        <v>46</v>
      </c>
      <c r="G1338" s="35">
        <f>getMagnification('RawData (GH)'!E1338)</f>
        <v>6.5</v>
      </c>
      <c r="H1338" s="62">
        <f>getMinimalFocus('RawData (GH)'!F1338)</f>
        <v>0</v>
      </c>
      <c r="I1338" t="str">
        <f>getMount('RawData (GH)'!G1338)</f>
        <v>Nikon F</v>
      </c>
      <c r="J1338" t="str">
        <f>getSensorCompatibility('RawData (GH)'!H1338)</f>
        <v>APS-C/ Kleinbild</v>
      </c>
      <c r="K1338" s="45">
        <f>getWeightAsDouble('RawData (GH)'!I1338)</f>
        <v>3310</v>
      </c>
      <c r="L1338" s="34">
        <f>getSizeDiameter('RawData (GH)'!J1338)</f>
        <v>144.80000000000001</v>
      </c>
      <c r="M1338" s="34">
        <f>getSizeLength('RawData (GH)'!J1338)</f>
        <v>380.3</v>
      </c>
    </row>
    <row r="1339" spans="1:13" x14ac:dyDescent="0.25">
      <c r="A1339" t="str">
        <f>'RawData (GH)'!A1339</f>
        <v>Sigma Sports AF 500mm 4.0 DG OS HSM für Sigma schwarz</v>
      </c>
      <c r="B1339" s="5">
        <f>getFocalLengthStart('RawData (GH)'!B1339)</f>
        <v>500</v>
      </c>
      <c r="C1339" s="5">
        <f>getFocalLengthEnd('RawData (GH)'!B1339)</f>
        <v>500</v>
      </c>
      <c r="D1339" s="9">
        <f>getApertureStart('RawData (GH)'!C1339)</f>
        <v>4</v>
      </c>
      <c r="E1339" s="9">
        <f>getApertureEnd('RawData (GH)'!C1339)</f>
        <v>4</v>
      </c>
      <c r="F1339" s="2">
        <f>getFiltersizeAsDouble('RawData (GH)'!D1339)</f>
        <v>46</v>
      </c>
      <c r="G1339" s="35">
        <f>getMagnification('RawData (GH)'!E1339)</f>
        <v>6.5</v>
      </c>
      <c r="H1339" s="62">
        <f>getMinimalFocus('RawData (GH)'!F1339)</f>
        <v>0</v>
      </c>
      <c r="I1339" t="str">
        <f>getMount('RawData (GH)'!G1339)</f>
        <v>Sigma SA</v>
      </c>
      <c r="J1339" t="str">
        <f>getSensorCompatibility('RawData (GH)'!H1339)</f>
        <v>APS-C/ Kleinbild</v>
      </c>
      <c r="K1339" s="45">
        <f>getWeightAsDouble('RawData (GH)'!I1339)</f>
        <v>3310</v>
      </c>
      <c r="L1339" s="34">
        <f>getSizeDiameter('RawData (GH)'!J1339)</f>
        <v>144.80000000000001</v>
      </c>
      <c r="M1339" s="34">
        <f>getSizeLength('RawData (GH)'!J1339)</f>
        <v>380.3</v>
      </c>
    </row>
    <row r="1340" spans="1:13" x14ac:dyDescent="0.25">
      <c r="A1340" t="str">
        <f>'RawData (GH)'!A1340</f>
        <v>SLR Magic Cine Mark 35mm 1.4 für Fujifilm X schwarz</v>
      </c>
      <c r="B1340" s="5">
        <f>getFocalLengthStart('RawData (GH)'!B1340)</f>
        <v>35</v>
      </c>
      <c r="C1340" s="5">
        <f>getFocalLengthEnd('RawData (GH)'!B1340)</f>
        <v>35</v>
      </c>
      <c r="D1340" s="9">
        <f>getApertureStart('RawData (GH)'!C1340)</f>
        <v>1.4</v>
      </c>
      <c r="E1340" s="9">
        <f>getApertureEnd('RawData (GH)'!C1340)</f>
        <v>1.4</v>
      </c>
      <c r="F1340" s="2">
        <f>getFiltersizeAsDouble('RawData (GH)'!D1340)</f>
        <v>52</v>
      </c>
      <c r="G1340" s="35">
        <f>getMagnification('RawData (GH)'!E1340)</f>
        <v>0</v>
      </c>
      <c r="H1340" s="62">
        <f>getMinimalFocus('RawData (GH)'!F1340)</f>
        <v>0</v>
      </c>
      <c r="I1340" t="str">
        <f>getMount('RawData (GH)'!G1340)</f>
        <v>Fujifilm X</v>
      </c>
      <c r="J1340" t="str">
        <f>getSensorCompatibility('RawData (GH)'!H1340)</f>
        <v>APS-C</v>
      </c>
      <c r="K1340" s="45">
        <f>getWeightAsDouble('RawData (GH)'!I1340)</f>
        <v>390</v>
      </c>
      <c r="L1340" s="34">
        <f>getSizeDiameter('RawData (GH)'!J1340)</f>
        <v>55</v>
      </c>
      <c r="M1340" s="34">
        <f>getSizeLength('RawData (GH)'!J1340)</f>
        <v>70.3</v>
      </c>
    </row>
    <row r="1341" spans="1:13" x14ac:dyDescent="0.25">
      <c r="A1341" t="str">
        <f>'RawData (GH)'!A1341</f>
        <v>SLR Magic Cine Mark 35mm 1.4 für Micro-Four-Thirds schwarz</v>
      </c>
      <c r="B1341" s="5">
        <f>getFocalLengthStart('RawData (GH)'!B1341)</f>
        <v>35</v>
      </c>
      <c r="C1341" s="5">
        <f>getFocalLengthEnd('RawData (GH)'!B1341)</f>
        <v>35</v>
      </c>
      <c r="D1341" s="9">
        <f>getApertureStart('RawData (GH)'!C1341)</f>
        <v>1.4</v>
      </c>
      <c r="E1341" s="9">
        <f>getApertureEnd('RawData (GH)'!C1341)</f>
        <v>1.4</v>
      </c>
      <c r="F1341" s="2">
        <f>getFiltersizeAsDouble('RawData (GH)'!D1341)</f>
        <v>52</v>
      </c>
      <c r="G1341" s="35">
        <f>getMagnification('RawData (GH)'!E1341)</f>
        <v>0</v>
      </c>
      <c r="H1341" s="62">
        <f>getMinimalFocus('RawData (GH)'!F1341)</f>
        <v>0</v>
      </c>
      <c r="I1341" t="str">
        <f>getMount('RawData (GH)'!G1341)</f>
        <v>Micro-Four-Thirds</v>
      </c>
      <c r="J1341" t="str">
        <f>getSensorCompatibility('RawData (GH)'!H1341)</f>
        <v>Four-Thirds</v>
      </c>
      <c r="K1341" s="45">
        <f>getWeightAsDouble('RawData (GH)'!I1341)</f>
        <v>390</v>
      </c>
      <c r="L1341" s="34">
        <f>getSizeDiameter('RawData (GH)'!J1341)</f>
        <v>55</v>
      </c>
      <c r="M1341" s="34">
        <f>getSizeLength('RawData (GH)'!J1341)</f>
        <v>70.3</v>
      </c>
    </row>
    <row r="1342" spans="1:13" x14ac:dyDescent="0.25">
      <c r="A1342" t="str">
        <f>'RawData (GH)'!A1342</f>
        <v>SLR Magic Cine Mark 35mm 1.4 für Sony E schwarz</v>
      </c>
      <c r="B1342" s="5">
        <f>getFocalLengthStart('RawData (GH)'!B1342)</f>
        <v>35</v>
      </c>
      <c r="C1342" s="5">
        <f>getFocalLengthEnd('RawData (GH)'!B1342)</f>
        <v>35</v>
      </c>
      <c r="D1342" s="9">
        <f>getApertureStart('RawData (GH)'!C1342)</f>
        <v>1.4</v>
      </c>
      <c r="E1342" s="9">
        <f>getApertureEnd('RawData (GH)'!C1342)</f>
        <v>1.4</v>
      </c>
      <c r="F1342" s="2">
        <f>getFiltersizeAsDouble('RawData (GH)'!D1342)</f>
        <v>52</v>
      </c>
      <c r="G1342" s="35">
        <f>getMagnification('RawData (GH)'!E1342)</f>
        <v>0</v>
      </c>
      <c r="H1342" s="62">
        <f>getMinimalFocus('RawData (GH)'!F1342)</f>
        <v>0</v>
      </c>
      <c r="I1342" t="str">
        <f>getMount('RawData (GH)'!G1342)</f>
        <v>Sony E</v>
      </c>
      <c r="J1342" t="str">
        <f>getSensorCompatibility('RawData (GH)'!H1342)</f>
        <v>APS-C</v>
      </c>
      <c r="K1342" s="45">
        <f>getWeightAsDouble('RawData (GH)'!I1342)</f>
        <v>390</v>
      </c>
      <c r="L1342" s="34">
        <f>getSizeDiameter('RawData (GH)'!J1342)</f>
        <v>55</v>
      </c>
      <c r="M1342" s="34">
        <f>getSizeLength('RawData (GH)'!J1342)</f>
        <v>70.3</v>
      </c>
    </row>
    <row r="1343" spans="1:13" x14ac:dyDescent="0.25">
      <c r="A1343" t="str">
        <f>'RawData (GH)'!A1343</f>
        <v>SLR Magic Hyper Prime 23mm 1.7 für Micro-Four-Thirds schwarz</v>
      </c>
      <c r="B1343" s="5">
        <f>getFocalLengthStart('RawData (GH)'!B1343)</f>
        <v>23</v>
      </c>
      <c r="C1343" s="5">
        <f>getFocalLengthEnd('RawData (GH)'!B1343)</f>
        <v>23</v>
      </c>
      <c r="D1343" s="9">
        <f>getApertureStart('RawData (GH)'!C1343)</f>
        <v>1.7</v>
      </c>
      <c r="E1343" s="9">
        <f>getApertureEnd('RawData (GH)'!C1343)</f>
        <v>1.7</v>
      </c>
      <c r="F1343" s="2">
        <f>getFiltersizeAsDouble('RawData (GH)'!D1343)</f>
        <v>49</v>
      </c>
      <c r="G1343" s="35">
        <f>getMagnification('RawData (GH)'!E1343)</f>
        <v>0</v>
      </c>
      <c r="H1343" s="62">
        <f>getMinimalFocus('RawData (GH)'!F1343)</f>
        <v>0</v>
      </c>
      <c r="I1343" t="str">
        <f>getMount('RawData (GH)'!G1343)</f>
        <v>Micro-Four-Thirds</v>
      </c>
      <c r="J1343" t="str">
        <f>getSensorCompatibility('RawData (GH)'!H1343)</f>
        <v>Four-Thirds</v>
      </c>
      <c r="K1343" s="45">
        <f>getWeightAsDouble('RawData (GH)'!I1343)</f>
        <v>265</v>
      </c>
      <c r="L1343" s="34">
        <f>getSizeDiameter('RawData (GH)'!J1343)</f>
        <v>50</v>
      </c>
      <c r="M1343" s="34">
        <f>getSizeLength('RawData (GH)'!J1343)</f>
        <v>61.3</v>
      </c>
    </row>
    <row r="1344" spans="1:13" x14ac:dyDescent="0.25">
      <c r="A1344" t="str">
        <f>'RawData (GH)'!A1344</f>
        <v>SLR Magic Hyper Prime 25mm 0.95 für Micro-Four-Thirds schwarz</v>
      </c>
      <c r="B1344" s="5">
        <f>getFocalLengthStart('RawData (GH)'!B1344)</f>
        <v>25</v>
      </c>
      <c r="C1344" s="5">
        <f>getFocalLengthEnd('RawData (GH)'!B1344)</f>
        <v>25</v>
      </c>
      <c r="D1344" s="9">
        <f>getApertureStart('RawData (GH)'!C1344)</f>
        <v>0.95</v>
      </c>
      <c r="E1344" s="9">
        <f>getApertureEnd('RawData (GH)'!C1344)</f>
        <v>0.95</v>
      </c>
      <c r="F1344" s="2">
        <f>getFiltersizeAsDouble('RawData (GH)'!D1344)</f>
        <v>52</v>
      </c>
      <c r="G1344" s="35">
        <f>getMagnification('RawData (GH)'!E1344)</f>
        <v>0</v>
      </c>
      <c r="H1344" s="62">
        <f>getMinimalFocus('RawData (GH)'!F1344)</f>
        <v>0</v>
      </c>
      <c r="I1344" t="str">
        <f>getMount('RawData (GH)'!G1344)</f>
        <v>Micro-Four-Thirds</v>
      </c>
      <c r="J1344" t="str">
        <f>getSensorCompatibility('RawData (GH)'!H1344)</f>
        <v>Four-Thirds</v>
      </c>
      <c r="K1344" s="45">
        <f>getWeightAsDouble('RawData (GH)'!I1344)</f>
        <v>475</v>
      </c>
      <c r="L1344" s="34">
        <f>getSizeDiameter('RawData (GH)'!J1344)</f>
        <v>50</v>
      </c>
      <c r="M1344" s="34">
        <f>getSizeLength('RawData (GH)'!J1344)</f>
        <v>74.599999999999994</v>
      </c>
    </row>
    <row r="1345" spans="1:13" x14ac:dyDescent="0.25">
      <c r="A1345" t="str">
        <f>'RawData (GH)'!A1345</f>
        <v>SLR Magic Hyper Prime 50mm 0.95 für Sony E schwarz</v>
      </c>
      <c r="B1345" s="5">
        <f>getFocalLengthStart('RawData (GH)'!B1345)</f>
        <v>50</v>
      </c>
      <c r="C1345" s="5">
        <f>getFocalLengthEnd('RawData (GH)'!B1345)</f>
        <v>50</v>
      </c>
      <c r="D1345" s="9">
        <f>getApertureStart('RawData (GH)'!C1345)</f>
        <v>0.95</v>
      </c>
      <c r="E1345" s="9">
        <f>getApertureEnd('RawData (GH)'!C1345)</f>
        <v>0.95</v>
      </c>
      <c r="F1345" s="2">
        <f>getFiltersizeAsDouble('RawData (GH)'!D1345)</f>
        <v>62</v>
      </c>
      <c r="G1345" s="35">
        <f>getMagnification('RawData (GH)'!E1345)</f>
        <v>0</v>
      </c>
      <c r="H1345" s="62">
        <f>getMinimalFocus('RawData (GH)'!F1345)</f>
        <v>0</v>
      </c>
      <c r="I1345" t="str">
        <f>getMount('RawData (GH)'!G1345)</f>
        <v>Sony E</v>
      </c>
      <c r="J1345" t="str">
        <f>getSensorCompatibility('RawData (GH)'!H1345)</f>
        <v>APS-C</v>
      </c>
      <c r="K1345" s="45">
        <f>getWeightAsDouble('RawData (GH)'!I1345)</f>
        <v>490</v>
      </c>
      <c r="L1345" s="34">
        <f>getSizeDiameter('RawData (GH)'!J1345)</f>
        <v>65</v>
      </c>
      <c r="M1345" s="34">
        <f>getSizeLength('RawData (GH)'!J1345)</f>
        <v>85</v>
      </c>
    </row>
    <row r="1346" spans="1:13" x14ac:dyDescent="0.25">
      <c r="A1346" t="str">
        <f>'RawData (GH)'!A1346</f>
        <v>SLR Magic Toy Lens 35mm 1.7 für Sony E schwarz</v>
      </c>
      <c r="B1346" s="5">
        <f>getFocalLengthStart('RawData (GH)'!B1346)</f>
        <v>35</v>
      </c>
      <c r="C1346" s="5">
        <f>getFocalLengthEnd('RawData (GH)'!B1346)</f>
        <v>35</v>
      </c>
      <c r="D1346" s="9">
        <f>getApertureStart('RawData (GH)'!C1346)</f>
        <v>1.7</v>
      </c>
      <c r="E1346" s="9">
        <f>getApertureEnd('RawData (GH)'!C1346)</f>
        <v>1.7</v>
      </c>
      <c r="F1346" s="2">
        <f>getFiltersizeAsDouble('RawData (GH)'!D1346)</f>
        <v>37</v>
      </c>
      <c r="G1346" s="35">
        <f>getMagnification('RawData (GH)'!E1346)</f>
        <v>0</v>
      </c>
      <c r="H1346" s="62">
        <f>getMinimalFocus('RawData (GH)'!F1346)</f>
        <v>0</v>
      </c>
      <c r="I1346" t="str">
        <f>getMount('RawData (GH)'!G1346)</f>
        <v>Sony E</v>
      </c>
      <c r="J1346" t="str">
        <f>getSensorCompatibility('RawData (GH)'!H1346)</f>
        <v>APS-C</v>
      </c>
      <c r="K1346" s="45">
        <f>getWeightAsDouble('RawData (GH)'!I1346)</f>
        <v>120</v>
      </c>
      <c r="L1346" s="34">
        <f>getSizeDiameter('RawData (GH)'!J1346)</f>
        <v>50</v>
      </c>
      <c r="M1346" s="34">
        <f>getSizeLength('RawData (GH)'!J1346)</f>
        <v>50</v>
      </c>
    </row>
    <row r="1347" spans="1:13" x14ac:dyDescent="0.25">
      <c r="A1347" t="str">
        <f>'RawData (GH)'!A1347</f>
        <v>Sony 100mm 2.8 Makro schwarz</v>
      </c>
      <c r="B1347" s="5">
        <f>getFocalLengthStart('RawData (GH)'!B1347)</f>
        <v>100</v>
      </c>
      <c r="C1347" s="5">
        <f>getFocalLengthEnd('RawData (GH)'!B1347)</f>
        <v>100</v>
      </c>
      <c r="D1347" s="9">
        <f>getApertureStart('RawData (GH)'!C1347)</f>
        <v>2.8</v>
      </c>
      <c r="E1347" s="9">
        <f>getApertureEnd('RawData (GH)'!C1347)</f>
        <v>2.8</v>
      </c>
      <c r="F1347" s="2">
        <f>getFiltersizeAsDouble('RawData (GH)'!D1347)</f>
        <v>55</v>
      </c>
      <c r="G1347" s="35">
        <f>getMagnification('RawData (GH)'!E1347)</f>
        <v>1</v>
      </c>
      <c r="H1347" s="62">
        <f>getMinimalFocus('RawData (GH)'!F1347)</f>
        <v>0</v>
      </c>
      <c r="I1347" t="str">
        <f>getMount('RawData (GH)'!G1347)</f>
        <v>Sony A</v>
      </c>
      <c r="J1347" t="str">
        <f>getSensorCompatibility('RawData (GH)'!H1347)</f>
        <v>APS-C/ Kleinbild</v>
      </c>
      <c r="K1347" s="45">
        <f>getWeightAsDouble('RawData (GH)'!I1347)</f>
        <v>505</v>
      </c>
      <c r="L1347" s="34">
        <f>getSizeDiameter('RawData (GH)'!J1347)</f>
        <v>75</v>
      </c>
      <c r="M1347" s="34">
        <f>getSizeLength('RawData (GH)'!J1347)</f>
        <v>99</v>
      </c>
    </row>
    <row r="1348" spans="1:13" x14ac:dyDescent="0.25">
      <c r="A1348" t="str">
        <f>'RawData (GH)'!A1348</f>
        <v>Sony 11-18mm 4.5-5.6 DT schwarz</v>
      </c>
      <c r="B1348" s="5">
        <f>getFocalLengthStart('RawData (GH)'!B1348)</f>
        <v>11</v>
      </c>
      <c r="C1348" s="5">
        <f>getFocalLengthEnd('RawData (GH)'!B1348)</f>
        <v>18</v>
      </c>
      <c r="D1348" s="9">
        <f>getApertureStart('RawData (GH)'!C1348)</f>
        <v>4.5</v>
      </c>
      <c r="E1348" s="9">
        <f>getApertureEnd('RawData (GH)'!C1348)</f>
        <v>5.6</v>
      </c>
      <c r="F1348" s="2">
        <f>getFiltersizeAsDouble('RawData (GH)'!D1348)</f>
        <v>77</v>
      </c>
      <c r="G1348" s="35">
        <f>getMagnification('RawData (GH)'!E1348)</f>
        <v>8</v>
      </c>
      <c r="H1348" s="62">
        <f>getMinimalFocus('RawData (GH)'!F1348)</f>
        <v>0</v>
      </c>
      <c r="I1348" t="str">
        <f>getMount('RawData (GH)'!G1348)</f>
        <v>Sony A</v>
      </c>
      <c r="J1348" t="str">
        <f>getSensorCompatibility('RawData (GH)'!H1348)</f>
        <v>APS-C</v>
      </c>
      <c r="K1348" s="45">
        <f>getWeightAsDouble('RawData (GH)'!I1348)</f>
        <v>360</v>
      </c>
      <c r="L1348" s="34">
        <f>getSizeDiameter('RawData (GH)'!J1348)</f>
        <v>83</v>
      </c>
      <c r="M1348" s="34">
        <f>getSizeLength('RawData (GH)'!J1348)</f>
        <v>81</v>
      </c>
    </row>
    <row r="1349" spans="1:13" x14ac:dyDescent="0.25">
      <c r="A1349" t="str">
        <f>'RawData (GH)'!A1349</f>
        <v>Sony 135mm 1.8 schwarz</v>
      </c>
      <c r="B1349" s="5">
        <f>getFocalLengthStart('RawData (GH)'!B1349)</f>
        <v>135</v>
      </c>
      <c r="C1349" s="5">
        <f>getFocalLengthEnd('RawData (GH)'!B1349)</f>
        <v>135</v>
      </c>
      <c r="D1349" s="9">
        <f>getApertureStart('RawData (GH)'!C1349)</f>
        <v>1.8</v>
      </c>
      <c r="E1349" s="9">
        <f>getApertureEnd('RawData (GH)'!C1349)</f>
        <v>1.8</v>
      </c>
      <c r="F1349" s="2">
        <f>getFiltersizeAsDouble('RawData (GH)'!D1349)</f>
        <v>77</v>
      </c>
      <c r="G1349" s="35">
        <f>getMagnification('RawData (GH)'!E1349)</f>
        <v>4</v>
      </c>
      <c r="H1349" s="62">
        <f>getMinimalFocus('RawData (GH)'!F1349)</f>
        <v>0</v>
      </c>
      <c r="I1349" t="str">
        <f>getMount('RawData (GH)'!G1349)</f>
        <v>Sony A</v>
      </c>
      <c r="J1349" t="str">
        <f>getSensorCompatibility('RawData (GH)'!H1349)</f>
        <v>APS-C/ Kleinbild</v>
      </c>
      <c r="K1349" s="45">
        <f>getWeightAsDouble('RawData (GH)'!I1349)</f>
        <v>1050</v>
      </c>
      <c r="L1349" s="34">
        <f>getSizeDiameter('RawData (GH)'!J1349)</f>
        <v>89</v>
      </c>
      <c r="M1349" s="34">
        <f>getSizeLength('RawData (GH)'!J1349)</f>
        <v>115</v>
      </c>
    </row>
    <row r="1350" spans="1:13" x14ac:dyDescent="0.25">
      <c r="A1350" t="str">
        <f>'RawData (GH)'!A1350</f>
        <v>Sony 135mm 2.8 STF schwarz</v>
      </c>
      <c r="B1350" s="5">
        <f>getFocalLengthStart('RawData (GH)'!B1350)</f>
        <v>135</v>
      </c>
      <c r="C1350" s="5">
        <f>getFocalLengthEnd('RawData (GH)'!B1350)</f>
        <v>135</v>
      </c>
      <c r="D1350" s="9">
        <f>getApertureStart('RawData (GH)'!C1350)</f>
        <v>2.8</v>
      </c>
      <c r="E1350" s="9">
        <f>getApertureEnd('RawData (GH)'!C1350)</f>
        <v>2.8</v>
      </c>
      <c r="F1350" s="2">
        <f>getFiltersizeAsDouble('RawData (GH)'!D1350)</f>
        <v>72</v>
      </c>
      <c r="G1350" s="35">
        <f>getMagnification('RawData (GH)'!E1350)</f>
        <v>4</v>
      </c>
      <c r="H1350" s="62">
        <f>getMinimalFocus('RawData (GH)'!F1350)</f>
        <v>0</v>
      </c>
      <c r="I1350" t="str">
        <f>getMount('RawData (GH)'!G1350)</f>
        <v>Sony A</v>
      </c>
      <c r="J1350" t="str">
        <f>getSensorCompatibility('RawData (GH)'!H1350)</f>
        <v>APS-C/ Kleinbild</v>
      </c>
      <c r="K1350" s="45">
        <f>getWeightAsDouble('RawData (GH)'!I1350)</f>
        <v>730</v>
      </c>
      <c r="L1350" s="34">
        <f>getSizeDiameter('RawData (GH)'!J1350)</f>
        <v>80</v>
      </c>
      <c r="M1350" s="34">
        <f>getSizeLength('RawData (GH)'!J1350)</f>
        <v>99</v>
      </c>
    </row>
    <row r="1351" spans="1:13" x14ac:dyDescent="0.25">
      <c r="A1351" t="str">
        <f>'RawData (GH)'!A1351</f>
        <v>Sony 16-105mm 3.5-5.6 DT schwarz</v>
      </c>
      <c r="B1351" s="5">
        <f>getFocalLengthStart('RawData (GH)'!B1351)</f>
        <v>16</v>
      </c>
      <c r="C1351" s="5">
        <f>getFocalLengthEnd('RawData (GH)'!B1351)</f>
        <v>105</v>
      </c>
      <c r="D1351" s="9">
        <f>getApertureStart('RawData (GH)'!C1351)</f>
        <v>3.5</v>
      </c>
      <c r="E1351" s="9">
        <f>getApertureEnd('RawData (GH)'!C1351)</f>
        <v>5.6</v>
      </c>
      <c r="F1351" s="2">
        <f>getFiltersizeAsDouble('RawData (GH)'!D1351)</f>
        <v>62</v>
      </c>
      <c r="G1351" s="35">
        <f>getMagnification('RawData (GH)'!E1351)</f>
        <v>4.3499999999999996</v>
      </c>
      <c r="H1351" s="62">
        <f>getMinimalFocus('RawData (GH)'!F1351)</f>
        <v>0</v>
      </c>
      <c r="I1351" t="str">
        <f>getMount('RawData (GH)'!G1351)</f>
        <v>Sony A</v>
      </c>
      <c r="J1351" t="str">
        <f>getSensorCompatibility('RawData (GH)'!H1351)</f>
        <v>APS-C</v>
      </c>
      <c r="K1351" s="45">
        <f>getWeightAsDouble('RawData (GH)'!I1351)</f>
        <v>470</v>
      </c>
      <c r="L1351" s="34">
        <f>getSizeDiameter('RawData (GH)'!J1351)</f>
        <v>72</v>
      </c>
      <c r="M1351" s="34">
        <f>getSizeLength('RawData (GH)'!J1351)</f>
        <v>83</v>
      </c>
    </row>
    <row r="1352" spans="1:13" x14ac:dyDescent="0.25">
      <c r="A1352" t="str">
        <f>'RawData (GH)'!A1352</f>
        <v>Sony 16-35mm 2.8 schwarz</v>
      </c>
      <c r="B1352" s="5">
        <f>getFocalLengthStart('RawData (GH)'!B1352)</f>
        <v>16</v>
      </c>
      <c r="C1352" s="5">
        <f>getFocalLengthEnd('RawData (GH)'!B1352)</f>
        <v>35</v>
      </c>
      <c r="D1352" s="9">
        <f>getApertureStart('RawData (GH)'!C1352)</f>
        <v>2.8</v>
      </c>
      <c r="E1352" s="9">
        <f>getApertureEnd('RawData (GH)'!C1352)</f>
        <v>2.8</v>
      </c>
      <c r="F1352" s="2">
        <f>getFiltersizeAsDouble('RawData (GH)'!D1352)</f>
        <v>77</v>
      </c>
      <c r="G1352" s="35">
        <f>getMagnification('RawData (GH)'!E1352)</f>
        <v>4.17</v>
      </c>
      <c r="H1352" s="62">
        <f>getMinimalFocus('RawData (GH)'!F1352)</f>
        <v>0</v>
      </c>
      <c r="I1352" t="str">
        <f>getMount('RawData (GH)'!G1352)</f>
        <v>Sony A</v>
      </c>
      <c r="J1352" t="str">
        <f>getSensorCompatibility('RawData (GH)'!H1352)</f>
        <v>APS-C/ Kleinbild</v>
      </c>
      <c r="K1352" s="45">
        <f>getWeightAsDouble('RawData (GH)'!I1352)</f>
        <v>900</v>
      </c>
      <c r="L1352" s="34">
        <f>getSizeDiameter('RawData (GH)'!J1352)</f>
        <v>83</v>
      </c>
      <c r="M1352" s="34">
        <f>getSizeLength('RawData (GH)'!J1352)</f>
        <v>114</v>
      </c>
    </row>
    <row r="1353" spans="1:13" x14ac:dyDescent="0.25">
      <c r="A1353" t="str">
        <f>'RawData (GH)'!A1353</f>
        <v>Sony 16-35mm 2.8 ZA SSM II schwarz</v>
      </c>
      <c r="B1353" s="5">
        <f>getFocalLengthStart('RawData (GH)'!B1353)</f>
        <v>16</v>
      </c>
      <c r="C1353" s="5">
        <f>getFocalLengthEnd('RawData (GH)'!B1353)</f>
        <v>35</v>
      </c>
      <c r="D1353" s="9">
        <f>getApertureStart('RawData (GH)'!C1353)</f>
        <v>2.8</v>
      </c>
      <c r="E1353" s="9">
        <f>getApertureEnd('RawData (GH)'!C1353)</f>
        <v>2.8</v>
      </c>
      <c r="F1353" s="2">
        <f>getFiltersizeAsDouble('RawData (GH)'!D1353)</f>
        <v>77</v>
      </c>
      <c r="G1353" s="35">
        <f>getMagnification('RawData (GH)'!E1353)</f>
        <v>4.17</v>
      </c>
      <c r="H1353" s="62">
        <f>getMinimalFocus('RawData (GH)'!F1353)</f>
        <v>0</v>
      </c>
      <c r="I1353" t="str">
        <f>getMount('RawData (GH)'!G1353)</f>
        <v>Sony A</v>
      </c>
      <c r="J1353" t="str">
        <f>getSensorCompatibility('RawData (GH)'!H1353)</f>
        <v>APS-C/ Kleinbild</v>
      </c>
      <c r="K1353" s="45">
        <f>getWeightAsDouble('RawData (GH)'!I1353)</f>
        <v>872</v>
      </c>
      <c r="L1353" s="34">
        <f>getSizeDiameter('RawData (GH)'!J1353)</f>
        <v>83</v>
      </c>
      <c r="M1353" s="34">
        <f>getSizeLength('RawData (GH)'!J1353)</f>
        <v>114</v>
      </c>
    </row>
    <row r="1354" spans="1:13" x14ac:dyDescent="0.25">
      <c r="A1354" t="str">
        <f>'RawData (GH)'!A1354</f>
        <v>Sony 16-50mm 2.8 DT SSM schwarz</v>
      </c>
      <c r="B1354" s="5">
        <f>getFocalLengthStart('RawData (GH)'!B1354)</f>
        <v>16</v>
      </c>
      <c r="C1354" s="5">
        <f>getFocalLengthEnd('RawData (GH)'!B1354)</f>
        <v>50</v>
      </c>
      <c r="D1354" s="9">
        <f>getApertureStart('RawData (GH)'!C1354)</f>
        <v>2.8</v>
      </c>
      <c r="E1354" s="9">
        <f>getApertureEnd('RawData (GH)'!C1354)</f>
        <v>2.8</v>
      </c>
      <c r="F1354" s="2">
        <f>getFiltersizeAsDouble('RawData (GH)'!D1354)</f>
        <v>72</v>
      </c>
      <c r="G1354" s="35">
        <f>getMagnification('RawData (GH)'!E1354)</f>
        <v>5</v>
      </c>
      <c r="H1354" s="62">
        <f>getMinimalFocus('RawData (GH)'!F1354)</f>
        <v>0</v>
      </c>
      <c r="I1354" t="str">
        <f>getMount('RawData (GH)'!G1354)</f>
        <v>Sony A</v>
      </c>
      <c r="J1354" t="str">
        <f>getSensorCompatibility('RawData (GH)'!H1354)</f>
        <v>APS-C</v>
      </c>
      <c r="K1354" s="45">
        <f>getWeightAsDouble('RawData (GH)'!I1354)</f>
        <v>577</v>
      </c>
      <c r="L1354" s="34">
        <f>getSizeDiameter('RawData (GH)'!J1354)</f>
        <v>81</v>
      </c>
      <c r="M1354" s="34">
        <f>getSizeLength('RawData (GH)'!J1354)</f>
        <v>88</v>
      </c>
    </row>
    <row r="1355" spans="1:13" x14ac:dyDescent="0.25">
      <c r="A1355" t="str">
        <f>'RawData (GH)'!A1355</f>
        <v>Sony 16-80mm 3.5-4.5 DT schwarz</v>
      </c>
      <c r="B1355" s="5">
        <f>getFocalLengthStart('RawData (GH)'!B1355)</f>
        <v>16</v>
      </c>
      <c r="C1355" s="5">
        <f>getFocalLengthEnd('RawData (GH)'!B1355)</f>
        <v>80</v>
      </c>
      <c r="D1355" s="9">
        <f>getApertureStart('RawData (GH)'!C1355)</f>
        <v>3.5</v>
      </c>
      <c r="E1355" s="9">
        <f>getApertureEnd('RawData (GH)'!C1355)</f>
        <v>4.5</v>
      </c>
      <c r="F1355" s="2">
        <f>getFiltersizeAsDouble('RawData (GH)'!D1355)</f>
        <v>62</v>
      </c>
      <c r="G1355" s="35">
        <f>getMagnification('RawData (GH)'!E1355)</f>
        <v>4.17</v>
      </c>
      <c r="H1355" s="62">
        <f>getMinimalFocus('RawData (GH)'!F1355)</f>
        <v>0</v>
      </c>
      <c r="I1355" t="str">
        <f>getMount('RawData (GH)'!G1355)</f>
        <v>Sony A</v>
      </c>
      <c r="J1355" t="str">
        <f>getSensorCompatibility('RawData (GH)'!H1355)</f>
        <v>APS-C</v>
      </c>
      <c r="K1355" s="45">
        <f>getWeightAsDouble('RawData (GH)'!I1355)</f>
        <v>440</v>
      </c>
      <c r="L1355" s="34">
        <f>getSizeDiameter('RawData (GH)'!J1355)</f>
        <v>72</v>
      </c>
      <c r="M1355" s="34">
        <f>getSizeLength('RawData (GH)'!J1355)</f>
        <v>83</v>
      </c>
    </row>
    <row r="1356" spans="1:13" x14ac:dyDescent="0.25">
      <c r="A1356" t="str">
        <f>'RawData (GH)'!A1356</f>
        <v>Sony 16mm 2.8 Fisheye schwarz</v>
      </c>
      <c r="B1356" s="5">
        <f>getFocalLengthStart('RawData (GH)'!B1356)</f>
        <v>16</v>
      </c>
      <c r="C1356" s="5">
        <f>getFocalLengthEnd('RawData (GH)'!B1356)</f>
        <v>16</v>
      </c>
      <c r="D1356" s="9">
        <f>getApertureStart('RawData (GH)'!C1356)</f>
        <v>2.8</v>
      </c>
      <c r="E1356" s="9">
        <f>getApertureEnd('RawData (GH)'!C1356)</f>
        <v>2.8</v>
      </c>
      <c r="F1356" s="2">
        <f>getFiltersizeAsDouble('RawData (GH)'!D1356)</f>
        <v>0</v>
      </c>
      <c r="G1356" s="35">
        <f>getMagnification('RawData (GH)'!E1356)</f>
        <v>6.67</v>
      </c>
      <c r="H1356" s="62">
        <f>getMinimalFocus('RawData (GH)'!F1356)</f>
        <v>0</v>
      </c>
      <c r="I1356" t="str">
        <f>getMount('RawData (GH)'!G1356)</f>
        <v>Sony A</v>
      </c>
      <c r="J1356" t="str">
        <f>getSensorCompatibility('RawData (GH)'!H1356)</f>
        <v>APS-C/ Kleinbild</v>
      </c>
      <c r="K1356" s="45">
        <f>getWeightAsDouble('RawData (GH)'!I1356)</f>
        <v>400</v>
      </c>
      <c r="L1356" s="34">
        <f>getSizeDiameter('RawData (GH)'!J1356)</f>
        <v>75</v>
      </c>
      <c r="M1356" s="34">
        <f>getSizeLength('RawData (GH)'!J1356)</f>
        <v>67</v>
      </c>
    </row>
    <row r="1357" spans="1:13" x14ac:dyDescent="0.25">
      <c r="A1357" t="str">
        <f>'RawData (GH)'!A1357</f>
        <v>Sony 18-135mm 3.5-5.6 DT SAM schwarz</v>
      </c>
      <c r="B1357" s="5">
        <f>getFocalLengthStart('RawData (GH)'!B1357)</f>
        <v>18</v>
      </c>
      <c r="C1357" s="5">
        <f>getFocalLengthEnd('RawData (GH)'!B1357)</f>
        <v>135</v>
      </c>
      <c r="D1357" s="9">
        <f>getApertureStart('RawData (GH)'!C1357)</f>
        <v>3.5</v>
      </c>
      <c r="E1357" s="9">
        <f>getApertureEnd('RawData (GH)'!C1357)</f>
        <v>5.6</v>
      </c>
      <c r="F1357" s="2">
        <f>getFiltersizeAsDouble('RawData (GH)'!D1357)</f>
        <v>62</v>
      </c>
      <c r="G1357" s="35">
        <f>getMagnification('RawData (GH)'!E1357)</f>
        <v>4</v>
      </c>
      <c r="H1357" s="62">
        <f>getMinimalFocus('RawData (GH)'!F1357)</f>
        <v>0</v>
      </c>
      <c r="I1357" t="str">
        <f>getMount('RawData (GH)'!G1357)</f>
        <v>Sony A</v>
      </c>
      <c r="J1357" t="str">
        <f>getSensorCompatibility('RawData (GH)'!H1357)</f>
        <v>APS-C</v>
      </c>
      <c r="K1357" s="45">
        <f>getWeightAsDouble('RawData (GH)'!I1357)</f>
        <v>398</v>
      </c>
      <c r="L1357" s="34">
        <f>getSizeDiameter('RawData (GH)'!J1357)</f>
        <v>76</v>
      </c>
      <c r="M1357" s="34">
        <f>getSizeLength('RawData (GH)'!J1357)</f>
        <v>86</v>
      </c>
    </row>
    <row r="1358" spans="1:13" x14ac:dyDescent="0.25">
      <c r="A1358" t="str">
        <f>'RawData (GH)'!A1358</f>
        <v>Sony 18-200mm 3.5-6.3 DT schwarz</v>
      </c>
      <c r="B1358" s="5">
        <f>getFocalLengthStart('RawData (GH)'!B1358)</f>
        <v>18</v>
      </c>
      <c r="C1358" s="5">
        <f>getFocalLengthEnd('RawData (GH)'!B1358)</f>
        <v>200</v>
      </c>
      <c r="D1358" s="9">
        <f>getApertureStart('RawData (GH)'!C1358)</f>
        <v>3.5</v>
      </c>
      <c r="E1358" s="9">
        <f>getApertureEnd('RawData (GH)'!C1358)</f>
        <v>6.3</v>
      </c>
      <c r="F1358" s="2">
        <f>getFiltersizeAsDouble('RawData (GH)'!D1358)</f>
        <v>62</v>
      </c>
      <c r="G1358" s="35">
        <f>getMagnification('RawData (GH)'!E1358)</f>
        <v>3.7</v>
      </c>
      <c r="H1358" s="62">
        <f>getMinimalFocus('RawData (GH)'!F1358)</f>
        <v>0</v>
      </c>
      <c r="I1358" t="str">
        <f>getMount('RawData (GH)'!G1358)</f>
        <v>Sony A</v>
      </c>
      <c r="J1358" t="str">
        <f>getSensorCompatibility('RawData (GH)'!H1358)</f>
        <v>APS-C</v>
      </c>
      <c r="K1358" s="45">
        <f>getWeightAsDouble('RawData (GH)'!I1358)</f>
        <v>405</v>
      </c>
      <c r="L1358" s="34">
        <f>getSizeDiameter('RawData (GH)'!J1358)</f>
        <v>73</v>
      </c>
      <c r="M1358" s="34">
        <f>getSizeLength('RawData (GH)'!J1358)</f>
        <v>86</v>
      </c>
    </row>
    <row r="1359" spans="1:13" x14ac:dyDescent="0.25">
      <c r="A1359" t="str">
        <f>'RawData (GH)'!A1359</f>
        <v>Sony 18-250mm 3.5-6.3 DT schwarz</v>
      </c>
      <c r="B1359" s="5">
        <f>getFocalLengthStart('RawData (GH)'!B1359)</f>
        <v>18</v>
      </c>
      <c r="C1359" s="5">
        <f>getFocalLengthEnd('RawData (GH)'!B1359)</f>
        <v>250</v>
      </c>
      <c r="D1359" s="9">
        <f>getApertureStart('RawData (GH)'!C1359)</f>
        <v>3.5</v>
      </c>
      <c r="E1359" s="9">
        <f>getApertureEnd('RawData (GH)'!C1359)</f>
        <v>6.3</v>
      </c>
      <c r="F1359" s="2">
        <f>getFiltersizeAsDouble('RawData (GH)'!D1359)</f>
        <v>62</v>
      </c>
      <c r="G1359" s="35">
        <f>getMagnification('RawData (GH)'!E1359)</f>
        <v>3.45</v>
      </c>
      <c r="H1359" s="62">
        <f>getMinimalFocus('RawData (GH)'!F1359)</f>
        <v>0</v>
      </c>
      <c r="I1359" t="str">
        <f>getMount('RawData (GH)'!G1359)</f>
        <v>Sony A</v>
      </c>
      <c r="J1359" t="str">
        <f>getSensorCompatibility('RawData (GH)'!H1359)</f>
        <v>APS-C</v>
      </c>
      <c r="K1359" s="45">
        <f>getWeightAsDouble('RawData (GH)'!I1359)</f>
        <v>440</v>
      </c>
      <c r="L1359" s="34">
        <f>getSizeDiameter('RawData (GH)'!J1359)</f>
        <v>75</v>
      </c>
      <c r="M1359" s="34">
        <f>getSizeLength('RawData (GH)'!J1359)</f>
        <v>86</v>
      </c>
    </row>
    <row r="1360" spans="1:13" x14ac:dyDescent="0.25">
      <c r="A1360" t="str">
        <f>'RawData (GH)'!A1360</f>
        <v>Sony 18-55mm 3.5-5.6 DT SAM schwarz</v>
      </c>
      <c r="B1360" s="5">
        <f>getFocalLengthStart('RawData (GH)'!B1360)</f>
        <v>18</v>
      </c>
      <c r="C1360" s="5">
        <f>getFocalLengthEnd('RawData (GH)'!B1360)</f>
        <v>55</v>
      </c>
      <c r="D1360" s="9">
        <f>getApertureStart('RawData (GH)'!C1360)</f>
        <v>3.5</v>
      </c>
      <c r="E1360" s="9">
        <f>getApertureEnd('RawData (GH)'!C1360)</f>
        <v>5.6</v>
      </c>
      <c r="F1360" s="2">
        <f>getFiltersizeAsDouble('RawData (GH)'!D1360)</f>
        <v>55</v>
      </c>
      <c r="G1360" s="35">
        <f>getMagnification('RawData (GH)'!E1360)</f>
        <v>2.94</v>
      </c>
      <c r="H1360" s="62">
        <f>getMinimalFocus('RawData (GH)'!F1360)</f>
        <v>0</v>
      </c>
      <c r="I1360" t="str">
        <f>getMount('RawData (GH)'!G1360)</f>
        <v>Sony A</v>
      </c>
      <c r="J1360" t="str">
        <f>getSensorCompatibility('RawData (GH)'!H1360)</f>
        <v>APS-C</v>
      </c>
      <c r="K1360" s="45">
        <f>getWeightAsDouble('RawData (GH)'!I1360)</f>
        <v>210</v>
      </c>
      <c r="L1360" s="34">
        <f>getSizeDiameter('RawData (GH)'!J1360)</f>
        <v>69.5</v>
      </c>
      <c r="M1360" s="34">
        <f>getSizeLength('RawData (GH)'!J1360)</f>
        <v>69</v>
      </c>
    </row>
    <row r="1361" spans="1:13" x14ac:dyDescent="0.25">
      <c r="A1361" t="str">
        <f>'RawData (GH)'!A1361</f>
        <v>Sony 18-55mm 3.5-5.6 DT SAMII schwarz</v>
      </c>
      <c r="B1361" s="5">
        <f>getFocalLengthStart('RawData (GH)'!B1361)</f>
        <v>18</v>
      </c>
      <c r="C1361" s="5">
        <f>getFocalLengthEnd('RawData (GH)'!B1361)</f>
        <v>55</v>
      </c>
      <c r="D1361" s="9">
        <f>getApertureStart('RawData (GH)'!C1361)</f>
        <v>3.5</v>
      </c>
      <c r="E1361" s="9">
        <f>getApertureEnd('RawData (GH)'!C1361)</f>
        <v>5.6</v>
      </c>
      <c r="F1361" s="2">
        <f>getFiltersizeAsDouble('RawData (GH)'!D1361)</f>
        <v>55</v>
      </c>
      <c r="G1361" s="35">
        <f>getMagnification('RawData (GH)'!E1361)</f>
        <v>2.94</v>
      </c>
      <c r="H1361" s="62">
        <f>getMinimalFocus('RawData (GH)'!F1361)</f>
        <v>0</v>
      </c>
      <c r="I1361" t="str">
        <f>getMount('RawData (GH)'!G1361)</f>
        <v>Sony A</v>
      </c>
      <c r="J1361" t="str">
        <f>getSensorCompatibility('RawData (GH)'!H1361)</f>
        <v>APS-C</v>
      </c>
      <c r="K1361" s="45">
        <f>getWeightAsDouble('RawData (GH)'!I1361)</f>
        <v>222</v>
      </c>
      <c r="L1361" s="34">
        <f>getSizeDiameter('RawData (GH)'!J1361)</f>
        <v>69.5</v>
      </c>
      <c r="M1361" s="34">
        <f>getSizeLength('RawData (GH)'!J1361)</f>
        <v>69</v>
      </c>
    </row>
    <row r="1362" spans="1:13" x14ac:dyDescent="0.25">
      <c r="A1362" t="str">
        <f>'RawData (GH)'!A1362</f>
        <v>Sony 18-55mm 3.5-5.6 DT SAMIII schwarz</v>
      </c>
      <c r="B1362" s="5">
        <f>getFocalLengthStart('RawData (GH)'!B1362)</f>
        <v>18</v>
      </c>
      <c r="C1362" s="5">
        <f>getFocalLengthEnd('RawData (GH)'!B1362)</f>
        <v>55</v>
      </c>
      <c r="D1362" s="9">
        <f>getApertureStart('RawData (GH)'!C1362)</f>
        <v>3.5</v>
      </c>
      <c r="E1362" s="9">
        <f>getApertureEnd('RawData (GH)'!C1362)</f>
        <v>5.6</v>
      </c>
      <c r="F1362" s="2">
        <f>getFiltersizeAsDouble('RawData (GH)'!D1362)</f>
        <v>55</v>
      </c>
      <c r="G1362" s="35">
        <f>getMagnification('RawData (GH)'!E1362)</f>
        <v>2.94</v>
      </c>
      <c r="H1362" s="62">
        <f>getMinimalFocus('RawData (GH)'!F1362)</f>
        <v>0</v>
      </c>
      <c r="I1362" t="str">
        <f>getMount('RawData (GH)'!G1362)</f>
        <v>Sony A</v>
      </c>
      <c r="J1362" t="str">
        <f>getSensorCompatibility('RawData (GH)'!H1362)</f>
        <v>APS-C</v>
      </c>
      <c r="K1362" s="45">
        <f>getWeightAsDouble('RawData (GH)'!I1362)</f>
        <v>222</v>
      </c>
      <c r="L1362" s="34">
        <f>getSizeDiameter('RawData (GH)'!J1362)</f>
        <v>69.5</v>
      </c>
      <c r="M1362" s="34">
        <f>getSizeLength('RawData (GH)'!J1362)</f>
        <v>69</v>
      </c>
    </row>
    <row r="1363" spans="1:13" x14ac:dyDescent="0.25">
      <c r="A1363" t="str">
        <f>'RawData (GH)'!A1363</f>
        <v>Sony 20mm 2.8 schwarz</v>
      </c>
      <c r="B1363" s="5">
        <f>getFocalLengthStart('RawData (GH)'!B1363)</f>
        <v>20</v>
      </c>
      <c r="C1363" s="5">
        <f>getFocalLengthEnd('RawData (GH)'!B1363)</f>
        <v>20</v>
      </c>
      <c r="D1363" s="9">
        <f>getApertureStart('RawData (GH)'!C1363)</f>
        <v>2.8</v>
      </c>
      <c r="E1363" s="9">
        <f>getApertureEnd('RawData (GH)'!C1363)</f>
        <v>2.8</v>
      </c>
      <c r="F1363" s="2">
        <f>getFiltersizeAsDouble('RawData (GH)'!D1363)</f>
        <v>72</v>
      </c>
      <c r="G1363" s="35">
        <f>getMagnification('RawData (GH)'!E1363)</f>
        <v>7.69</v>
      </c>
      <c r="H1363" s="62">
        <f>getMinimalFocus('RawData (GH)'!F1363)</f>
        <v>0</v>
      </c>
      <c r="I1363" t="str">
        <f>getMount('RawData (GH)'!G1363)</f>
        <v>Sony A</v>
      </c>
      <c r="J1363" t="str">
        <f>getSensorCompatibility('RawData (GH)'!H1363)</f>
        <v>APS-C/ Kleinbild</v>
      </c>
      <c r="K1363" s="45">
        <f>getWeightAsDouble('RawData (GH)'!I1363)</f>
        <v>285</v>
      </c>
      <c r="L1363" s="34">
        <f>getSizeDiameter('RawData (GH)'!J1363)</f>
        <v>78</v>
      </c>
      <c r="M1363" s="34">
        <f>getSizeLength('RawData (GH)'!J1363)</f>
        <v>54</v>
      </c>
    </row>
    <row r="1364" spans="1:13" x14ac:dyDescent="0.25">
      <c r="A1364" t="str">
        <f>'RawData (GH)'!A1364</f>
        <v>Sony 24-70mm 2.8 schwarz</v>
      </c>
      <c r="B1364" s="5">
        <f>getFocalLengthStart('RawData (GH)'!B1364)</f>
        <v>24</v>
      </c>
      <c r="C1364" s="5">
        <f>getFocalLengthEnd('RawData (GH)'!B1364)</f>
        <v>70</v>
      </c>
      <c r="D1364" s="9">
        <f>getApertureStart('RawData (GH)'!C1364)</f>
        <v>2.8</v>
      </c>
      <c r="E1364" s="9">
        <f>getApertureEnd('RawData (GH)'!C1364)</f>
        <v>2.8</v>
      </c>
      <c r="F1364" s="2">
        <f>getFiltersizeAsDouble('RawData (GH)'!D1364)</f>
        <v>77</v>
      </c>
      <c r="G1364" s="35">
        <f>getMagnification('RawData (GH)'!E1364)</f>
        <v>4</v>
      </c>
      <c r="H1364" s="62">
        <f>getMinimalFocus('RawData (GH)'!F1364)</f>
        <v>0</v>
      </c>
      <c r="I1364" t="str">
        <f>getMount('RawData (GH)'!G1364)</f>
        <v>Sony A</v>
      </c>
      <c r="J1364" t="str">
        <f>getSensorCompatibility('RawData (GH)'!H1364)</f>
        <v>APS-C/ Kleinbild</v>
      </c>
      <c r="K1364" s="45">
        <f>getWeightAsDouble('RawData (GH)'!I1364)</f>
        <v>955</v>
      </c>
      <c r="L1364" s="34">
        <f>getSizeDiameter('RawData (GH)'!J1364)</f>
        <v>83</v>
      </c>
      <c r="M1364" s="34">
        <f>getSizeLength('RawData (GH)'!J1364)</f>
        <v>111</v>
      </c>
    </row>
    <row r="1365" spans="1:13" x14ac:dyDescent="0.25">
      <c r="A1365" t="str">
        <f>'RawData (GH)'!A1365</f>
        <v>Sony 24-70mm 2.8 ZA SSM II schwarz</v>
      </c>
      <c r="B1365" s="5">
        <f>getFocalLengthStart('RawData (GH)'!B1365)</f>
        <v>24</v>
      </c>
      <c r="C1365" s="5">
        <f>getFocalLengthEnd('RawData (GH)'!B1365)</f>
        <v>70</v>
      </c>
      <c r="D1365" s="9">
        <f>getApertureStart('RawData (GH)'!C1365)</f>
        <v>2.8</v>
      </c>
      <c r="E1365" s="9">
        <f>getApertureEnd('RawData (GH)'!C1365)</f>
        <v>2.8</v>
      </c>
      <c r="F1365" s="2">
        <f>getFiltersizeAsDouble('RawData (GH)'!D1365)</f>
        <v>77</v>
      </c>
      <c r="G1365" s="35">
        <f>getMagnification('RawData (GH)'!E1365)</f>
        <v>4</v>
      </c>
      <c r="H1365" s="62">
        <f>getMinimalFocus('RawData (GH)'!F1365)</f>
        <v>0</v>
      </c>
      <c r="I1365" t="str">
        <f>getMount('RawData (GH)'!G1365)</f>
        <v>Sony A</v>
      </c>
      <c r="J1365" t="str">
        <f>getSensorCompatibility('RawData (GH)'!H1365)</f>
        <v>APS-C/ Kleinbild</v>
      </c>
      <c r="K1365" s="45">
        <f>getWeightAsDouble('RawData (GH)'!I1365)</f>
        <v>974</v>
      </c>
      <c r="L1365" s="34">
        <f>getSizeDiameter('RawData (GH)'!J1365)</f>
        <v>83</v>
      </c>
      <c r="M1365" s="34">
        <f>getSizeLength('RawData (GH)'!J1365)</f>
        <v>111</v>
      </c>
    </row>
    <row r="1366" spans="1:13" x14ac:dyDescent="0.25">
      <c r="A1366" t="str">
        <f>'RawData (GH)'!A1366</f>
        <v>Sony 24mm 2.0 SSM schwarz</v>
      </c>
      <c r="B1366" s="5">
        <f>getFocalLengthStart('RawData (GH)'!B1366)</f>
        <v>24</v>
      </c>
      <c r="C1366" s="5">
        <f>getFocalLengthEnd('RawData (GH)'!B1366)</f>
        <v>24</v>
      </c>
      <c r="D1366" s="9">
        <f>getApertureStart('RawData (GH)'!C1366)</f>
        <v>2</v>
      </c>
      <c r="E1366" s="9">
        <f>getApertureEnd('RawData (GH)'!C1366)</f>
        <v>2</v>
      </c>
      <c r="F1366" s="2">
        <f>getFiltersizeAsDouble('RawData (GH)'!D1366)</f>
        <v>72</v>
      </c>
      <c r="G1366" s="35">
        <f>getMagnification('RawData (GH)'!E1366)</f>
        <v>3.45</v>
      </c>
      <c r="H1366" s="62">
        <f>getMinimalFocus('RawData (GH)'!F1366)</f>
        <v>0</v>
      </c>
      <c r="I1366" t="str">
        <f>getMount('RawData (GH)'!G1366)</f>
        <v>Sony A</v>
      </c>
      <c r="J1366" t="str">
        <f>getSensorCompatibility('RawData (GH)'!H1366)</f>
        <v>APS-C/ Kleinbild</v>
      </c>
      <c r="K1366" s="45">
        <f>getWeightAsDouble('RawData (GH)'!I1366)</f>
        <v>555</v>
      </c>
      <c r="L1366" s="34">
        <f>getSizeDiameter('RawData (GH)'!J1366)</f>
        <v>78</v>
      </c>
      <c r="M1366" s="34">
        <f>getSizeLength('RawData (GH)'!J1366)</f>
        <v>76</v>
      </c>
    </row>
    <row r="1367" spans="1:13" x14ac:dyDescent="0.25">
      <c r="A1367" t="str">
        <f>'RawData (GH)'!A1367</f>
        <v>Sony 28-75mm 2.8 SAM schwarz</v>
      </c>
      <c r="B1367" s="5">
        <f>getFocalLengthStart('RawData (GH)'!B1367)</f>
        <v>28</v>
      </c>
      <c r="C1367" s="5">
        <f>getFocalLengthEnd('RawData (GH)'!B1367)</f>
        <v>75</v>
      </c>
      <c r="D1367" s="9">
        <f>getApertureStart('RawData (GH)'!C1367)</f>
        <v>2.8</v>
      </c>
      <c r="E1367" s="9">
        <f>getApertureEnd('RawData (GH)'!C1367)</f>
        <v>2.8</v>
      </c>
      <c r="F1367" s="2">
        <f>getFiltersizeAsDouble('RawData (GH)'!D1367)</f>
        <v>67</v>
      </c>
      <c r="G1367" s="35">
        <f>getMagnification('RawData (GH)'!E1367)</f>
        <v>4.55</v>
      </c>
      <c r="H1367" s="62">
        <f>getMinimalFocus('RawData (GH)'!F1367)</f>
        <v>0</v>
      </c>
      <c r="I1367" t="str">
        <f>getMount('RawData (GH)'!G1367)</f>
        <v>Sony A</v>
      </c>
      <c r="J1367" t="str">
        <f>getSensorCompatibility('RawData (GH)'!H1367)</f>
        <v>APS-C/ Kleinbild</v>
      </c>
      <c r="K1367" s="45">
        <f>getWeightAsDouble('RawData (GH)'!I1367)</f>
        <v>565</v>
      </c>
      <c r="L1367" s="34">
        <f>getSizeDiameter('RawData (GH)'!J1367)</f>
        <v>77.5</v>
      </c>
      <c r="M1367" s="34">
        <f>getSizeLength('RawData (GH)'!J1367)</f>
        <v>94</v>
      </c>
    </row>
    <row r="1368" spans="1:13" x14ac:dyDescent="0.25">
      <c r="A1368" t="str">
        <f>'RawData (GH)'!A1368</f>
        <v>Sony 300mm 2.8G weiß</v>
      </c>
      <c r="B1368" s="5">
        <f>getFocalLengthStart('RawData (GH)'!B1368)</f>
        <v>300</v>
      </c>
      <c r="C1368" s="5">
        <f>getFocalLengthEnd('RawData (GH)'!B1368)</f>
        <v>300</v>
      </c>
      <c r="D1368" s="9">
        <f>getApertureStart('RawData (GH)'!C1368)</f>
        <v>2.8</v>
      </c>
      <c r="E1368" s="9">
        <f>getApertureEnd('RawData (GH)'!C1368)</f>
        <v>2.8</v>
      </c>
      <c r="F1368" s="2">
        <f>getFiltersizeAsDouble('RawData (GH)'!D1368)</f>
        <v>42</v>
      </c>
      <c r="G1368" s="35">
        <f>getMagnification('RawData (GH)'!E1368)</f>
        <v>5.56</v>
      </c>
      <c r="H1368" s="62">
        <f>getMinimalFocus('RawData (GH)'!F1368)</f>
        <v>0</v>
      </c>
      <c r="I1368" t="str">
        <f>getMount('RawData (GH)'!G1368)</f>
        <v>Sony A</v>
      </c>
      <c r="J1368" t="str">
        <f>getSensorCompatibility('RawData (GH)'!H1368)</f>
        <v>APS-C/ Kleinbild</v>
      </c>
      <c r="K1368" s="45">
        <f>getWeightAsDouble('RawData (GH)'!I1368)</f>
        <v>2300</v>
      </c>
      <c r="L1368" s="34">
        <f>getSizeDiameter('RawData (GH)'!J1368)</f>
        <v>122</v>
      </c>
      <c r="M1368" s="34">
        <f>getSizeLength('RawData (GH)'!J1368)</f>
        <v>243</v>
      </c>
    </row>
    <row r="1369" spans="1:13" x14ac:dyDescent="0.25">
      <c r="A1369" t="str">
        <f>'RawData (GH)'!A1369</f>
        <v>Sony 30mm 2.8 DT Makro SAM schwarz</v>
      </c>
      <c r="B1369" s="5">
        <f>getFocalLengthStart('RawData (GH)'!B1369)</f>
        <v>30</v>
      </c>
      <c r="C1369" s="5">
        <f>getFocalLengthEnd('RawData (GH)'!B1369)</f>
        <v>30</v>
      </c>
      <c r="D1369" s="9">
        <f>getApertureStart('RawData (GH)'!C1369)</f>
        <v>2.8</v>
      </c>
      <c r="E1369" s="9">
        <f>getApertureEnd('RawData (GH)'!C1369)</f>
        <v>2.8</v>
      </c>
      <c r="F1369" s="2">
        <f>getFiltersizeAsDouble('RawData (GH)'!D1369)</f>
        <v>49</v>
      </c>
      <c r="G1369" s="35">
        <f>getMagnification('RawData (GH)'!E1369)</f>
        <v>1</v>
      </c>
      <c r="H1369" s="62">
        <f>getMinimalFocus('RawData (GH)'!F1369)</f>
        <v>0</v>
      </c>
      <c r="I1369" t="str">
        <f>getMount('RawData (GH)'!G1369)</f>
        <v>Sony A</v>
      </c>
      <c r="J1369" t="str">
        <f>getSensorCompatibility('RawData (GH)'!H1369)</f>
        <v>APS-C</v>
      </c>
      <c r="K1369" s="45">
        <f>getWeightAsDouble('RawData (GH)'!I1369)</f>
        <v>0</v>
      </c>
      <c r="L1369" s="34">
        <f>getSizeDiameter('RawData (GH)'!J1369)</f>
        <v>0</v>
      </c>
      <c r="M1369" s="34">
        <f>getSizeLength('RawData (GH)'!J1369)</f>
        <v>0</v>
      </c>
    </row>
    <row r="1370" spans="1:13" x14ac:dyDescent="0.25">
      <c r="A1370" t="str">
        <f>'RawData (GH)'!A1370</f>
        <v>Sony 35mm 1.4G schwarz</v>
      </c>
      <c r="B1370" s="5">
        <f>getFocalLengthStart('RawData (GH)'!B1370)</f>
        <v>35</v>
      </c>
      <c r="C1370" s="5">
        <f>getFocalLengthEnd('RawData (GH)'!B1370)</f>
        <v>35</v>
      </c>
      <c r="D1370" s="9">
        <f>getApertureStart('RawData (GH)'!C1370)</f>
        <v>1.4</v>
      </c>
      <c r="E1370" s="9">
        <f>getApertureEnd('RawData (GH)'!C1370)</f>
        <v>1.4</v>
      </c>
      <c r="F1370" s="2">
        <f>getFiltersizeAsDouble('RawData (GH)'!D1370)</f>
        <v>55</v>
      </c>
      <c r="G1370" s="35">
        <f>getMagnification('RawData (GH)'!E1370)</f>
        <v>5</v>
      </c>
      <c r="H1370" s="62">
        <f>getMinimalFocus('RawData (GH)'!F1370)</f>
        <v>0</v>
      </c>
      <c r="I1370" t="str">
        <f>getMount('RawData (GH)'!G1370)</f>
        <v>Sony A</v>
      </c>
      <c r="J1370" t="str">
        <f>getSensorCompatibility('RawData (GH)'!H1370)</f>
        <v>APS-C/ Kleinbild</v>
      </c>
      <c r="K1370" s="45">
        <f>getWeightAsDouble('RawData (GH)'!I1370)</f>
        <v>510</v>
      </c>
      <c r="L1370" s="34">
        <f>getSizeDiameter('RawData (GH)'!J1370)</f>
        <v>69</v>
      </c>
      <c r="M1370" s="34">
        <f>getSizeLength('RawData (GH)'!J1370)</f>
        <v>76</v>
      </c>
    </row>
    <row r="1371" spans="1:13" x14ac:dyDescent="0.25">
      <c r="A1371" t="str">
        <f>'RawData (GH)'!A1371</f>
        <v>Sony 35mm 1.8 DT SAM schwarz</v>
      </c>
      <c r="B1371" s="5">
        <f>getFocalLengthStart('RawData (GH)'!B1371)</f>
        <v>35</v>
      </c>
      <c r="C1371" s="5">
        <f>getFocalLengthEnd('RawData (GH)'!B1371)</f>
        <v>35</v>
      </c>
      <c r="D1371" s="9">
        <f>getApertureStart('RawData (GH)'!C1371)</f>
        <v>1.8</v>
      </c>
      <c r="E1371" s="9">
        <f>getApertureEnd('RawData (GH)'!C1371)</f>
        <v>1.8</v>
      </c>
      <c r="F1371" s="2">
        <f>getFiltersizeAsDouble('RawData (GH)'!D1371)</f>
        <v>55</v>
      </c>
      <c r="G1371" s="35">
        <f>getMagnification('RawData (GH)'!E1371)</f>
        <v>4</v>
      </c>
      <c r="H1371" s="62">
        <f>getMinimalFocus('RawData (GH)'!F1371)</f>
        <v>0</v>
      </c>
      <c r="I1371" t="str">
        <f>getMount('RawData (GH)'!G1371)</f>
        <v>Sony A</v>
      </c>
      <c r="J1371" t="str">
        <f>getSensorCompatibility('RawData (GH)'!H1371)</f>
        <v>APS-C</v>
      </c>
      <c r="K1371" s="45">
        <f>getWeightAsDouble('RawData (GH)'!I1371)</f>
        <v>170</v>
      </c>
      <c r="L1371" s="34">
        <f>getSizeDiameter('RawData (GH)'!J1371)</f>
        <v>70</v>
      </c>
      <c r="M1371" s="34">
        <f>getSizeLength('RawData (GH)'!J1371)</f>
        <v>52</v>
      </c>
    </row>
    <row r="1372" spans="1:13" x14ac:dyDescent="0.25">
      <c r="A1372" t="str">
        <f>'RawData (GH)'!A1372</f>
        <v>Sony 500mm 4.0G weiß</v>
      </c>
      <c r="B1372" s="5">
        <f>getFocalLengthStart('RawData (GH)'!B1372)</f>
        <v>500</v>
      </c>
      <c r="C1372" s="5">
        <f>getFocalLengthEnd('RawData (GH)'!B1372)</f>
        <v>500</v>
      </c>
      <c r="D1372" s="9">
        <f>getApertureStart('RawData (GH)'!C1372)</f>
        <v>4</v>
      </c>
      <c r="E1372" s="9">
        <f>getApertureEnd('RawData (GH)'!C1372)</f>
        <v>4</v>
      </c>
      <c r="F1372" s="2">
        <f>getFiltersizeAsDouble('RawData (GH)'!D1372)</f>
        <v>42</v>
      </c>
      <c r="G1372" s="35">
        <f>getMagnification('RawData (GH)'!E1372)</f>
        <v>7.41</v>
      </c>
      <c r="H1372" s="62">
        <f>getMinimalFocus('RawData (GH)'!F1372)</f>
        <v>0</v>
      </c>
      <c r="I1372" t="str">
        <f>getMount('RawData (GH)'!G1372)</f>
        <v>Sony A</v>
      </c>
      <c r="J1372" t="str">
        <f>getSensorCompatibility('RawData (GH)'!H1372)</f>
        <v>APS-C/ Kleinbild</v>
      </c>
      <c r="K1372" s="45">
        <f>getWeightAsDouble('RawData (GH)'!I1372)</f>
        <v>3460</v>
      </c>
      <c r="L1372" s="34">
        <f>getSizeDiameter('RawData (GH)'!J1372)</f>
        <v>140</v>
      </c>
      <c r="M1372" s="34">
        <f>getSizeLength('RawData (GH)'!J1372)</f>
        <v>367.5</v>
      </c>
    </row>
    <row r="1373" spans="1:13" x14ac:dyDescent="0.25">
      <c r="A1373" t="str">
        <f>'RawData (GH)'!A1373</f>
        <v>Sony 50mm 1.4 schwarz</v>
      </c>
      <c r="B1373" s="5">
        <f>getFocalLengthStart('RawData (GH)'!B1373)</f>
        <v>50</v>
      </c>
      <c r="C1373" s="5">
        <f>getFocalLengthEnd('RawData (GH)'!B1373)</f>
        <v>50</v>
      </c>
      <c r="D1373" s="9">
        <f>getApertureStart('RawData (GH)'!C1373)</f>
        <v>1.4</v>
      </c>
      <c r="E1373" s="9">
        <f>getApertureEnd('RawData (GH)'!C1373)</f>
        <v>1.4</v>
      </c>
      <c r="F1373" s="2">
        <f>getFiltersizeAsDouble('RawData (GH)'!D1373)</f>
        <v>55</v>
      </c>
      <c r="G1373" s="35">
        <f>getMagnification('RawData (GH)'!E1373)</f>
        <v>6.67</v>
      </c>
      <c r="H1373" s="62">
        <f>getMinimalFocus('RawData (GH)'!F1373)</f>
        <v>0</v>
      </c>
      <c r="I1373" t="str">
        <f>getMount('RawData (GH)'!G1373)</f>
        <v>Sony A</v>
      </c>
      <c r="J1373" t="str">
        <f>getSensorCompatibility('RawData (GH)'!H1373)</f>
        <v>APS-C/ Kleinbild</v>
      </c>
      <c r="K1373" s="45">
        <f>getWeightAsDouble('RawData (GH)'!I1373)</f>
        <v>220</v>
      </c>
      <c r="L1373" s="34">
        <f>getSizeDiameter('RawData (GH)'!J1373)</f>
        <v>66</v>
      </c>
      <c r="M1373" s="34">
        <f>getSizeLength('RawData (GH)'!J1373)</f>
        <v>43</v>
      </c>
    </row>
    <row r="1374" spans="1:13" x14ac:dyDescent="0.25">
      <c r="A1374" t="str">
        <f>'RawData (GH)'!A1374</f>
        <v>Sony 50mm 1.4 ZA SSM schwarz</v>
      </c>
      <c r="B1374" s="5">
        <f>getFocalLengthStart('RawData (GH)'!B1374)</f>
        <v>50</v>
      </c>
      <c r="C1374" s="5">
        <f>getFocalLengthEnd('RawData (GH)'!B1374)</f>
        <v>50</v>
      </c>
      <c r="D1374" s="9">
        <f>getApertureStart('RawData (GH)'!C1374)</f>
        <v>1.4</v>
      </c>
      <c r="E1374" s="9">
        <f>getApertureEnd('RawData (GH)'!C1374)</f>
        <v>1.4</v>
      </c>
      <c r="F1374" s="2">
        <f>getFiltersizeAsDouble('RawData (GH)'!D1374)</f>
        <v>72</v>
      </c>
      <c r="G1374" s="35">
        <f>getMagnification('RawData (GH)'!E1374)</f>
        <v>7.14</v>
      </c>
      <c r="H1374" s="62">
        <f>getMinimalFocus('RawData (GH)'!F1374)</f>
        <v>0</v>
      </c>
      <c r="I1374" t="str">
        <f>getMount('RawData (GH)'!G1374)</f>
        <v>Sony A</v>
      </c>
      <c r="J1374" t="str">
        <f>getSensorCompatibility('RawData (GH)'!H1374)</f>
        <v>APS-C/ Kleinbild</v>
      </c>
      <c r="K1374" s="45">
        <f>getWeightAsDouble('RawData (GH)'!I1374)</f>
        <v>518</v>
      </c>
      <c r="L1374" s="34">
        <f>getSizeDiameter('RawData (GH)'!J1374)</f>
        <v>81</v>
      </c>
      <c r="M1374" s="34">
        <f>getSizeLength('RawData (GH)'!J1374)</f>
        <v>71.5</v>
      </c>
    </row>
    <row r="1375" spans="1:13" x14ac:dyDescent="0.25">
      <c r="A1375" t="str">
        <f>'RawData (GH)'!A1375</f>
        <v>Sony 50mm 1.8 DT SAM schwarz</v>
      </c>
      <c r="B1375" s="5">
        <f>getFocalLengthStart('RawData (GH)'!B1375)</f>
        <v>50</v>
      </c>
      <c r="C1375" s="5">
        <f>getFocalLengthEnd('RawData (GH)'!B1375)</f>
        <v>50</v>
      </c>
      <c r="D1375" s="9">
        <f>getApertureStart('RawData (GH)'!C1375)</f>
        <v>1.8</v>
      </c>
      <c r="E1375" s="9">
        <f>getApertureEnd('RawData (GH)'!C1375)</f>
        <v>1.8</v>
      </c>
      <c r="F1375" s="2">
        <f>getFiltersizeAsDouble('RawData (GH)'!D1375)</f>
        <v>49</v>
      </c>
      <c r="G1375" s="35">
        <f>getMagnification('RawData (GH)'!E1375)</f>
        <v>5</v>
      </c>
      <c r="H1375" s="62">
        <f>getMinimalFocus('RawData (GH)'!F1375)</f>
        <v>0</v>
      </c>
      <c r="I1375" t="str">
        <f>getMount('RawData (GH)'!G1375)</f>
        <v>Sony A</v>
      </c>
      <c r="J1375" t="str">
        <f>getSensorCompatibility('RawData (GH)'!H1375)</f>
        <v>APS-C</v>
      </c>
      <c r="K1375" s="45">
        <f>getWeightAsDouble('RawData (GH)'!I1375)</f>
        <v>170</v>
      </c>
      <c r="L1375" s="34">
        <f>getSizeDiameter('RawData (GH)'!J1375)</f>
        <v>70</v>
      </c>
      <c r="M1375" s="34">
        <f>getSizeLength('RawData (GH)'!J1375)</f>
        <v>45</v>
      </c>
    </row>
    <row r="1376" spans="1:13" x14ac:dyDescent="0.25">
      <c r="A1376" t="str">
        <f>'RawData (GH)'!A1376</f>
        <v>Sony 50mm 2.8 Makro schwarz</v>
      </c>
      <c r="B1376" s="5">
        <f>getFocalLengthStart('RawData (GH)'!B1376)</f>
        <v>50</v>
      </c>
      <c r="C1376" s="5">
        <f>getFocalLengthEnd('RawData (GH)'!B1376)</f>
        <v>50</v>
      </c>
      <c r="D1376" s="9">
        <f>getApertureStart('RawData (GH)'!C1376)</f>
        <v>2.8</v>
      </c>
      <c r="E1376" s="9">
        <f>getApertureEnd('RawData (GH)'!C1376)</f>
        <v>2.8</v>
      </c>
      <c r="F1376" s="2">
        <f>getFiltersizeAsDouble('RawData (GH)'!D1376)</f>
        <v>55</v>
      </c>
      <c r="G1376" s="35">
        <f>getMagnification('RawData (GH)'!E1376)</f>
        <v>1</v>
      </c>
      <c r="H1376" s="62">
        <f>getMinimalFocus('RawData (GH)'!F1376)</f>
        <v>0</v>
      </c>
      <c r="I1376" t="str">
        <f>getMount('RawData (GH)'!G1376)</f>
        <v>Sony A</v>
      </c>
      <c r="J1376" t="str">
        <f>getSensorCompatibility('RawData (GH)'!H1376)</f>
        <v>APS-C/ Kleinbild</v>
      </c>
      <c r="K1376" s="45">
        <f>getWeightAsDouble('RawData (GH)'!I1376)</f>
        <v>295</v>
      </c>
      <c r="L1376" s="34">
        <f>getSizeDiameter('RawData (GH)'!J1376)</f>
        <v>71</v>
      </c>
      <c r="M1376" s="34">
        <f>getSizeLength('RawData (GH)'!J1376)</f>
        <v>60</v>
      </c>
    </row>
    <row r="1377" spans="1:13" x14ac:dyDescent="0.25">
      <c r="A1377" t="str">
        <f>'RawData (GH)'!A1377</f>
        <v>Sony 55-200mm 4.0-5.6 DT SAM schwarz</v>
      </c>
      <c r="B1377" s="5">
        <f>getFocalLengthStart('RawData (GH)'!B1377)</f>
        <v>55</v>
      </c>
      <c r="C1377" s="5">
        <f>getFocalLengthEnd('RawData (GH)'!B1377)</f>
        <v>200</v>
      </c>
      <c r="D1377" s="9">
        <f>getApertureStart('RawData (GH)'!C1377)</f>
        <v>4</v>
      </c>
      <c r="E1377" s="9">
        <f>getApertureEnd('RawData (GH)'!C1377)</f>
        <v>5.6</v>
      </c>
      <c r="F1377" s="2">
        <f>getFiltersizeAsDouble('RawData (GH)'!D1377)</f>
        <v>55</v>
      </c>
      <c r="G1377" s="35">
        <f>getMagnification('RawData (GH)'!E1377)</f>
        <v>3.45</v>
      </c>
      <c r="H1377" s="62">
        <f>getMinimalFocus('RawData (GH)'!F1377)</f>
        <v>0</v>
      </c>
      <c r="I1377" t="str">
        <f>getMount('RawData (GH)'!G1377)</f>
        <v>Sony A</v>
      </c>
      <c r="J1377" t="str">
        <f>getSensorCompatibility('RawData (GH)'!H1377)</f>
        <v>APS-C</v>
      </c>
      <c r="K1377" s="45">
        <f>getWeightAsDouble('RawData (GH)'!I1377)</f>
        <v>305</v>
      </c>
      <c r="L1377" s="34">
        <f>getSizeDiameter('RawData (GH)'!J1377)</f>
        <v>71.5</v>
      </c>
      <c r="M1377" s="34">
        <f>getSizeLength('RawData (GH)'!J1377)</f>
        <v>85</v>
      </c>
    </row>
    <row r="1378" spans="1:13" x14ac:dyDescent="0.25">
      <c r="A1378" t="str">
        <f>'RawData (GH)'!A1378</f>
        <v>Sony 55-200mm 4.0-5.6 DT schwarz</v>
      </c>
      <c r="B1378" s="5">
        <f>getFocalLengthStart('RawData (GH)'!B1378)</f>
        <v>55</v>
      </c>
      <c r="C1378" s="5">
        <f>getFocalLengthEnd('RawData (GH)'!B1378)</f>
        <v>200</v>
      </c>
      <c r="D1378" s="9">
        <f>getApertureStart('RawData (GH)'!C1378)</f>
        <v>4</v>
      </c>
      <c r="E1378" s="9">
        <f>getApertureEnd('RawData (GH)'!C1378)</f>
        <v>5.6</v>
      </c>
      <c r="F1378" s="2">
        <f>getFiltersizeAsDouble('RawData (GH)'!D1378)</f>
        <v>55</v>
      </c>
      <c r="G1378" s="35">
        <f>getMagnification('RawData (GH)'!E1378)</f>
        <v>3.45</v>
      </c>
      <c r="H1378" s="62">
        <f>getMinimalFocus('RawData (GH)'!F1378)</f>
        <v>0</v>
      </c>
      <c r="I1378" t="str">
        <f>getMount('RawData (GH)'!G1378)</f>
        <v>Sony A</v>
      </c>
      <c r="J1378" t="str">
        <f>getSensorCompatibility('RawData (GH)'!H1378)</f>
        <v>APS-C</v>
      </c>
      <c r="K1378" s="45">
        <f>getWeightAsDouble('RawData (GH)'!I1378)</f>
        <v>295</v>
      </c>
      <c r="L1378" s="34">
        <f>getSizeDiameter('RawData (GH)'!J1378)</f>
        <v>71.5</v>
      </c>
      <c r="M1378" s="34">
        <f>getSizeLength('RawData (GH)'!J1378)</f>
        <v>85</v>
      </c>
    </row>
    <row r="1379" spans="1:13" x14ac:dyDescent="0.25">
      <c r="A1379" t="str">
        <f>'RawData (GH)'!A1379</f>
        <v>Sony 55-300mm 4.5-5.6 DT SAM schwarz</v>
      </c>
      <c r="B1379" s="5">
        <f>getFocalLengthStart('RawData (GH)'!B1379)</f>
        <v>55</v>
      </c>
      <c r="C1379" s="5">
        <f>getFocalLengthEnd('RawData (GH)'!B1379)</f>
        <v>300</v>
      </c>
      <c r="D1379" s="9">
        <f>getApertureStart('RawData (GH)'!C1379)</f>
        <v>4.5</v>
      </c>
      <c r="E1379" s="9">
        <f>getApertureEnd('RawData (GH)'!C1379)</f>
        <v>5.6</v>
      </c>
      <c r="F1379" s="2">
        <f>getFiltersizeAsDouble('RawData (GH)'!D1379)</f>
        <v>62</v>
      </c>
      <c r="G1379" s="35">
        <f>getMagnification('RawData (GH)'!E1379)</f>
        <v>3.7</v>
      </c>
      <c r="H1379" s="62">
        <f>getMinimalFocus('RawData (GH)'!F1379)</f>
        <v>0</v>
      </c>
      <c r="I1379" t="str">
        <f>getMount('RawData (GH)'!G1379)</f>
        <v>Sony A</v>
      </c>
      <c r="J1379" t="str">
        <f>getSensorCompatibility('RawData (GH)'!H1379)</f>
        <v>APS-C</v>
      </c>
      <c r="K1379" s="45">
        <f>getWeightAsDouble('RawData (GH)'!I1379)</f>
        <v>460</v>
      </c>
      <c r="L1379" s="34">
        <f>getSizeDiameter('RawData (GH)'!J1379)</f>
        <v>77</v>
      </c>
      <c r="M1379" s="34">
        <f>getSizeLength('RawData (GH)'!J1379)</f>
        <v>116.5</v>
      </c>
    </row>
    <row r="1380" spans="1:13" x14ac:dyDescent="0.25">
      <c r="A1380" t="str">
        <f>'RawData (GH)'!A1380</f>
        <v>Sony 70-200mm 2.8G SSM II weiß</v>
      </c>
      <c r="B1380" s="5">
        <f>getFocalLengthStart('RawData (GH)'!B1380)</f>
        <v>70</v>
      </c>
      <c r="C1380" s="5">
        <f>getFocalLengthEnd('RawData (GH)'!B1380)</f>
        <v>200</v>
      </c>
      <c r="D1380" s="9">
        <f>getApertureStart('RawData (GH)'!C1380)</f>
        <v>2.8</v>
      </c>
      <c r="E1380" s="9">
        <f>getApertureEnd('RawData (GH)'!C1380)</f>
        <v>2.8</v>
      </c>
      <c r="F1380" s="2">
        <f>getFiltersizeAsDouble('RawData (GH)'!D1380)</f>
        <v>77</v>
      </c>
      <c r="G1380" s="35">
        <f>getMagnification('RawData (GH)'!E1380)</f>
        <v>4.76</v>
      </c>
      <c r="H1380" s="62">
        <f>getMinimalFocus('RawData (GH)'!F1380)</f>
        <v>0</v>
      </c>
      <c r="I1380" t="str">
        <f>getMount('RawData (GH)'!G1380)</f>
        <v>Sony A</v>
      </c>
      <c r="J1380" t="str">
        <f>getSensorCompatibility('RawData (GH)'!H1380)</f>
        <v>APS-C/ Kleinbild</v>
      </c>
      <c r="K1380" s="45">
        <f>getWeightAsDouble('RawData (GH)'!I1380)</f>
        <v>1340</v>
      </c>
      <c r="L1380" s="34">
        <f>getSizeDiameter('RawData (GH)'!J1380)</f>
        <v>87</v>
      </c>
      <c r="M1380" s="34">
        <f>getSizeLength('RawData (GH)'!J1380)</f>
        <v>196.5</v>
      </c>
    </row>
    <row r="1381" spans="1:13" x14ac:dyDescent="0.25">
      <c r="A1381" t="str">
        <f>'RawData (GH)'!A1381</f>
        <v>Sony 70-300mm 4.5-5.6G schwarz</v>
      </c>
      <c r="B1381" s="5">
        <f>getFocalLengthStart('RawData (GH)'!B1381)</f>
        <v>70</v>
      </c>
      <c r="C1381" s="5">
        <f>getFocalLengthEnd('RawData (GH)'!B1381)</f>
        <v>300</v>
      </c>
      <c r="D1381" s="9">
        <f>getApertureStart('RawData (GH)'!C1381)</f>
        <v>4.5</v>
      </c>
      <c r="E1381" s="9">
        <f>getApertureEnd('RawData (GH)'!C1381)</f>
        <v>5.6</v>
      </c>
      <c r="F1381" s="2">
        <f>getFiltersizeAsDouble('RawData (GH)'!D1381)</f>
        <v>62</v>
      </c>
      <c r="G1381" s="35">
        <f>getMagnification('RawData (GH)'!E1381)</f>
        <v>4</v>
      </c>
      <c r="H1381" s="62">
        <f>getMinimalFocus('RawData (GH)'!F1381)</f>
        <v>0</v>
      </c>
      <c r="I1381" t="str">
        <f>getMount('RawData (GH)'!G1381)</f>
        <v>Sony A</v>
      </c>
      <c r="J1381" t="str">
        <f>getSensorCompatibility('RawData (GH)'!H1381)</f>
        <v>APS-C/ Kleinbild</v>
      </c>
      <c r="K1381" s="45">
        <f>getWeightAsDouble('RawData (GH)'!I1381)</f>
        <v>760</v>
      </c>
      <c r="L1381" s="34">
        <f>getSizeDiameter('RawData (GH)'!J1381)</f>
        <v>82.5</v>
      </c>
      <c r="M1381" s="34">
        <f>getSizeLength('RawData (GH)'!J1381)</f>
        <v>135.5</v>
      </c>
    </row>
    <row r="1382" spans="1:13" x14ac:dyDescent="0.25">
      <c r="A1382" t="str">
        <f>'RawData (GH)'!A1382</f>
        <v>Sony 70-300mm 4.5-5.6G SSM II schwarz</v>
      </c>
      <c r="B1382" s="5">
        <f>getFocalLengthStart('RawData (GH)'!B1382)</f>
        <v>70</v>
      </c>
      <c r="C1382" s="5">
        <f>getFocalLengthEnd('RawData (GH)'!B1382)</f>
        <v>300</v>
      </c>
      <c r="D1382" s="9">
        <f>getApertureStart('RawData (GH)'!C1382)</f>
        <v>4.5</v>
      </c>
      <c r="E1382" s="9">
        <f>getApertureEnd('RawData (GH)'!C1382)</f>
        <v>5.6</v>
      </c>
      <c r="F1382" s="2">
        <f>getFiltersizeAsDouble('RawData (GH)'!D1382)</f>
        <v>62</v>
      </c>
      <c r="G1382" s="35">
        <f>getMagnification('RawData (GH)'!E1382)</f>
        <v>4</v>
      </c>
      <c r="H1382" s="62">
        <f>getMinimalFocus('RawData (GH)'!F1382)</f>
        <v>0</v>
      </c>
      <c r="I1382" t="str">
        <f>getMount('RawData (GH)'!G1382)</f>
        <v>Sony A</v>
      </c>
      <c r="J1382" t="str">
        <f>getSensorCompatibility('RawData (GH)'!H1382)</f>
        <v>APS-C/ Kleinbild</v>
      </c>
      <c r="K1382" s="45">
        <f>getWeightAsDouble('RawData (GH)'!I1382)</f>
        <v>760</v>
      </c>
      <c r="L1382" s="34">
        <f>getSizeDiameter('RawData (GH)'!J1382)</f>
        <v>82.5</v>
      </c>
      <c r="M1382" s="34">
        <f>getSizeLength('RawData (GH)'!J1382)</f>
        <v>135.5</v>
      </c>
    </row>
    <row r="1383" spans="1:13" x14ac:dyDescent="0.25">
      <c r="A1383" t="str">
        <f>'RawData (GH)'!A1383</f>
        <v>Sony 70-400mm 4.0-5.6G SSMII weiß</v>
      </c>
      <c r="B1383" s="5">
        <f>getFocalLengthStart('RawData (GH)'!B1383)</f>
        <v>70</v>
      </c>
      <c r="C1383" s="5">
        <f>getFocalLengthEnd('RawData (GH)'!B1383)</f>
        <v>400</v>
      </c>
      <c r="D1383" s="9">
        <f>getApertureStart('RawData (GH)'!C1383)</f>
        <v>4</v>
      </c>
      <c r="E1383" s="9">
        <f>getApertureEnd('RawData (GH)'!C1383)</f>
        <v>5.6</v>
      </c>
      <c r="F1383" s="2">
        <f>getFiltersizeAsDouble('RawData (GH)'!D1383)</f>
        <v>77</v>
      </c>
      <c r="G1383" s="35">
        <f>getMagnification('RawData (GH)'!E1383)</f>
        <v>3.7</v>
      </c>
      <c r="H1383" s="62">
        <f>getMinimalFocus('RawData (GH)'!F1383)</f>
        <v>0</v>
      </c>
      <c r="I1383" t="str">
        <f>getMount('RawData (GH)'!G1383)</f>
        <v>Sony A</v>
      </c>
      <c r="J1383" t="str">
        <f>getSensorCompatibility('RawData (GH)'!H1383)</f>
        <v>APS-C/ Kleinbild</v>
      </c>
      <c r="K1383" s="45">
        <f>getWeightAsDouble('RawData (GH)'!I1383)</f>
        <v>1500</v>
      </c>
      <c r="L1383" s="34">
        <f>getSizeDiameter('RawData (GH)'!J1383)</f>
        <v>94.5</v>
      </c>
      <c r="M1383" s="34">
        <f>getSizeLength('RawData (GH)'!J1383)</f>
        <v>196</v>
      </c>
    </row>
    <row r="1384" spans="1:13" x14ac:dyDescent="0.25">
      <c r="A1384" t="str">
        <f>'RawData (GH)'!A1384</f>
        <v>Sony 70-400mm 4.0-5.6G weiß</v>
      </c>
      <c r="B1384" s="5">
        <f>getFocalLengthStart('RawData (GH)'!B1384)</f>
        <v>70</v>
      </c>
      <c r="C1384" s="5">
        <f>getFocalLengthEnd('RawData (GH)'!B1384)</f>
        <v>400</v>
      </c>
      <c r="D1384" s="9">
        <f>getApertureStart('RawData (GH)'!C1384)</f>
        <v>4</v>
      </c>
      <c r="E1384" s="9">
        <f>getApertureEnd('RawData (GH)'!C1384)</f>
        <v>5.6</v>
      </c>
      <c r="F1384" s="2">
        <f>getFiltersizeAsDouble('RawData (GH)'!D1384)</f>
        <v>77</v>
      </c>
      <c r="G1384" s="35">
        <f>getMagnification('RawData (GH)'!E1384)</f>
        <v>3.7</v>
      </c>
      <c r="H1384" s="62">
        <f>getMinimalFocus('RawData (GH)'!F1384)</f>
        <v>0</v>
      </c>
      <c r="I1384" t="str">
        <f>getMount('RawData (GH)'!G1384)</f>
        <v>Sony A</v>
      </c>
      <c r="J1384" t="str">
        <f>getSensorCompatibility('RawData (GH)'!H1384)</f>
        <v>APS-C/ Kleinbild</v>
      </c>
      <c r="K1384" s="45">
        <f>getWeightAsDouble('RawData (GH)'!I1384)</f>
        <v>1490</v>
      </c>
      <c r="L1384" s="34">
        <f>getSizeDiameter('RawData (GH)'!J1384)</f>
        <v>94.5</v>
      </c>
      <c r="M1384" s="34">
        <f>getSizeLength('RawData (GH)'!J1384)</f>
        <v>196</v>
      </c>
    </row>
    <row r="1385" spans="1:13" x14ac:dyDescent="0.25">
      <c r="A1385" t="str">
        <f>'RawData (GH)'!A1385</f>
        <v>Sony 75-300mm 4.5-5.6 schwarz</v>
      </c>
      <c r="B1385" s="5">
        <f>getFocalLengthStart('RawData (GH)'!B1385)</f>
        <v>75</v>
      </c>
      <c r="C1385" s="5">
        <f>getFocalLengthEnd('RawData (GH)'!B1385)</f>
        <v>300</v>
      </c>
      <c r="D1385" s="9">
        <f>getApertureStart('RawData (GH)'!C1385)</f>
        <v>4.5</v>
      </c>
      <c r="E1385" s="9">
        <f>getApertureEnd('RawData (GH)'!C1385)</f>
        <v>5.6</v>
      </c>
      <c r="F1385" s="2">
        <f>getFiltersizeAsDouble('RawData (GH)'!D1385)</f>
        <v>55</v>
      </c>
      <c r="G1385" s="35">
        <f>getMagnification('RawData (GH)'!E1385)</f>
        <v>4</v>
      </c>
      <c r="H1385" s="62">
        <f>getMinimalFocus('RawData (GH)'!F1385)</f>
        <v>0</v>
      </c>
      <c r="I1385" t="str">
        <f>getMount('RawData (GH)'!G1385)</f>
        <v>Sony A</v>
      </c>
      <c r="J1385" t="str">
        <f>getSensorCompatibility('RawData (GH)'!H1385)</f>
        <v>APS-C/ Kleinbild</v>
      </c>
      <c r="K1385" s="45">
        <f>getWeightAsDouble('RawData (GH)'!I1385)</f>
        <v>460</v>
      </c>
      <c r="L1385" s="34">
        <f>getSizeDiameter('RawData (GH)'!J1385)</f>
        <v>71</v>
      </c>
      <c r="M1385" s="34">
        <f>getSizeLength('RawData (GH)'!J1385)</f>
        <v>122</v>
      </c>
    </row>
    <row r="1386" spans="1:13" x14ac:dyDescent="0.25">
      <c r="A1386" t="str">
        <f>'RawData (GH)'!A1386</f>
        <v>Sony 85mm 1.4 schwarz</v>
      </c>
      <c r="B1386" s="5">
        <f>getFocalLengthStart('RawData (GH)'!B1386)</f>
        <v>85</v>
      </c>
      <c r="C1386" s="5">
        <f>getFocalLengthEnd('RawData (GH)'!B1386)</f>
        <v>85</v>
      </c>
      <c r="D1386" s="9">
        <f>getApertureStart('RawData (GH)'!C1386)</f>
        <v>1.4</v>
      </c>
      <c r="E1386" s="9">
        <f>getApertureEnd('RawData (GH)'!C1386)</f>
        <v>1.4</v>
      </c>
      <c r="F1386" s="2">
        <f>getFiltersizeAsDouble('RawData (GH)'!D1386)</f>
        <v>72</v>
      </c>
      <c r="G1386" s="35">
        <f>getMagnification('RawData (GH)'!E1386)</f>
        <v>7.69</v>
      </c>
      <c r="H1386" s="62">
        <f>getMinimalFocus('RawData (GH)'!F1386)</f>
        <v>0</v>
      </c>
      <c r="I1386" t="str">
        <f>getMount('RawData (GH)'!G1386)</f>
        <v>Sony A</v>
      </c>
      <c r="J1386" t="str">
        <f>getSensorCompatibility('RawData (GH)'!H1386)</f>
        <v>APS-C/ Kleinbild</v>
      </c>
      <c r="K1386" s="45">
        <f>getWeightAsDouble('RawData (GH)'!I1386)</f>
        <v>560</v>
      </c>
      <c r="L1386" s="34">
        <f>getSizeDiameter('RawData (GH)'!J1386)</f>
        <v>82</v>
      </c>
      <c r="M1386" s="34">
        <f>getSizeLength('RawData (GH)'!J1386)</f>
        <v>73</v>
      </c>
    </row>
    <row r="1387" spans="1:13" x14ac:dyDescent="0.25">
      <c r="A1387" t="str">
        <f>'RawData (GH)'!A1387</f>
        <v>Sony 85mm 2.8 SAM schwarz</v>
      </c>
      <c r="B1387" s="5">
        <f>getFocalLengthStart('RawData (GH)'!B1387)</f>
        <v>85</v>
      </c>
      <c r="C1387" s="5">
        <f>getFocalLengthEnd('RawData (GH)'!B1387)</f>
        <v>85</v>
      </c>
      <c r="D1387" s="9">
        <f>getApertureStart('RawData (GH)'!C1387)</f>
        <v>2.8</v>
      </c>
      <c r="E1387" s="9">
        <f>getApertureEnd('RawData (GH)'!C1387)</f>
        <v>2.8</v>
      </c>
      <c r="F1387" s="2">
        <f>getFiltersizeAsDouble('RawData (GH)'!D1387)</f>
        <v>55</v>
      </c>
      <c r="G1387" s="35">
        <f>getMagnification('RawData (GH)'!E1387)</f>
        <v>5</v>
      </c>
      <c r="H1387" s="62">
        <f>getMinimalFocus('RawData (GH)'!F1387)</f>
        <v>0</v>
      </c>
      <c r="I1387" t="str">
        <f>getMount('RawData (GH)'!G1387)</f>
        <v>Sony A</v>
      </c>
      <c r="J1387" t="str">
        <f>getSensorCompatibility('RawData (GH)'!H1387)</f>
        <v>APS-C/ Kleinbild</v>
      </c>
      <c r="K1387" s="45">
        <f>getWeightAsDouble('RawData (GH)'!I1387)</f>
        <v>175</v>
      </c>
      <c r="L1387" s="34">
        <f>getSizeDiameter('RawData (GH)'!J1387)</f>
        <v>70</v>
      </c>
      <c r="M1387" s="34">
        <f>getSizeLength('RawData (GH)'!J1387)</f>
        <v>52</v>
      </c>
    </row>
    <row r="1388" spans="1:13" x14ac:dyDescent="0.25">
      <c r="A1388" t="str">
        <f>'RawData (GH)'!A1388</f>
        <v>Sony E 10-18mm 4.0 OSS schwarz</v>
      </c>
      <c r="B1388" s="5">
        <f>getFocalLengthStart('RawData (GH)'!B1388)</f>
        <v>10</v>
      </c>
      <c r="C1388" s="5">
        <f>getFocalLengthEnd('RawData (GH)'!B1388)</f>
        <v>18</v>
      </c>
      <c r="D1388" s="9">
        <f>getApertureStart('RawData (GH)'!C1388)</f>
        <v>4</v>
      </c>
      <c r="E1388" s="9">
        <f>getApertureEnd('RawData (GH)'!C1388)</f>
        <v>4</v>
      </c>
      <c r="F1388" s="2">
        <f>getFiltersizeAsDouble('RawData (GH)'!D1388)</f>
        <v>62</v>
      </c>
      <c r="G1388" s="35">
        <f>getMagnification('RawData (GH)'!E1388)</f>
        <v>10</v>
      </c>
      <c r="H1388" s="62">
        <f>getMinimalFocus('RawData (GH)'!F1388)</f>
        <v>0</v>
      </c>
      <c r="I1388" t="str">
        <f>getMount('RawData (GH)'!G1388)</f>
        <v>Sony E</v>
      </c>
      <c r="J1388" t="str">
        <f>getSensorCompatibility('RawData (GH)'!H1388)</f>
        <v>APS-C</v>
      </c>
      <c r="K1388" s="45">
        <f>getWeightAsDouble('RawData (GH)'!I1388)</f>
        <v>225</v>
      </c>
      <c r="L1388" s="34">
        <f>getSizeDiameter('RawData (GH)'!J1388)</f>
        <v>70</v>
      </c>
      <c r="M1388" s="34">
        <f>getSizeLength('RawData (GH)'!J1388)</f>
        <v>63.5</v>
      </c>
    </row>
    <row r="1389" spans="1:13" x14ac:dyDescent="0.25">
      <c r="A1389" t="str">
        <f>'RawData (GH)'!A1389</f>
        <v>Sony E 16-50mm 3.5-5.6 OSS PZ schwarz</v>
      </c>
      <c r="B1389" s="5">
        <f>getFocalLengthStart('RawData (GH)'!B1389)</f>
        <v>16</v>
      </c>
      <c r="C1389" s="5">
        <f>getFocalLengthEnd('RawData (GH)'!B1389)</f>
        <v>50</v>
      </c>
      <c r="D1389" s="9">
        <f>getApertureStart('RawData (GH)'!C1389)</f>
        <v>3.5</v>
      </c>
      <c r="E1389" s="9">
        <f>getApertureEnd('RawData (GH)'!C1389)</f>
        <v>5.6</v>
      </c>
      <c r="F1389" s="2">
        <f>getFiltersizeAsDouble('RawData (GH)'!D1389)</f>
        <v>40.5</v>
      </c>
      <c r="G1389" s="35">
        <f>getMagnification('RawData (GH)'!E1389)</f>
        <v>4.6500000000000004</v>
      </c>
      <c r="H1389" s="62">
        <f>getMinimalFocus('RawData (GH)'!F1389)</f>
        <v>0</v>
      </c>
      <c r="I1389" t="str">
        <f>getMount('RawData (GH)'!G1389)</f>
        <v>Sony E</v>
      </c>
      <c r="J1389" t="str">
        <f>getSensorCompatibility('RawData (GH)'!H1389)</f>
        <v>APS-C</v>
      </c>
      <c r="K1389" s="45">
        <f>getWeightAsDouble('RawData (GH)'!I1389)</f>
        <v>116</v>
      </c>
      <c r="L1389" s="34">
        <f>getSizeDiameter('RawData (GH)'!J1389)</f>
        <v>65</v>
      </c>
      <c r="M1389" s="34">
        <f>getSizeLength('RawData (GH)'!J1389)</f>
        <v>30</v>
      </c>
    </row>
    <row r="1390" spans="1:13" x14ac:dyDescent="0.25">
      <c r="A1390" t="str">
        <f>'RawData (GH)'!A1390</f>
        <v>Sony E 16-70mm 4.0 ZA OSS schwarz</v>
      </c>
      <c r="B1390" s="5">
        <f>getFocalLengthStart('RawData (GH)'!B1390)</f>
        <v>16</v>
      </c>
      <c r="C1390" s="5">
        <f>getFocalLengthEnd('RawData (GH)'!B1390)</f>
        <v>70</v>
      </c>
      <c r="D1390" s="9">
        <f>getApertureStart('RawData (GH)'!C1390)</f>
        <v>4</v>
      </c>
      <c r="E1390" s="9">
        <f>getApertureEnd('RawData (GH)'!C1390)</f>
        <v>4</v>
      </c>
      <c r="F1390" s="2">
        <f>getFiltersizeAsDouble('RawData (GH)'!D1390)</f>
        <v>55</v>
      </c>
      <c r="G1390" s="35">
        <f>getMagnification('RawData (GH)'!E1390)</f>
        <v>4.3499999999999996</v>
      </c>
      <c r="H1390" s="62">
        <f>getMinimalFocus('RawData (GH)'!F1390)</f>
        <v>0</v>
      </c>
      <c r="I1390" t="str">
        <f>getMount('RawData (GH)'!G1390)</f>
        <v>Sony E</v>
      </c>
      <c r="J1390" t="str">
        <f>getSensorCompatibility('RawData (GH)'!H1390)</f>
        <v>APS-C</v>
      </c>
      <c r="K1390" s="45">
        <f>getWeightAsDouble('RawData (GH)'!I1390)</f>
        <v>308</v>
      </c>
      <c r="L1390" s="34">
        <f>getSizeDiameter('RawData (GH)'!J1390)</f>
        <v>66.599999999999994</v>
      </c>
      <c r="M1390" s="34">
        <f>getSizeLength('RawData (GH)'!J1390)</f>
        <v>75</v>
      </c>
    </row>
    <row r="1391" spans="1:13" x14ac:dyDescent="0.25">
      <c r="A1391" t="str">
        <f>'RawData (GH)'!A1391</f>
        <v>Sony E 16mm 2.8 Pancake silber</v>
      </c>
      <c r="B1391" s="5">
        <f>getFocalLengthStart('RawData (GH)'!B1391)</f>
        <v>16</v>
      </c>
      <c r="C1391" s="5">
        <f>getFocalLengthEnd('RawData (GH)'!B1391)</f>
        <v>16</v>
      </c>
      <c r="D1391" s="9">
        <f>getApertureStart('RawData (GH)'!C1391)</f>
        <v>2.8</v>
      </c>
      <c r="E1391" s="9">
        <f>getApertureEnd('RawData (GH)'!C1391)</f>
        <v>2.8</v>
      </c>
      <c r="F1391" s="2">
        <f>getFiltersizeAsDouble('RawData (GH)'!D1391)</f>
        <v>49</v>
      </c>
      <c r="G1391" s="35">
        <f>getMagnification('RawData (GH)'!E1391)</f>
        <v>12.82</v>
      </c>
      <c r="H1391" s="62">
        <f>getMinimalFocus('RawData (GH)'!F1391)</f>
        <v>0</v>
      </c>
      <c r="I1391" t="str">
        <f>getMount('RawData (GH)'!G1391)</f>
        <v>Sony E</v>
      </c>
      <c r="J1391" t="str">
        <f>getSensorCompatibility('RawData (GH)'!H1391)</f>
        <v>APS-C</v>
      </c>
      <c r="K1391" s="45">
        <f>getWeightAsDouble('RawData (GH)'!I1391)</f>
        <v>67</v>
      </c>
      <c r="L1391" s="34">
        <f>getSizeDiameter('RawData (GH)'!J1391)</f>
        <v>62</v>
      </c>
      <c r="M1391" s="34">
        <f>getSizeLength('RawData (GH)'!J1391)</f>
        <v>22.5</v>
      </c>
    </row>
    <row r="1392" spans="1:13" x14ac:dyDescent="0.25">
      <c r="A1392" t="str">
        <f>'RawData (GH)'!A1392</f>
        <v>Sony E 18-200mm 3.5-6.3 OSS LE schwarz</v>
      </c>
      <c r="B1392" s="5">
        <f>getFocalLengthStart('RawData (GH)'!B1392)</f>
        <v>18</v>
      </c>
      <c r="C1392" s="5">
        <f>getFocalLengthEnd('RawData (GH)'!B1392)</f>
        <v>200</v>
      </c>
      <c r="D1392" s="9">
        <f>getApertureStart('RawData (GH)'!C1392)</f>
        <v>3.5</v>
      </c>
      <c r="E1392" s="9">
        <f>getApertureEnd('RawData (GH)'!C1392)</f>
        <v>6.3</v>
      </c>
      <c r="F1392" s="2">
        <f>getFiltersizeAsDouble('RawData (GH)'!D1392)</f>
        <v>62</v>
      </c>
      <c r="G1392" s="35">
        <f>getMagnification('RawData (GH)'!E1392)</f>
        <v>3.7</v>
      </c>
      <c r="H1392" s="62">
        <f>getMinimalFocus('RawData (GH)'!F1392)</f>
        <v>0</v>
      </c>
      <c r="I1392" t="str">
        <f>getMount('RawData (GH)'!G1392)</f>
        <v>Sony E</v>
      </c>
      <c r="J1392" t="str">
        <f>getSensorCompatibility('RawData (GH)'!H1392)</f>
        <v>APS-C</v>
      </c>
      <c r="K1392" s="45">
        <f>getWeightAsDouble('RawData (GH)'!I1392)</f>
        <v>460</v>
      </c>
      <c r="L1392" s="34">
        <f>getSizeDiameter('RawData (GH)'!J1392)</f>
        <v>68</v>
      </c>
      <c r="M1392" s="34">
        <f>getSizeLength('RawData (GH)'!J1392)</f>
        <v>97.1</v>
      </c>
    </row>
    <row r="1393" spans="1:13" x14ac:dyDescent="0.25">
      <c r="A1393" t="str">
        <f>'RawData (GH)'!A1393</f>
        <v>Sony E 18-200mm 3.5-6.3 OSS silber</v>
      </c>
      <c r="B1393" s="5">
        <f>getFocalLengthStart('RawData (GH)'!B1393)</f>
        <v>18</v>
      </c>
      <c r="C1393" s="5">
        <f>getFocalLengthEnd('RawData (GH)'!B1393)</f>
        <v>200</v>
      </c>
      <c r="D1393" s="9">
        <f>getApertureStart('RawData (GH)'!C1393)</f>
        <v>3.5</v>
      </c>
      <c r="E1393" s="9">
        <f>getApertureEnd('RawData (GH)'!C1393)</f>
        <v>6.3</v>
      </c>
      <c r="F1393" s="2">
        <f>getFiltersizeAsDouble('RawData (GH)'!D1393)</f>
        <v>67</v>
      </c>
      <c r="G1393" s="35">
        <f>getMagnification('RawData (GH)'!E1393)</f>
        <v>2.86</v>
      </c>
      <c r="H1393" s="62">
        <f>getMinimalFocus('RawData (GH)'!F1393)</f>
        <v>0</v>
      </c>
      <c r="I1393" t="str">
        <f>getMount('RawData (GH)'!G1393)</f>
        <v>Sony E</v>
      </c>
      <c r="J1393" t="str">
        <f>getSensorCompatibility('RawData (GH)'!H1393)</f>
        <v>APS-C</v>
      </c>
      <c r="K1393" s="45">
        <f>getWeightAsDouble('RawData (GH)'!I1393)</f>
        <v>524</v>
      </c>
      <c r="L1393" s="34">
        <f>getSizeDiameter('RawData (GH)'!J1393)</f>
        <v>75.5</v>
      </c>
      <c r="M1393" s="34">
        <f>getSizeLength('RawData (GH)'!J1393)</f>
        <v>99</v>
      </c>
    </row>
    <row r="1394" spans="1:13" x14ac:dyDescent="0.25">
      <c r="A1394" t="str">
        <f>'RawData (GH)'!A1394</f>
        <v>Sony E 18-55mm 3.5-5.6 OSS silber</v>
      </c>
      <c r="B1394" s="5">
        <f>getFocalLengthStart('RawData (GH)'!B1394)</f>
        <v>18</v>
      </c>
      <c r="C1394" s="5">
        <f>getFocalLengthEnd('RawData (GH)'!B1394)</f>
        <v>55</v>
      </c>
      <c r="D1394" s="9">
        <f>getApertureStart('RawData (GH)'!C1394)</f>
        <v>3.5</v>
      </c>
      <c r="E1394" s="9">
        <f>getApertureEnd('RawData (GH)'!C1394)</f>
        <v>5.6</v>
      </c>
      <c r="F1394" s="2">
        <f>getFiltersizeAsDouble('RawData (GH)'!D1394)</f>
        <v>49</v>
      </c>
      <c r="G1394" s="35">
        <f>getMagnification('RawData (GH)'!E1394)</f>
        <v>3.33</v>
      </c>
      <c r="H1394" s="62">
        <f>getMinimalFocus('RawData (GH)'!F1394)</f>
        <v>0</v>
      </c>
      <c r="I1394" t="str">
        <f>getMount('RawData (GH)'!G1394)</f>
        <v>Sony E</v>
      </c>
      <c r="J1394" t="str">
        <f>getSensorCompatibility('RawData (GH)'!H1394)</f>
        <v>APS-C</v>
      </c>
      <c r="K1394" s="45">
        <f>getWeightAsDouble('RawData (GH)'!I1394)</f>
        <v>194</v>
      </c>
      <c r="L1394" s="34">
        <f>getSizeDiameter('RawData (GH)'!J1394)</f>
        <v>62</v>
      </c>
      <c r="M1394" s="34">
        <f>getSizeLength('RawData (GH)'!J1394)</f>
        <v>60</v>
      </c>
    </row>
    <row r="1395" spans="1:13" x14ac:dyDescent="0.25">
      <c r="A1395" t="str">
        <f>'RawData (GH)'!A1395</f>
        <v>Sony E 20mm 2.8 Pancake schwarz</v>
      </c>
      <c r="B1395" s="5">
        <f>getFocalLengthStart('RawData (GH)'!B1395)</f>
        <v>20</v>
      </c>
      <c r="C1395" s="5">
        <f>getFocalLengthEnd('RawData (GH)'!B1395)</f>
        <v>20</v>
      </c>
      <c r="D1395" s="9">
        <f>getApertureStart('RawData (GH)'!C1395)</f>
        <v>2.8</v>
      </c>
      <c r="E1395" s="9">
        <f>getApertureEnd('RawData (GH)'!C1395)</f>
        <v>2.8</v>
      </c>
      <c r="F1395" s="2">
        <f>getFiltersizeAsDouble('RawData (GH)'!D1395)</f>
        <v>49</v>
      </c>
      <c r="G1395" s="35">
        <f>getMagnification('RawData (GH)'!E1395)</f>
        <v>0</v>
      </c>
      <c r="H1395" s="62">
        <f>getMinimalFocus('RawData (GH)'!F1395)</f>
        <v>0</v>
      </c>
      <c r="I1395" t="str">
        <f>getMount('RawData (GH)'!G1395)</f>
        <v>Sony E</v>
      </c>
      <c r="J1395" t="str">
        <f>getSensorCompatibility('RawData (GH)'!H1395)</f>
        <v>APS-C</v>
      </c>
      <c r="K1395" s="45">
        <f>getWeightAsDouble('RawData (GH)'!I1395)</f>
        <v>69</v>
      </c>
      <c r="L1395" s="34">
        <f>getSizeDiameter('RawData (GH)'!J1395)</f>
        <v>63</v>
      </c>
      <c r="M1395" s="34">
        <f>getSizeLength('RawData (GH)'!J1395)</f>
        <v>20.399999999999999</v>
      </c>
    </row>
    <row r="1396" spans="1:13" x14ac:dyDescent="0.25">
      <c r="A1396" t="str">
        <f>'RawData (GH)'!A1396</f>
        <v>Sony E 24mm 1.8 schwarz</v>
      </c>
      <c r="B1396" s="5">
        <f>getFocalLengthStart('RawData (GH)'!B1396)</f>
        <v>24</v>
      </c>
      <c r="C1396" s="5">
        <f>getFocalLengthEnd('RawData (GH)'!B1396)</f>
        <v>24</v>
      </c>
      <c r="D1396" s="9">
        <f>getApertureStart('RawData (GH)'!C1396)</f>
        <v>1.8</v>
      </c>
      <c r="E1396" s="9">
        <f>getApertureEnd('RawData (GH)'!C1396)</f>
        <v>1.8</v>
      </c>
      <c r="F1396" s="2">
        <f>getFiltersizeAsDouble('RawData (GH)'!D1396)</f>
        <v>49</v>
      </c>
      <c r="G1396" s="35">
        <f>getMagnification('RawData (GH)'!E1396)</f>
        <v>4</v>
      </c>
      <c r="H1396" s="62">
        <f>getMinimalFocus('RawData (GH)'!F1396)</f>
        <v>0</v>
      </c>
      <c r="I1396" t="str">
        <f>getMount('RawData (GH)'!G1396)</f>
        <v>Sony E</v>
      </c>
      <c r="J1396" t="str">
        <f>getSensorCompatibility('RawData (GH)'!H1396)</f>
        <v>APS-C</v>
      </c>
      <c r="K1396" s="45">
        <f>getWeightAsDouble('RawData (GH)'!I1396)</f>
        <v>225</v>
      </c>
      <c r="L1396" s="34">
        <f>getSizeDiameter('RawData (GH)'!J1396)</f>
        <v>63</v>
      </c>
      <c r="M1396" s="34">
        <f>getSizeLength('RawData (GH)'!J1396)</f>
        <v>65.5</v>
      </c>
    </row>
    <row r="1397" spans="1:13" x14ac:dyDescent="0.25">
      <c r="A1397" t="str">
        <f>'RawData (GH)'!A1397</f>
        <v>Sony E 28-135mm 4.0 G PZ OSS schwarz</v>
      </c>
      <c r="B1397" s="5">
        <f>getFocalLengthStart('RawData (GH)'!B1397)</f>
        <v>28</v>
      </c>
      <c r="C1397" s="5">
        <f>getFocalLengthEnd('RawData (GH)'!B1397)</f>
        <v>135</v>
      </c>
      <c r="D1397" s="9">
        <f>getApertureStart('RawData (GH)'!C1397)</f>
        <v>4</v>
      </c>
      <c r="E1397" s="9">
        <f>getApertureEnd('RawData (GH)'!C1397)</f>
        <v>4</v>
      </c>
      <c r="F1397" s="2">
        <f>getFiltersizeAsDouble('RawData (GH)'!D1397)</f>
        <v>95</v>
      </c>
      <c r="G1397" s="35">
        <f>getMagnification('RawData (GH)'!E1397)</f>
        <v>6.67</v>
      </c>
      <c r="H1397" s="62">
        <f>getMinimalFocus('RawData (GH)'!F1397)</f>
        <v>0</v>
      </c>
      <c r="I1397" t="str">
        <f>getMount('RawData (GH)'!G1397)</f>
        <v>Sony E</v>
      </c>
      <c r="J1397" t="str">
        <f>getSensorCompatibility('RawData (GH)'!H1397)</f>
        <v>APS-C/ Kleinbild</v>
      </c>
      <c r="K1397" s="45">
        <f>getWeightAsDouble('RawData (GH)'!I1397)</f>
        <v>1120</v>
      </c>
      <c r="L1397" s="34">
        <f>getSizeDiameter('RawData (GH)'!J1397)</f>
        <v>105</v>
      </c>
      <c r="M1397" s="34">
        <f>getSizeLength('RawData (GH)'!J1397)</f>
        <v>162.5</v>
      </c>
    </row>
    <row r="1398" spans="1:13" x14ac:dyDescent="0.25">
      <c r="A1398" t="str">
        <f>'RawData (GH)'!A1398</f>
        <v>Sony E 30mm 3.5 Makro silber</v>
      </c>
      <c r="B1398" s="5">
        <f>getFocalLengthStart('RawData (GH)'!B1398)</f>
        <v>30</v>
      </c>
      <c r="C1398" s="5">
        <f>getFocalLengthEnd('RawData (GH)'!B1398)</f>
        <v>30</v>
      </c>
      <c r="D1398" s="9">
        <f>getApertureStart('RawData (GH)'!C1398)</f>
        <v>3.5</v>
      </c>
      <c r="E1398" s="9">
        <f>getApertureEnd('RawData (GH)'!C1398)</f>
        <v>3.5</v>
      </c>
      <c r="F1398" s="2">
        <f>getFiltersizeAsDouble('RawData (GH)'!D1398)</f>
        <v>49</v>
      </c>
      <c r="G1398" s="35">
        <f>getMagnification('RawData (GH)'!E1398)</f>
        <v>1</v>
      </c>
      <c r="H1398" s="62">
        <f>getMinimalFocus('RawData (GH)'!F1398)</f>
        <v>0</v>
      </c>
      <c r="I1398" t="str">
        <f>getMount('RawData (GH)'!G1398)</f>
        <v>Sony E</v>
      </c>
      <c r="J1398" t="str">
        <f>getSensorCompatibility('RawData (GH)'!H1398)</f>
        <v>APS-C</v>
      </c>
      <c r="K1398" s="45">
        <f>getWeightAsDouble('RawData (GH)'!I1398)</f>
        <v>138</v>
      </c>
      <c r="L1398" s="34">
        <f>getSizeDiameter('RawData (GH)'!J1398)</f>
        <v>62</v>
      </c>
      <c r="M1398" s="34">
        <f>getSizeLength('RawData (GH)'!J1398)</f>
        <v>55.5</v>
      </c>
    </row>
    <row r="1399" spans="1:13" x14ac:dyDescent="0.25">
      <c r="A1399" t="str">
        <f>'RawData (GH)'!A1399</f>
        <v>Sony E 35mm 1.8 OSS schwarz</v>
      </c>
      <c r="B1399" s="5">
        <f>getFocalLengthStart('RawData (GH)'!B1399)</f>
        <v>35</v>
      </c>
      <c r="C1399" s="5">
        <f>getFocalLengthEnd('RawData (GH)'!B1399)</f>
        <v>35</v>
      </c>
      <c r="D1399" s="9">
        <f>getApertureStart('RawData (GH)'!C1399)</f>
        <v>1.8</v>
      </c>
      <c r="E1399" s="9">
        <f>getApertureEnd('RawData (GH)'!C1399)</f>
        <v>1.8</v>
      </c>
      <c r="F1399" s="2">
        <f>getFiltersizeAsDouble('RawData (GH)'!D1399)</f>
        <v>49</v>
      </c>
      <c r="G1399" s="35">
        <f>getMagnification('RawData (GH)'!E1399)</f>
        <v>6.67</v>
      </c>
      <c r="H1399" s="62">
        <f>getMinimalFocus('RawData (GH)'!F1399)</f>
        <v>0</v>
      </c>
      <c r="I1399" t="str">
        <f>getMount('RawData (GH)'!G1399)</f>
        <v>Sony E</v>
      </c>
      <c r="J1399" t="str">
        <f>getSensorCompatibility('RawData (GH)'!H1399)</f>
        <v>APS-C</v>
      </c>
      <c r="K1399" s="45">
        <f>getWeightAsDouble('RawData (GH)'!I1399)</f>
        <v>155</v>
      </c>
      <c r="L1399" s="34">
        <f>getSizeDiameter('RawData (GH)'!J1399)</f>
        <v>62</v>
      </c>
      <c r="M1399" s="34">
        <f>getSizeLength('RawData (GH)'!J1399)</f>
        <v>55.5</v>
      </c>
    </row>
    <row r="1400" spans="1:13" x14ac:dyDescent="0.25">
      <c r="A1400" t="str">
        <f>'RawData (GH)'!A1400</f>
        <v>Sony E 50mm 1.8 OSS schwarz</v>
      </c>
      <c r="B1400" s="5">
        <f>getFocalLengthStart('RawData (GH)'!B1400)</f>
        <v>50</v>
      </c>
      <c r="C1400" s="5">
        <f>getFocalLengthEnd('RawData (GH)'!B1400)</f>
        <v>50</v>
      </c>
      <c r="D1400" s="9">
        <f>getApertureStart('RawData (GH)'!C1400)</f>
        <v>1.8</v>
      </c>
      <c r="E1400" s="9">
        <f>getApertureEnd('RawData (GH)'!C1400)</f>
        <v>1.8</v>
      </c>
      <c r="F1400" s="2">
        <f>getFiltersizeAsDouble('RawData (GH)'!D1400)</f>
        <v>49</v>
      </c>
      <c r="G1400" s="35">
        <f>getMagnification('RawData (GH)'!E1400)</f>
        <v>6.25</v>
      </c>
      <c r="H1400" s="62">
        <f>getMinimalFocus('RawData (GH)'!F1400)</f>
        <v>0</v>
      </c>
      <c r="I1400" t="str">
        <f>getMount('RawData (GH)'!G1400)</f>
        <v>Sony E</v>
      </c>
      <c r="J1400" t="str">
        <f>getSensorCompatibility('RawData (GH)'!H1400)</f>
        <v>APS-C</v>
      </c>
      <c r="K1400" s="45">
        <f>getWeightAsDouble('RawData (GH)'!I1400)</f>
        <v>202</v>
      </c>
      <c r="L1400" s="34">
        <f>getSizeDiameter('RawData (GH)'!J1400)</f>
        <v>62</v>
      </c>
      <c r="M1400" s="34">
        <f>getSizeLength('RawData (GH)'!J1400)</f>
        <v>62</v>
      </c>
    </row>
    <row r="1401" spans="1:13" x14ac:dyDescent="0.25">
      <c r="A1401" t="str">
        <f>'RawData (GH)'!A1401</f>
        <v>Sony E 50mm 1.8 OSS silber</v>
      </c>
      <c r="B1401" s="5">
        <f>getFocalLengthStart('RawData (GH)'!B1401)</f>
        <v>50</v>
      </c>
      <c r="C1401" s="5">
        <f>getFocalLengthEnd('RawData (GH)'!B1401)</f>
        <v>50</v>
      </c>
      <c r="D1401" s="9">
        <f>getApertureStart('RawData (GH)'!C1401)</f>
        <v>1.8</v>
      </c>
      <c r="E1401" s="9">
        <f>getApertureEnd('RawData (GH)'!C1401)</f>
        <v>1.8</v>
      </c>
      <c r="F1401" s="2">
        <f>getFiltersizeAsDouble('RawData (GH)'!D1401)</f>
        <v>49</v>
      </c>
      <c r="G1401" s="35">
        <f>getMagnification('RawData (GH)'!E1401)</f>
        <v>6.25</v>
      </c>
      <c r="H1401" s="62">
        <f>getMinimalFocus('RawData (GH)'!F1401)</f>
        <v>0</v>
      </c>
      <c r="I1401" t="str">
        <f>getMount('RawData (GH)'!G1401)</f>
        <v>Sony E</v>
      </c>
      <c r="J1401" t="str">
        <f>getSensorCompatibility('RawData (GH)'!H1401)</f>
        <v>APS-C</v>
      </c>
      <c r="K1401" s="45">
        <f>getWeightAsDouble('RawData (GH)'!I1401)</f>
        <v>202</v>
      </c>
      <c r="L1401" s="34">
        <f>getSizeDiameter('RawData (GH)'!J1401)</f>
        <v>62</v>
      </c>
      <c r="M1401" s="34">
        <f>getSizeLength('RawData (GH)'!J1401)</f>
        <v>62</v>
      </c>
    </row>
    <row r="1402" spans="1:13" x14ac:dyDescent="0.25">
      <c r="A1402" t="str">
        <f>'RawData (GH)'!A1402</f>
        <v>Sony E 55-210mm 4.5-6.3 OSS schwarz</v>
      </c>
      <c r="B1402" s="5">
        <f>getFocalLengthStart('RawData (GH)'!B1402)</f>
        <v>55</v>
      </c>
      <c r="C1402" s="5">
        <f>getFocalLengthEnd('RawData (GH)'!B1402)</f>
        <v>210</v>
      </c>
      <c r="D1402" s="9">
        <f>getApertureStart('RawData (GH)'!C1402)</f>
        <v>4.5</v>
      </c>
      <c r="E1402" s="9">
        <f>getApertureEnd('RawData (GH)'!C1402)</f>
        <v>6.3</v>
      </c>
      <c r="F1402" s="2">
        <f>getFiltersizeAsDouble('RawData (GH)'!D1402)</f>
        <v>49</v>
      </c>
      <c r="G1402" s="35">
        <f>getMagnification('RawData (GH)'!E1402)</f>
        <v>4.4400000000000004</v>
      </c>
      <c r="H1402" s="62">
        <f>getMinimalFocus('RawData (GH)'!F1402)</f>
        <v>0</v>
      </c>
      <c r="I1402" t="str">
        <f>getMount('RawData (GH)'!G1402)</f>
        <v>Sony E</v>
      </c>
      <c r="J1402" t="str">
        <f>getSensorCompatibility('RawData (GH)'!H1402)</f>
        <v>APS-C</v>
      </c>
      <c r="K1402" s="45">
        <f>getWeightAsDouble('RawData (GH)'!I1402)</f>
        <v>345</v>
      </c>
      <c r="L1402" s="34">
        <f>getSizeDiameter('RawData (GH)'!J1402)</f>
        <v>63.8</v>
      </c>
      <c r="M1402" s="34">
        <f>getSizeLength('RawData (GH)'!J1402)</f>
        <v>108</v>
      </c>
    </row>
    <row r="1403" spans="1:13" x14ac:dyDescent="0.25">
      <c r="A1403" t="str">
        <f>'RawData (GH)'!A1403</f>
        <v>Sony E 55-210mm 4.5-6.3 OSS silber</v>
      </c>
      <c r="B1403" s="5">
        <f>getFocalLengthStart('RawData (GH)'!B1403)</f>
        <v>55</v>
      </c>
      <c r="C1403" s="5">
        <f>getFocalLengthEnd('RawData (GH)'!B1403)</f>
        <v>210</v>
      </c>
      <c r="D1403" s="9">
        <f>getApertureStart('RawData (GH)'!C1403)</f>
        <v>4.5</v>
      </c>
      <c r="E1403" s="9">
        <f>getApertureEnd('RawData (GH)'!C1403)</f>
        <v>6.3</v>
      </c>
      <c r="F1403" s="2">
        <f>getFiltersizeAsDouble('RawData (GH)'!D1403)</f>
        <v>49</v>
      </c>
      <c r="G1403" s="35">
        <f>getMagnification('RawData (GH)'!E1403)</f>
        <v>4.4400000000000004</v>
      </c>
      <c r="H1403" s="62">
        <f>getMinimalFocus('RawData (GH)'!F1403)</f>
        <v>0</v>
      </c>
      <c r="I1403" t="str">
        <f>getMount('RawData (GH)'!G1403)</f>
        <v>Sony E</v>
      </c>
      <c r="J1403" t="str">
        <f>getSensorCompatibility('RawData (GH)'!H1403)</f>
        <v>APS-C</v>
      </c>
      <c r="K1403" s="45">
        <f>getWeightAsDouble('RawData (GH)'!I1403)</f>
        <v>345</v>
      </c>
      <c r="L1403" s="34">
        <f>getSizeDiameter('RawData (GH)'!J1403)</f>
        <v>63.8</v>
      </c>
      <c r="M1403" s="34">
        <f>getSizeLength('RawData (GH)'!J1403)</f>
        <v>108</v>
      </c>
    </row>
    <row r="1404" spans="1:13" x14ac:dyDescent="0.25">
      <c r="A1404" t="str">
        <f>'RawData (GH)'!A1404</f>
        <v>Sony E PZ 18-105mm 4.0 G OSS schwarz</v>
      </c>
      <c r="B1404" s="5">
        <f>getFocalLengthStart('RawData (GH)'!B1404)</f>
        <v>18</v>
      </c>
      <c r="C1404" s="5">
        <f>getFocalLengthEnd('RawData (GH)'!B1404)</f>
        <v>105</v>
      </c>
      <c r="D1404" s="9">
        <f>getApertureStart('RawData (GH)'!C1404)</f>
        <v>4</v>
      </c>
      <c r="E1404" s="9">
        <f>getApertureEnd('RawData (GH)'!C1404)</f>
        <v>4</v>
      </c>
      <c r="F1404" s="2">
        <f>getFiltersizeAsDouble('RawData (GH)'!D1404)</f>
        <v>72</v>
      </c>
      <c r="G1404" s="35">
        <f>getMagnification('RawData (GH)'!E1404)</f>
        <v>9.09</v>
      </c>
      <c r="H1404" s="62">
        <f>getMinimalFocus('RawData (GH)'!F1404)</f>
        <v>0</v>
      </c>
      <c r="I1404" t="str">
        <f>getMount('RawData (GH)'!G1404)</f>
        <v>Sony E</v>
      </c>
      <c r="J1404" t="str">
        <f>getSensorCompatibility('RawData (GH)'!H1404)</f>
        <v>APS-C</v>
      </c>
      <c r="K1404" s="45">
        <f>getWeightAsDouble('RawData (GH)'!I1404)</f>
        <v>427</v>
      </c>
      <c r="L1404" s="34">
        <f>getSizeDiameter('RawData (GH)'!J1404)</f>
        <v>78</v>
      </c>
      <c r="M1404" s="34">
        <f>getSizeLength('RawData (GH)'!J1404)</f>
        <v>110</v>
      </c>
    </row>
    <row r="1405" spans="1:13" x14ac:dyDescent="0.25">
      <c r="A1405" t="str">
        <f>'RawData (GH)'!A1405</f>
        <v>Sony E PZ 18-110mm 4.0 G OSS schwarz</v>
      </c>
      <c r="B1405" s="5">
        <f>getFocalLengthStart('RawData (GH)'!B1405)</f>
        <v>18</v>
      </c>
      <c r="C1405" s="5">
        <f>getFocalLengthEnd('RawData (GH)'!B1405)</f>
        <v>110</v>
      </c>
      <c r="D1405" s="9">
        <f>getApertureStart('RawData (GH)'!C1405)</f>
        <v>4</v>
      </c>
      <c r="E1405" s="9">
        <f>getApertureEnd('RawData (GH)'!C1405)</f>
        <v>4</v>
      </c>
      <c r="F1405" s="2">
        <f>getFiltersizeAsDouble('RawData (GH)'!D1405)</f>
        <v>95</v>
      </c>
      <c r="G1405" s="35">
        <f>getMagnification('RawData (GH)'!E1405)</f>
        <v>8.1999999999999993</v>
      </c>
      <c r="H1405" s="62">
        <f>getMinimalFocus('RawData (GH)'!F1405)</f>
        <v>0</v>
      </c>
      <c r="I1405" t="str">
        <f>getMount('RawData (GH)'!G1405)</f>
        <v>Sony E</v>
      </c>
      <c r="J1405" t="str">
        <f>getSensorCompatibility('RawData (GH)'!H1405)</f>
        <v>APS-C</v>
      </c>
      <c r="K1405" s="45">
        <f>getWeightAsDouble('RawData (GH)'!I1405)</f>
        <v>1110</v>
      </c>
      <c r="L1405" s="34">
        <f>getSizeDiameter('RawData (GH)'!J1405)</f>
        <v>110</v>
      </c>
      <c r="M1405" s="34">
        <f>getSizeLength('RawData (GH)'!J1405)</f>
        <v>167.5</v>
      </c>
    </row>
    <row r="1406" spans="1:13" x14ac:dyDescent="0.25">
      <c r="A1406" t="str">
        <f>'RawData (GH)'!A1406</f>
        <v>Sony E PZ 18-200mm 3.5-6.3 OSS schwarz</v>
      </c>
      <c r="B1406" s="5">
        <f>getFocalLengthStart('RawData (GH)'!B1406)</f>
        <v>18</v>
      </c>
      <c r="C1406" s="5">
        <f>getFocalLengthEnd('RawData (GH)'!B1406)</f>
        <v>200</v>
      </c>
      <c r="D1406" s="9">
        <f>getApertureStart('RawData (GH)'!C1406)</f>
        <v>3.5</v>
      </c>
      <c r="E1406" s="9">
        <f>getApertureEnd('RawData (GH)'!C1406)</f>
        <v>6.3</v>
      </c>
      <c r="F1406" s="2">
        <f>getFiltersizeAsDouble('RawData (GH)'!D1406)</f>
        <v>67</v>
      </c>
      <c r="G1406" s="35">
        <f>getMagnification('RawData (GH)'!E1406)</f>
        <v>2.86</v>
      </c>
      <c r="H1406" s="62">
        <f>getMinimalFocus('RawData (GH)'!F1406)</f>
        <v>0</v>
      </c>
      <c r="I1406" t="str">
        <f>getMount('RawData (GH)'!G1406)</f>
        <v>Sony E</v>
      </c>
      <c r="J1406" t="str">
        <f>getSensorCompatibility('RawData (GH)'!H1406)</f>
        <v>APS-C</v>
      </c>
      <c r="K1406" s="45">
        <f>getWeightAsDouble('RawData (GH)'!I1406)</f>
        <v>649</v>
      </c>
      <c r="L1406" s="34">
        <f>getSizeDiameter('RawData (GH)'!J1406)</f>
        <v>93.2</v>
      </c>
      <c r="M1406" s="34">
        <f>getSizeLength('RawData (GH)'!J1406)</f>
        <v>99</v>
      </c>
    </row>
    <row r="1407" spans="1:13" x14ac:dyDescent="0.25">
      <c r="A1407" t="str">
        <f>'RawData (GH)'!A1407</f>
        <v>Sony FE 100-400mm 4.5-5.6 GM OSS weiß</v>
      </c>
      <c r="B1407" s="5">
        <f>getFocalLengthStart('RawData (GH)'!B1407)</f>
        <v>100</v>
      </c>
      <c r="C1407" s="5">
        <f>getFocalLengthEnd('RawData (GH)'!B1407)</f>
        <v>400</v>
      </c>
      <c r="D1407" s="9">
        <f>getApertureStart('RawData (GH)'!C1407)</f>
        <v>4.5</v>
      </c>
      <c r="E1407" s="9">
        <f>getApertureEnd('RawData (GH)'!C1407)</f>
        <v>5.6</v>
      </c>
      <c r="F1407" s="2">
        <f>getFiltersizeAsDouble('RawData (GH)'!D1407)</f>
        <v>77</v>
      </c>
      <c r="G1407" s="35">
        <f>getMagnification('RawData (GH)'!E1407)</f>
        <v>2.86</v>
      </c>
      <c r="H1407" s="62">
        <f>getMinimalFocus('RawData (GH)'!F1407)</f>
        <v>0</v>
      </c>
      <c r="I1407" t="str">
        <f>getMount('RawData (GH)'!G1407)</f>
        <v>Sony E</v>
      </c>
      <c r="J1407" t="str">
        <f>getSensorCompatibility('RawData (GH)'!H1407)</f>
        <v>APS-C/ Kleinbild</v>
      </c>
      <c r="K1407" s="45">
        <f>getWeightAsDouble('RawData (GH)'!I1407)</f>
        <v>1400</v>
      </c>
      <c r="L1407" s="34">
        <f>getSizeDiameter('RawData (GH)'!J1407)</f>
        <v>93.9</v>
      </c>
      <c r="M1407" s="34">
        <f>getSizeLength('RawData (GH)'!J1407)</f>
        <v>205</v>
      </c>
    </row>
    <row r="1408" spans="1:13" x14ac:dyDescent="0.25">
      <c r="A1408" t="str">
        <f>'RawData (GH)'!A1408</f>
        <v>Sony FE 100mm 2.8 STF GM OSS schwarz</v>
      </c>
      <c r="B1408" s="5">
        <f>getFocalLengthStart('RawData (GH)'!B1408)</f>
        <v>100</v>
      </c>
      <c r="C1408" s="5">
        <f>getFocalLengthEnd('RawData (GH)'!B1408)</f>
        <v>100</v>
      </c>
      <c r="D1408" s="9">
        <f>getApertureStart('RawData (GH)'!C1408)</f>
        <v>2.8</v>
      </c>
      <c r="E1408" s="9">
        <f>getApertureEnd('RawData (GH)'!C1408)</f>
        <v>2.8</v>
      </c>
      <c r="F1408" s="2">
        <f>getFiltersizeAsDouble('RawData (GH)'!D1408)</f>
        <v>72</v>
      </c>
      <c r="G1408" s="35">
        <f>getMagnification('RawData (GH)'!E1408)</f>
        <v>7.14</v>
      </c>
      <c r="H1408" s="62">
        <f>getMinimalFocus('RawData (GH)'!F1408)</f>
        <v>0</v>
      </c>
      <c r="I1408" t="str">
        <f>getMount('RawData (GH)'!G1408)</f>
        <v>Sony E</v>
      </c>
      <c r="J1408" t="str">
        <f>getSensorCompatibility('RawData (GH)'!H1408)</f>
        <v>APS-C/ Kleinbild</v>
      </c>
      <c r="K1408" s="45">
        <f>getWeightAsDouble('RawData (GH)'!I1408)</f>
        <v>700</v>
      </c>
      <c r="L1408" s="34">
        <f>getSizeDiameter('RawData (GH)'!J1408)</f>
        <v>85.2</v>
      </c>
      <c r="M1408" s="34">
        <f>getSizeLength('RawData (GH)'!J1408)</f>
        <v>118.1</v>
      </c>
    </row>
    <row r="1409" spans="1:13" x14ac:dyDescent="0.25">
      <c r="A1409" t="str">
        <f>'RawData (GH)'!A1409</f>
        <v>Sony FE 12-24mm 4.0 G schwarz</v>
      </c>
      <c r="B1409" s="5">
        <f>getFocalLengthStart('RawData (GH)'!B1409)</f>
        <v>12</v>
      </c>
      <c r="C1409" s="5">
        <f>getFocalLengthEnd('RawData (GH)'!B1409)</f>
        <v>24</v>
      </c>
      <c r="D1409" s="9">
        <f>getApertureStart('RawData (GH)'!C1409)</f>
        <v>4</v>
      </c>
      <c r="E1409" s="9">
        <f>getApertureEnd('RawData (GH)'!C1409)</f>
        <v>4</v>
      </c>
      <c r="F1409" s="2">
        <f>getFiltersizeAsDouble('RawData (GH)'!D1409)</f>
        <v>0</v>
      </c>
      <c r="G1409" s="35">
        <f>getMagnification('RawData (GH)'!E1409)</f>
        <v>7.14</v>
      </c>
      <c r="H1409" s="62">
        <f>getMinimalFocus('RawData (GH)'!F1409)</f>
        <v>0</v>
      </c>
      <c r="I1409" t="str">
        <f>getMount('RawData (GH)'!G1409)</f>
        <v>Sony E</v>
      </c>
      <c r="J1409" t="str">
        <f>getSensorCompatibility('RawData (GH)'!H1409)</f>
        <v>APS-C/ Kleinbild</v>
      </c>
      <c r="K1409" s="45">
        <f>getWeightAsDouble('RawData (GH)'!I1409)</f>
        <v>565</v>
      </c>
      <c r="L1409" s="34">
        <f>getSizeDiameter('RawData (GH)'!J1409)</f>
        <v>87</v>
      </c>
      <c r="M1409" s="34">
        <f>getSizeLength('RawData (GH)'!J1409)</f>
        <v>117.4</v>
      </c>
    </row>
    <row r="1410" spans="1:13" x14ac:dyDescent="0.25">
      <c r="A1410" t="str">
        <f>'RawData (GH)'!A1410</f>
        <v>Sony FE 16-35mm 2.8 GM schwarz</v>
      </c>
      <c r="B1410" s="5">
        <f>getFocalLengthStart('RawData (GH)'!B1410)</f>
        <v>16</v>
      </c>
      <c r="C1410" s="5">
        <f>getFocalLengthEnd('RawData (GH)'!B1410)</f>
        <v>35</v>
      </c>
      <c r="D1410" s="9">
        <f>getApertureStart('RawData (GH)'!C1410)</f>
        <v>2.8</v>
      </c>
      <c r="E1410" s="9">
        <f>getApertureEnd('RawData (GH)'!C1410)</f>
        <v>2.8</v>
      </c>
      <c r="F1410" s="2">
        <f>getFiltersizeAsDouble('RawData (GH)'!D1410)</f>
        <v>82</v>
      </c>
      <c r="G1410" s="35">
        <f>getMagnification('RawData (GH)'!E1410)</f>
        <v>5.26</v>
      </c>
      <c r="H1410" s="62">
        <f>getMinimalFocus('RawData (GH)'!F1410)</f>
        <v>0</v>
      </c>
      <c r="I1410" t="str">
        <f>getMount('RawData (GH)'!G1410)</f>
        <v>Sony E</v>
      </c>
      <c r="J1410" t="str">
        <f>getSensorCompatibility('RawData (GH)'!H1410)</f>
        <v>APS-C/ Kleinbild</v>
      </c>
      <c r="K1410" s="45">
        <f>getWeightAsDouble('RawData (GH)'!I1410)</f>
        <v>680</v>
      </c>
      <c r="L1410" s="34">
        <f>getSizeDiameter('RawData (GH)'!J1410)</f>
        <v>88.5</v>
      </c>
      <c r="M1410" s="34">
        <f>getSizeLength('RawData (GH)'!J1410)</f>
        <v>121.6</v>
      </c>
    </row>
    <row r="1411" spans="1:13" x14ac:dyDescent="0.25">
      <c r="A1411" t="str">
        <f>'RawData (GH)'!A1411</f>
        <v>Sony FE 16-35mm 4.0 ZA OSS schwarz</v>
      </c>
      <c r="B1411" s="5">
        <f>getFocalLengthStart('RawData (GH)'!B1411)</f>
        <v>16</v>
      </c>
      <c r="C1411" s="5">
        <f>getFocalLengthEnd('RawData (GH)'!B1411)</f>
        <v>35</v>
      </c>
      <c r="D1411" s="9">
        <f>getApertureStart('RawData (GH)'!C1411)</f>
        <v>4</v>
      </c>
      <c r="E1411" s="9">
        <f>getApertureEnd('RawData (GH)'!C1411)</f>
        <v>4</v>
      </c>
      <c r="F1411" s="2">
        <f>getFiltersizeAsDouble('RawData (GH)'!D1411)</f>
        <v>72</v>
      </c>
      <c r="G1411" s="35">
        <f>getMagnification('RawData (GH)'!E1411)</f>
        <v>5.26</v>
      </c>
      <c r="H1411" s="62">
        <f>getMinimalFocus('RawData (GH)'!F1411)</f>
        <v>0</v>
      </c>
      <c r="I1411" t="str">
        <f>getMount('RawData (GH)'!G1411)</f>
        <v>Sony E</v>
      </c>
      <c r="J1411" t="str">
        <f>getSensorCompatibility('RawData (GH)'!H1411)</f>
        <v>APS-C/ Kleinbild</v>
      </c>
      <c r="K1411" s="45">
        <f>getWeightAsDouble('RawData (GH)'!I1411)</f>
        <v>518</v>
      </c>
      <c r="L1411" s="34">
        <f>getSizeDiameter('RawData (GH)'!J1411)</f>
        <v>78</v>
      </c>
      <c r="M1411" s="34">
        <f>getSizeLength('RawData (GH)'!J1411)</f>
        <v>98.5</v>
      </c>
    </row>
    <row r="1412" spans="1:13" x14ac:dyDescent="0.25">
      <c r="A1412" t="str">
        <f>'RawData (GH)'!A1412</f>
        <v>Sony FE 24-105mm 4.0 G OSS schwarz</v>
      </c>
      <c r="B1412" s="5">
        <f>getFocalLengthStart('RawData (GH)'!B1412)</f>
        <v>24</v>
      </c>
      <c r="C1412" s="5">
        <f>getFocalLengthEnd('RawData (GH)'!B1412)</f>
        <v>105</v>
      </c>
      <c r="D1412" s="9">
        <f>getApertureStart('RawData (GH)'!C1412)</f>
        <v>4</v>
      </c>
      <c r="E1412" s="9">
        <f>getApertureEnd('RawData (GH)'!C1412)</f>
        <v>4</v>
      </c>
      <c r="F1412" s="2">
        <f>getFiltersizeAsDouble('RawData (GH)'!D1412)</f>
        <v>77</v>
      </c>
      <c r="G1412" s="35">
        <f>getMagnification('RawData (GH)'!E1412)</f>
        <v>3.23</v>
      </c>
      <c r="H1412" s="62">
        <f>getMinimalFocus('RawData (GH)'!F1412)</f>
        <v>0</v>
      </c>
      <c r="I1412" t="str">
        <f>getMount('RawData (GH)'!G1412)</f>
        <v>Sony E</v>
      </c>
      <c r="J1412" t="str">
        <f>getSensorCompatibility('RawData (GH)'!H1412)</f>
        <v>APS-C/ Kleinbild</v>
      </c>
      <c r="K1412" s="45">
        <f>getWeightAsDouble('RawData (GH)'!I1412)</f>
        <v>663</v>
      </c>
      <c r="L1412" s="34">
        <f>getSizeDiameter('RawData (GH)'!J1412)</f>
        <v>83.4</v>
      </c>
      <c r="M1412" s="34">
        <f>getSizeLength('RawData (GH)'!J1412)</f>
        <v>113.3</v>
      </c>
    </row>
    <row r="1413" spans="1:13" x14ac:dyDescent="0.25">
      <c r="A1413" t="str">
        <f>'RawData (GH)'!A1413</f>
        <v>Sony FE 24-240mm 3.5-6.3 OSS schwarz</v>
      </c>
      <c r="B1413" s="5">
        <f>getFocalLengthStart('RawData (GH)'!B1413)</f>
        <v>24</v>
      </c>
      <c r="C1413" s="5">
        <f>getFocalLengthEnd('RawData (GH)'!B1413)</f>
        <v>240</v>
      </c>
      <c r="D1413" s="9">
        <f>getApertureStart('RawData (GH)'!C1413)</f>
        <v>3.5</v>
      </c>
      <c r="E1413" s="9">
        <f>getApertureEnd('RawData (GH)'!C1413)</f>
        <v>6.3</v>
      </c>
      <c r="F1413" s="2">
        <f>getFiltersizeAsDouble('RawData (GH)'!D1413)</f>
        <v>72</v>
      </c>
      <c r="G1413" s="35">
        <f>getMagnification('RawData (GH)'!E1413)</f>
        <v>3.7</v>
      </c>
      <c r="H1413" s="62">
        <f>getMinimalFocus('RawData (GH)'!F1413)</f>
        <v>0</v>
      </c>
      <c r="I1413" t="str">
        <f>getMount('RawData (GH)'!G1413)</f>
        <v>Sony E</v>
      </c>
      <c r="J1413" t="str">
        <f>getSensorCompatibility('RawData (GH)'!H1413)</f>
        <v>APS-C/ Kleinbild</v>
      </c>
      <c r="K1413" s="45">
        <f>getWeightAsDouble('RawData (GH)'!I1413)</f>
        <v>780</v>
      </c>
      <c r="L1413" s="34">
        <f>getSizeDiameter('RawData (GH)'!J1413)</f>
        <v>80.5</v>
      </c>
      <c r="M1413" s="34">
        <f>getSizeLength('RawData (GH)'!J1413)</f>
        <v>118.5</v>
      </c>
    </row>
    <row r="1414" spans="1:13" x14ac:dyDescent="0.25">
      <c r="A1414" t="str">
        <f>'RawData (GH)'!A1414</f>
        <v>Sony FE 24-70mm 2.8 GM schwarz</v>
      </c>
      <c r="B1414" s="5">
        <f>getFocalLengthStart('RawData (GH)'!B1414)</f>
        <v>24</v>
      </c>
      <c r="C1414" s="5">
        <f>getFocalLengthEnd('RawData (GH)'!B1414)</f>
        <v>70</v>
      </c>
      <c r="D1414" s="9">
        <f>getApertureStart('RawData (GH)'!C1414)</f>
        <v>2.8</v>
      </c>
      <c r="E1414" s="9">
        <f>getApertureEnd('RawData (GH)'!C1414)</f>
        <v>2.8</v>
      </c>
      <c r="F1414" s="2">
        <f>getFiltersizeAsDouble('RawData (GH)'!D1414)</f>
        <v>82</v>
      </c>
      <c r="G1414" s="35">
        <f>getMagnification('RawData (GH)'!E1414)</f>
        <v>4.17</v>
      </c>
      <c r="H1414" s="62">
        <f>getMinimalFocus('RawData (GH)'!F1414)</f>
        <v>0</v>
      </c>
      <c r="I1414" t="str">
        <f>getMount('RawData (GH)'!G1414)</f>
        <v>Sony E</v>
      </c>
      <c r="J1414" t="str">
        <f>getSensorCompatibility('RawData (GH)'!H1414)</f>
        <v>APS-C/ Kleinbild</v>
      </c>
      <c r="K1414" s="45">
        <f>getWeightAsDouble('RawData (GH)'!I1414)</f>
        <v>886</v>
      </c>
      <c r="L1414" s="34">
        <f>getSizeDiameter('RawData (GH)'!J1414)</f>
        <v>87.6</v>
      </c>
      <c r="M1414" s="34">
        <f>getSizeLength('RawData (GH)'!J1414)</f>
        <v>136</v>
      </c>
    </row>
    <row r="1415" spans="1:13" x14ac:dyDescent="0.25">
      <c r="A1415" t="str">
        <f>'RawData (GH)'!A1415</f>
        <v>Sony FE 24-70mm 4.0 ZA OSS schwarz</v>
      </c>
      <c r="B1415" s="5">
        <f>getFocalLengthStart('RawData (GH)'!B1415)</f>
        <v>24</v>
      </c>
      <c r="C1415" s="5">
        <f>getFocalLengthEnd('RawData (GH)'!B1415)</f>
        <v>70</v>
      </c>
      <c r="D1415" s="9">
        <f>getApertureStart('RawData (GH)'!C1415)</f>
        <v>4</v>
      </c>
      <c r="E1415" s="9">
        <f>getApertureEnd('RawData (GH)'!C1415)</f>
        <v>4</v>
      </c>
      <c r="F1415" s="2">
        <f>getFiltersizeAsDouble('RawData (GH)'!D1415)</f>
        <v>67</v>
      </c>
      <c r="G1415" s="35">
        <f>getMagnification('RawData (GH)'!E1415)</f>
        <v>5</v>
      </c>
      <c r="H1415" s="62">
        <f>getMinimalFocus('RawData (GH)'!F1415)</f>
        <v>0</v>
      </c>
      <c r="I1415" t="str">
        <f>getMount('RawData (GH)'!G1415)</f>
        <v>Sony E</v>
      </c>
      <c r="J1415" t="str">
        <f>getSensorCompatibility('RawData (GH)'!H1415)</f>
        <v>APS-C/ Kleinbild</v>
      </c>
      <c r="K1415" s="45">
        <f>getWeightAsDouble('RawData (GH)'!I1415)</f>
        <v>426</v>
      </c>
      <c r="L1415" s="34">
        <f>getSizeDiameter('RawData (GH)'!J1415)</f>
        <v>73</v>
      </c>
      <c r="M1415" s="34">
        <f>getSizeLength('RawData (GH)'!J1415)</f>
        <v>94.5</v>
      </c>
    </row>
    <row r="1416" spans="1:13" x14ac:dyDescent="0.25">
      <c r="A1416" t="str">
        <f>'RawData (GH)'!A1416</f>
        <v>Sony FE 28-70mm 3.5-5.6 OSS schwarz</v>
      </c>
      <c r="B1416" s="5">
        <f>getFocalLengthStart('RawData (GH)'!B1416)</f>
        <v>28</v>
      </c>
      <c r="C1416" s="5">
        <f>getFocalLengthEnd('RawData (GH)'!B1416)</f>
        <v>70</v>
      </c>
      <c r="D1416" s="9">
        <f>getApertureStart('RawData (GH)'!C1416)</f>
        <v>3.5</v>
      </c>
      <c r="E1416" s="9">
        <f>getApertureEnd('RawData (GH)'!C1416)</f>
        <v>5.6</v>
      </c>
      <c r="F1416" s="2">
        <f>getFiltersizeAsDouble('RawData (GH)'!D1416)</f>
        <v>55</v>
      </c>
      <c r="G1416" s="35">
        <f>getMagnification('RawData (GH)'!E1416)</f>
        <v>5.26</v>
      </c>
      <c r="H1416" s="62">
        <f>getMinimalFocus('RawData (GH)'!F1416)</f>
        <v>0</v>
      </c>
      <c r="I1416" t="str">
        <f>getMount('RawData (GH)'!G1416)</f>
        <v>Sony E</v>
      </c>
      <c r="J1416" t="str">
        <f>getSensorCompatibility('RawData (GH)'!H1416)</f>
        <v>APS-C/ Kleinbild</v>
      </c>
      <c r="K1416" s="45">
        <f>getWeightAsDouble('RawData (GH)'!I1416)</f>
        <v>295</v>
      </c>
      <c r="L1416" s="34">
        <f>getSizeDiameter('RawData (GH)'!J1416)</f>
        <v>72.5</v>
      </c>
      <c r="M1416" s="34">
        <f>getSizeLength('RawData (GH)'!J1416)</f>
        <v>83</v>
      </c>
    </row>
    <row r="1417" spans="1:13" x14ac:dyDescent="0.25">
      <c r="A1417" t="str">
        <f>'RawData (GH)'!A1417</f>
        <v>Sony FE 28mm 2.0 schwarz</v>
      </c>
      <c r="B1417" s="5">
        <f>getFocalLengthStart('RawData (GH)'!B1417)</f>
        <v>28</v>
      </c>
      <c r="C1417" s="5">
        <f>getFocalLengthEnd('RawData (GH)'!B1417)</f>
        <v>28</v>
      </c>
      <c r="D1417" s="9">
        <f>getApertureStart('RawData (GH)'!C1417)</f>
        <v>2</v>
      </c>
      <c r="E1417" s="9">
        <f>getApertureEnd('RawData (GH)'!C1417)</f>
        <v>2</v>
      </c>
      <c r="F1417" s="2">
        <f>getFiltersizeAsDouble('RawData (GH)'!D1417)</f>
        <v>49</v>
      </c>
      <c r="G1417" s="35">
        <f>getMagnification('RawData (GH)'!E1417)</f>
        <v>7.69</v>
      </c>
      <c r="H1417" s="62">
        <f>getMinimalFocus('RawData (GH)'!F1417)</f>
        <v>0</v>
      </c>
      <c r="I1417" t="str">
        <f>getMount('RawData (GH)'!G1417)</f>
        <v>Sony E</v>
      </c>
      <c r="J1417" t="str">
        <f>getSensorCompatibility('RawData (GH)'!H1417)</f>
        <v>APS-C/ Kleinbild</v>
      </c>
      <c r="K1417" s="45">
        <f>getWeightAsDouble('RawData (GH)'!I1417)</f>
        <v>200</v>
      </c>
      <c r="L1417" s="34">
        <f>getSizeDiameter('RawData (GH)'!J1417)</f>
        <v>64</v>
      </c>
      <c r="M1417" s="34">
        <f>getSizeLength('RawData (GH)'!J1417)</f>
        <v>60</v>
      </c>
    </row>
    <row r="1418" spans="1:13" x14ac:dyDescent="0.25">
      <c r="A1418" t="str">
        <f>'RawData (GH)'!A1418</f>
        <v>Sony FE 35mm 1.4 ZA schwarz</v>
      </c>
      <c r="B1418" s="5">
        <f>getFocalLengthStart('RawData (GH)'!B1418)</f>
        <v>35</v>
      </c>
      <c r="C1418" s="5">
        <f>getFocalLengthEnd('RawData (GH)'!B1418)</f>
        <v>35</v>
      </c>
      <c r="D1418" s="9">
        <f>getApertureStart('RawData (GH)'!C1418)</f>
        <v>1.4</v>
      </c>
      <c r="E1418" s="9">
        <f>getApertureEnd('RawData (GH)'!C1418)</f>
        <v>1.4</v>
      </c>
      <c r="F1418" s="2">
        <f>getFiltersizeAsDouble('RawData (GH)'!D1418)</f>
        <v>72</v>
      </c>
      <c r="G1418" s="35">
        <f>getMagnification('RawData (GH)'!E1418)</f>
        <v>5.55</v>
      </c>
      <c r="H1418" s="62">
        <f>getMinimalFocus('RawData (GH)'!F1418)</f>
        <v>0</v>
      </c>
      <c r="I1418" t="str">
        <f>getMount('RawData (GH)'!G1418)</f>
        <v>Sony E</v>
      </c>
      <c r="J1418" t="str">
        <f>getSensorCompatibility('RawData (GH)'!H1418)</f>
        <v>APS-C/ Kleinbild</v>
      </c>
      <c r="K1418" s="45">
        <f>getWeightAsDouble('RawData (GH)'!I1418)</f>
        <v>630</v>
      </c>
      <c r="L1418" s="34">
        <f>getSizeDiameter('RawData (GH)'!J1418)</f>
        <v>78.5</v>
      </c>
      <c r="M1418" s="34">
        <f>getSizeLength('RawData (GH)'!J1418)</f>
        <v>112</v>
      </c>
    </row>
    <row r="1419" spans="1:13" x14ac:dyDescent="0.25">
      <c r="A1419" t="str">
        <f>'RawData (GH)'!A1419</f>
        <v>Sony FE 35mm 2.8 ZA schwarz</v>
      </c>
      <c r="B1419" s="5">
        <f>getFocalLengthStart('RawData (GH)'!B1419)</f>
        <v>35</v>
      </c>
      <c r="C1419" s="5">
        <f>getFocalLengthEnd('RawData (GH)'!B1419)</f>
        <v>35</v>
      </c>
      <c r="D1419" s="9">
        <f>getApertureStart('RawData (GH)'!C1419)</f>
        <v>2.8</v>
      </c>
      <c r="E1419" s="9">
        <f>getApertureEnd('RawData (GH)'!C1419)</f>
        <v>2.8</v>
      </c>
      <c r="F1419" s="2">
        <f>getFiltersizeAsDouble('RawData (GH)'!D1419)</f>
        <v>49</v>
      </c>
      <c r="G1419" s="35">
        <f>getMagnification('RawData (GH)'!E1419)</f>
        <v>8.33</v>
      </c>
      <c r="H1419" s="62">
        <f>getMinimalFocus('RawData (GH)'!F1419)</f>
        <v>0</v>
      </c>
      <c r="I1419" t="str">
        <f>getMount('RawData (GH)'!G1419)</f>
        <v>Sony E</v>
      </c>
      <c r="J1419" t="str">
        <f>getSensorCompatibility('RawData (GH)'!H1419)</f>
        <v>APS-C/ Kleinbild</v>
      </c>
      <c r="K1419" s="45">
        <f>getWeightAsDouble('RawData (GH)'!I1419)</f>
        <v>120</v>
      </c>
      <c r="L1419" s="34">
        <f>getSizeDiameter('RawData (GH)'!J1419)</f>
        <v>61.5</v>
      </c>
      <c r="M1419" s="34">
        <f>getSizeLength('RawData (GH)'!J1419)</f>
        <v>36.5</v>
      </c>
    </row>
    <row r="1420" spans="1:13" x14ac:dyDescent="0.25">
      <c r="A1420" t="str">
        <f>'RawData (GH)'!A1420</f>
        <v>Sony FE 50mm 1.4 ZA SSM schwarz</v>
      </c>
      <c r="B1420" s="5">
        <f>getFocalLengthStart('RawData (GH)'!B1420)</f>
        <v>50</v>
      </c>
      <c r="C1420" s="5">
        <f>getFocalLengthEnd('RawData (GH)'!B1420)</f>
        <v>50</v>
      </c>
      <c r="D1420" s="9">
        <f>getApertureStart('RawData (GH)'!C1420)</f>
        <v>1.4</v>
      </c>
      <c r="E1420" s="9">
        <f>getApertureEnd('RawData (GH)'!C1420)</f>
        <v>1.4</v>
      </c>
      <c r="F1420" s="2">
        <f>getFiltersizeAsDouble('RawData (GH)'!D1420)</f>
        <v>72</v>
      </c>
      <c r="G1420" s="35">
        <f>getMagnification('RawData (GH)'!E1420)</f>
        <v>6.67</v>
      </c>
      <c r="H1420" s="62">
        <f>getMinimalFocus('RawData (GH)'!F1420)</f>
        <v>0</v>
      </c>
      <c r="I1420" t="str">
        <f>getMount('RawData (GH)'!G1420)</f>
        <v>Sony E</v>
      </c>
      <c r="J1420" t="str">
        <f>getSensorCompatibility('RawData (GH)'!H1420)</f>
        <v>APS-C/ Kleinbild</v>
      </c>
      <c r="K1420" s="45">
        <f>getWeightAsDouble('RawData (GH)'!I1420)</f>
        <v>778</v>
      </c>
      <c r="L1420" s="34">
        <f>getSizeDiameter('RawData (GH)'!J1420)</f>
        <v>83.5</v>
      </c>
      <c r="M1420" s="34">
        <f>getSizeLength('RawData (GH)'!J1420)</f>
        <v>108</v>
      </c>
    </row>
    <row r="1421" spans="1:13" x14ac:dyDescent="0.25">
      <c r="A1421" t="str">
        <f>'RawData (GH)'!A1421</f>
        <v>Sony FE 50mm 1.8 schwarz</v>
      </c>
      <c r="B1421" s="5">
        <f>getFocalLengthStart('RawData (GH)'!B1421)</f>
        <v>50</v>
      </c>
      <c r="C1421" s="5">
        <f>getFocalLengthEnd('RawData (GH)'!B1421)</f>
        <v>50</v>
      </c>
      <c r="D1421" s="9">
        <f>getApertureStart('RawData (GH)'!C1421)</f>
        <v>1.8</v>
      </c>
      <c r="E1421" s="9">
        <f>getApertureEnd('RawData (GH)'!C1421)</f>
        <v>1.8</v>
      </c>
      <c r="F1421" s="2">
        <f>getFiltersizeAsDouble('RawData (GH)'!D1421)</f>
        <v>49</v>
      </c>
      <c r="G1421" s="35">
        <f>getMagnification('RawData (GH)'!E1421)</f>
        <v>7.14</v>
      </c>
      <c r="H1421" s="62">
        <f>getMinimalFocus('RawData (GH)'!F1421)</f>
        <v>0</v>
      </c>
      <c r="I1421" t="str">
        <f>getMount('RawData (GH)'!G1421)</f>
        <v>Sony E</v>
      </c>
      <c r="J1421" t="str">
        <f>getSensorCompatibility('RawData (GH)'!H1421)</f>
        <v>APS-C/ Kleinbild</v>
      </c>
      <c r="K1421" s="45">
        <f>getWeightAsDouble('RawData (GH)'!I1421)</f>
        <v>186</v>
      </c>
      <c r="L1421" s="34">
        <f>getSizeDiameter('RawData (GH)'!J1421)</f>
        <v>59.5</v>
      </c>
      <c r="M1421" s="34">
        <f>getSizeLength('RawData (GH)'!J1421)</f>
        <v>68.599999999999994</v>
      </c>
    </row>
    <row r="1422" spans="1:13" x14ac:dyDescent="0.25">
      <c r="A1422" t="str">
        <f>'RawData (GH)'!A1422</f>
        <v>Sony FE 50mm 2.8 Makro schwarz</v>
      </c>
      <c r="B1422" s="5">
        <f>getFocalLengthStart('RawData (GH)'!B1422)</f>
        <v>50</v>
      </c>
      <c r="C1422" s="5">
        <f>getFocalLengthEnd('RawData (GH)'!B1422)</f>
        <v>50</v>
      </c>
      <c r="D1422" s="9">
        <f>getApertureStart('RawData (GH)'!C1422)</f>
        <v>2.8</v>
      </c>
      <c r="E1422" s="9">
        <f>getApertureEnd('RawData (GH)'!C1422)</f>
        <v>2.8</v>
      </c>
      <c r="F1422" s="2">
        <f>getFiltersizeAsDouble('RawData (GH)'!D1422)</f>
        <v>55</v>
      </c>
      <c r="G1422" s="35">
        <f>getMagnification('RawData (GH)'!E1422)</f>
        <v>1</v>
      </c>
      <c r="H1422" s="62">
        <f>getMinimalFocus('RawData (GH)'!F1422)</f>
        <v>0</v>
      </c>
      <c r="I1422" t="str">
        <f>getMount('RawData (GH)'!G1422)</f>
        <v>Sony E</v>
      </c>
      <c r="J1422" t="str">
        <f>getSensorCompatibility('RawData (GH)'!H1422)</f>
        <v>APS-C/ Kleinbild</v>
      </c>
      <c r="K1422" s="45">
        <f>getWeightAsDouble('RawData (GH)'!I1422)</f>
        <v>236</v>
      </c>
      <c r="L1422" s="34">
        <f>getSizeDiameter('RawData (GH)'!J1422)</f>
        <v>70.8</v>
      </c>
      <c r="M1422" s="34">
        <f>getSizeLength('RawData (GH)'!J1422)</f>
        <v>71</v>
      </c>
    </row>
    <row r="1423" spans="1:13" x14ac:dyDescent="0.25">
      <c r="A1423" t="str">
        <f>'RawData (GH)'!A1423</f>
        <v>Sony FE 55mm 1.8 ZA schwarz</v>
      </c>
      <c r="B1423" s="5">
        <f>getFocalLengthStart('RawData (GH)'!B1423)</f>
        <v>55</v>
      </c>
      <c r="C1423" s="5">
        <f>getFocalLengthEnd('RawData (GH)'!B1423)</f>
        <v>55</v>
      </c>
      <c r="D1423" s="9">
        <f>getApertureStart('RawData (GH)'!C1423)</f>
        <v>1.8</v>
      </c>
      <c r="E1423" s="9">
        <f>getApertureEnd('RawData (GH)'!C1423)</f>
        <v>1.8</v>
      </c>
      <c r="F1423" s="2">
        <f>getFiltersizeAsDouble('RawData (GH)'!D1423)</f>
        <v>49</v>
      </c>
      <c r="G1423" s="35">
        <f>getMagnification('RawData (GH)'!E1423)</f>
        <v>7.14</v>
      </c>
      <c r="H1423" s="62">
        <f>getMinimalFocus('RawData (GH)'!F1423)</f>
        <v>0</v>
      </c>
      <c r="I1423" t="str">
        <f>getMount('RawData (GH)'!G1423)</f>
        <v>Sony E</v>
      </c>
      <c r="J1423" t="str">
        <f>getSensorCompatibility('RawData (GH)'!H1423)</f>
        <v>APS-C/ Kleinbild</v>
      </c>
      <c r="K1423" s="45">
        <f>getWeightAsDouble('RawData (GH)'!I1423)</f>
        <v>281</v>
      </c>
      <c r="L1423" s="34">
        <f>getSizeDiameter('RawData (GH)'!J1423)</f>
        <v>64.400000000000006</v>
      </c>
      <c r="M1423" s="34">
        <f>getSizeLength('RawData (GH)'!J1423)</f>
        <v>70.5</v>
      </c>
    </row>
    <row r="1424" spans="1:13" x14ac:dyDescent="0.25">
      <c r="A1424" t="str">
        <f>'RawData (GH)'!A1424</f>
        <v>Sony FE 70-200mm 2.8 GM OSS weiß</v>
      </c>
      <c r="B1424" s="5">
        <f>getFocalLengthStart('RawData (GH)'!B1424)</f>
        <v>70</v>
      </c>
      <c r="C1424" s="5">
        <f>getFocalLengthEnd('RawData (GH)'!B1424)</f>
        <v>200</v>
      </c>
      <c r="D1424" s="9">
        <f>getApertureStart('RawData (GH)'!C1424)</f>
        <v>2.8</v>
      </c>
      <c r="E1424" s="9">
        <f>getApertureEnd('RawData (GH)'!C1424)</f>
        <v>2.8</v>
      </c>
      <c r="F1424" s="2">
        <f>getFiltersizeAsDouble('RawData (GH)'!D1424)</f>
        <v>77</v>
      </c>
      <c r="G1424" s="35">
        <f>getMagnification('RawData (GH)'!E1424)</f>
        <v>4</v>
      </c>
      <c r="H1424" s="62">
        <f>getMinimalFocus('RawData (GH)'!F1424)</f>
        <v>0</v>
      </c>
      <c r="I1424" t="str">
        <f>getMount('RawData (GH)'!G1424)</f>
        <v>Sony E</v>
      </c>
      <c r="J1424" t="str">
        <f>getSensorCompatibility('RawData (GH)'!H1424)</f>
        <v>APS-C/ Kleinbild</v>
      </c>
      <c r="K1424" s="45">
        <f>getWeightAsDouble('RawData (GH)'!I1424)</f>
        <v>1480</v>
      </c>
      <c r="L1424" s="34">
        <f>getSizeDiameter('RawData (GH)'!J1424)</f>
        <v>88</v>
      </c>
      <c r="M1424" s="34">
        <f>getSizeLength('RawData (GH)'!J1424)</f>
        <v>200</v>
      </c>
    </row>
    <row r="1425" spans="1:13" x14ac:dyDescent="0.25">
      <c r="A1425" t="str">
        <f>'RawData (GH)'!A1425</f>
        <v>Sony FE 70-200mm 4.0 G OSS weiß</v>
      </c>
      <c r="B1425" s="5">
        <f>getFocalLengthStart('RawData (GH)'!B1425)</f>
        <v>70</v>
      </c>
      <c r="C1425" s="5">
        <f>getFocalLengthEnd('RawData (GH)'!B1425)</f>
        <v>200</v>
      </c>
      <c r="D1425" s="9">
        <f>getApertureStart('RawData (GH)'!C1425)</f>
        <v>4</v>
      </c>
      <c r="E1425" s="9">
        <f>getApertureEnd('RawData (GH)'!C1425)</f>
        <v>4</v>
      </c>
      <c r="F1425" s="2">
        <f>getFiltersizeAsDouble('RawData (GH)'!D1425)</f>
        <v>72</v>
      </c>
      <c r="G1425" s="35">
        <f>getMagnification('RawData (GH)'!E1425)</f>
        <v>7.69</v>
      </c>
      <c r="H1425" s="62">
        <f>getMinimalFocus('RawData (GH)'!F1425)</f>
        <v>0</v>
      </c>
      <c r="I1425" t="str">
        <f>getMount('RawData (GH)'!G1425)</f>
        <v>Sony E</v>
      </c>
      <c r="J1425" t="str">
        <f>getSensorCompatibility('RawData (GH)'!H1425)</f>
        <v>APS-C/ Kleinbild</v>
      </c>
      <c r="K1425" s="45">
        <f>getWeightAsDouble('RawData (GH)'!I1425)</f>
        <v>840</v>
      </c>
      <c r="L1425" s="34">
        <f>getSizeDiameter('RawData (GH)'!J1425)</f>
        <v>80</v>
      </c>
      <c r="M1425" s="34">
        <f>getSizeLength('RawData (GH)'!J1425)</f>
        <v>175</v>
      </c>
    </row>
    <row r="1426" spans="1:13" x14ac:dyDescent="0.25">
      <c r="A1426" t="str">
        <f>'RawData (GH)'!A1426</f>
        <v>Sony FE 70-300mm 4.5-5.6 G OSS schwarz</v>
      </c>
      <c r="B1426" s="5">
        <f>getFocalLengthStart('RawData (GH)'!B1426)</f>
        <v>70</v>
      </c>
      <c r="C1426" s="5">
        <f>getFocalLengthEnd('RawData (GH)'!B1426)</f>
        <v>300</v>
      </c>
      <c r="D1426" s="9">
        <f>getApertureStart('RawData (GH)'!C1426)</f>
        <v>4</v>
      </c>
      <c r="E1426" s="9">
        <f>getApertureEnd('RawData (GH)'!C1426)</f>
        <v>5.6</v>
      </c>
      <c r="F1426" s="2">
        <f>getFiltersizeAsDouble('RawData (GH)'!D1426)</f>
        <v>72</v>
      </c>
      <c r="G1426" s="35">
        <f>getMagnification('RawData (GH)'!E1426)</f>
        <v>3.23</v>
      </c>
      <c r="H1426" s="62">
        <f>getMinimalFocus('RawData (GH)'!F1426)</f>
        <v>0</v>
      </c>
      <c r="I1426" t="str">
        <f>getMount('RawData (GH)'!G1426)</f>
        <v>Sony E</v>
      </c>
      <c r="J1426" t="str">
        <f>getSensorCompatibility('RawData (GH)'!H1426)</f>
        <v>APS-C/ Kleinbild</v>
      </c>
      <c r="K1426" s="45">
        <f>getWeightAsDouble('RawData (GH)'!I1426)</f>
        <v>854</v>
      </c>
      <c r="L1426" s="34">
        <f>getSizeDiameter('RawData (GH)'!J1426)</f>
        <v>84</v>
      </c>
      <c r="M1426" s="34">
        <f>getSizeLength('RawData (GH)'!J1426)</f>
        <v>143.5</v>
      </c>
    </row>
    <row r="1427" spans="1:13" x14ac:dyDescent="0.25">
      <c r="A1427" t="str">
        <f>'RawData (GH)'!A1427</f>
        <v>Sony FE 85mm 1.4 GM schwarz</v>
      </c>
      <c r="B1427" s="5">
        <f>getFocalLengthStart('RawData (GH)'!B1427)</f>
        <v>85</v>
      </c>
      <c r="C1427" s="5">
        <f>getFocalLengthEnd('RawData (GH)'!B1427)</f>
        <v>85</v>
      </c>
      <c r="D1427" s="9">
        <f>getApertureStart('RawData (GH)'!C1427)</f>
        <v>1.4</v>
      </c>
      <c r="E1427" s="9">
        <f>getApertureEnd('RawData (GH)'!C1427)</f>
        <v>1.4</v>
      </c>
      <c r="F1427" s="2">
        <f>getFiltersizeAsDouble('RawData (GH)'!D1427)</f>
        <v>77</v>
      </c>
      <c r="G1427" s="35">
        <f>getMagnification('RawData (GH)'!E1427)</f>
        <v>8.33</v>
      </c>
      <c r="H1427" s="62">
        <f>getMinimalFocus('RawData (GH)'!F1427)</f>
        <v>0</v>
      </c>
      <c r="I1427" t="str">
        <f>getMount('RawData (GH)'!G1427)</f>
        <v>Sony E</v>
      </c>
      <c r="J1427" t="str">
        <f>getSensorCompatibility('RawData (GH)'!H1427)</f>
        <v>APS-C/ Kleinbild</v>
      </c>
      <c r="K1427" s="45">
        <f>getWeightAsDouble('RawData (GH)'!I1427)</f>
        <v>820</v>
      </c>
      <c r="L1427" s="34">
        <f>getSizeDiameter('RawData (GH)'!J1427)</f>
        <v>89.5</v>
      </c>
      <c r="M1427" s="34">
        <f>getSizeLength('RawData (GH)'!J1427)</f>
        <v>107.5</v>
      </c>
    </row>
    <row r="1428" spans="1:13" x14ac:dyDescent="0.25">
      <c r="A1428" t="str">
        <f>'RawData (GH)'!A1428</f>
        <v>Sony FE 85mm 1.8 schwarz</v>
      </c>
      <c r="B1428" s="5">
        <f>getFocalLengthStart('RawData (GH)'!B1428)</f>
        <v>85</v>
      </c>
      <c r="C1428" s="5">
        <f>getFocalLengthEnd('RawData (GH)'!B1428)</f>
        <v>85</v>
      </c>
      <c r="D1428" s="9">
        <f>getApertureStart('RawData (GH)'!C1428)</f>
        <v>1.8</v>
      </c>
      <c r="E1428" s="9">
        <f>getApertureEnd('RawData (GH)'!C1428)</f>
        <v>1.8</v>
      </c>
      <c r="F1428" s="2">
        <f>getFiltersizeAsDouble('RawData (GH)'!D1428)</f>
        <v>67</v>
      </c>
      <c r="G1428" s="35">
        <f>getMagnification('RawData (GH)'!E1428)</f>
        <v>7.69</v>
      </c>
      <c r="H1428" s="62">
        <f>getMinimalFocus('RawData (GH)'!F1428)</f>
        <v>0</v>
      </c>
      <c r="I1428" t="str">
        <f>getMount('RawData (GH)'!G1428)</f>
        <v>Sony E</v>
      </c>
      <c r="J1428" t="str">
        <f>getSensorCompatibility('RawData (GH)'!H1428)</f>
        <v>APS-C/ Kleinbild</v>
      </c>
      <c r="K1428" s="45">
        <f>getWeightAsDouble('RawData (GH)'!I1428)</f>
        <v>371</v>
      </c>
      <c r="L1428" s="34">
        <f>getSizeDiameter('RawData (GH)'!J1428)</f>
        <v>78</v>
      </c>
      <c r="M1428" s="34">
        <f>getSizeLength('RawData (GH)'!J1428)</f>
        <v>82</v>
      </c>
    </row>
    <row r="1429" spans="1:13" x14ac:dyDescent="0.25">
      <c r="A1429" t="str">
        <f>'RawData (GH)'!A1429</f>
        <v>Sony FE 90mm 2.8 G OSS Makro schwarz</v>
      </c>
      <c r="B1429" s="5">
        <f>getFocalLengthStart('RawData (GH)'!B1429)</f>
        <v>90</v>
      </c>
      <c r="C1429" s="5">
        <f>getFocalLengthEnd('RawData (GH)'!B1429)</f>
        <v>90</v>
      </c>
      <c r="D1429" s="9">
        <f>getApertureStart('RawData (GH)'!C1429)</f>
        <v>2.8</v>
      </c>
      <c r="E1429" s="9">
        <f>getApertureEnd('RawData (GH)'!C1429)</f>
        <v>2.8</v>
      </c>
      <c r="F1429" s="2">
        <f>getFiltersizeAsDouble('RawData (GH)'!D1429)</f>
        <v>62</v>
      </c>
      <c r="G1429" s="35">
        <f>getMagnification('RawData (GH)'!E1429)</f>
        <v>1</v>
      </c>
      <c r="H1429" s="62">
        <f>getMinimalFocus('RawData (GH)'!F1429)</f>
        <v>0</v>
      </c>
      <c r="I1429" t="str">
        <f>getMount('RawData (GH)'!G1429)</f>
        <v>Sony E</v>
      </c>
      <c r="J1429" t="str">
        <f>getSensorCompatibility('RawData (GH)'!H1429)</f>
        <v>APS-C/ Kleinbild</v>
      </c>
      <c r="K1429" s="45">
        <f>getWeightAsDouble('RawData (GH)'!I1429)</f>
        <v>602</v>
      </c>
      <c r="L1429" s="34">
        <f>getSizeDiameter('RawData (GH)'!J1429)</f>
        <v>79</v>
      </c>
      <c r="M1429" s="34">
        <f>getSizeLength('RawData (GH)'!J1429)</f>
        <v>130.5</v>
      </c>
    </row>
    <row r="1430" spans="1:13" x14ac:dyDescent="0.25">
      <c r="A1430" t="str">
        <f>'RawData (GH)'!A1430</f>
        <v>Tamron 10-24mm 3.5-4.5 Di II VC HLD für Canon EF schwarz</v>
      </c>
      <c r="B1430" s="5">
        <f>getFocalLengthStart('RawData (GH)'!B1430)</f>
        <v>10</v>
      </c>
      <c r="C1430" s="5">
        <f>getFocalLengthEnd('RawData (GH)'!B1430)</f>
        <v>24</v>
      </c>
      <c r="D1430" s="9">
        <f>getApertureStart('RawData (GH)'!C1430)</f>
        <v>3.5</v>
      </c>
      <c r="E1430" s="9">
        <f>getApertureEnd('RawData (GH)'!C1430)</f>
        <v>4.5</v>
      </c>
      <c r="F1430" s="2">
        <f>getFiltersizeAsDouble('RawData (GH)'!D1430)</f>
        <v>77</v>
      </c>
      <c r="G1430" s="35">
        <f>getMagnification('RawData (GH)'!E1430)</f>
        <v>5.3</v>
      </c>
      <c r="H1430" s="62">
        <f>getMinimalFocus('RawData (GH)'!F1430)</f>
        <v>0</v>
      </c>
      <c r="I1430" t="str">
        <f>getMount('RawData (GH)'!G1430)</f>
        <v>Canon EF-S</v>
      </c>
      <c r="J1430" t="str">
        <f>getSensorCompatibility('RawData (GH)'!H1430)</f>
        <v>APS-C</v>
      </c>
      <c r="K1430" s="45">
        <f>getWeightAsDouble('RawData (GH)'!I1430)</f>
        <v>440</v>
      </c>
      <c r="L1430" s="34">
        <f>getSizeDiameter('RawData (GH)'!J1430)</f>
        <v>83.6</v>
      </c>
      <c r="M1430" s="34">
        <f>getSizeLength('RawData (GH)'!J1430)</f>
        <v>84.6</v>
      </c>
    </row>
    <row r="1431" spans="1:13" x14ac:dyDescent="0.25">
      <c r="A1431" t="str">
        <f>'RawData (GH)'!A1431</f>
        <v>Tamron 10-24mm 3.5-4.5 Di II VC HLD für Nikon F schwarz</v>
      </c>
      <c r="B1431" s="5">
        <f>getFocalLengthStart('RawData (GH)'!B1431)</f>
        <v>10</v>
      </c>
      <c r="C1431" s="5">
        <f>getFocalLengthEnd('RawData (GH)'!B1431)</f>
        <v>24</v>
      </c>
      <c r="D1431" s="9">
        <f>getApertureStart('RawData (GH)'!C1431)</f>
        <v>3.5</v>
      </c>
      <c r="E1431" s="9">
        <f>getApertureEnd('RawData (GH)'!C1431)</f>
        <v>4.5</v>
      </c>
      <c r="F1431" s="2">
        <f>getFiltersizeAsDouble('RawData (GH)'!D1431)</f>
        <v>77</v>
      </c>
      <c r="G1431" s="35">
        <f>getMagnification('RawData (GH)'!E1431)</f>
        <v>5.3</v>
      </c>
      <c r="H1431" s="62">
        <f>getMinimalFocus('RawData (GH)'!F1431)</f>
        <v>0</v>
      </c>
      <c r="I1431" t="str">
        <f>getMount('RawData (GH)'!G1431)</f>
        <v>Nikon F</v>
      </c>
      <c r="J1431" t="str">
        <f>getSensorCompatibility('RawData (GH)'!H1431)</f>
        <v>APS-C</v>
      </c>
      <c r="K1431" s="45">
        <f>getWeightAsDouble('RawData (GH)'!I1431)</f>
        <v>440</v>
      </c>
      <c r="L1431" s="34">
        <f>getSizeDiameter('RawData (GH)'!J1431)</f>
        <v>83.6</v>
      </c>
      <c r="M1431" s="34">
        <f>getSizeLength('RawData (GH)'!J1431)</f>
        <v>82.1</v>
      </c>
    </row>
    <row r="1432" spans="1:13" x14ac:dyDescent="0.25">
      <c r="A1432" t="str">
        <f>'RawData (GH)'!A1432</f>
        <v>Tamron 14-150mm 3.5-5.8 Di III für Micro-Four-Thirds schwarz</v>
      </c>
      <c r="B1432" s="5">
        <f>getFocalLengthStart('RawData (GH)'!B1432)</f>
        <v>14</v>
      </c>
      <c r="C1432" s="5">
        <f>getFocalLengthEnd('RawData (GH)'!B1432)</f>
        <v>150</v>
      </c>
      <c r="D1432" s="9">
        <f>getApertureStart('RawData (GH)'!C1432)</f>
        <v>3.5</v>
      </c>
      <c r="E1432" s="9">
        <f>getApertureEnd('RawData (GH)'!C1432)</f>
        <v>5.8</v>
      </c>
      <c r="F1432" s="2">
        <f>getFiltersizeAsDouble('RawData (GH)'!D1432)</f>
        <v>52</v>
      </c>
      <c r="G1432" s="35">
        <f>getMagnification('RawData (GH)'!E1432)</f>
        <v>3.8</v>
      </c>
      <c r="H1432" s="62">
        <f>getMinimalFocus('RawData (GH)'!F1432)</f>
        <v>0</v>
      </c>
      <c r="I1432" t="str">
        <f>getMount('RawData (GH)'!G1432)</f>
        <v>Micro-Four-Thirds</v>
      </c>
      <c r="J1432" t="str">
        <f>getSensorCompatibility('RawData (GH)'!H1432)</f>
        <v>Four-Thirds</v>
      </c>
      <c r="K1432" s="45">
        <f>getWeightAsDouble('RawData (GH)'!I1432)</f>
        <v>280</v>
      </c>
      <c r="L1432" s="34">
        <f>getSizeDiameter('RawData (GH)'!J1432)</f>
        <v>63</v>
      </c>
      <c r="M1432" s="34">
        <f>getSizeLength('RawData (GH)'!J1432)</f>
        <v>85.2</v>
      </c>
    </row>
    <row r="1433" spans="1:13" x14ac:dyDescent="0.25">
      <c r="A1433" t="str">
        <f>'RawData (GH)'!A1433</f>
        <v>Tamron 14-150mm 3.5-5.8 Di III für Micro-Four-Thirds silber</v>
      </c>
      <c r="B1433" s="5">
        <f>getFocalLengthStart('RawData (GH)'!B1433)</f>
        <v>14</v>
      </c>
      <c r="C1433" s="5">
        <f>getFocalLengthEnd('RawData (GH)'!B1433)</f>
        <v>150</v>
      </c>
      <c r="D1433" s="9">
        <f>getApertureStart('RawData (GH)'!C1433)</f>
        <v>3.5</v>
      </c>
      <c r="E1433" s="9">
        <f>getApertureEnd('RawData (GH)'!C1433)</f>
        <v>5.8</v>
      </c>
      <c r="F1433" s="2">
        <f>getFiltersizeAsDouble('RawData (GH)'!D1433)</f>
        <v>52</v>
      </c>
      <c r="G1433" s="35">
        <f>getMagnification('RawData (GH)'!E1433)</f>
        <v>3.8</v>
      </c>
      <c r="H1433" s="62">
        <f>getMinimalFocus('RawData (GH)'!F1433)</f>
        <v>0</v>
      </c>
      <c r="I1433" t="str">
        <f>getMount('RawData (GH)'!G1433)</f>
        <v>Micro-Four-Thirds</v>
      </c>
      <c r="J1433" t="str">
        <f>getSensorCompatibility('RawData (GH)'!H1433)</f>
        <v>Four-Thirds</v>
      </c>
      <c r="K1433" s="45">
        <f>getWeightAsDouble('RawData (GH)'!I1433)</f>
        <v>280</v>
      </c>
      <c r="L1433" s="34">
        <f>getSizeDiameter('RawData (GH)'!J1433)</f>
        <v>63</v>
      </c>
      <c r="M1433" s="34">
        <f>getSizeLength('RawData (GH)'!J1433)</f>
        <v>85.2</v>
      </c>
    </row>
    <row r="1434" spans="1:13" x14ac:dyDescent="0.25">
      <c r="A1434" t="str">
        <f>'RawData (GH)'!A1434</f>
        <v>Tamron 16-300mm 3.5-6.3 Di II PZD Macro für Sony A schwarz</v>
      </c>
      <c r="B1434" s="5">
        <f>getFocalLengthStart('RawData (GH)'!B1434)</f>
        <v>16</v>
      </c>
      <c r="C1434" s="5">
        <f>getFocalLengthEnd('RawData (GH)'!B1434)</f>
        <v>300</v>
      </c>
      <c r="D1434" s="9">
        <f>getApertureStart('RawData (GH)'!C1434)</f>
        <v>3.5</v>
      </c>
      <c r="E1434" s="9">
        <f>getApertureEnd('RawData (GH)'!C1434)</f>
        <v>6.3</v>
      </c>
      <c r="F1434" s="2">
        <f>getFiltersizeAsDouble('RawData (GH)'!D1434)</f>
        <v>67</v>
      </c>
      <c r="G1434" s="35">
        <f>getMagnification('RawData (GH)'!E1434)</f>
        <v>2.94</v>
      </c>
      <c r="H1434" s="62">
        <f>getMinimalFocus('RawData (GH)'!F1434)</f>
        <v>0</v>
      </c>
      <c r="I1434" t="str">
        <f>getMount('RawData (GH)'!G1434)</f>
        <v>Sony A</v>
      </c>
      <c r="J1434" t="str">
        <f>getSensorCompatibility('RawData (GH)'!H1434)</f>
        <v>APS-C</v>
      </c>
      <c r="K1434" s="45">
        <f>getWeightAsDouble('RawData (GH)'!I1434)</f>
        <v>540</v>
      </c>
      <c r="L1434" s="34">
        <f>getSizeDiameter('RawData (GH)'!J1434)</f>
        <v>75</v>
      </c>
      <c r="M1434" s="34">
        <f>getSizeLength('RawData (GH)'!J1434)</f>
        <v>100</v>
      </c>
    </row>
    <row r="1435" spans="1:13" x14ac:dyDescent="0.25">
      <c r="A1435" t="str">
        <f>'RawData (GH)'!A1435</f>
        <v>Tamron 16-300mm 3.5-6.3 Di II VC PZD Macro für Canon EF schwarz</v>
      </c>
      <c r="B1435" s="5">
        <f>getFocalLengthStart('RawData (GH)'!B1435)</f>
        <v>16</v>
      </c>
      <c r="C1435" s="5">
        <f>getFocalLengthEnd('RawData (GH)'!B1435)</f>
        <v>300</v>
      </c>
      <c r="D1435" s="9">
        <f>getApertureStart('RawData (GH)'!C1435)</f>
        <v>3.5</v>
      </c>
      <c r="E1435" s="9">
        <f>getApertureEnd('RawData (GH)'!C1435)</f>
        <v>6.3</v>
      </c>
      <c r="F1435" s="2">
        <f>getFiltersizeAsDouble('RawData (GH)'!D1435)</f>
        <v>67</v>
      </c>
      <c r="G1435" s="35">
        <f>getMagnification('RawData (GH)'!E1435)</f>
        <v>2.94</v>
      </c>
      <c r="H1435" s="62">
        <f>getMinimalFocus('RawData (GH)'!F1435)</f>
        <v>0</v>
      </c>
      <c r="I1435" t="str">
        <f>getMount('RawData (GH)'!G1435)</f>
        <v>Canon EF-S</v>
      </c>
      <c r="J1435" t="str">
        <f>getSensorCompatibility('RawData (GH)'!H1435)</f>
        <v>APS-C</v>
      </c>
      <c r="K1435" s="45">
        <f>getWeightAsDouble('RawData (GH)'!I1435)</f>
        <v>540</v>
      </c>
      <c r="L1435" s="34">
        <f>getSizeDiameter('RawData (GH)'!J1435)</f>
        <v>75</v>
      </c>
      <c r="M1435" s="34">
        <f>getSizeLength('RawData (GH)'!J1435)</f>
        <v>100</v>
      </c>
    </row>
    <row r="1436" spans="1:13" x14ac:dyDescent="0.25">
      <c r="A1436" t="str">
        <f>'RawData (GH)'!A1436</f>
        <v>Tamron 16-300mm 3.5-6.3 Di II VC PZD Macro für Nikon F schwarz</v>
      </c>
      <c r="B1436" s="5">
        <f>getFocalLengthStart('RawData (GH)'!B1436)</f>
        <v>16</v>
      </c>
      <c r="C1436" s="5">
        <f>getFocalLengthEnd('RawData (GH)'!B1436)</f>
        <v>300</v>
      </c>
      <c r="D1436" s="9">
        <f>getApertureStart('RawData (GH)'!C1436)</f>
        <v>3.5</v>
      </c>
      <c r="E1436" s="9">
        <f>getApertureEnd('RawData (GH)'!C1436)</f>
        <v>6.3</v>
      </c>
      <c r="F1436" s="2">
        <f>getFiltersizeAsDouble('RawData (GH)'!D1436)</f>
        <v>67</v>
      </c>
      <c r="G1436" s="35">
        <f>getMagnification('RawData (GH)'!E1436)</f>
        <v>2.94</v>
      </c>
      <c r="H1436" s="62">
        <f>getMinimalFocus('RawData (GH)'!F1436)</f>
        <v>0</v>
      </c>
      <c r="I1436" t="str">
        <f>getMount('RawData (GH)'!G1436)</f>
        <v>Nikon F</v>
      </c>
      <c r="J1436" t="str">
        <f>getSensorCompatibility('RawData (GH)'!H1436)</f>
        <v>APS-C</v>
      </c>
      <c r="K1436" s="45">
        <f>getWeightAsDouble('RawData (GH)'!I1436)</f>
        <v>540</v>
      </c>
      <c r="L1436" s="34">
        <f>getSizeDiameter('RawData (GH)'!J1436)</f>
        <v>75</v>
      </c>
      <c r="M1436" s="34">
        <f>getSizeLength('RawData (GH)'!J1436)</f>
        <v>100</v>
      </c>
    </row>
    <row r="1437" spans="1:13" x14ac:dyDescent="0.25">
      <c r="A1437" t="str">
        <f>'RawData (GH)'!A1437</f>
        <v>Tamron 18-200mm 3.5-6.3 Di II für Sony A schwarz</v>
      </c>
      <c r="B1437" s="5">
        <f>getFocalLengthStart('RawData (GH)'!B1437)</f>
        <v>18</v>
      </c>
      <c r="C1437" s="5">
        <f>getFocalLengthEnd('RawData (GH)'!B1437)</f>
        <v>200</v>
      </c>
      <c r="D1437" s="9">
        <f>getApertureStart('RawData (GH)'!C1437)</f>
        <v>3.5</v>
      </c>
      <c r="E1437" s="9">
        <f>getApertureEnd('RawData (GH)'!C1437)</f>
        <v>6.3</v>
      </c>
      <c r="F1437" s="2">
        <f>getFiltersizeAsDouble('RawData (GH)'!D1437)</f>
        <v>62</v>
      </c>
      <c r="G1437" s="35">
        <f>getMagnification('RawData (GH)'!E1437)</f>
        <v>4</v>
      </c>
      <c r="H1437" s="62">
        <f>getMinimalFocus('RawData (GH)'!F1437)</f>
        <v>0</v>
      </c>
      <c r="I1437" t="str">
        <f>getMount('RawData (GH)'!G1437)</f>
        <v>Sony A</v>
      </c>
      <c r="J1437" t="str">
        <f>getSensorCompatibility('RawData (GH)'!H1437)</f>
        <v>APS-C</v>
      </c>
      <c r="K1437" s="45">
        <f>getWeightAsDouble('RawData (GH)'!I1437)</f>
        <v>400</v>
      </c>
      <c r="L1437" s="34">
        <f>getSizeDiameter('RawData (GH)'!J1437)</f>
        <v>75</v>
      </c>
      <c r="M1437" s="34">
        <f>getSizeLength('RawData (GH)'!J1437)</f>
        <v>96.6</v>
      </c>
    </row>
    <row r="1438" spans="1:13" x14ac:dyDescent="0.25">
      <c r="A1438" t="str">
        <f>'RawData (GH)'!A1438</f>
        <v>Tamron 18-200mm 3.5-6.3 Di II VC für Canon EF schwarz</v>
      </c>
      <c r="B1438" s="5">
        <f>getFocalLengthStart('RawData (GH)'!B1438)</f>
        <v>18</v>
      </c>
      <c r="C1438" s="5">
        <f>getFocalLengthEnd('RawData (GH)'!B1438)</f>
        <v>200</v>
      </c>
      <c r="D1438" s="9">
        <f>getApertureStart('RawData (GH)'!C1438)</f>
        <v>3.5</v>
      </c>
      <c r="E1438" s="9">
        <f>getApertureEnd('RawData (GH)'!C1438)</f>
        <v>6.3</v>
      </c>
      <c r="F1438" s="2">
        <f>getFiltersizeAsDouble('RawData (GH)'!D1438)</f>
        <v>62</v>
      </c>
      <c r="G1438" s="35">
        <f>getMagnification('RawData (GH)'!E1438)</f>
        <v>4</v>
      </c>
      <c r="H1438" s="62">
        <f>getMinimalFocus('RawData (GH)'!F1438)</f>
        <v>0</v>
      </c>
      <c r="I1438" t="str">
        <f>getMount('RawData (GH)'!G1438)</f>
        <v>Canon EF-S</v>
      </c>
      <c r="J1438" t="str">
        <f>getSensorCompatibility('RawData (GH)'!H1438)</f>
        <v>APS-C</v>
      </c>
      <c r="K1438" s="45">
        <f>getWeightAsDouble('RawData (GH)'!I1438)</f>
        <v>400</v>
      </c>
      <c r="L1438" s="34">
        <f>getSizeDiameter('RawData (GH)'!J1438)</f>
        <v>75</v>
      </c>
      <c r="M1438" s="34">
        <f>getSizeLength('RawData (GH)'!J1438)</f>
        <v>96.6</v>
      </c>
    </row>
    <row r="1439" spans="1:13" x14ac:dyDescent="0.25">
      <c r="A1439" t="str">
        <f>'RawData (GH)'!A1439</f>
        <v>Tamron 18-200mm 3.5-6.3 Di II VC für Nikon F schwarz</v>
      </c>
      <c r="B1439" s="5">
        <f>getFocalLengthStart('RawData (GH)'!B1439)</f>
        <v>18</v>
      </c>
      <c r="C1439" s="5">
        <f>getFocalLengthEnd('RawData (GH)'!B1439)</f>
        <v>200</v>
      </c>
      <c r="D1439" s="9">
        <f>getApertureStart('RawData (GH)'!C1439)</f>
        <v>3.5</v>
      </c>
      <c r="E1439" s="9">
        <f>getApertureEnd('RawData (GH)'!C1439)</f>
        <v>6.3</v>
      </c>
      <c r="F1439" s="2">
        <f>getFiltersizeAsDouble('RawData (GH)'!D1439)</f>
        <v>62</v>
      </c>
      <c r="G1439" s="35">
        <f>getMagnification('RawData (GH)'!E1439)</f>
        <v>4</v>
      </c>
      <c r="H1439" s="62">
        <f>getMinimalFocus('RawData (GH)'!F1439)</f>
        <v>0</v>
      </c>
      <c r="I1439" t="str">
        <f>getMount('RawData (GH)'!G1439)</f>
        <v>Nikon F</v>
      </c>
      <c r="J1439" t="str">
        <f>getSensorCompatibility('RawData (GH)'!H1439)</f>
        <v>APS-C</v>
      </c>
      <c r="K1439" s="45">
        <f>getWeightAsDouble('RawData (GH)'!I1439)</f>
        <v>400</v>
      </c>
      <c r="L1439" s="34">
        <f>getSizeDiameter('RawData (GH)'!J1439)</f>
        <v>75</v>
      </c>
      <c r="M1439" s="34">
        <f>getSizeLength('RawData (GH)'!J1439)</f>
        <v>96.6</v>
      </c>
    </row>
    <row r="1440" spans="1:13" x14ac:dyDescent="0.25">
      <c r="A1440" t="str">
        <f>'RawData (GH)'!A1440</f>
        <v>Tamron 18-200mm 3.5-6.3 Di III VC für Canon EF-M schwarz</v>
      </c>
      <c r="B1440" s="5">
        <f>getFocalLengthStart('RawData (GH)'!B1440)</f>
        <v>18</v>
      </c>
      <c r="C1440" s="5">
        <f>getFocalLengthEnd('RawData (GH)'!B1440)</f>
        <v>200</v>
      </c>
      <c r="D1440" s="9">
        <f>getApertureStart('RawData (GH)'!C1440)</f>
        <v>3.5</v>
      </c>
      <c r="E1440" s="9">
        <f>getApertureEnd('RawData (GH)'!C1440)</f>
        <v>6.3</v>
      </c>
      <c r="F1440" s="2">
        <f>getFiltersizeAsDouble('RawData (GH)'!D1440)</f>
        <v>62</v>
      </c>
      <c r="G1440" s="35">
        <f>getMagnification('RawData (GH)'!E1440)</f>
        <v>3.7</v>
      </c>
      <c r="H1440" s="62">
        <f>getMinimalFocus('RawData (GH)'!F1440)</f>
        <v>0</v>
      </c>
      <c r="I1440" t="str">
        <f>getMount('RawData (GH)'!G1440)</f>
        <v>Canon EF-M</v>
      </c>
      <c r="J1440" t="str">
        <f>getSensorCompatibility('RawData (GH)'!H1440)</f>
        <v>APS-C</v>
      </c>
      <c r="K1440" s="45">
        <f>getWeightAsDouble('RawData (GH)'!I1440)</f>
        <v>460</v>
      </c>
      <c r="L1440" s="34">
        <f>getSizeDiameter('RawData (GH)'!J1440)</f>
        <v>68</v>
      </c>
      <c r="M1440" s="34">
        <f>getSizeLength('RawData (GH)'!J1440)</f>
        <v>96.7</v>
      </c>
    </row>
    <row r="1441" spans="1:13" x14ac:dyDescent="0.25">
      <c r="A1441" t="str">
        <f>'RawData (GH)'!A1441</f>
        <v>Tamron 18-200mm 3.5-6.3 Di III VC für Canon EF-M silber</v>
      </c>
      <c r="B1441" s="5">
        <f>getFocalLengthStart('RawData (GH)'!B1441)</f>
        <v>18</v>
      </c>
      <c r="C1441" s="5">
        <f>getFocalLengthEnd('RawData (GH)'!B1441)</f>
        <v>200</v>
      </c>
      <c r="D1441" s="9">
        <f>getApertureStart('RawData (GH)'!C1441)</f>
        <v>3.5</v>
      </c>
      <c r="E1441" s="9">
        <f>getApertureEnd('RawData (GH)'!C1441)</f>
        <v>6.3</v>
      </c>
      <c r="F1441" s="2">
        <f>getFiltersizeAsDouble('RawData (GH)'!D1441)</f>
        <v>62</v>
      </c>
      <c r="G1441" s="35">
        <f>getMagnification('RawData (GH)'!E1441)</f>
        <v>3.7</v>
      </c>
      <c r="H1441" s="62">
        <f>getMinimalFocus('RawData (GH)'!F1441)</f>
        <v>0</v>
      </c>
      <c r="I1441" t="str">
        <f>getMount('RawData (GH)'!G1441)</f>
        <v>Canon EF-M</v>
      </c>
      <c r="J1441" t="str">
        <f>getSensorCompatibility('RawData (GH)'!H1441)</f>
        <v>APS-C</v>
      </c>
      <c r="K1441" s="45">
        <f>getWeightAsDouble('RawData (GH)'!I1441)</f>
        <v>460</v>
      </c>
      <c r="L1441" s="34">
        <f>getSizeDiameter('RawData (GH)'!J1441)</f>
        <v>68</v>
      </c>
      <c r="M1441" s="34">
        <f>getSizeLength('RawData (GH)'!J1441)</f>
        <v>96.7</v>
      </c>
    </row>
    <row r="1442" spans="1:13" x14ac:dyDescent="0.25">
      <c r="A1442" t="str">
        <f>'RawData (GH)'!A1442</f>
        <v>Tamron 18-200mm 3.5-6.3 Di III VC für Sony E schwarz</v>
      </c>
      <c r="B1442" s="5">
        <f>getFocalLengthStart('RawData (GH)'!B1442)</f>
        <v>18</v>
      </c>
      <c r="C1442" s="5">
        <f>getFocalLengthEnd('RawData (GH)'!B1442)</f>
        <v>200</v>
      </c>
      <c r="D1442" s="9">
        <f>getApertureStart('RawData (GH)'!C1442)</f>
        <v>3.5</v>
      </c>
      <c r="E1442" s="9">
        <f>getApertureEnd('RawData (GH)'!C1442)</f>
        <v>6.3</v>
      </c>
      <c r="F1442" s="2">
        <f>getFiltersizeAsDouble('RawData (GH)'!D1442)</f>
        <v>62</v>
      </c>
      <c r="G1442" s="35">
        <f>getMagnification('RawData (GH)'!E1442)</f>
        <v>3.7</v>
      </c>
      <c r="H1442" s="62">
        <f>getMinimalFocus('RawData (GH)'!F1442)</f>
        <v>0</v>
      </c>
      <c r="I1442" t="str">
        <f>getMount('RawData (GH)'!G1442)</f>
        <v>Sony E</v>
      </c>
      <c r="J1442" t="str">
        <f>getSensorCompatibility('RawData (GH)'!H1442)</f>
        <v>APS-C</v>
      </c>
      <c r="K1442" s="45">
        <f>getWeightAsDouble('RawData (GH)'!I1442)</f>
        <v>460</v>
      </c>
      <c r="L1442" s="34">
        <f>getSizeDiameter('RawData (GH)'!J1442)</f>
        <v>68</v>
      </c>
      <c r="M1442" s="34">
        <f>getSizeLength('RawData (GH)'!J1442)</f>
        <v>96.7</v>
      </c>
    </row>
    <row r="1443" spans="1:13" x14ac:dyDescent="0.25">
      <c r="A1443" t="str">
        <f>'RawData (GH)'!A1443</f>
        <v>Tamron 18-200mm 3.5-6.3 Di III VC für Sony E silber</v>
      </c>
      <c r="B1443" s="5">
        <f>getFocalLengthStart('RawData (GH)'!B1443)</f>
        <v>18</v>
      </c>
      <c r="C1443" s="5">
        <f>getFocalLengthEnd('RawData (GH)'!B1443)</f>
        <v>200</v>
      </c>
      <c r="D1443" s="9">
        <f>getApertureStart('RawData (GH)'!C1443)</f>
        <v>3.5</v>
      </c>
      <c r="E1443" s="9">
        <f>getApertureEnd('RawData (GH)'!C1443)</f>
        <v>6.3</v>
      </c>
      <c r="F1443" s="2">
        <f>getFiltersizeAsDouble('RawData (GH)'!D1443)</f>
        <v>62</v>
      </c>
      <c r="G1443" s="35">
        <f>getMagnification('RawData (GH)'!E1443)</f>
        <v>3.7</v>
      </c>
      <c r="H1443" s="62">
        <f>getMinimalFocus('RawData (GH)'!F1443)</f>
        <v>0</v>
      </c>
      <c r="I1443" t="str">
        <f>getMount('RawData (GH)'!G1443)</f>
        <v>Sony E</v>
      </c>
      <c r="J1443" t="str">
        <f>getSensorCompatibility('RawData (GH)'!H1443)</f>
        <v>APS-C</v>
      </c>
      <c r="K1443" s="45">
        <f>getWeightAsDouble('RawData (GH)'!I1443)</f>
        <v>460</v>
      </c>
      <c r="L1443" s="34">
        <f>getSizeDiameter('RawData (GH)'!J1443)</f>
        <v>68</v>
      </c>
      <c r="M1443" s="34">
        <f>getSizeLength('RawData (GH)'!J1443)</f>
        <v>96.7</v>
      </c>
    </row>
    <row r="1444" spans="1:13" x14ac:dyDescent="0.25">
      <c r="A1444" t="str">
        <f>'RawData (GH)'!A1444</f>
        <v>Tamron 18-400mm 3.5-6.3 Di II VC HLD für Canon EF schwarz</v>
      </c>
      <c r="B1444" s="5">
        <f>getFocalLengthStart('RawData (GH)'!B1444)</f>
        <v>18</v>
      </c>
      <c r="C1444" s="5">
        <f>getFocalLengthEnd('RawData (GH)'!B1444)</f>
        <v>400</v>
      </c>
      <c r="D1444" s="9">
        <f>getApertureStart('RawData (GH)'!C1444)</f>
        <v>3.5</v>
      </c>
      <c r="E1444" s="9">
        <f>getApertureEnd('RawData (GH)'!C1444)</f>
        <v>6.3</v>
      </c>
      <c r="F1444" s="2">
        <f>getFiltersizeAsDouble('RawData (GH)'!D1444)</f>
        <v>72</v>
      </c>
      <c r="G1444" s="35">
        <f>getMagnification('RawData (GH)'!E1444)</f>
        <v>2.9</v>
      </c>
      <c r="H1444" s="62">
        <f>getMinimalFocus('RawData (GH)'!F1444)</f>
        <v>0</v>
      </c>
      <c r="I1444" t="str">
        <f>getMount('RawData (GH)'!G1444)</f>
        <v>Canon EF-S</v>
      </c>
      <c r="J1444" t="str">
        <f>getSensorCompatibility('RawData (GH)'!H1444)</f>
        <v>APS-C</v>
      </c>
      <c r="K1444" s="45">
        <f>getWeightAsDouble('RawData (GH)'!I1444)</f>
        <v>710</v>
      </c>
      <c r="L1444" s="34">
        <f>getSizeDiameter('RawData (GH)'!J1444)</f>
        <v>79</v>
      </c>
      <c r="M1444" s="34">
        <f>getSizeLength('RawData (GH)'!J1444)</f>
        <v>123.9</v>
      </c>
    </row>
    <row r="1445" spans="1:13" x14ac:dyDescent="0.25">
      <c r="A1445" t="str">
        <f>'RawData (GH)'!A1445</f>
        <v>Tamron 18-400mm 3.5-6.3 Di II VC HLD für Nikon F schwarz</v>
      </c>
      <c r="B1445" s="5">
        <f>getFocalLengthStart('RawData (GH)'!B1445)</f>
        <v>18</v>
      </c>
      <c r="C1445" s="5">
        <f>getFocalLengthEnd('RawData (GH)'!B1445)</f>
        <v>400</v>
      </c>
      <c r="D1445" s="9">
        <f>getApertureStart('RawData (GH)'!C1445)</f>
        <v>3.5</v>
      </c>
      <c r="E1445" s="9">
        <f>getApertureEnd('RawData (GH)'!C1445)</f>
        <v>6.3</v>
      </c>
      <c r="F1445" s="2">
        <f>getFiltersizeAsDouble('RawData (GH)'!D1445)</f>
        <v>72</v>
      </c>
      <c r="G1445" s="35">
        <f>getMagnification('RawData (GH)'!E1445)</f>
        <v>2.9</v>
      </c>
      <c r="H1445" s="62">
        <f>getMinimalFocus('RawData (GH)'!F1445)</f>
        <v>0</v>
      </c>
      <c r="I1445" t="str">
        <f>getMount('RawData (GH)'!G1445)</f>
        <v>Nikon F</v>
      </c>
      <c r="J1445" t="str">
        <f>getSensorCompatibility('RawData (GH)'!H1445)</f>
        <v>APS-C</v>
      </c>
      <c r="K1445" s="45">
        <f>getWeightAsDouble('RawData (GH)'!I1445)</f>
        <v>705</v>
      </c>
      <c r="L1445" s="34">
        <f>getSizeDiameter('RawData (GH)'!J1445)</f>
        <v>79</v>
      </c>
      <c r="M1445" s="34">
        <f>getSizeLength('RawData (GH)'!J1445)</f>
        <v>121.4</v>
      </c>
    </row>
    <row r="1446" spans="1:13" x14ac:dyDescent="0.25">
      <c r="A1446" t="str">
        <f>'RawData (GH)'!A1446</f>
        <v>Tamron 28-300mm 3.5-6.3 XR Di VC LD PZD IF für Canon EF schwarz</v>
      </c>
      <c r="B1446" s="5">
        <f>getFocalLengthStart('RawData (GH)'!B1446)</f>
        <v>28</v>
      </c>
      <c r="C1446" s="5">
        <f>getFocalLengthEnd('RawData (GH)'!B1446)</f>
        <v>300</v>
      </c>
      <c r="D1446" s="9">
        <f>getApertureStart('RawData (GH)'!C1446)</f>
        <v>3.5</v>
      </c>
      <c r="E1446" s="9">
        <f>getApertureEnd('RawData (GH)'!C1446)</f>
        <v>6.3</v>
      </c>
      <c r="F1446" s="2">
        <f>getFiltersizeAsDouble('RawData (GH)'!D1446)</f>
        <v>67</v>
      </c>
      <c r="G1446" s="35">
        <f>getMagnification('RawData (GH)'!E1446)</f>
        <v>2.8</v>
      </c>
      <c r="H1446" s="62">
        <f>getMinimalFocus('RawData (GH)'!F1446)</f>
        <v>0</v>
      </c>
      <c r="I1446" t="str">
        <f>getMount('RawData (GH)'!G1446)</f>
        <v>Canon EF</v>
      </c>
      <c r="J1446" t="str">
        <f>getSensorCompatibility('RawData (GH)'!H1446)</f>
        <v>APS-C/ Kleinbild</v>
      </c>
      <c r="K1446" s="45">
        <f>getWeightAsDouble('RawData (GH)'!I1446)</f>
        <v>540</v>
      </c>
      <c r="L1446" s="34">
        <f>getSizeDiameter('RawData (GH)'!J1446)</f>
        <v>75</v>
      </c>
      <c r="M1446" s="34">
        <f>getSizeLength('RawData (GH)'!J1446)</f>
        <v>99.5</v>
      </c>
    </row>
    <row r="1447" spans="1:13" x14ac:dyDescent="0.25">
      <c r="A1447" t="str">
        <f>'RawData (GH)'!A1447</f>
        <v>Tamron 28-300mm 3.5-6.3 XR Di VC LD PZD IF für Nikon F schwarz</v>
      </c>
      <c r="B1447" s="5">
        <f>getFocalLengthStart('RawData (GH)'!B1447)</f>
        <v>28</v>
      </c>
      <c r="C1447" s="5">
        <f>getFocalLengthEnd('RawData (GH)'!B1447)</f>
        <v>300</v>
      </c>
      <c r="D1447" s="9">
        <f>getApertureStart('RawData (GH)'!C1447)</f>
        <v>3.5</v>
      </c>
      <c r="E1447" s="9">
        <f>getApertureEnd('RawData (GH)'!C1447)</f>
        <v>6.3</v>
      </c>
      <c r="F1447" s="2">
        <f>getFiltersizeAsDouble('RawData (GH)'!D1447)</f>
        <v>67</v>
      </c>
      <c r="G1447" s="35">
        <f>getMagnification('RawData (GH)'!E1447)</f>
        <v>2.8</v>
      </c>
      <c r="H1447" s="62">
        <f>getMinimalFocus('RawData (GH)'!F1447)</f>
        <v>0</v>
      </c>
      <c r="I1447" t="str">
        <f>getMount('RawData (GH)'!G1447)</f>
        <v>Nikon F</v>
      </c>
      <c r="J1447" t="str">
        <f>getSensorCompatibility('RawData (GH)'!H1447)</f>
        <v>APS-C/ Kleinbild</v>
      </c>
      <c r="K1447" s="45">
        <f>getWeightAsDouble('RawData (GH)'!I1447)</f>
        <v>540</v>
      </c>
      <c r="L1447" s="34">
        <f>getSizeDiameter('RawData (GH)'!J1447)</f>
        <v>75</v>
      </c>
      <c r="M1447" s="34">
        <f>getSizeLength('RawData (GH)'!J1447)</f>
        <v>99.5</v>
      </c>
    </row>
    <row r="1448" spans="1:13" x14ac:dyDescent="0.25">
      <c r="A1448" t="str">
        <f>'RawData (GH)'!A1448</f>
        <v>Tamron 28-300mm 3.5-6.3 XR Di VC LD PZD IF für Sony A schwarz</v>
      </c>
      <c r="B1448" s="5">
        <f>getFocalLengthStart('RawData (GH)'!B1448)</f>
        <v>28</v>
      </c>
      <c r="C1448" s="5">
        <f>getFocalLengthEnd('RawData (GH)'!B1448)</f>
        <v>300</v>
      </c>
      <c r="D1448" s="9">
        <f>getApertureStart('RawData (GH)'!C1448)</f>
        <v>3.5</v>
      </c>
      <c r="E1448" s="9">
        <f>getApertureEnd('RawData (GH)'!C1448)</f>
        <v>6.3</v>
      </c>
      <c r="F1448" s="2">
        <f>getFiltersizeAsDouble('RawData (GH)'!D1448)</f>
        <v>67</v>
      </c>
      <c r="G1448" s="35">
        <f>getMagnification('RawData (GH)'!E1448)</f>
        <v>2.8</v>
      </c>
      <c r="H1448" s="62">
        <f>getMinimalFocus('RawData (GH)'!F1448)</f>
        <v>0</v>
      </c>
      <c r="I1448" t="str">
        <f>getMount('RawData (GH)'!G1448)</f>
        <v>Sony A</v>
      </c>
      <c r="J1448" t="str">
        <f>getSensorCompatibility('RawData (GH)'!H1448)</f>
        <v>APS-C/ Kleinbild</v>
      </c>
      <c r="K1448" s="45">
        <f>getWeightAsDouble('RawData (GH)'!I1448)</f>
        <v>540</v>
      </c>
      <c r="L1448" s="34">
        <f>getSizeDiameter('RawData (GH)'!J1448)</f>
        <v>75</v>
      </c>
      <c r="M1448" s="34">
        <f>getSizeLength('RawData (GH)'!J1448)</f>
        <v>99.5</v>
      </c>
    </row>
    <row r="1449" spans="1:13" x14ac:dyDescent="0.25">
      <c r="A1449" t="str">
        <f>'RawData (GH)'!A1449</f>
        <v>Tamron AF 18-200mm 3.5-6.3 XR Di II LD Asp IF Makro für Canon EF schwarz</v>
      </c>
      <c r="B1449" s="5">
        <f>getFocalLengthStart('RawData (GH)'!B1449)</f>
        <v>18</v>
      </c>
      <c r="C1449" s="5">
        <f>getFocalLengthEnd('RawData (GH)'!B1449)</f>
        <v>200</v>
      </c>
      <c r="D1449" s="9">
        <f>getApertureStart('RawData (GH)'!C1449)</f>
        <v>3.5</v>
      </c>
      <c r="E1449" s="9">
        <f>getApertureEnd('RawData (GH)'!C1449)</f>
        <v>6.3</v>
      </c>
      <c r="F1449" s="2">
        <f>getFiltersizeAsDouble('RawData (GH)'!D1449)</f>
        <v>62</v>
      </c>
      <c r="G1449" s="35">
        <f>getMagnification('RawData (GH)'!E1449)</f>
        <v>3.7</v>
      </c>
      <c r="H1449" s="62">
        <f>getMinimalFocus('RawData (GH)'!F1449)</f>
        <v>0</v>
      </c>
      <c r="I1449" t="str">
        <f>getMount('RawData (GH)'!G1449)</f>
        <v>Canon EF-S</v>
      </c>
      <c r="J1449" t="str">
        <f>getSensorCompatibility('RawData (GH)'!H1449)</f>
        <v>APS-C</v>
      </c>
      <c r="K1449" s="45">
        <f>getWeightAsDouble('RawData (GH)'!I1449)</f>
        <v>398</v>
      </c>
      <c r="L1449" s="34">
        <f>getSizeDiameter('RawData (GH)'!J1449)</f>
        <v>73.8</v>
      </c>
      <c r="M1449" s="34">
        <f>getSizeLength('RawData (GH)'!J1449)</f>
        <v>83.7</v>
      </c>
    </row>
    <row r="1450" spans="1:13" x14ac:dyDescent="0.25">
      <c r="A1450" t="str">
        <f>'RawData (GH)'!A1450</f>
        <v>Tamron AF 18-200mm 3.5-6.3 XR Di II LD Asp IF Makro für Pentax K schwarz</v>
      </c>
      <c r="B1450" s="5">
        <f>getFocalLengthStart('RawData (GH)'!B1450)</f>
        <v>18</v>
      </c>
      <c r="C1450" s="5">
        <f>getFocalLengthEnd('RawData (GH)'!B1450)</f>
        <v>200</v>
      </c>
      <c r="D1450" s="9">
        <f>getApertureStart('RawData (GH)'!C1450)</f>
        <v>3.5</v>
      </c>
      <c r="E1450" s="9">
        <f>getApertureEnd('RawData (GH)'!C1450)</f>
        <v>6.3</v>
      </c>
      <c r="F1450" s="2">
        <f>getFiltersizeAsDouble('RawData (GH)'!D1450)</f>
        <v>62</v>
      </c>
      <c r="G1450" s="35">
        <f>getMagnification('RawData (GH)'!E1450)</f>
        <v>3.7</v>
      </c>
      <c r="H1450" s="62">
        <f>getMinimalFocus('RawData (GH)'!F1450)</f>
        <v>0</v>
      </c>
      <c r="I1450" t="str">
        <f>getMount('RawData (GH)'!G1450)</f>
        <v>Pentax K</v>
      </c>
      <c r="J1450" t="str">
        <f>getSensorCompatibility('RawData (GH)'!H1450)</f>
        <v>APS-C</v>
      </c>
      <c r="K1450" s="45">
        <f>getWeightAsDouble('RawData (GH)'!I1450)</f>
        <v>398</v>
      </c>
      <c r="L1450" s="34">
        <f>getSizeDiameter('RawData (GH)'!J1450)</f>
        <v>73.8</v>
      </c>
      <c r="M1450" s="34">
        <f>getSizeLength('RawData (GH)'!J1450)</f>
        <v>83.7</v>
      </c>
    </row>
    <row r="1451" spans="1:13" x14ac:dyDescent="0.25">
      <c r="A1451" t="str">
        <f>'RawData (GH)'!A1451</f>
        <v>Tamron AF 18-200mm 3.5-6.3 XR Di II LD Asp IF Makro für Sony A schwarz</v>
      </c>
      <c r="B1451" s="5">
        <f>getFocalLengthStart('RawData (GH)'!B1451)</f>
        <v>18</v>
      </c>
      <c r="C1451" s="5">
        <f>getFocalLengthEnd('RawData (GH)'!B1451)</f>
        <v>200</v>
      </c>
      <c r="D1451" s="9">
        <f>getApertureStart('RawData (GH)'!C1451)</f>
        <v>3.5</v>
      </c>
      <c r="E1451" s="9">
        <f>getApertureEnd('RawData (GH)'!C1451)</f>
        <v>6.3</v>
      </c>
      <c r="F1451" s="2">
        <f>getFiltersizeAsDouble('RawData (GH)'!D1451)</f>
        <v>62</v>
      </c>
      <c r="G1451" s="35">
        <f>getMagnification('RawData (GH)'!E1451)</f>
        <v>3.7</v>
      </c>
      <c r="H1451" s="62">
        <f>getMinimalFocus('RawData (GH)'!F1451)</f>
        <v>0</v>
      </c>
      <c r="I1451" t="str">
        <f>getMount('RawData (GH)'!G1451)</f>
        <v>Sony A</v>
      </c>
      <c r="J1451" t="str">
        <f>getSensorCompatibility('RawData (GH)'!H1451)</f>
        <v>APS-C</v>
      </c>
      <c r="K1451" s="45">
        <f>getWeightAsDouble('RawData (GH)'!I1451)</f>
        <v>398</v>
      </c>
      <c r="L1451" s="34">
        <f>getSizeDiameter('RawData (GH)'!J1451)</f>
        <v>73.8</v>
      </c>
      <c r="M1451" s="34">
        <f>getSizeLength('RawData (GH)'!J1451)</f>
        <v>83.7</v>
      </c>
    </row>
    <row r="1452" spans="1:13" x14ac:dyDescent="0.25">
      <c r="A1452" t="str">
        <f>'RawData (GH)'!A1452</f>
        <v>Tamron AF 18-200mm 3.5-6.3 XR Di II LD Asp IF Makro mit AF-Motor für Nikon F schwarz</v>
      </c>
      <c r="B1452" s="5">
        <f>getFocalLengthStart('RawData (GH)'!B1452)</f>
        <v>18</v>
      </c>
      <c r="C1452" s="5">
        <f>getFocalLengthEnd('RawData (GH)'!B1452)</f>
        <v>200</v>
      </c>
      <c r="D1452" s="9">
        <f>getApertureStart('RawData (GH)'!C1452)</f>
        <v>3.5</v>
      </c>
      <c r="E1452" s="9">
        <f>getApertureEnd('RawData (GH)'!C1452)</f>
        <v>6.3</v>
      </c>
      <c r="F1452" s="2">
        <f>getFiltersizeAsDouble('RawData (GH)'!D1452)</f>
        <v>62</v>
      </c>
      <c r="G1452" s="35">
        <f>getMagnification('RawData (GH)'!E1452)</f>
        <v>3.7</v>
      </c>
      <c r="H1452" s="62">
        <f>getMinimalFocus('RawData (GH)'!F1452)</f>
        <v>0</v>
      </c>
      <c r="I1452" t="str">
        <f>getMount('RawData (GH)'!G1452)</f>
        <v>Nikon F</v>
      </c>
      <c r="J1452" t="str">
        <f>getSensorCompatibility('RawData (GH)'!H1452)</f>
        <v>APS-C</v>
      </c>
      <c r="K1452" s="45">
        <f>getWeightAsDouble('RawData (GH)'!I1452)</f>
        <v>398</v>
      </c>
      <c r="L1452" s="34">
        <f>getSizeDiameter('RawData (GH)'!J1452)</f>
        <v>73.8</v>
      </c>
      <c r="M1452" s="34">
        <f>getSizeLength('RawData (GH)'!J1452)</f>
        <v>83.7</v>
      </c>
    </row>
    <row r="1453" spans="1:13" x14ac:dyDescent="0.25">
      <c r="A1453" t="str">
        <f>'RawData (GH)'!A1453</f>
        <v>Tamron AF 18-250mm 3.5-6.3 Di II LD Asp IF Makro für Nikon F schwarz</v>
      </c>
      <c r="B1453" s="5">
        <f>getFocalLengthStart('RawData (GH)'!B1453)</f>
        <v>18</v>
      </c>
      <c r="C1453" s="5">
        <f>getFocalLengthEnd('RawData (GH)'!B1453)</f>
        <v>250</v>
      </c>
      <c r="D1453" s="9">
        <f>getApertureStart('RawData (GH)'!C1453)</f>
        <v>3.5</v>
      </c>
      <c r="E1453" s="9">
        <f>getApertureEnd('RawData (GH)'!C1453)</f>
        <v>6.3</v>
      </c>
      <c r="F1453" s="2">
        <f>getFiltersizeAsDouble('RawData (GH)'!D1453)</f>
        <v>62</v>
      </c>
      <c r="G1453" s="35">
        <f>getMagnification('RawData (GH)'!E1453)</f>
        <v>3.5</v>
      </c>
      <c r="H1453" s="62">
        <f>getMinimalFocus('RawData (GH)'!F1453)</f>
        <v>0</v>
      </c>
      <c r="I1453" t="str">
        <f>getMount('RawData (GH)'!G1453)</f>
        <v>Nikon F</v>
      </c>
      <c r="J1453" t="str">
        <f>getSensorCompatibility('RawData (GH)'!H1453)</f>
        <v>APS-C</v>
      </c>
      <c r="K1453" s="45">
        <f>getWeightAsDouble('RawData (GH)'!I1453)</f>
        <v>430</v>
      </c>
      <c r="L1453" s="34">
        <f>getSizeDiameter('RawData (GH)'!J1453)</f>
        <v>74.400000000000006</v>
      </c>
      <c r="M1453" s="34">
        <f>getSizeLength('RawData (GH)'!J1453)</f>
        <v>84.3</v>
      </c>
    </row>
    <row r="1454" spans="1:13" x14ac:dyDescent="0.25">
      <c r="A1454" t="str">
        <f>'RawData (GH)'!A1454</f>
        <v>Tamron AF 18-250mm 3.5-6.3 Di II LD Asp IF Makro mit AF-Motor für Nikon F schwarz</v>
      </c>
      <c r="B1454" s="5">
        <f>getFocalLengthStart('RawData (GH)'!B1454)</f>
        <v>18</v>
      </c>
      <c r="C1454" s="5">
        <f>getFocalLengthEnd('RawData (GH)'!B1454)</f>
        <v>250</v>
      </c>
      <c r="D1454" s="9">
        <f>getApertureStart('RawData (GH)'!C1454)</f>
        <v>3.5</v>
      </c>
      <c r="E1454" s="9">
        <f>getApertureEnd('RawData (GH)'!C1454)</f>
        <v>6.3</v>
      </c>
      <c r="F1454" s="2">
        <f>getFiltersizeAsDouble('RawData (GH)'!D1454)</f>
        <v>62</v>
      </c>
      <c r="G1454" s="35">
        <f>getMagnification('RawData (GH)'!E1454)</f>
        <v>3.5</v>
      </c>
      <c r="H1454" s="62">
        <f>getMinimalFocus('RawData (GH)'!F1454)</f>
        <v>0</v>
      </c>
      <c r="I1454" t="str">
        <f>getMount('RawData (GH)'!G1454)</f>
        <v>Nikon F</v>
      </c>
      <c r="J1454" t="str">
        <f>getSensorCompatibility('RawData (GH)'!H1454)</f>
        <v>APS-C</v>
      </c>
      <c r="K1454" s="45">
        <f>getWeightAsDouble('RawData (GH)'!I1454)</f>
        <v>430</v>
      </c>
      <c r="L1454" s="34">
        <f>getSizeDiameter('RawData (GH)'!J1454)</f>
        <v>74.400000000000006</v>
      </c>
      <c r="M1454" s="34">
        <f>getSizeLength('RawData (GH)'!J1454)</f>
        <v>84.3</v>
      </c>
    </row>
    <row r="1455" spans="1:13" x14ac:dyDescent="0.25">
      <c r="A1455" t="str">
        <f>'RawData (GH)'!A1455</f>
        <v>Tamron AF 18-270mm 3.5-6.3 Di II PZD für Sony A schwarz</v>
      </c>
      <c r="B1455" s="5">
        <f>getFocalLengthStart('RawData (GH)'!B1455)</f>
        <v>18</v>
      </c>
      <c r="C1455" s="5">
        <f>getFocalLengthEnd('RawData (GH)'!B1455)</f>
        <v>270</v>
      </c>
      <c r="D1455" s="9">
        <f>getApertureStart('RawData (GH)'!C1455)</f>
        <v>3.5</v>
      </c>
      <c r="E1455" s="9">
        <f>getApertureEnd('RawData (GH)'!C1455)</f>
        <v>6.3</v>
      </c>
      <c r="F1455" s="2">
        <f>getFiltersizeAsDouble('RawData (GH)'!D1455)</f>
        <v>62</v>
      </c>
      <c r="G1455" s="35">
        <f>getMagnification('RawData (GH)'!E1455)</f>
        <v>3.8</v>
      </c>
      <c r="H1455" s="62">
        <f>getMinimalFocus('RawData (GH)'!F1455)</f>
        <v>0</v>
      </c>
      <c r="I1455" t="str">
        <f>getMount('RawData (GH)'!G1455)</f>
        <v>Sony A</v>
      </c>
      <c r="J1455" t="str">
        <f>getSensorCompatibility('RawData (GH)'!H1455)</f>
        <v>APS-C</v>
      </c>
      <c r="K1455" s="45">
        <f>getWeightAsDouble('RawData (GH)'!I1455)</f>
        <v>450</v>
      </c>
      <c r="L1455" s="34">
        <f>getSizeDiameter('RawData (GH)'!J1455)</f>
        <v>74.400000000000006</v>
      </c>
      <c r="M1455" s="34">
        <f>getSizeLength('RawData (GH)'!J1455)</f>
        <v>96.4</v>
      </c>
    </row>
    <row r="1456" spans="1:13" x14ac:dyDescent="0.25">
      <c r="A1456" t="str">
        <f>'RawData (GH)'!A1456</f>
        <v>Tamron AF 18-270mm 3.5-6.3 Di II VC PZD für Canon EF schwarz (B008E)</v>
      </c>
      <c r="B1456" s="5">
        <f>getFocalLengthStart('RawData (GH)'!B1456)</f>
        <v>18</v>
      </c>
      <c r="C1456" s="5">
        <f>getFocalLengthEnd('RawData (GH)'!B1456)</f>
        <v>270</v>
      </c>
      <c r="D1456" s="9">
        <f>getApertureStart('RawData (GH)'!C1456)</f>
        <v>3.5</v>
      </c>
      <c r="E1456" s="9">
        <f>getApertureEnd('RawData (GH)'!C1456)</f>
        <v>6.3</v>
      </c>
      <c r="F1456" s="2">
        <f>getFiltersizeAsDouble('RawData (GH)'!D1456)</f>
        <v>62</v>
      </c>
      <c r="G1456" s="35">
        <f>getMagnification('RawData (GH)'!E1456)</f>
        <v>3.8</v>
      </c>
      <c r="H1456" s="62">
        <f>getMinimalFocus('RawData (GH)'!F1456)</f>
        <v>0</v>
      </c>
      <c r="I1456" t="str">
        <f>getMount('RawData (GH)'!G1456)</f>
        <v>Canon EF-S</v>
      </c>
      <c r="J1456" t="str">
        <f>getSensorCompatibility('RawData (GH)'!H1456)</f>
        <v>APS-C</v>
      </c>
      <c r="K1456" s="45">
        <f>getWeightAsDouble('RawData (GH)'!I1456)</f>
        <v>450</v>
      </c>
      <c r="L1456" s="34">
        <f>getSizeDiameter('RawData (GH)'!J1456)</f>
        <v>74.400000000000006</v>
      </c>
      <c r="M1456" s="34">
        <f>getSizeLength('RawData (GH)'!J1456)</f>
        <v>96.4</v>
      </c>
    </row>
    <row r="1457" spans="1:13" x14ac:dyDescent="0.25">
      <c r="A1457" t="str">
        <f>'RawData (GH)'!A1457</f>
        <v>Tamron AF 18-270mm 3.5-6.3 Di II VC PZD für Nikon F schwarz (B008N)</v>
      </c>
      <c r="B1457" s="5">
        <f>getFocalLengthStart('RawData (GH)'!B1457)</f>
        <v>18</v>
      </c>
      <c r="C1457" s="5">
        <f>getFocalLengthEnd('RawData (GH)'!B1457)</f>
        <v>270</v>
      </c>
      <c r="D1457" s="9">
        <f>getApertureStart('RawData (GH)'!C1457)</f>
        <v>3.5</v>
      </c>
      <c r="E1457" s="9">
        <f>getApertureEnd('RawData (GH)'!C1457)</f>
        <v>6.3</v>
      </c>
      <c r="F1457" s="2">
        <f>getFiltersizeAsDouble('RawData (GH)'!D1457)</f>
        <v>62</v>
      </c>
      <c r="G1457" s="35">
        <f>getMagnification('RawData (GH)'!E1457)</f>
        <v>3.8</v>
      </c>
      <c r="H1457" s="62">
        <f>getMinimalFocus('RawData (GH)'!F1457)</f>
        <v>0</v>
      </c>
      <c r="I1457" t="str">
        <f>getMount('RawData (GH)'!G1457)</f>
        <v>Nikon F</v>
      </c>
      <c r="J1457" t="str">
        <f>getSensorCompatibility('RawData (GH)'!H1457)</f>
        <v>APS-C</v>
      </c>
      <c r="K1457" s="45">
        <f>getWeightAsDouble('RawData (GH)'!I1457)</f>
        <v>450</v>
      </c>
      <c r="L1457" s="34">
        <f>getSizeDiameter('RawData (GH)'!J1457)</f>
        <v>74.400000000000006</v>
      </c>
      <c r="M1457" s="34">
        <f>getSizeLength('RawData (GH)'!J1457)</f>
        <v>96.4</v>
      </c>
    </row>
    <row r="1458" spans="1:13" x14ac:dyDescent="0.25">
      <c r="A1458" t="str">
        <f>'RawData (GH)'!A1458</f>
        <v>Tamron AF 20-40mm 2.7-3.5 Asp IF für Canon EF schwarz</v>
      </c>
      <c r="B1458" s="5">
        <f>getFocalLengthStart('RawData (GH)'!B1458)</f>
        <v>20</v>
      </c>
      <c r="C1458" s="5">
        <f>getFocalLengthEnd('RawData (GH)'!B1458)</f>
        <v>40</v>
      </c>
      <c r="D1458" s="9">
        <f>getApertureStart('RawData (GH)'!C1458)</f>
        <v>2.7</v>
      </c>
      <c r="E1458" s="9">
        <f>getApertureEnd('RawData (GH)'!C1458)</f>
        <v>3.5</v>
      </c>
      <c r="F1458" s="2">
        <f>getFiltersizeAsDouble('RawData (GH)'!D1458)</f>
        <v>77</v>
      </c>
      <c r="G1458" s="35">
        <f>getMagnification('RawData (GH)'!E1458)</f>
        <v>0</v>
      </c>
      <c r="H1458" s="62">
        <f>getMinimalFocus('RawData (GH)'!F1458)</f>
        <v>0</v>
      </c>
      <c r="I1458" t="str">
        <f>getMount('RawData (GH)'!G1458)</f>
        <v>Unknown</v>
      </c>
      <c r="J1458" t="str">
        <f>getSensorCompatibility('RawData (GH)'!H1458)</f>
        <v>APS-C/ Kleinbild</v>
      </c>
      <c r="K1458" s="45">
        <f>getWeightAsDouble('RawData (GH)'!I1458)</f>
        <v>525</v>
      </c>
      <c r="L1458" s="34">
        <f>getSizeDiameter('RawData (GH)'!J1458)</f>
        <v>81.5</v>
      </c>
      <c r="M1458" s="34">
        <f>getSizeLength('RawData (GH)'!J1458)</f>
        <v>81</v>
      </c>
    </row>
    <row r="1459" spans="1:13" x14ac:dyDescent="0.25">
      <c r="A1459" t="str">
        <f>'RawData (GH)'!A1459</f>
        <v>Tamron AF 28-300mm 3.5-6.3 XR Di LD Asp IF Makro für Canon EF schwarz</v>
      </c>
      <c r="B1459" s="5">
        <f>getFocalLengthStart('RawData (GH)'!B1459)</f>
        <v>28</v>
      </c>
      <c r="C1459" s="5">
        <f>getFocalLengthEnd('RawData (GH)'!B1459)</f>
        <v>300</v>
      </c>
      <c r="D1459" s="9">
        <f>getApertureStart('RawData (GH)'!C1459)</f>
        <v>3.5</v>
      </c>
      <c r="E1459" s="9">
        <f>getApertureEnd('RawData (GH)'!C1459)</f>
        <v>6.3</v>
      </c>
      <c r="F1459" s="2">
        <f>getFiltersizeAsDouble('RawData (GH)'!D1459)</f>
        <v>62</v>
      </c>
      <c r="G1459" s="35">
        <f>getMagnification('RawData (GH)'!E1459)</f>
        <v>2.9</v>
      </c>
      <c r="H1459" s="62">
        <f>getMinimalFocus('RawData (GH)'!F1459)</f>
        <v>0</v>
      </c>
      <c r="I1459" t="str">
        <f>getMount('RawData (GH)'!G1459)</f>
        <v>Canon EF</v>
      </c>
      <c r="J1459" t="str">
        <f>getSensorCompatibility('RawData (GH)'!H1459)</f>
        <v>APS-C/ Kleinbild</v>
      </c>
      <c r="K1459" s="45">
        <f>getWeightAsDouble('RawData (GH)'!I1459)</f>
        <v>420</v>
      </c>
      <c r="L1459" s="34">
        <f>getSizeDiameter('RawData (GH)'!J1459)</f>
        <v>73</v>
      </c>
      <c r="M1459" s="34">
        <f>getSizeLength('RawData (GH)'!J1459)</f>
        <v>83.7</v>
      </c>
    </row>
    <row r="1460" spans="1:13" x14ac:dyDescent="0.25">
      <c r="A1460" t="str">
        <f>'RawData (GH)'!A1460</f>
        <v>Tamron AF 28-300mm 3.5-6.3 XR Di LD Asp IF Makro für Sony A schwarz</v>
      </c>
      <c r="B1460" s="5">
        <f>getFocalLengthStart('RawData (GH)'!B1460)</f>
        <v>28</v>
      </c>
      <c r="C1460" s="5">
        <f>getFocalLengthEnd('RawData (GH)'!B1460)</f>
        <v>300</v>
      </c>
      <c r="D1460" s="9">
        <f>getApertureStart('RawData (GH)'!C1460)</f>
        <v>3.5</v>
      </c>
      <c r="E1460" s="9">
        <f>getApertureEnd('RawData (GH)'!C1460)</f>
        <v>6.3</v>
      </c>
      <c r="F1460" s="2">
        <f>getFiltersizeAsDouble('RawData (GH)'!D1460)</f>
        <v>62</v>
      </c>
      <c r="G1460" s="35">
        <f>getMagnification('RawData (GH)'!E1460)</f>
        <v>2.9</v>
      </c>
      <c r="H1460" s="62">
        <f>getMinimalFocus('RawData (GH)'!F1460)</f>
        <v>0</v>
      </c>
      <c r="I1460" t="str">
        <f>getMount('RawData (GH)'!G1460)</f>
        <v>Sony A</v>
      </c>
      <c r="J1460" t="str">
        <f>getSensorCompatibility('RawData (GH)'!H1460)</f>
        <v>APS-C/ Kleinbild</v>
      </c>
      <c r="K1460" s="45">
        <f>getWeightAsDouble('RawData (GH)'!I1460)</f>
        <v>420</v>
      </c>
      <c r="L1460" s="34">
        <f>getSizeDiameter('RawData (GH)'!J1460)</f>
        <v>73</v>
      </c>
      <c r="M1460" s="34">
        <f>getSizeLength('RawData (GH)'!J1460)</f>
        <v>83.7</v>
      </c>
    </row>
    <row r="1461" spans="1:13" x14ac:dyDescent="0.25">
      <c r="A1461" t="str">
        <f>'RawData (GH)'!A1461</f>
        <v>Tamron AF 28-300mm 3.5-6.3 XR Di VC LD Asp IF Makro für Nikon F schwarz</v>
      </c>
      <c r="B1461" s="5">
        <f>getFocalLengthStart('RawData (GH)'!B1461)</f>
        <v>28</v>
      </c>
      <c r="C1461" s="5">
        <f>getFocalLengthEnd('RawData (GH)'!B1461)</f>
        <v>300</v>
      </c>
      <c r="D1461" s="9">
        <f>getApertureStart('RawData (GH)'!C1461)</f>
        <v>3.5</v>
      </c>
      <c r="E1461" s="9">
        <f>getApertureEnd('RawData (GH)'!C1461)</f>
        <v>6.3</v>
      </c>
      <c r="F1461" s="2">
        <f>getFiltersizeAsDouble('RawData (GH)'!D1461)</f>
        <v>67</v>
      </c>
      <c r="G1461" s="35">
        <f>getMagnification('RawData (GH)'!E1461)</f>
        <v>3</v>
      </c>
      <c r="H1461" s="62">
        <f>getMinimalFocus('RawData (GH)'!F1461)</f>
        <v>0</v>
      </c>
      <c r="I1461" t="str">
        <f>getMount('RawData (GH)'!G1461)</f>
        <v>Nikon F</v>
      </c>
      <c r="J1461" t="str">
        <f>getSensorCompatibility('RawData (GH)'!H1461)</f>
        <v>APS-C/ Kleinbild</v>
      </c>
      <c r="K1461" s="45">
        <f>getWeightAsDouble('RawData (GH)'!I1461)</f>
        <v>550</v>
      </c>
      <c r="L1461" s="34">
        <f>getSizeDiameter('RawData (GH)'!J1461)</f>
        <v>78</v>
      </c>
      <c r="M1461" s="34">
        <f>getSizeLength('RawData (GH)'!J1461)</f>
        <v>99</v>
      </c>
    </row>
    <row r="1462" spans="1:13" x14ac:dyDescent="0.25">
      <c r="A1462" t="str">
        <f>'RawData (GH)'!A1462</f>
        <v>Tamron AF 55-200mm 4.0-5.6 Di II LD Makro für Nikon F schwarz</v>
      </c>
      <c r="B1462" s="5">
        <f>getFocalLengthStart('RawData (GH)'!B1462)</f>
        <v>55</v>
      </c>
      <c r="C1462" s="5">
        <f>getFocalLengthEnd('RawData (GH)'!B1462)</f>
        <v>200</v>
      </c>
      <c r="D1462" s="9">
        <f>getApertureStart('RawData (GH)'!C1462)</f>
        <v>4</v>
      </c>
      <c r="E1462" s="9">
        <f>getApertureEnd('RawData (GH)'!C1462)</f>
        <v>5.6</v>
      </c>
      <c r="F1462" s="2">
        <f>getFiltersizeAsDouble('RawData (GH)'!D1462)</f>
        <v>52</v>
      </c>
      <c r="G1462" s="35">
        <f>getMagnification('RawData (GH)'!E1462)</f>
        <v>3.5</v>
      </c>
      <c r="H1462" s="62">
        <f>getMinimalFocus('RawData (GH)'!F1462)</f>
        <v>0</v>
      </c>
      <c r="I1462" t="str">
        <f>getMount('RawData (GH)'!G1462)</f>
        <v>Nikon F</v>
      </c>
      <c r="J1462" t="str">
        <f>getSensorCompatibility('RawData (GH)'!H1462)</f>
        <v>APS-C</v>
      </c>
      <c r="K1462" s="45">
        <f>getWeightAsDouble('RawData (GH)'!I1462)</f>
        <v>295</v>
      </c>
      <c r="L1462" s="34">
        <f>getSizeDiameter('RawData (GH)'!J1462)</f>
        <v>71.599999999999994</v>
      </c>
      <c r="M1462" s="34">
        <f>getSizeLength('RawData (GH)'!J1462)</f>
        <v>83</v>
      </c>
    </row>
    <row r="1463" spans="1:13" x14ac:dyDescent="0.25">
      <c r="A1463" t="str">
        <f>'RawData (GH)'!A1463</f>
        <v>Tamron AF 70-300mm 4.0-5.6 Di LD Makro 1:2 für Canon EF schwarz</v>
      </c>
      <c r="B1463" s="5">
        <f>getFocalLengthStart('RawData (GH)'!B1463)</f>
        <v>70</v>
      </c>
      <c r="C1463" s="5">
        <f>getFocalLengthEnd('RawData (GH)'!B1463)</f>
        <v>300</v>
      </c>
      <c r="D1463" s="9">
        <f>getApertureStart('RawData (GH)'!C1463)</f>
        <v>4</v>
      </c>
      <c r="E1463" s="9">
        <f>getApertureEnd('RawData (GH)'!C1463)</f>
        <v>5.6</v>
      </c>
      <c r="F1463" s="2">
        <f>getFiltersizeAsDouble('RawData (GH)'!D1463)</f>
        <v>62</v>
      </c>
      <c r="G1463" s="35">
        <f>getMagnification('RawData (GH)'!E1463)</f>
        <v>2</v>
      </c>
      <c r="H1463" s="62">
        <f>getMinimalFocus('RawData (GH)'!F1463)</f>
        <v>0</v>
      </c>
      <c r="I1463" t="str">
        <f>getMount('RawData (GH)'!G1463)</f>
        <v>Canon EF</v>
      </c>
      <c r="J1463" t="str">
        <f>getSensorCompatibility('RawData (GH)'!H1463)</f>
        <v>APS-C/ Kleinbild</v>
      </c>
      <c r="K1463" s="45">
        <f>getWeightAsDouble('RawData (GH)'!I1463)</f>
        <v>435</v>
      </c>
      <c r="L1463" s="34">
        <f>getSizeDiameter('RawData (GH)'!J1463)</f>
        <v>76.599999999999994</v>
      </c>
      <c r="M1463" s="34">
        <f>getSizeLength('RawData (GH)'!J1463)</f>
        <v>116.5</v>
      </c>
    </row>
    <row r="1464" spans="1:13" x14ac:dyDescent="0.25">
      <c r="A1464" t="str">
        <f>'RawData (GH)'!A1464</f>
        <v>Tamron AF 70-300mm 4.0-5.6 Di LD Makro 1:2 für Nikon F schwarz</v>
      </c>
      <c r="B1464" s="5">
        <f>getFocalLengthStart('RawData (GH)'!B1464)</f>
        <v>70</v>
      </c>
      <c r="C1464" s="5">
        <f>getFocalLengthEnd('RawData (GH)'!B1464)</f>
        <v>300</v>
      </c>
      <c r="D1464" s="9">
        <f>getApertureStart('RawData (GH)'!C1464)</f>
        <v>4</v>
      </c>
      <c r="E1464" s="9">
        <f>getApertureEnd('RawData (GH)'!C1464)</f>
        <v>5.6</v>
      </c>
      <c r="F1464" s="2">
        <f>getFiltersizeAsDouble('RawData (GH)'!D1464)</f>
        <v>62</v>
      </c>
      <c r="G1464" s="35">
        <f>getMagnification('RawData (GH)'!E1464)</f>
        <v>2</v>
      </c>
      <c r="H1464" s="62">
        <f>getMinimalFocus('RawData (GH)'!F1464)</f>
        <v>0</v>
      </c>
      <c r="I1464" t="str">
        <f>getMount('RawData (GH)'!G1464)</f>
        <v>Nikon F</v>
      </c>
      <c r="J1464" t="str">
        <f>getSensorCompatibility('RawData (GH)'!H1464)</f>
        <v>APS-C/ Kleinbild</v>
      </c>
      <c r="K1464" s="45">
        <f>getWeightAsDouble('RawData (GH)'!I1464)</f>
        <v>435</v>
      </c>
      <c r="L1464" s="34">
        <f>getSizeDiameter('RawData (GH)'!J1464)</f>
        <v>76.599999999999994</v>
      </c>
      <c r="M1464" s="34">
        <f>getSizeLength('RawData (GH)'!J1464)</f>
        <v>116.5</v>
      </c>
    </row>
    <row r="1465" spans="1:13" x14ac:dyDescent="0.25">
      <c r="A1465" t="str">
        <f>'RawData (GH)'!A1465</f>
        <v>Tamron AF 70-300mm 4.0-5.6 Di LD Makro 1:2 für Pentax K schwarz</v>
      </c>
      <c r="B1465" s="5">
        <f>getFocalLengthStart('RawData (GH)'!B1465)</f>
        <v>70</v>
      </c>
      <c r="C1465" s="5">
        <f>getFocalLengthEnd('RawData (GH)'!B1465)</f>
        <v>300</v>
      </c>
      <c r="D1465" s="9">
        <f>getApertureStart('RawData (GH)'!C1465)</f>
        <v>4</v>
      </c>
      <c r="E1465" s="9">
        <f>getApertureEnd('RawData (GH)'!C1465)</f>
        <v>5.6</v>
      </c>
      <c r="F1465" s="2">
        <f>getFiltersizeAsDouble('RawData (GH)'!D1465)</f>
        <v>62</v>
      </c>
      <c r="G1465" s="35">
        <f>getMagnification('RawData (GH)'!E1465)</f>
        <v>2</v>
      </c>
      <c r="H1465" s="62">
        <f>getMinimalFocus('RawData (GH)'!F1465)</f>
        <v>0</v>
      </c>
      <c r="I1465" t="str">
        <f>getMount('RawData (GH)'!G1465)</f>
        <v>Pentax K</v>
      </c>
      <c r="J1465" t="str">
        <f>getSensorCompatibility('RawData (GH)'!H1465)</f>
        <v>APS-C/ Kleinbild</v>
      </c>
      <c r="K1465" s="45">
        <f>getWeightAsDouble('RawData (GH)'!I1465)</f>
        <v>435</v>
      </c>
      <c r="L1465" s="34">
        <f>getSizeDiameter('RawData (GH)'!J1465)</f>
        <v>76.599999999999994</v>
      </c>
      <c r="M1465" s="34">
        <f>getSizeLength('RawData (GH)'!J1465)</f>
        <v>116.5</v>
      </c>
    </row>
    <row r="1466" spans="1:13" x14ac:dyDescent="0.25">
      <c r="A1466" t="str">
        <f>'RawData (GH)'!A1466</f>
        <v>Tamron AF 70-300mm 4.0-5.6 Di LD Makro 1:2 für Sony A schwarz</v>
      </c>
      <c r="B1466" s="5">
        <f>getFocalLengthStart('RawData (GH)'!B1466)</f>
        <v>70</v>
      </c>
      <c r="C1466" s="5">
        <f>getFocalLengthEnd('RawData (GH)'!B1466)</f>
        <v>300</v>
      </c>
      <c r="D1466" s="9">
        <f>getApertureStart('RawData (GH)'!C1466)</f>
        <v>4</v>
      </c>
      <c r="E1466" s="9">
        <f>getApertureEnd('RawData (GH)'!C1466)</f>
        <v>5.6</v>
      </c>
      <c r="F1466" s="2">
        <f>getFiltersizeAsDouble('RawData (GH)'!D1466)</f>
        <v>62</v>
      </c>
      <c r="G1466" s="35">
        <f>getMagnification('RawData (GH)'!E1466)</f>
        <v>2</v>
      </c>
      <c r="H1466" s="62">
        <f>getMinimalFocus('RawData (GH)'!F1466)</f>
        <v>0</v>
      </c>
      <c r="I1466" t="str">
        <f>getMount('RawData (GH)'!G1466)</f>
        <v>Sony A</v>
      </c>
      <c r="J1466" t="str">
        <f>getSensorCompatibility('RawData (GH)'!H1466)</f>
        <v>APS-C/ Kleinbild</v>
      </c>
      <c r="K1466" s="45">
        <f>getWeightAsDouble('RawData (GH)'!I1466)</f>
        <v>435</v>
      </c>
      <c r="L1466" s="34">
        <f>getSizeDiameter('RawData (GH)'!J1466)</f>
        <v>76.599999999999994</v>
      </c>
      <c r="M1466" s="34">
        <f>getSizeLength('RawData (GH)'!J1466)</f>
        <v>116.5</v>
      </c>
    </row>
    <row r="1467" spans="1:13" x14ac:dyDescent="0.25">
      <c r="A1467" t="str">
        <f>'RawData (GH)'!A1467</f>
        <v>Tamron AF 70-300mm 4.0-5.6 Di LD Makro 1:2 mit AF-Motor für Nikon F schwarz</v>
      </c>
      <c r="B1467" s="5">
        <f>getFocalLengthStart('RawData (GH)'!B1467)</f>
        <v>70</v>
      </c>
      <c r="C1467" s="5">
        <f>getFocalLengthEnd('RawData (GH)'!B1467)</f>
        <v>300</v>
      </c>
      <c r="D1467" s="9">
        <f>getApertureStart('RawData (GH)'!C1467)</f>
        <v>4</v>
      </c>
      <c r="E1467" s="9">
        <f>getApertureEnd('RawData (GH)'!C1467)</f>
        <v>5.6</v>
      </c>
      <c r="F1467" s="2">
        <f>getFiltersizeAsDouble('RawData (GH)'!D1467)</f>
        <v>62</v>
      </c>
      <c r="G1467" s="35">
        <f>getMagnification('RawData (GH)'!E1467)</f>
        <v>2</v>
      </c>
      <c r="H1467" s="62">
        <f>getMinimalFocus('RawData (GH)'!F1467)</f>
        <v>0</v>
      </c>
      <c r="I1467" t="str">
        <f>getMount('RawData (GH)'!G1467)</f>
        <v>Nikon F</v>
      </c>
      <c r="J1467" t="str">
        <f>getSensorCompatibility('RawData (GH)'!H1467)</f>
        <v>APS-C/ Kleinbild</v>
      </c>
      <c r="K1467" s="45">
        <f>getWeightAsDouble('RawData (GH)'!I1467)</f>
        <v>458</v>
      </c>
      <c r="L1467" s="34">
        <f>getSizeDiameter('RawData (GH)'!J1467)</f>
        <v>76.599999999999994</v>
      </c>
      <c r="M1467" s="34">
        <f>getSizeLength('RawData (GH)'!J1467)</f>
        <v>116.5</v>
      </c>
    </row>
    <row r="1468" spans="1:13" x14ac:dyDescent="0.25">
      <c r="A1468" t="str">
        <f>'RawData (GH)'!A1468</f>
        <v>Tamron AF 80-210mm 4.5-5.6 für Sony A schwarz</v>
      </c>
      <c r="B1468" s="5">
        <f>getFocalLengthStart('RawData (GH)'!B1468)</f>
        <v>80</v>
      </c>
      <c r="C1468" s="5">
        <f>getFocalLengthEnd('RawData (GH)'!B1468)</f>
        <v>210</v>
      </c>
      <c r="D1468" s="9">
        <f>getApertureStart('RawData (GH)'!C1468)</f>
        <v>4.5</v>
      </c>
      <c r="E1468" s="9">
        <f>getApertureEnd('RawData (GH)'!C1468)</f>
        <v>5.6</v>
      </c>
      <c r="F1468" s="2">
        <f>getFiltersizeAsDouble('RawData (GH)'!D1468)</f>
        <v>52</v>
      </c>
      <c r="G1468" s="35">
        <f>getMagnification('RawData (GH)'!E1468)</f>
        <v>0</v>
      </c>
      <c r="H1468" s="62">
        <f>getMinimalFocus('RawData (GH)'!F1468)</f>
        <v>0</v>
      </c>
      <c r="I1468" t="str">
        <f>getMount('RawData (GH)'!G1468)</f>
        <v>Sony A</v>
      </c>
      <c r="J1468" t="str">
        <f>getSensorCompatibility('RawData (GH)'!H1468)</f>
        <v>APS-C</v>
      </c>
      <c r="K1468" s="45">
        <f>getWeightAsDouble('RawData (GH)'!I1468)</f>
        <v>281</v>
      </c>
      <c r="L1468" s="34">
        <f>getSizeDiameter('RawData (GH)'!J1468)</f>
        <v>69</v>
      </c>
      <c r="M1468" s="34">
        <f>getSizeLength('RawData (GH)'!J1468)</f>
        <v>97.5</v>
      </c>
    </row>
    <row r="1469" spans="1:13" x14ac:dyDescent="0.25">
      <c r="A1469" t="str">
        <f>'RawData (GH)'!A1469</f>
        <v>Tamron SP AF 10-24mm 3.5-4.5 Di II LD Asp IF für Canon EF schwarz</v>
      </c>
      <c r="B1469" s="5">
        <f>getFocalLengthStart('RawData (GH)'!B1469)</f>
        <v>10</v>
      </c>
      <c r="C1469" s="5">
        <f>getFocalLengthEnd('RawData (GH)'!B1469)</f>
        <v>24</v>
      </c>
      <c r="D1469" s="9">
        <f>getApertureStart('RawData (GH)'!C1469)</f>
        <v>3.5</v>
      </c>
      <c r="E1469" s="9">
        <f>getApertureEnd('RawData (GH)'!C1469)</f>
        <v>4.5</v>
      </c>
      <c r="F1469" s="2">
        <f>getFiltersizeAsDouble('RawData (GH)'!D1469)</f>
        <v>77</v>
      </c>
      <c r="G1469" s="35">
        <f>getMagnification('RawData (GH)'!E1469)</f>
        <v>5.0999999999999996</v>
      </c>
      <c r="H1469" s="62">
        <f>getMinimalFocus('RawData (GH)'!F1469)</f>
        <v>0</v>
      </c>
      <c r="I1469" t="str">
        <f>getMount('RawData (GH)'!G1469)</f>
        <v>Canon EF-S</v>
      </c>
      <c r="J1469" t="str">
        <f>getSensorCompatibility('RawData (GH)'!H1469)</f>
        <v>APS-C</v>
      </c>
      <c r="K1469" s="45">
        <f>getWeightAsDouble('RawData (GH)'!I1469)</f>
        <v>370</v>
      </c>
      <c r="L1469" s="34">
        <f>getSizeDiameter('RawData (GH)'!J1469)</f>
        <v>83.2</v>
      </c>
      <c r="M1469" s="34">
        <f>getSizeLength('RawData (GH)'!J1469)</f>
        <v>86.5</v>
      </c>
    </row>
    <row r="1470" spans="1:13" x14ac:dyDescent="0.25">
      <c r="A1470" t="str">
        <f>'RawData (GH)'!A1470</f>
        <v>Tamron SP AF 10-24mm 3.5-4.5 Di II LD Asp IF für Nikon F schwarz</v>
      </c>
      <c r="B1470" s="5">
        <f>getFocalLengthStart('RawData (GH)'!B1470)</f>
        <v>10</v>
      </c>
      <c r="C1470" s="5">
        <f>getFocalLengthEnd('RawData (GH)'!B1470)</f>
        <v>24</v>
      </c>
      <c r="D1470" s="9">
        <f>getApertureStart('RawData (GH)'!C1470)</f>
        <v>3.5</v>
      </c>
      <c r="E1470" s="9">
        <f>getApertureEnd('RawData (GH)'!C1470)</f>
        <v>4.5</v>
      </c>
      <c r="F1470" s="2">
        <f>getFiltersizeAsDouble('RawData (GH)'!D1470)</f>
        <v>77</v>
      </c>
      <c r="G1470" s="35">
        <f>getMagnification('RawData (GH)'!E1470)</f>
        <v>5.0999999999999996</v>
      </c>
      <c r="H1470" s="62">
        <f>getMinimalFocus('RawData (GH)'!F1470)</f>
        <v>0</v>
      </c>
      <c r="I1470" t="str">
        <f>getMount('RawData (GH)'!G1470)</f>
        <v>Nikon F</v>
      </c>
      <c r="J1470" t="str">
        <f>getSensorCompatibility('RawData (GH)'!H1470)</f>
        <v>APS-C</v>
      </c>
      <c r="K1470" s="45">
        <f>getWeightAsDouble('RawData (GH)'!I1470)</f>
        <v>370</v>
      </c>
      <c r="L1470" s="34">
        <f>getSizeDiameter('RawData (GH)'!J1470)</f>
        <v>83.2</v>
      </c>
      <c r="M1470" s="34">
        <f>getSizeLength('RawData (GH)'!J1470)</f>
        <v>86.5</v>
      </c>
    </row>
    <row r="1471" spans="1:13" x14ac:dyDescent="0.25">
      <c r="A1471" t="str">
        <f>'RawData (GH)'!A1471</f>
        <v>Tamron SP AF 10-24mm 3.5-4.5 Di II LD Asp IF für Pentax K schwarz</v>
      </c>
      <c r="B1471" s="5">
        <f>getFocalLengthStart('RawData (GH)'!B1471)</f>
        <v>10</v>
      </c>
      <c r="C1471" s="5">
        <f>getFocalLengthEnd('RawData (GH)'!B1471)</f>
        <v>24</v>
      </c>
      <c r="D1471" s="9">
        <f>getApertureStart('RawData (GH)'!C1471)</f>
        <v>3.5</v>
      </c>
      <c r="E1471" s="9">
        <f>getApertureEnd('RawData (GH)'!C1471)</f>
        <v>4.5</v>
      </c>
      <c r="F1471" s="2">
        <f>getFiltersizeAsDouble('RawData (GH)'!D1471)</f>
        <v>77</v>
      </c>
      <c r="G1471" s="35">
        <f>getMagnification('RawData (GH)'!E1471)</f>
        <v>5.0999999999999996</v>
      </c>
      <c r="H1471" s="62">
        <f>getMinimalFocus('RawData (GH)'!F1471)</f>
        <v>0</v>
      </c>
      <c r="I1471" t="str">
        <f>getMount('RawData (GH)'!G1471)</f>
        <v>Pentax K</v>
      </c>
      <c r="J1471" t="str">
        <f>getSensorCompatibility('RawData (GH)'!H1471)</f>
        <v>APS-C</v>
      </c>
      <c r="K1471" s="45">
        <f>getWeightAsDouble('RawData (GH)'!I1471)</f>
        <v>370</v>
      </c>
      <c r="L1471" s="34">
        <f>getSizeDiameter('RawData (GH)'!J1471)</f>
        <v>83.2</v>
      </c>
      <c r="M1471" s="34">
        <f>getSizeLength('RawData (GH)'!J1471)</f>
        <v>86.5</v>
      </c>
    </row>
    <row r="1472" spans="1:13" x14ac:dyDescent="0.25">
      <c r="A1472" t="str">
        <f>'RawData (GH)'!A1472</f>
        <v>Tamron SP AF 10-24mm 3.5-4.5 Di II LD Asp IF für Sony A schwarz</v>
      </c>
      <c r="B1472" s="5">
        <f>getFocalLengthStart('RawData (GH)'!B1472)</f>
        <v>10</v>
      </c>
      <c r="C1472" s="5">
        <f>getFocalLengthEnd('RawData (GH)'!B1472)</f>
        <v>24</v>
      </c>
      <c r="D1472" s="9">
        <f>getApertureStart('RawData (GH)'!C1472)</f>
        <v>3.5</v>
      </c>
      <c r="E1472" s="9">
        <f>getApertureEnd('RawData (GH)'!C1472)</f>
        <v>4.5</v>
      </c>
      <c r="F1472" s="2">
        <f>getFiltersizeAsDouble('RawData (GH)'!D1472)</f>
        <v>77</v>
      </c>
      <c r="G1472" s="35">
        <f>getMagnification('RawData (GH)'!E1472)</f>
        <v>5.0999999999999996</v>
      </c>
      <c r="H1472" s="62">
        <f>getMinimalFocus('RawData (GH)'!F1472)</f>
        <v>0</v>
      </c>
      <c r="I1472" t="str">
        <f>getMount('RawData (GH)'!G1472)</f>
        <v>Sony A</v>
      </c>
      <c r="J1472" t="str">
        <f>getSensorCompatibility('RawData (GH)'!H1472)</f>
        <v>APS-C</v>
      </c>
      <c r="K1472" s="45">
        <f>getWeightAsDouble('RawData (GH)'!I1472)</f>
        <v>370</v>
      </c>
      <c r="L1472" s="34">
        <f>getSizeDiameter('RawData (GH)'!J1472)</f>
        <v>83.2</v>
      </c>
      <c r="M1472" s="34">
        <f>getSizeLength('RawData (GH)'!J1472)</f>
        <v>86.5</v>
      </c>
    </row>
    <row r="1473" spans="1:13" x14ac:dyDescent="0.25">
      <c r="A1473" t="str">
        <f>'RawData (GH)'!A1473</f>
        <v>Tamron SP AF 11-18mm 4.5-5.6 Di II LD Asp IF für Nikon F schwarz</v>
      </c>
      <c r="B1473" s="5">
        <f>getFocalLengthStart('RawData (GH)'!B1473)</f>
        <v>11</v>
      </c>
      <c r="C1473" s="5">
        <f>getFocalLengthEnd('RawData (GH)'!B1473)</f>
        <v>18</v>
      </c>
      <c r="D1473" s="9">
        <f>getApertureStart('RawData (GH)'!C1473)</f>
        <v>4.5</v>
      </c>
      <c r="E1473" s="9">
        <f>getApertureEnd('RawData (GH)'!C1473)</f>
        <v>5.6</v>
      </c>
      <c r="F1473" s="2">
        <f>getFiltersizeAsDouble('RawData (GH)'!D1473)</f>
        <v>77</v>
      </c>
      <c r="G1473" s="35">
        <f>getMagnification('RawData (GH)'!E1473)</f>
        <v>0</v>
      </c>
      <c r="H1473" s="62">
        <f>getMinimalFocus('RawData (GH)'!F1473)</f>
        <v>0</v>
      </c>
      <c r="I1473" t="str">
        <f>getMount('RawData (GH)'!G1473)</f>
        <v>Nikon F</v>
      </c>
      <c r="J1473" t="str">
        <f>getSensorCompatibility('RawData (GH)'!H1473)</f>
        <v>APS-C</v>
      </c>
      <c r="K1473" s="45">
        <f>getWeightAsDouble('RawData (GH)'!I1473)</f>
        <v>345</v>
      </c>
      <c r="L1473" s="34">
        <f>getSizeDiameter('RawData (GH)'!J1473)</f>
        <v>83.2</v>
      </c>
      <c r="M1473" s="34">
        <f>getSizeLength('RawData (GH)'!J1473)</f>
        <v>78.599999999999994</v>
      </c>
    </row>
    <row r="1474" spans="1:13" x14ac:dyDescent="0.25">
      <c r="A1474" t="str">
        <f>'RawData (GH)'!A1474</f>
        <v>Tamron SP AF 150-600mm 5.0-6.3 Di USD für Sony A schwarz</v>
      </c>
      <c r="B1474" s="5">
        <f>getFocalLengthStart('RawData (GH)'!B1474)</f>
        <v>150</v>
      </c>
      <c r="C1474" s="5">
        <f>getFocalLengthEnd('RawData (GH)'!B1474)</f>
        <v>600</v>
      </c>
      <c r="D1474" s="9">
        <f>getApertureStart('RawData (GH)'!C1474)</f>
        <v>5</v>
      </c>
      <c r="E1474" s="9">
        <f>getApertureEnd('RawData (GH)'!C1474)</f>
        <v>6.3</v>
      </c>
      <c r="F1474" s="2">
        <f>getFiltersizeAsDouble('RawData (GH)'!D1474)</f>
        <v>95</v>
      </c>
      <c r="G1474" s="35">
        <f>getMagnification('RawData (GH)'!E1474)</f>
        <v>5</v>
      </c>
      <c r="H1474" s="62">
        <f>getMinimalFocus('RawData (GH)'!F1474)</f>
        <v>0</v>
      </c>
      <c r="I1474" t="str">
        <f>getMount('RawData (GH)'!G1474)</f>
        <v>Sony A</v>
      </c>
      <c r="J1474" t="str">
        <f>getSensorCompatibility('RawData (GH)'!H1474)</f>
        <v>APS-C/ Kleinbild</v>
      </c>
      <c r="K1474" s="45">
        <f>getWeightAsDouble('RawData (GH)'!I1474)</f>
        <v>1950</v>
      </c>
      <c r="L1474" s="34">
        <f>getSizeDiameter('RawData (GH)'!J1474)</f>
        <v>105.6</v>
      </c>
      <c r="M1474" s="34">
        <f>getSizeLength('RawData (GH)'!J1474)</f>
        <v>257.8</v>
      </c>
    </row>
    <row r="1475" spans="1:13" x14ac:dyDescent="0.25">
      <c r="A1475" t="str">
        <f>'RawData (GH)'!A1475</f>
        <v>Tamron SP AF 150-600mm 5.0-6.3 Di USD G2 für Sony A schwarz</v>
      </c>
      <c r="B1475" s="5">
        <f>getFocalLengthStart('RawData (GH)'!B1475)</f>
        <v>150</v>
      </c>
      <c r="C1475" s="5">
        <f>getFocalLengthEnd('RawData (GH)'!B1475)</f>
        <v>600</v>
      </c>
      <c r="D1475" s="9">
        <f>getApertureStart('RawData (GH)'!C1475)</f>
        <v>5</v>
      </c>
      <c r="E1475" s="9">
        <f>getApertureEnd('RawData (GH)'!C1475)</f>
        <v>6.3</v>
      </c>
      <c r="F1475" s="2">
        <f>getFiltersizeAsDouble('RawData (GH)'!D1475)</f>
        <v>95</v>
      </c>
      <c r="G1475" s="35">
        <f>getMagnification('RawData (GH)'!E1475)</f>
        <v>3.9</v>
      </c>
      <c r="H1475" s="62">
        <f>getMinimalFocus('RawData (GH)'!F1475)</f>
        <v>0</v>
      </c>
      <c r="I1475" t="str">
        <f>getMount('RawData (GH)'!G1475)</f>
        <v>Sony A</v>
      </c>
      <c r="J1475" t="str">
        <f>getSensorCompatibility('RawData (GH)'!H1475)</f>
        <v>APS-C/ Kleinbild</v>
      </c>
      <c r="K1475" s="45">
        <f>getWeightAsDouble('RawData (GH)'!I1475)</f>
        <v>2009</v>
      </c>
      <c r="L1475" s="34">
        <f>getSizeDiameter('RawData (GH)'!J1475)</f>
        <v>108.4</v>
      </c>
      <c r="M1475" s="34">
        <f>getSizeLength('RawData (GH)'!J1475)</f>
        <v>260.2</v>
      </c>
    </row>
    <row r="1476" spans="1:13" x14ac:dyDescent="0.25">
      <c r="A1476" t="str">
        <f>'RawData (GH)'!A1476</f>
        <v>Tamron SP AF 150-600mm 5.0-6.3 Di VC USD für Canon EF schwarz</v>
      </c>
      <c r="B1476" s="5">
        <f>getFocalLengthStart('RawData (GH)'!B1476)</f>
        <v>150</v>
      </c>
      <c r="C1476" s="5">
        <f>getFocalLengthEnd('RawData (GH)'!B1476)</f>
        <v>600</v>
      </c>
      <c r="D1476" s="9">
        <f>getApertureStart('RawData (GH)'!C1476)</f>
        <v>5</v>
      </c>
      <c r="E1476" s="9">
        <f>getApertureEnd('RawData (GH)'!C1476)</f>
        <v>6.3</v>
      </c>
      <c r="F1476" s="2">
        <f>getFiltersizeAsDouble('RawData (GH)'!D1476)</f>
        <v>95</v>
      </c>
      <c r="G1476" s="35">
        <f>getMagnification('RawData (GH)'!E1476)</f>
        <v>5</v>
      </c>
      <c r="H1476" s="62">
        <f>getMinimalFocus('RawData (GH)'!F1476)</f>
        <v>0</v>
      </c>
      <c r="I1476" t="str">
        <f>getMount('RawData (GH)'!G1476)</f>
        <v>Canon EF</v>
      </c>
      <c r="J1476" t="str">
        <f>getSensorCompatibility('RawData (GH)'!H1476)</f>
        <v>APS-C/ Kleinbild</v>
      </c>
      <c r="K1476" s="45">
        <f>getWeightAsDouble('RawData (GH)'!I1476)</f>
        <v>1950</v>
      </c>
      <c r="L1476" s="34">
        <f>getSizeDiameter('RawData (GH)'!J1476)</f>
        <v>105.6</v>
      </c>
      <c r="M1476" s="34">
        <f>getSizeLength('RawData (GH)'!J1476)</f>
        <v>257.8</v>
      </c>
    </row>
    <row r="1477" spans="1:13" x14ac:dyDescent="0.25">
      <c r="A1477" t="str">
        <f>'RawData (GH)'!A1477</f>
        <v>Tamron SP AF 150-600mm 5.0-6.3 Di VC USD für Nikon F schwarz</v>
      </c>
      <c r="B1477" s="5">
        <f>getFocalLengthStart('RawData (GH)'!B1477)</f>
        <v>150</v>
      </c>
      <c r="C1477" s="5">
        <f>getFocalLengthEnd('RawData (GH)'!B1477)</f>
        <v>600</v>
      </c>
      <c r="D1477" s="9">
        <f>getApertureStart('RawData (GH)'!C1477)</f>
        <v>5</v>
      </c>
      <c r="E1477" s="9">
        <f>getApertureEnd('RawData (GH)'!C1477)</f>
        <v>6.3</v>
      </c>
      <c r="F1477" s="2">
        <f>getFiltersizeAsDouble('RawData (GH)'!D1477)</f>
        <v>95</v>
      </c>
      <c r="G1477" s="35">
        <f>getMagnification('RawData (GH)'!E1477)</f>
        <v>5</v>
      </c>
      <c r="H1477" s="62">
        <f>getMinimalFocus('RawData (GH)'!F1477)</f>
        <v>0</v>
      </c>
      <c r="I1477" t="str">
        <f>getMount('RawData (GH)'!G1477)</f>
        <v>Nikon F</v>
      </c>
      <c r="J1477" t="str">
        <f>getSensorCompatibility('RawData (GH)'!H1477)</f>
        <v>APS-C/ Kleinbild</v>
      </c>
      <c r="K1477" s="45">
        <f>getWeightAsDouble('RawData (GH)'!I1477)</f>
        <v>1950</v>
      </c>
      <c r="L1477" s="34">
        <f>getSizeDiameter('RawData (GH)'!J1477)</f>
        <v>105.6</v>
      </c>
      <c r="M1477" s="34">
        <f>getSizeLength('RawData (GH)'!J1477)</f>
        <v>257.8</v>
      </c>
    </row>
    <row r="1478" spans="1:13" x14ac:dyDescent="0.25">
      <c r="A1478" t="str">
        <f>'RawData (GH)'!A1478</f>
        <v>Tamron SP AF 150-600mm 5.0-6.3 Di VC USD G2 für Canon EF schwarz</v>
      </c>
      <c r="B1478" s="5">
        <f>getFocalLengthStart('RawData (GH)'!B1478)</f>
        <v>150</v>
      </c>
      <c r="C1478" s="5">
        <f>getFocalLengthEnd('RawData (GH)'!B1478)</f>
        <v>600</v>
      </c>
      <c r="D1478" s="9">
        <f>getApertureStart('RawData (GH)'!C1478)</f>
        <v>5</v>
      </c>
      <c r="E1478" s="9">
        <f>getApertureEnd('RawData (GH)'!C1478)</f>
        <v>6.3</v>
      </c>
      <c r="F1478" s="2">
        <f>getFiltersizeAsDouble('RawData (GH)'!D1478)</f>
        <v>95</v>
      </c>
      <c r="G1478" s="35">
        <f>getMagnification('RawData (GH)'!E1478)</f>
        <v>3.9</v>
      </c>
      <c r="H1478" s="62">
        <f>getMinimalFocus('RawData (GH)'!F1478)</f>
        <v>0</v>
      </c>
      <c r="I1478" t="str">
        <f>getMount('RawData (GH)'!G1478)</f>
        <v>Canon EF</v>
      </c>
      <c r="J1478" t="str">
        <f>getSensorCompatibility('RawData (GH)'!H1478)</f>
        <v>APS-C/ Kleinbild</v>
      </c>
      <c r="K1478" s="45">
        <f>getWeightAsDouble('RawData (GH)'!I1478)</f>
        <v>2009</v>
      </c>
      <c r="L1478" s="34">
        <f>getSizeDiameter('RawData (GH)'!J1478)</f>
        <v>108.4</v>
      </c>
      <c r="M1478" s="34">
        <f>getSizeLength('RawData (GH)'!J1478)</f>
        <v>260.2</v>
      </c>
    </row>
    <row r="1479" spans="1:13" x14ac:dyDescent="0.25">
      <c r="A1479" t="str">
        <f>'RawData (GH)'!A1479</f>
        <v>Tamron SP AF 150-600mm 5.0-6.3 Di VC USD G2 für Nikon F schwarz</v>
      </c>
      <c r="B1479" s="5">
        <f>getFocalLengthStart('RawData (GH)'!B1479)</f>
        <v>150</v>
      </c>
      <c r="C1479" s="5">
        <f>getFocalLengthEnd('RawData (GH)'!B1479)</f>
        <v>600</v>
      </c>
      <c r="D1479" s="9">
        <f>getApertureStart('RawData (GH)'!C1479)</f>
        <v>5</v>
      </c>
      <c r="E1479" s="9">
        <f>getApertureEnd('RawData (GH)'!C1479)</f>
        <v>6.3</v>
      </c>
      <c r="F1479" s="2">
        <f>getFiltersizeAsDouble('RawData (GH)'!D1479)</f>
        <v>95</v>
      </c>
      <c r="G1479" s="35">
        <f>getMagnification('RawData (GH)'!E1479)</f>
        <v>3.9</v>
      </c>
      <c r="H1479" s="62">
        <f>getMinimalFocus('RawData (GH)'!F1479)</f>
        <v>0</v>
      </c>
      <c r="I1479" t="str">
        <f>getMount('RawData (GH)'!G1479)</f>
        <v>Nikon F</v>
      </c>
      <c r="J1479" t="str">
        <f>getSensorCompatibility('RawData (GH)'!H1479)</f>
        <v>APS-C/ Kleinbild</v>
      </c>
      <c r="K1479" s="45">
        <f>getWeightAsDouble('RawData (GH)'!I1479)</f>
        <v>2009</v>
      </c>
      <c r="L1479" s="34">
        <f>getSizeDiameter('RawData (GH)'!J1479)</f>
        <v>108.4</v>
      </c>
      <c r="M1479" s="34">
        <f>getSizeLength('RawData (GH)'!J1479)</f>
        <v>260.2</v>
      </c>
    </row>
    <row r="1480" spans="1:13" x14ac:dyDescent="0.25">
      <c r="A1480" t="str">
        <f>'RawData (GH)'!A1480</f>
        <v>Tamron SP AF 15-30mm 2.8 Di USD für Sony A schwarz</v>
      </c>
      <c r="B1480" s="5">
        <f>getFocalLengthStart('RawData (GH)'!B1480)</f>
        <v>15</v>
      </c>
      <c r="C1480" s="5">
        <f>getFocalLengthEnd('RawData (GH)'!B1480)</f>
        <v>30</v>
      </c>
      <c r="D1480" s="9">
        <f>getApertureStart('RawData (GH)'!C1480)</f>
        <v>2.8</v>
      </c>
      <c r="E1480" s="9">
        <f>getApertureEnd('RawData (GH)'!C1480)</f>
        <v>2.8</v>
      </c>
      <c r="F1480" s="2">
        <f>getFiltersizeAsDouble('RawData (GH)'!D1480)</f>
        <v>0</v>
      </c>
      <c r="G1480" s="35">
        <f>getMagnification('RawData (GH)'!E1480)</f>
        <v>5</v>
      </c>
      <c r="H1480" s="62">
        <f>getMinimalFocus('RawData (GH)'!F1480)</f>
        <v>0</v>
      </c>
      <c r="I1480" t="str">
        <f>getMount('RawData (GH)'!G1480)</f>
        <v>Sony A</v>
      </c>
      <c r="J1480" t="str">
        <f>getSensorCompatibility('RawData (GH)'!H1480)</f>
        <v>APS-C/ Kleinbild</v>
      </c>
      <c r="K1480" s="45">
        <f>getWeightAsDouble('RawData (GH)'!I1480)</f>
        <v>1100</v>
      </c>
      <c r="L1480" s="34">
        <f>getSizeDiameter('RawData (GH)'!J1480)</f>
        <v>98.4</v>
      </c>
      <c r="M1480" s="34">
        <f>getSizeLength('RawData (GH)'!J1480)</f>
        <v>145</v>
      </c>
    </row>
    <row r="1481" spans="1:13" x14ac:dyDescent="0.25">
      <c r="A1481" t="str">
        <f>'RawData (GH)'!A1481</f>
        <v>Tamron SP AF 15-30mm 2.8 Di VC USD für Canon EF schwarz</v>
      </c>
      <c r="B1481" s="5">
        <f>getFocalLengthStart('RawData (GH)'!B1481)</f>
        <v>15</v>
      </c>
      <c r="C1481" s="5">
        <f>getFocalLengthEnd('RawData (GH)'!B1481)</f>
        <v>30</v>
      </c>
      <c r="D1481" s="9">
        <f>getApertureStart('RawData (GH)'!C1481)</f>
        <v>2.8</v>
      </c>
      <c r="E1481" s="9">
        <f>getApertureEnd('RawData (GH)'!C1481)</f>
        <v>2.8</v>
      </c>
      <c r="F1481" s="2">
        <f>getFiltersizeAsDouble('RawData (GH)'!D1481)</f>
        <v>0</v>
      </c>
      <c r="G1481" s="35">
        <f>getMagnification('RawData (GH)'!E1481)</f>
        <v>5</v>
      </c>
      <c r="H1481" s="62">
        <f>getMinimalFocus('RawData (GH)'!F1481)</f>
        <v>0</v>
      </c>
      <c r="I1481" t="str">
        <f>getMount('RawData (GH)'!G1481)</f>
        <v>Canon EF</v>
      </c>
      <c r="J1481" t="str">
        <f>getSensorCompatibility('RawData (GH)'!H1481)</f>
        <v>APS-C/ Kleinbild</v>
      </c>
      <c r="K1481" s="45">
        <f>getWeightAsDouble('RawData (GH)'!I1481)</f>
        <v>1100</v>
      </c>
      <c r="L1481" s="34">
        <f>getSizeDiameter('RawData (GH)'!J1481)</f>
        <v>98.4</v>
      </c>
      <c r="M1481" s="34">
        <f>getSizeLength('RawData (GH)'!J1481)</f>
        <v>145</v>
      </c>
    </row>
    <row r="1482" spans="1:13" x14ac:dyDescent="0.25">
      <c r="A1482" t="str">
        <f>'RawData (GH)'!A1482</f>
        <v>Tamron SP AF 15-30mm 2.8 Di VC USD für Nikon F schwarz</v>
      </c>
      <c r="B1482" s="5">
        <f>getFocalLengthStart('RawData (GH)'!B1482)</f>
        <v>15</v>
      </c>
      <c r="C1482" s="5">
        <f>getFocalLengthEnd('RawData (GH)'!B1482)</f>
        <v>30</v>
      </c>
      <c r="D1482" s="9">
        <f>getApertureStart('RawData (GH)'!C1482)</f>
        <v>2.8</v>
      </c>
      <c r="E1482" s="9">
        <f>getApertureEnd('RawData (GH)'!C1482)</f>
        <v>2.8</v>
      </c>
      <c r="F1482" s="2">
        <f>getFiltersizeAsDouble('RawData (GH)'!D1482)</f>
        <v>0</v>
      </c>
      <c r="G1482" s="35">
        <f>getMagnification('RawData (GH)'!E1482)</f>
        <v>5</v>
      </c>
      <c r="H1482" s="62">
        <f>getMinimalFocus('RawData (GH)'!F1482)</f>
        <v>0</v>
      </c>
      <c r="I1482" t="str">
        <f>getMount('RawData (GH)'!G1482)</f>
        <v>Nikon F</v>
      </c>
      <c r="J1482" t="str">
        <f>getSensorCompatibility('RawData (GH)'!H1482)</f>
        <v>APS-C/ Kleinbild</v>
      </c>
      <c r="K1482" s="45">
        <f>getWeightAsDouble('RawData (GH)'!I1482)</f>
        <v>1100</v>
      </c>
      <c r="L1482" s="34">
        <f>getSizeDiameter('RawData (GH)'!J1482)</f>
        <v>98.4</v>
      </c>
      <c r="M1482" s="34">
        <f>getSizeLength('RawData (GH)'!J1482)</f>
        <v>145</v>
      </c>
    </row>
    <row r="1483" spans="1:13" x14ac:dyDescent="0.25">
      <c r="A1483" t="str">
        <f>'RawData (GH)'!A1483</f>
        <v>Tamron SP AF 17-50mm 2.8 XR Di II LD Asp IF für Canon EF schwarz</v>
      </c>
      <c r="B1483" s="5">
        <f>getFocalLengthStart('RawData (GH)'!B1483)</f>
        <v>17</v>
      </c>
      <c r="C1483" s="5">
        <f>getFocalLengthEnd('RawData (GH)'!B1483)</f>
        <v>50</v>
      </c>
      <c r="D1483" s="9">
        <f>getApertureStart('RawData (GH)'!C1483)</f>
        <v>2.8</v>
      </c>
      <c r="E1483" s="9">
        <f>getApertureEnd('RawData (GH)'!C1483)</f>
        <v>2.8</v>
      </c>
      <c r="F1483" s="2">
        <f>getFiltersizeAsDouble('RawData (GH)'!D1483)</f>
        <v>67</v>
      </c>
      <c r="G1483" s="35">
        <f>getMagnification('RawData (GH)'!E1483)</f>
        <v>4.5</v>
      </c>
      <c r="H1483" s="62">
        <f>getMinimalFocus('RawData (GH)'!F1483)</f>
        <v>0</v>
      </c>
      <c r="I1483" t="str">
        <f>getMount('RawData (GH)'!G1483)</f>
        <v>Canon EF-S</v>
      </c>
      <c r="J1483" t="str">
        <f>getSensorCompatibility('RawData (GH)'!H1483)</f>
        <v>APS-C</v>
      </c>
      <c r="K1483" s="45">
        <f>getWeightAsDouble('RawData (GH)'!I1483)</f>
        <v>430</v>
      </c>
      <c r="L1483" s="34">
        <f>getSizeDiameter('RawData (GH)'!J1483)</f>
        <v>73.8</v>
      </c>
      <c r="M1483" s="34">
        <f>getSizeLength('RawData (GH)'!J1483)</f>
        <v>83.2</v>
      </c>
    </row>
    <row r="1484" spans="1:13" x14ac:dyDescent="0.25">
      <c r="A1484" t="str">
        <f>'RawData (GH)'!A1484</f>
        <v>Tamron SP AF 17-50mm 2.8 XR Di II LD Asp IF für Nikon F schwarz</v>
      </c>
      <c r="B1484" s="5">
        <f>getFocalLengthStart('RawData (GH)'!B1484)</f>
        <v>17</v>
      </c>
      <c r="C1484" s="5">
        <f>getFocalLengthEnd('RawData (GH)'!B1484)</f>
        <v>50</v>
      </c>
      <c r="D1484" s="9">
        <f>getApertureStart('RawData (GH)'!C1484)</f>
        <v>2.8</v>
      </c>
      <c r="E1484" s="9">
        <f>getApertureEnd('RawData (GH)'!C1484)</f>
        <v>2.8</v>
      </c>
      <c r="F1484" s="2">
        <f>getFiltersizeAsDouble('RawData (GH)'!D1484)</f>
        <v>67</v>
      </c>
      <c r="G1484" s="35">
        <f>getMagnification('RawData (GH)'!E1484)</f>
        <v>4.5</v>
      </c>
      <c r="H1484" s="62">
        <f>getMinimalFocus('RawData (GH)'!F1484)</f>
        <v>0</v>
      </c>
      <c r="I1484" t="str">
        <f>getMount('RawData (GH)'!G1484)</f>
        <v>Nikon F</v>
      </c>
      <c r="J1484" t="str">
        <f>getSensorCompatibility('RawData (GH)'!H1484)</f>
        <v>APS-C</v>
      </c>
      <c r="K1484" s="45">
        <f>getWeightAsDouble('RawData (GH)'!I1484)</f>
        <v>430</v>
      </c>
      <c r="L1484" s="34">
        <f>getSizeDiameter('RawData (GH)'!J1484)</f>
        <v>73.8</v>
      </c>
      <c r="M1484" s="34">
        <f>getSizeLength('RawData (GH)'!J1484)</f>
        <v>83.2</v>
      </c>
    </row>
    <row r="1485" spans="1:13" x14ac:dyDescent="0.25">
      <c r="A1485" t="str">
        <f>'RawData (GH)'!A1485</f>
        <v>Tamron SP AF 17-50mm 2.8 XR Di II LD Asp IF für Pentax K schwarz</v>
      </c>
      <c r="B1485" s="5">
        <f>getFocalLengthStart('RawData (GH)'!B1485)</f>
        <v>17</v>
      </c>
      <c r="C1485" s="5">
        <f>getFocalLengthEnd('RawData (GH)'!B1485)</f>
        <v>50</v>
      </c>
      <c r="D1485" s="9">
        <f>getApertureStart('RawData (GH)'!C1485)</f>
        <v>2.8</v>
      </c>
      <c r="E1485" s="9">
        <f>getApertureEnd('RawData (GH)'!C1485)</f>
        <v>2.8</v>
      </c>
      <c r="F1485" s="2">
        <f>getFiltersizeAsDouble('RawData (GH)'!D1485)</f>
        <v>67</v>
      </c>
      <c r="G1485" s="35">
        <f>getMagnification('RawData (GH)'!E1485)</f>
        <v>4.5</v>
      </c>
      <c r="H1485" s="62">
        <f>getMinimalFocus('RawData (GH)'!F1485)</f>
        <v>0</v>
      </c>
      <c r="I1485" t="str">
        <f>getMount('RawData (GH)'!G1485)</f>
        <v>Pentax K</v>
      </c>
      <c r="J1485" t="str">
        <f>getSensorCompatibility('RawData (GH)'!H1485)</f>
        <v>APS-C</v>
      </c>
      <c r="K1485" s="45">
        <f>getWeightAsDouble('RawData (GH)'!I1485)</f>
        <v>430</v>
      </c>
      <c r="L1485" s="34">
        <f>getSizeDiameter('RawData (GH)'!J1485)</f>
        <v>73.8</v>
      </c>
      <c r="M1485" s="34">
        <f>getSizeLength('RawData (GH)'!J1485)</f>
        <v>83.2</v>
      </c>
    </row>
    <row r="1486" spans="1:13" x14ac:dyDescent="0.25">
      <c r="A1486" t="str">
        <f>'RawData (GH)'!A1486</f>
        <v>Tamron SP AF 17-50mm 2.8 XR Di II LD Asp IF für Sony A schwarz</v>
      </c>
      <c r="B1486" s="5">
        <f>getFocalLengthStart('RawData (GH)'!B1486)</f>
        <v>17</v>
      </c>
      <c r="C1486" s="5">
        <f>getFocalLengthEnd('RawData (GH)'!B1486)</f>
        <v>50</v>
      </c>
      <c r="D1486" s="9">
        <f>getApertureStart('RawData (GH)'!C1486)</f>
        <v>2.8</v>
      </c>
      <c r="E1486" s="9">
        <f>getApertureEnd('RawData (GH)'!C1486)</f>
        <v>2.8</v>
      </c>
      <c r="F1486" s="2">
        <f>getFiltersizeAsDouble('RawData (GH)'!D1486)</f>
        <v>67</v>
      </c>
      <c r="G1486" s="35">
        <f>getMagnification('RawData (GH)'!E1486)</f>
        <v>4.5</v>
      </c>
      <c r="H1486" s="62">
        <f>getMinimalFocus('RawData (GH)'!F1486)</f>
        <v>0</v>
      </c>
      <c r="I1486" t="str">
        <f>getMount('RawData (GH)'!G1486)</f>
        <v>Sony A</v>
      </c>
      <c r="J1486" t="str">
        <f>getSensorCompatibility('RawData (GH)'!H1486)</f>
        <v>APS-C</v>
      </c>
      <c r="K1486" s="45">
        <f>getWeightAsDouble('RawData (GH)'!I1486)</f>
        <v>430</v>
      </c>
      <c r="L1486" s="34">
        <f>getSizeDiameter('RawData (GH)'!J1486)</f>
        <v>73.8</v>
      </c>
      <c r="M1486" s="34">
        <f>getSizeLength('RawData (GH)'!J1486)</f>
        <v>83.2</v>
      </c>
    </row>
    <row r="1487" spans="1:13" x14ac:dyDescent="0.25">
      <c r="A1487" t="str">
        <f>'RawData (GH)'!A1487</f>
        <v>Tamron SP AF 17-50mm 2.8 XR Di II LD Asp IF mit AF-Motor für Nikon F schwarz</v>
      </c>
      <c r="B1487" s="5">
        <f>getFocalLengthStart('RawData (GH)'!B1487)</f>
        <v>17</v>
      </c>
      <c r="C1487" s="5">
        <f>getFocalLengthEnd('RawData (GH)'!B1487)</f>
        <v>50</v>
      </c>
      <c r="D1487" s="9">
        <f>getApertureStart('RawData (GH)'!C1487)</f>
        <v>2.8</v>
      </c>
      <c r="E1487" s="9">
        <f>getApertureEnd('RawData (GH)'!C1487)</f>
        <v>2.8</v>
      </c>
      <c r="F1487" s="2">
        <f>getFiltersizeAsDouble('RawData (GH)'!D1487)</f>
        <v>67</v>
      </c>
      <c r="G1487" s="35">
        <f>getMagnification('RawData (GH)'!E1487)</f>
        <v>4.5</v>
      </c>
      <c r="H1487" s="62">
        <f>getMinimalFocus('RawData (GH)'!F1487)</f>
        <v>0</v>
      </c>
      <c r="I1487" t="str">
        <f>getMount('RawData (GH)'!G1487)</f>
        <v>Nikon F</v>
      </c>
      <c r="J1487" t="str">
        <f>getSensorCompatibility('RawData (GH)'!H1487)</f>
        <v>APS-C</v>
      </c>
      <c r="K1487" s="45">
        <f>getWeightAsDouble('RawData (GH)'!I1487)</f>
        <v>430</v>
      </c>
      <c r="L1487" s="34">
        <f>getSizeDiameter('RawData (GH)'!J1487)</f>
        <v>73.8</v>
      </c>
      <c r="M1487" s="34">
        <f>getSizeLength('RawData (GH)'!J1487)</f>
        <v>83.2</v>
      </c>
    </row>
    <row r="1488" spans="1:13" x14ac:dyDescent="0.25">
      <c r="A1488" t="str">
        <f>'RawData (GH)'!A1488</f>
        <v>Tamron SP AF 17-50mm 2.8 XR Di II VC LD Asp IF für Canon EF schwarz</v>
      </c>
      <c r="B1488" s="5">
        <f>getFocalLengthStart('RawData (GH)'!B1488)</f>
        <v>17</v>
      </c>
      <c r="C1488" s="5">
        <f>getFocalLengthEnd('RawData (GH)'!B1488)</f>
        <v>50</v>
      </c>
      <c r="D1488" s="9">
        <f>getApertureStart('RawData (GH)'!C1488)</f>
        <v>2.8</v>
      </c>
      <c r="E1488" s="9">
        <f>getApertureEnd('RawData (GH)'!C1488)</f>
        <v>2.8</v>
      </c>
      <c r="F1488" s="2">
        <f>getFiltersizeAsDouble('RawData (GH)'!D1488)</f>
        <v>72</v>
      </c>
      <c r="G1488" s="35">
        <f>getMagnification('RawData (GH)'!E1488)</f>
        <v>4.8</v>
      </c>
      <c r="H1488" s="62">
        <f>getMinimalFocus('RawData (GH)'!F1488)</f>
        <v>0</v>
      </c>
      <c r="I1488" t="str">
        <f>getMount('RawData (GH)'!G1488)</f>
        <v>Canon EF-S</v>
      </c>
      <c r="J1488" t="str">
        <f>getSensorCompatibility('RawData (GH)'!H1488)</f>
        <v>APS-C</v>
      </c>
      <c r="K1488" s="45">
        <f>getWeightAsDouble('RawData (GH)'!I1488)</f>
        <v>570</v>
      </c>
      <c r="L1488" s="34">
        <f>getSizeDiameter('RawData (GH)'!J1488)</f>
        <v>79.599999999999994</v>
      </c>
      <c r="M1488" s="34">
        <f>getSizeLength('RawData (GH)'!J1488)</f>
        <v>94.5</v>
      </c>
    </row>
    <row r="1489" spans="1:13" x14ac:dyDescent="0.25">
      <c r="A1489" t="str">
        <f>'RawData (GH)'!A1489</f>
        <v>Tamron SP AF 17-50mm 2.8 XR Di II VC LD Asp IF für Nikon F schwarz</v>
      </c>
      <c r="B1489" s="5">
        <f>getFocalLengthStart('RawData (GH)'!B1489)</f>
        <v>17</v>
      </c>
      <c r="C1489" s="5">
        <f>getFocalLengthEnd('RawData (GH)'!B1489)</f>
        <v>50</v>
      </c>
      <c r="D1489" s="9">
        <f>getApertureStart('RawData (GH)'!C1489)</f>
        <v>2.8</v>
      </c>
      <c r="E1489" s="9">
        <f>getApertureEnd('RawData (GH)'!C1489)</f>
        <v>2.8</v>
      </c>
      <c r="F1489" s="2">
        <f>getFiltersizeAsDouble('RawData (GH)'!D1489)</f>
        <v>72</v>
      </c>
      <c r="G1489" s="35">
        <f>getMagnification('RawData (GH)'!E1489)</f>
        <v>4.8</v>
      </c>
      <c r="H1489" s="62">
        <f>getMinimalFocus('RawData (GH)'!F1489)</f>
        <v>0</v>
      </c>
      <c r="I1489" t="str">
        <f>getMount('RawData (GH)'!G1489)</f>
        <v>Nikon F</v>
      </c>
      <c r="J1489" t="str">
        <f>getSensorCompatibility('RawData (GH)'!H1489)</f>
        <v>APS-C</v>
      </c>
      <c r="K1489" s="45">
        <f>getWeightAsDouble('RawData (GH)'!I1489)</f>
        <v>570</v>
      </c>
      <c r="L1489" s="34">
        <f>getSizeDiameter('RawData (GH)'!J1489)</f>
        <v>79.599999999999994</v>
      </c>
      <c r="M1489" s="34">
        <f>getSizeLength('RawData (GH)'!J1489)</f>
        <v>94.5</v>
      </c>
    </row>
    <row r="1490" spans="1:13" x14ac:dyDescent="0.25">
      <c r="A1490" t="str">
        <f>'RawData (GH)'!A1490</f>
        <v>Tamron SP AF 180mm 3.5 Di LD IF Makro 1:1 für Canon EF schwarz</v>
      </c>
      <c r="B1490" s="5">
        <f>getFocalLengthStart('RawData (GH)'!B1490)</f>
        <v>180</v>
      </c>
      <c r="C1490" s="5">
        <f>getFocalLengthEnd('RawData (GH)'!B1490)</f>
        <v>180</v>
      </c>
      <c r="D1490" s="9">
        <f>getApertureStart('RawData (GH)'!C1490)</f>
        <v>3.5</v>
      </c>
      <c r="E1490" s="9">
        <f>getApertureEnd('RawData (GH)'!C1490)</f>
        <v>3.5</v>
      </c>
      <c r="F1490" s="2">
        <f>getFiltersizeAsDouble('RawData (GH)'!D1490)</f>
        <v>72</v>
      </c>
      <c r="G1490" s="35">
        <f>getMagnification('RawData (GH)'!E1490)</f>
        <v>1</v>
      </c>
      <c r="H1490" s="62">
        <f>getMinimalFocus('RawData (GH)'!F1490)</f>
        <v>0</v>
      </c>
      <c r="I1490" t="str">
        <f>getMount('RawData (GH)'!G1490)</f>
        <v>Canon EF</v>
      </c>
      <c r="J1490" t="str">
        <f>getSensorCompatibility('RawData (GH)'!H1490)</f>
        <v>APS-C/ Kleinbild</v>
      </c>
      <c r="K1490" s="45">
        <f>getWeightAsDouble('RawData (GH)'!I1490)</f>
        <v>920</v>
      </c>
      <c r="L1490" s="34">
        <f>getSizeDiameter('RawData (GH)'!J1490)</f>
        <v>84.8</v>
      </c>
      <c r="M1490" s="34">
        <f>getSizeLength('RawData (GH)'!J1490)</f>
        <v>165.7</v>
      </c>
    </row>
    <row r="1491" spans="1:13" x14ac:dyDescent="0.25">
      <c r="A1491" t="str">
        <f>'RawData (GH)'!A1491</f>
        <v>Tamron SP AF 180mm 3.5 Di LD IF Makro 1:1 für Nikon F schwarz</v>
      </c>
      <c r="B1491" s="5">
        <f>getFocalLengthStart('RawData (GH)'!B1491)</f>
        <v>180</v>
      </c>
      <c r="C1491" s="5">
        <f>getFocalLengthEnd('RawData (GH)'!B1491)</f>
        <v>180</v>
      </c>
      <c r="D1491" s="9">
        <f>getApertureStart('RawData (GH)'!C1491)</f>
        <v>3.5</v>
      </c>
      <c r="E1491" s="9">
        <f>getApertureEnd('RawData (GH)'!C1491)</f>
        <v>3.5</v>
      </c>
      <c r="F1491" s="2">
        <f>getFiltersizeAsDouble('RawData (GH)'!D1491)</f>
        <v>72</v>
      </c>
      <c r="G1491" s="35">
        <f>getMagnification('RawData (GH)'!E1491)</f>
        <v>1</v>
      </c>
      <c r="H1491" s="62">
        <f>getMinimalFocus('RawData (GH)'!F1491)</f>
        <v>0</v>
      </c>
      <c r="I1491" t="str">
        <f>getMount('RawData (GH)'!G1491)</f>
        <v>Nikon F</v>
      </c>
      <c r="J1491" t="str">
        <f>getSensorCompatibility('RawData (GH)'!H1491)</f>
        <v>APS-C/ Kleinbild</v>
      </c>
      <c r="K1491" s="45">
        <f>getWeightAsDouble('RawData (GH)'!I1491)</f>
        <v>920</v>
      </c>
      <c r="L1491" s="34">
        <f>getSizeDiameter('RawData (GH)'!J1491)</f>
        <v>84.8</v>
      </c>
      <c r="M1491" s="34">
        <f>getSizeLength('RawData (GH)'!J1491)</f>
        <v>165.7</v>
      </c>
    </row>
    <row r="1492" spans="1:13" x14ac:dyDescent="0.25">
      <c r="A1492" t="str">
        <f>'RawData (GH)'!A1492</f>
        <v>Tamron SP AF 180mm 3.5 Di LD IF Makro 1:1 für Sony A schwarz</v>
      </c>
      <c r="B1492" s="5">
        <f>getFocalLengthStart('RawData (GH)'!B1492)</f>
        <v>180</v>
      </c>
      <c r="C1492" s="5">
        <f>getFocalLengthEnd('RawData (GH)'!B1492)</f>
        <v>180</v>
      </c>
      <c r="D1492" s="9">
        <f>getApertureStart('RawData (GH)'!C1492)</f>
        <v>3.5</v>
      </c>
      <c r="E1492" s="9">
        <f>getApertureEnd('RawData (GH)'!C1492)</f>
        <v>3.5</v>
      </c>
      <c r="F1492" s="2">
        <f>getFiltersizeAsDouble('RawData (GH)'!D1492)</f>
        <v>72</v>
      </c>
      <c r="G1492" s="35">
        <f>getMagnification('RawData (GH)'!E1492)</f>
        <v>1</v>
      </c>
      <c r="H1492" s="62">
        <f>getMinimalFocus('RawData (GH)'!F1492)</f>
        <v>0</v>
      </c>
      <c r="I1492" t="str">
        <f>getMount('RawData (GH)'!G1492)</f>
        <v>Sony A</v>
      </c>
      <c r="J1492" t="str">
        <f>getSensorCompatibility('RawData (GH)'!H1492)</f>
        <v>APS-C/ Kleinbild</v>
      </c>
      <c r="K1492" s="45">
        <f>getWeightAsDouble('RawData (GH)'!I1492)</f>
        <v>920</v>
      </c>
      <c r="L1492" s="34">
        <f>getSizeDiameter('RawData (GH)'!J1492)</f>
        <v>84.8</v>
      </c>
      <c r="M1492" s="34">
        <f>getSizeLength('RawData (GH)'!J1492)</f>
        <v>165.7</v>
      </c>
    </row>
    <row r="1493" spans="1:13" x14ac:dyDescent="0.25">
      <c r="A1493" t="str">
        <f>'RawData (GH)'!A1493</f>
        <v>Tamron SP AF 200-500mm 5.0-6.3 Di LD IF für Canon EF schwarz</v>
      </c>
      <c r="B1493" s="5">
        <f>getFocalLengthStart('RawData (GH)'!B1493)</f>
        <v>200</v>
      </c>
      <c r="C1493" s="5">
        <f>getFocalLengthEnd('RawData (GH)'!B1493)</f>
        <v>500</v>
      </c>
      <c r="D1493" s="9">
        <f>getApertureStart('RawData (GH)'!C1493)</f>
        <v>5</v>
      </c>
      <c r="E1493" s="9">
        <f>getApertureEnd('RawData (GH)'!C1493)</f>
        <v>6.3</v>
      </c>
      <c r="F1493" s="2">
        <f>getFiltersizeAsDouble('RawData (GH)'!D1493)</f>
        <v>86</v>
      </c>
      <c r="G1493" s="35">
        <f>getMagnification('RawData (GH)'!E1493)</f>
        <v>5</v>
      </c>
      <c r="H1493" s="62">
        <f>getMinimalFocus('RawData (GH)'!F1493)</f>
        <v>0</v>
      </c>
      <c r="I1493" t="str">
        <f>getMount('RawData (GH)'!G1493)</f>
        <v>Canon EF</v>
      </c>
      <c r="J1493" t="str">
        <f>getSensorCompatibility('RawData (GH)'!H1493)</f>
        <v>APS-C/ Kleinbild</v>
      </c>
      <c r="K1493" s="45">
        <f>getWeightAsDouble('RawData (GH)'!I1493)</f>
        <v>1240</v>
      </c>
      <c r="L1493" s="34">
        <f>getSizeDiameter('RawData (GH)'!J1493)</f>
        <v>93.5</v>
      </c>
      <c r="M1493" s="34">
        <f>getSizeLength('RawData (GH)'!J1493)</f>
        <v>227</v>
      </c>
    </row>
    <row r="1494" spans="1:13" x14ac:dyDescent="0.25">
      <c r="A1494" t="str">
        <f>'RawData (GH)'!A1494</f>
        <v>Tamron SP AF 200-500mm 5-6.3 Di LD IF für Nikon F schwarz</v>
      </c>
      <c r="B1494" s="5">
        <f>getFocalLengthStart('RawData (GH)'!B1494)</f>
        <v>200</v>
      </c>
      <c r="C1494" s="5">
        <f>getFocalLengthEnd('RawData (GH)'!B1494)</f>
        <v>500</v>
      </c>
      <c r="D1494" s="9">
        <f>getApertureStart('RawData (GH)'!C1494)</f>
        <v>5</v>
      </c>
      <c r="E1494" s="9">
        <f>getApertureEnd('RawData (GH)'!C1494)</f>
        <v>6.3</v>
      </c>
      <c r="F1494" s="2">
        <f>getFiltersizeAsDouble('RawData (GH)'!D1494)</f>
        <v>86</v>
      </c>
      <c r="G1494" s="35">
        <f>getMagnification('RawData (GH)'!E1494)</f>
        <v>5</v>
      </c>
      <c r="H1494" s="62">
        <f>getMinimalFocus('RawData (GH)'!F1494)</f>
        <v>0</v>
      </c>
      <c r="I1494" t="str">
        <f>getMount('RawData (GH)'!G1494)</f>
        <v>Nikon F</v>
      </c>
      <c r="J1494" t="str">
        <f>getSensorCompatibility('RawData (GH)'!H1494)</f>
        <v>APS-C/ Kleinbild</v>
      </c>
      <c r="K1494" s="45">
        <f>getWeightAsDouble('RawData (GH)'!I1494)</f>
        <v>1240</v>
      </c>
      <c r="L1494" s="34">
        <f>getSizeDiameter('RawData (GH)'!J1494)</f>
        <v>93.5</v>
      </c>
      <c r="M1494" s="34">
        <f>getSizeLength('RawData (GH)'!J1494)</f>
        <v>227</v>
      </c>
    </row>
    <row r="1495" spans="1:13" x14ac:dyDescent="0.25">
      <c r="A1495" t="str">
        <f>'RawData (GH)'!A1495</f>
        <v>Tamron SP AF 200-500mm 5-6.3 Di LD IF für Sony A schwarz</v>
      </c>
      <c r="B1495" s="5">
        <f>getFocalLengthStart('RawData (GH)'!B1495)</f>
        <v>200</v>
      </c>
      <c r="C1495" s="5">
        <f>getFocalLengthEnd('RawData (GH)'!B1495)</f>
        <v>500</v>
      </c>
      <c r="D1495" s="9">
        <f>getApertureStart('RawData (GH)'!C1495)</f>
        <v>5</v>
      </c>
      <c r="E1495" s="9">
        <f>getApertureEnd('RawData (GH)'!C1495)</f>
        <v>6.3</v>
      </c>
      <c r="F1495" s="2">
        <f>getFiltersizeAsDouble('RawData (GH)'!D1495)</f>
        <v>86</v>
      </c>
      <c r="G1495" s="35">
        <f>getMagnification('RawData (GH)'!E1495)</f>
        <v>5</v>
      </c>
      <c r="H1495" s="62">
        <f>getMinimalFocus('RawData (GH)'!F1495)</f>
        <v>0</v>
      </c>
      <c r="I1495" t="str">
        <f>getMount('RawData (GH)'!G1495)</f>
        <v>Sony A</v>
      </c>
      <c r="J1495" t="str">
        <f>getSensorCompatibility('RawData (GH)'!H1495)</f>
        <v>APS-C/ Kleinbild</v>
      </c>
      <c r="K1495" s="45">
        <f>getWeightAsDouble('RawData (GH)'!I1495)</f>
        <v>1240</v>
      </c>
      <c r="L1495" s="34">
        <f>getSizeDiameter('RawData (GH)'!J1495)</f>
        <v>93.5</v>
      </c>
      <c r="M1495" s="34">
        <f>getSizeLength('RawData (GH)'!J1495)</f>
        <v>227</v>
      </c>
    </row>
    <row r="1496" spans="1:13" x14ac:dyDescent="0.25">
      <c r="A1496" t="str">
        <f>'RawData (GH)'!A1496</f>
        <v>Tamron SP AF 24-70mm 2.8 Di USD für Sony A schwarz</v>
      </c>
      <c r="B1496" s="5">
        <f>getFocalLengthStart('RawData (GH)'!B1496)</f>
        <v>24</v>
      </c>
      <c r="C1496" s="5">
        <f>getFocalLengthEnd('RawData (GH)'!B1496)</f>
        <v>70</v>
      </c>
      <c r="D1496" s="9">
        <f>getApertureStart('RawData (GH)'!C1496)</f>
        <v>2.8</v>
      </c>
      <c r="E1496" s="9">
        <f>getApertureEnd('RawData (GH)'!C1496)</f>
        <v>2.8</v>
      </c>
      <c r="F1496" s="2">
        <f>getFiltersizeAsDouble('RawData (GH)'!D1496)</f>
        <v>82</v>
      </c>
      <c r="G1496" s="35">
        <f>getMagnification('RawData (GH)'!E1496)</f>
        <v>5</v>
      </c>
      <c r="H1496" s="62">
        <f>getMinimalFocus('RawData (GH)'!F1496)</f>
        <v>0</v>
      </c>
      <c r="I1496" t="str">
        <f>getMount('RawData (GH)'!G1496)</f>
        <v>Sony A</v>
      </c>
      <c r="J1496" t="str">
        <f>getSensorCompatibility('RawData (GH)'!H1496)</f>
        <v>APS-C/ Kleinbild</v>
      </c>
      <c r="K1496" s="45">
        <f>getWeightAsDouble('RawData (GH)'!I1496)</f>
        <v>825</v>
      </c>
      <c r="L1496" s="34">
        <f>getSizeDiameter('RawData (GH)'!J1496)</f>
        <v>88.2</v>
      </c>
      <c r="M1496" s="34">
        <f>getSizeLength('RawData (GH)'!J1496)</f>
        <v>116.9</v>
      </c>
    </row>
    <row r="1497" spans="1:13" x14ac:dyDescent="0.25">
      <c r="A1497" t="str">
        <f>'RawData (GH)'!A1497</f>
        <v>Tamron SP AF 24-70mm 2.8 Di VC USD für Canon EF schwarz</v>
      </c>
      <c r="B1497" s="5">
        <f>getFocalLengthStart('RawData (GH)'!B1497)</f>
        <v>24</v>
      </c>
      <c r="C1497" s="5">
        <f>getFocalLengthEnd('RawData (GH)'!B1497)</f>
        <v>70</v>
      </c>
      <c r="D1497" s="9">
        <f>getApertureStart('RawData (GH)'!C1497)</f>
        <v>2.8</v>
      </c>
      <c r="E1497" s="9">
        <f>getApertureEnd('RawData (GH)'!C1497)</f>
        <v>2.8</v>
      </c>
      <c r="F1497" s="2">
        <f>getFiltersizeAsDouble('RawData (GH)'!D1497)</f>
        <v>82</v>
      </c>
      <c r="G1497" s="35">
        <f>getMagnification('RawData (GH)'!E1497)</f>
        <v>5</v>
      </c>
      <c r="H1497" s="62">
        <f>getMinimalFocus('RawData (GH)'!F1497)</f>
        <v>0</v>
      </c>
      <c r="I1497" t="str">
        <f>getMount('RawData (GH)'!G1497)</f>
        <v>Canon EF</v>
      </c>
      <c r="J1497" t="str">
        <f>getSensorCompatibility('RawData (GH)'!H1497)</f>
        <v>APS-C/ Kleinbild</v>
      </c>
      <c r="K1497" s="45">
        <f>getWeightAsDouble('RawData (GH)'!I1497)</f>
        <v>825</v>
      </c>
      <c r="L1497" s="34">
        <f>getSizeDiameter('RawData (GH)'!J1497)</f>
        <v>88.2</v>
      </c>
      <c r="M1497" s="34">
        <f>getSizeLength('RawData (GH)'!J1497)</f>
        <v>116.9</v>
      </c>
    </row>
    <row r="1498" spans="1:13" x14ac:dyDescent="0.25">
      <c r="A1498" t="str">
        <f>'RawData (GH)'!A1498</f>
        <v>Tamron SP AF 24-70mm 2.8 Di VC USD für Nikon F schwarz</v>
      </c>
      <c r="B1498" s="5">
        <f>getFocalLengthStart('RawData (GH)'!B1498)</f>
        <v>24</v>
      </c>
      <c r="C1498" s="5">
        <f>getFocalLengthEnd('RawData (GH)'!B1498)</f>
        <v>70</v>
      </c>
      <c r="D1498" s="9">
        <f>getApertureStart('RawData (GH)'!C1498)</f>
        <v>2.8</v>
      </c>
      <c r="E1498" s="9">
        <f>getApertureEnd('RawData (GH)'!C1498)</f>
        <v>2.8</v>
      </c>
      <c r="F1498" s="2">
        <f>getFiltersizeAsDouble('RawData (GH)'!D1498)</f>
        <v>82</v>
      </c>
      <c r="G1498" s="35">
        <f>getMagnification('RawData (GH)'!E1498)</f>
        <v>5</v>
      </c>
      <c r="H1498" s="62">
        <f>getMinimalFocus('RawData (GH)'!F1498)</f>
        <v>0</v>
      </c>
      <c r="I1498" t="str">
        <f>getMount('RawData (GH)'!G1498)</f>
        <v>Nikon F</v>
      </c>
      <c r="J1498" t="str">
        <f>getSensorCompatibility('RawData (GH)'!H1498)</f>
        <v>APS-C/ Kleinbild</v>
      </c>
      <c r="K1498" s="45">
        <f>getWeightAsDouble('RawData (GH)'!I1498)</f>
        <v>825</v>
      </c>
      <c r="L1498" s="34">
        <f>getSizeDiameter('RawData (GH)'!J1498)</f>
        <v>88.2</v>
      </c>
      <c r="M1498" s="34">
        <f>getSizeLength('RawData (GH)'!J1498)</f>
        <v>116.9</v>
      </c>
    </row>
    <row r="1499" spans="1:13" x14ac:dyDescent="0.25">
      <c r="A1499" t="str">
        <f>'RawData (GH)'!A1499</f>
        <v>Tamron SP AF 24-70mm 2.8 Di VC USD G2 für Canon EF schwarz</v>
      </c>
      <c r="B1499" s="5">
        <f>getFocalLengthStart('RawData (GH)'!B1499)</f>
        <v>24</v>
      </c>
      <c r="C1499" s="5">
        <f>getFocalLengthEnd('RawData (GH)'!B1499)</f>
        <v>70</v>
      </c>
      <c r="D1499" s="9">
        <f>getApertureStart('RawData (GH)'!C1499)</f>
        <v>2.8</v>
      </c>
      <c r="E1499" s="9">
        <f>getApertureEnd('RawData (GH)'!C1499)</f>
        <v>2.8</v>
      </c>
      <c r="F1499" s="2">
        <f>getFiltersizeAsDouble('RawData (GH)'!D1499)</f>
        <v>82</v>
      </c>
      <c r="G1499" s="35">
        <f>getMagnification('RawData (GH)'!E1499)</f>
        <v>5</v>
      </c>
      <c r="H1499" s="62">
        <f>getMinimalFocus('RawData (GH)'!F1499)</f>
        <v>0</v>
      </c>
      <c r="I1499" t="str">
        <f>getMount('RawData (GH)'!G1499)</f>
        <v>Canon EF</v>
      </c>
      <c r="J1499" t="str">
        <f>getSensorCompatibility('RawData (GH)'!H1499)</f>
        <v>APS-C/ Kleinbild</v>
      </c>
      <c r="K1499" s="45">
        <f>getWeightAsDouble('RawData (GH)'!I1499)</f>
        <v>905</v>
      </c>
      <c r="L1499" s="34">
        <f>getSizeDiameter('RawData (GH)'!J1499)</f>
        <v>88.4</v>
      </c>
      <c r="M1499" s="34">
        <f>getSizeLength('RawData (GH)'!J1499)</f>
        <v>111</v>
      </c>
    </row>
    <row r="1500" spans="1:13" x14ac:dyDescent="0.25">
      <c r="A1500" t="str">
        <f>'RawData (GH)'!A1500</f>
        <v>Tamron SP AF 24-70mm 2.8 Di VC USD G2 für Nikon F schwarz</v>
      </c>
      <c r="B1500" s="5">
        <f>getFocalLengthStart('RawData (GH)'!B1500)</f>
        <v>24</v>
      </c>
      <c r="C1500" s="5">
        <f>getFocalLengthEnd('RawData (GH)'!B1500)</f>
        <v>70</v>
      </c>
      <c r="D1500" s="9">
        <f>getApertureStart('RawData (GH)'!C1500)</f>
        <v>2.8</v>
      </c>
      <c r="E1500" s="9">
        <f>getApertureEnd('RawData (GH)'!C1500)</f>
        <v>2.8</v>
      </c>
      <c r="F1500" s="2">
        <f>getFiltersizeAsDouble('RawData (GH)'!D1500)</f>
        <v>82</v>
      </c>
      <c r="G1500" s="35">
        <f>getMagnification('RawData (GH)'!E1500)</f>
        <v>5</v>
      </c>
      <c r="H1500" s="62">
        <f>getMinimalFocus('RawData (GH)'!F1500)</f>
        <v>0</v>
      </c>
      <c r="I1500" t="str">
        <f>getMount('RawData (GH)'!G1500)</f>
        <v>Nikon F</v>
      </c>
      <c r="J1500" t="str">
        <f>getSensorCompatibility('RawData (GH)'!H1500)</f>
        <v>APS-C/ Kleinbild</v>
      </c>
      <c r="K1500" s="45">
        <f>getWeightAsDouble('RawData (GH)'!I1500)</f>
        <v>900</v>
      </c>
      <c r="L1500" s="34">
        <f>getSizeDiameter('RawData (GH)'!J1500)</f>
        <v>88.4</v>
      </c>
      <c r="M1500" s="34">
        <f>getSizeLength('RawData (GH)'!J1500)</f>
        <v>108.5</v>
      </c>
    </row>
    <row r="1501" spans="1:13" x14ac:dyDescent="0.25">
      <c r="A1501" t="str">
        <f>'RawData (GH)'!A1501</f>
        <v>Tamron SP AF 28-75mm 2.8 XR Di LD Asp IF Makro für Canon EF schwarz</v>
      </c>
      <c r="B1501" s="5">
        <f>getFocalLengthStart('RawData (GH)'!B1501)</f>
        <v>28</v>
      </c>
      <c r="C1501" s="5">
        <f>getFocalLengthEnd('RawData (GH)'!B1501)</f>
        <v>75</v>
      </c>
      <c r="D1501" s="9">
        <f>getApertureStart('RawData (GH)'!C1501)</f>
        <v>2.8</v>
      </c>
      <c r="E1501" s="9">
        <f>getApertureEnd('RawData (GH)'!C1501)</f>
        <v>2.8</v>
      </c>
      <c r="F1501" s="2">
        <f>getFiltersizeAsDouble('RawData (GH)'!D1501)</f>
        <v>67</v>
      </c>
      <c r="G1501" s="35">
        <f>getMagnification('RawData (GH)'!E1501)</f>
        <v>3.9</v>
      </c>
      <c r="H1501" s="62">
        <f>getMinimalFocus('RawData (GH)'!F1501)</f>
        <v>0</v>
      </c>
      <c r="I1501" t="str">
        <f>getMount('RawData (GH)'!G1501)</f>
        <v>Canon EF</v>
      </c>
      <c r="J1501" t="str">
        <f>getSensorCompatibility('RawData (GH)'!H1501)</f>
        <v>APS-C/ Kleinbild</v>
      </c>
      <c r="K1501" s="45">
        <f>getWeightAsDouble('RawData (GH)'!I1501)</f>
        <v>510</v>
      </c>
      <c r="L1501" s="34">
        <f>getSizeDiameter('RawData (GH)'!J1501)</f>
        <v>73</v>
      </c>
      <c r="M1501" s="34">
        <f>getSizeLength('RawData (GH)'!J1501)</f>
        <v>92</v>
      </c>
    </row>
    <row r="1502" spans="1:13" x14ac:dyDescent="0.25">
      <c r="A1502" t="str">
        <f>'RawData (GH)'!A1502</f>
        <v>Tamron SP AF 28-75mm 2.8 XR Di LD Asp IF Makro für Nikon F schwarz</v>
      </c>
      <c r="B1502" s="5">
        <f>getFocalLengthStart('RawData (GH)'!B1502)</f>
        <v>28</v>
      </c>
      <c r="C1502" s="5">
        <f>getFocalLengthEnd('RawData (GH)'!B1502)</f>
        <v>75</v>
      </c>
      <c r="D1502" s="9">
        <f>getApertureStart('RawData (GH)'!C1502)</f>
        <v>2.8</v>
      </c>
      <c r="E1502" s="9">
        <f>getApertureEnd('RawData (GH)'!C1502)</f>
        <v>2.8</v>
      </c>
      <c r="F1502" s="2">
        <f>getFiltersizeAsDouble('RawData (GH)'!D1502)</f>
        <v>67</v>
      </c>
      <c r="G1502" s="35">
        <f>getMagnification('RawData (GH)'!E1502)</f>
        <v>3.9</v>
      </c>
      <c r="H1502" s="62">
        <f>getMinimalFocus('RawData (GH)'!F1502)</f>
        <v>0</v>
      </c>
      <c r="I1502" t="str">
        <f>getMount('RawData (GH)'!G1502)</f>
        <v>Nikon F</v>
      </c>
      <c r="J1502" t="str">
        <f>getSensorCompatibility('RawData (GH)'!H1502)</f>
        <v>APS-C/ Kleinbild</v>
      </c>
      <c r="K1502" s="45">
        <f>getWeightAsDouble('RawData (GH)'!I1502)</f>
        <v>510</v>
      </c>
      <c r="L1502" s="34">
        <f>getSizeDiameter('RawData (GH)'!J1502)</f>
        <v>73</v>
      </c>
      <c r="M1502" s="34">
        <f>getSizeLength('RawData (GH)'!J1502)</f>
        <v>92</v>
      </c>
    </row>
    <row r="1503" spans="1:13" x14ac:dyDescent="0.25">
      <c r="A1503" t="str">
        <f>'RawData (GH)'!A1503</f>
        <v>Tamron SP AF 28-75mm 2.8 XR Di LD Asp IF Makro für Pentax K schwarz</v>
      </c>
      <c r="B1503" s="5">
        <f>getFocalLengthStart('RawData (GH)'!B1503)</f>
        <v>28</v>
      </c>
      <c r="C1503" s="5">
        <f>getFocalLengthEnd('RawData (GH)'!B1503)</f>
        <v>75</v>
      </c>
      <c r="D1503" s="9">
        <f>getApertureStart('RawData (GH)'!C1503)</f>
        <v>2.8</v>
      </c>
      <c r="E1503" s="9">
        <f>getApertureEnd('RawData (GH)'!C1503)</f>
        <v>2.8</v>
      </c>
      <c r="F1503" s="2">
        <f>getFiltersizeAsDouble('RawData (GH)'!D1503)</f>
        <v>67</v>
      </c>
      <c r="G1503" s="35">
        <f>getMagnification('RawData (GH)'!E1503)</f>
        <v>3.9</v>
      </c>
      <c r="H1503" s="62">
        <f>getMinimalFocus('RawData (GH)'!F1503)</f>
        <v>0</v>
      </c>
      <c r="I1503" t="str">
        <f>getMount('RawData (GH)'!G1503)</f>
        <v>Pentax K</v>
      </c>
      <c r="J1503" t="str">
        <f>getSensorCompatibility('RawData (GH)'!H1503)</f>
        <v>APS-C/ Kleinbild</v>
      </c>
      <c r="K1503" s="45">
        <f>getWeightAsDouble('RawData (GH)'!I1503)</f>
        <v>510</v>
      </c>
      <c r="L1503" s="34">
        <f>getSizeDiameter('RawData (GH)'!J1503)</f>
        <v>73</v>
      </c>
      <c r="M1503" s="34">
        <f>getSizeLength('RawData (GH)'!J1503)</f>
        <v>92</v>
      </c>
    </row>
    <row r="1504" spans="1:13" x14ac:dyDescent="0.25">
      <c r="A1504" t="str">
        <f>'RawData (GH)'!A1504</f>
        <v>Tamron SP AF 28-75mm 2.8 XR Di LD Asp IF Makro für Sony A schwarz</v>
      </c>
      <c r="B1504" s="5">
        <f>getFocalLengthStart('RawData (GH)'!B1504)</f>
        <v>28</v>
      </c>
      <c r="C1504" s="5">
        <f>getFocalLengthEnd('RawData (GH)'!B1504)</f>
        <v>75</v>
      </c>
      <c r="D1504" s="9">
        <f>getApertureStart('RawData (GH)'!C1504)</f>
        <v>2.8</v>
      </c>
      <c r="E1504" s="9">
        <f>getApertureEnd('RawData (GH)'!C1504)</f>
        <v>2.8</v>
      </c>
      <c r="F1504" s="2">
        <f>getFiltersizeAsDouble('RawData (GH)'!D1504)</f>
        <v>67</v>
      </c>
      <c r="G1504" s="35">
        <f>getMagnification('RawData (GH)'!E1504)</f>
        <v>3.9</v>
      </c>
      <c r="H1504" s="62">
        <f>getMinimalFocus('RawData (GH)'!F1504)</f>
        <v>0</v>
      </c>
      <c r="I1504" t="str">
        <f>getMount('RawData (GH)'!G1504)</f>
        <v>Sony A</v>
      </c>
      <c r="J1504" t="str">
        <f>getSensorCompatibility('RawData (GH)'!H1504)</f>
        <v>APS-C/ Kleinbild</v>
      </c>
      <c r="K1504" s="45">
        <f>getWeightAsDouble('RawData (GH)'!I1504)</f>
        <v>510</v>
      </c>
      <c r="L1504" s="34">
        <f>getSizeDiameter('RawData (GH)'!J1504)</f>
        <v>73</v>
      </c>
      <c r="M1504" s="34">
        <f>getSizeLength('RawData (GH)'!J1504)</f>
        <v>92</v>
      </c>
    </row>
    <row r="1505" spans="1:13" x14ac:dyDescent="0.25">
      <c r="A1505" t="str">
        <f>'RawData (GH)'!A1505</f>
        <v>Tamron SP AF 35mm 1.8 Di USD für Sony A schwarz</v>
      </c>
      <c r="B1505" s="5">
        <f>getFocalLengthStart('RawData (GH)'!B1505)</f>
        <v>35</v>
      </c>
      <c r="C1505" s="5">
        <f>getFocalLengthEnd('RawData (GH)'!B1505)</f>
        <v>35</v>
      </c>
      <c r="D1505" s="9">
        <f>getApertureStart('RawData (GH)'!C1505)</f>
        <v>1.8</v>
      </c>
      <c r="E1505" s="9">
        <f>getApertureEnd('RawData (GH)'!C1505)</f>
        <v>1.8</v>
      </c>
      <c r="F1505" s="2">
        <f>getFiltersizeAsDouble('RawData (GH)'!D1505)</f>
        <v>67</v>
      </c>
      <c r="G1505" s="35">
        <f>getMagnification('RawData (GH)'!E1505)</f>
        <v>2.5</v>
      </c>
      <c r="H1505" s="62">
        <f>getMinimalFocus('RawData (GH)'!F1505)</f>
        <v>0</v>
      </c>
      <c r="I1505" t="str">
        <f>getMount('RawData (GH)'!G1505)</f>
        <v>Sony A</v>
      </c>
      <c r="J1505" t="str">
        <f>getSensorCompatibility('RawData (GH)'!H1505)</f>
        <v>APS-C/ Kleinbild</v>
      </c>
      <c r="K1505" s="45">
        <f>getWeightAsDouble('RawData (GH)'!I1505)</f>
        <v>480</v>
      </c>
      <c r="L1505" s="34">
        <f>getSizeDiameter('RawData (GH)'!J1505)</f>
        <v>80.400000000000006</v>
      </c>
      <c r="M1505" s="34">
        <f>getSizeLength('RawData (GH)'!J1505)</f>
        <v>80.8</v>
      </c>
    </row>
    <row r="1506" spans="1:13" x14ac:dyDescent="0.25">
      <c r="A1506" t="str">
        <f>'RawData (GH)'!A1506</f>
        <v>Tamron SP AF 35mm 1.8 Di VC USD für Canon EF schwarz</v>
      </c>
      <c r="B1506" s="5">
        <f>getFocalLengthStart('RawData (GH)'!B1506)</f>
        <v>35</v>
      </c>
      <c r="C1506" s="5">
        <f>getFocalLengthEnd('RawData (GH)'!B1506)</f>
        <v>35</v>
      </c>
      <c r="D1506" s="9">
        <f>getApertureStart('RawData (GH)'!C1506)</f>
        <v>1.8</v>
      </c>
      <c r="E1506" s="9">
        <f>getApertureEnd('RawData (GH)'!C1506)</f>
        <v>1.8</v>
      </c>
      <c r="F1506" s="2">
        <f>getFiltersizeAsDouble('RawData (GH)'!D1506)</f>
        <v>67</v>
      </c>
      <c r="G1506" s="35">
        <f>getMagnification('RawData (GH)'!E1506)</f>
        <v>2.5</v>
      </c>
      <c r="H1506" s="62">
        <f>getMinimalFocus('RawData (GH)'!F1506)</f>
        <v>0</v>
      </c>
      <c r="I1506" t="str">
        <f>getMount('RawData (GH)'!G1506)</f>
        <v>Canon EF</v>
      </c>
      <c r="J1506" t="str">
        <f>getSensorCompatibility('RawData (GH)'!H1506)</f>
        <v>APS-C/ Kleinbild</v>
      </c>
      <c r="K1506" s="45">
        <f>getWeightAsDouble('RawData (GH)'!I1506)</f>
        <v>480</v>
      </c>
      <c r="L1506" s="34">
        <f>getSizeDiameter('RawData (GH)'!J1506)</f>
        <v>80.400000000000006</v>
      </c>
      <c r="M1506" s="34">
        <f>getSizeLength('RawData (GH)'!J1506)</f>
        <v>80.8</v>
      </c>
    </row>
    <row r="1507" spans="1:13" x14ac:dyDescent="0.25">
      <c r="A1507" t="str">
        <f>'RawData (GH)'!A1507</f>
        <v>Tamron SP AF 35mm 1.8 Di VC USD für Nikon F schwarz</v>
      </c>
      <c r="B1507" s="5">
        <f>getFocalLengthStart('RawData (GH)'!B1507)</f>
        <v>35</v>
      </c>
      <c r="C1507" s="5">
        <f>getFocalLengthEnd('RawData (GH)'!B1507)</f>
        <v>35</v>
      </c>
      <c r="D1507" s="9">
        <f>getApertureStart('RawData (GH)'!C1507)</f>
        <v>1.8</v>
      </c>
      <c r="E1507" s="9">
        <f>getApertureEnd('RawData (GH)'!C1507)</f>
        <v>1.8</v>
      </c>
      <c r="F1507" s="2">
        <f>getFiltersizeAsDouble('RawData (GH)'!D1507)</f>
        <v>67</v>
      </c>
      <c r="G1507" s="35">
        <f>getMagnification('RawData (GH)'!E1507)</f>
        <v>2.5</v>
      </c>
      <c r="H1507" s="62">
        <f>getMinimalFocus('RawData (GH)'!F1507)</f>
        <v>0</v>
      </c>
      <c r="I1507" t="str">
        <f>getMount('RawData (GH)'!G1507)</f>
        <v>Nikon F</v>
      </c>
      <c r="J1507" t="str">
        <f>getSensorCompatibility('RawData (GH)'!H1507)</f>
        <v>APS-C/ Kleinbild</v>
      </c>
      <c r="K1507" s="45">
        <f>getWeightAsDouble('RawData (GH)'!I1507)</f>
        <v>450</v>
      </c>
      <c r="L1507" s="34">
        <f>getSizeDiameter('RawData (GH)'!J1507)</f>
        <v>80.400000000000006</v>
      </c>
      <c r="M1507" s="34">
        <f>getSizeLength('RawData (GH)'!J1507)</f>
        <v>78.3</v>
      </c>
    </row>
    <row r="1508" spans="1:13" x14ac:dyDescent="0.25">
      <c r="A1508" t="str">
        <f>'RawData (GH)'!A1508</f>
        <v>Tamron SP AF 45mm 1.8 Di USD für Sony A schwarz</v>
      </c>
      <c r="B1508" s="5">
        <f>getFocalLengthStart('RawData (GH)'!B1508)</f>
        <v>45</v>
      </c>
      <c r="C1508" s="5">
        <f>getFocalLengthEnd('RawData (GH)'!B1508)</f>
        <v>45</v>
      </c>
      <c r="D1508" s="9">
        <f>getApertureStart('RawData (GH)'!C1508)</f>
        <v>1.8</v>
      </c>
      <c r="E1508" s="9">
        <f>getApertureEnd('RawData (GH)'!C1508)</f>
        <v>1.8</v>
      </c>
      <c r="F1508" s="2">
        <f>getFiltersizeAsDouble('RawData (GH)'!D1508)</f>
        <v>67</v>
      </c>
      <c r="G1508" s="35">
        <f>getMagnification('RawData (GH)'!E1508)</f>
        <v>3.4</v>
      </c>
      <c r="H1508" s="62">
        <f>getMinimalFocus('RawData (GH)'!F1508)</f>
        <v>0</v>
      </c>
      <c r="I1508" t="str">
        <f>getMount('RawData (GH)'!G1508)</f>
        <v>Sony A</v>
      </c>
      <c r="J1508" t="str">
        <f>getSensorCompatibility('RawData (GH)'!H1508)</f>
        <v>APS-C/ Kleinbild</v>
      </c>
      <c r="K1508" s="45">
        <f>getWeightAsDouble('RawData (GH)'!I1508)</f>
        <v>540</v>
      </c>
      <c r="L1508" s="34">
        <f>getSizeDiameter('RawData (GH)'!J1508)</f>
        <v>80.400000000000006</v>
      </c>
      <c r="M1508" s="34">
        <f>getSizeLength('RawData (GH)'!J1508)</f>
        <v>91.7</v>
      </c>
    </row>
    <row r="1509" spans="1:13" x14ac:dyDescent="0.25">
      <c r="A1509" t="str">
        <f>'RawData (GH)'!A1509</f>
        <v>Tamron SP AF 45mm 1.8 Di VC USD für Canon EF schwarz</v>
      </c>
      <c r="B1509" s="5">
        <f>getFocalLengthStart('RawData (GH)'!B1509)</f>
        <v>45</v>
      </c>
      <c r="C1509" s="5">
        <f>getFocalLengthEnd('RawData (GH)'!B1509)</f>
        <v>45</v>
      </c>
      <c r="D1509" s="9">
        <f>getApertureStart('RawData (GH)'!C1509)</f>
        <v>1.8</v>
      </c>
      <c r="E1509" s="9">
        <f>getApertureEnd('RawData (GH)'!C1509)</f>
        <v>1.8</v>
      </c>
      <c r="F1509" s="2">
        <f>getFiltersizeAsDouble('RawData (GH)'!D1509)</f>
        <v>67</v>
      </c>
      <c r="G1509" s="35">
        <f>getMagnification('RawData (GH)'!E1509)</f>
        <v>3.4</v>
      </c>
      <c r="H1509" s="62">
        <f>getMinimalFocus('RawData (GH)'!F1509)</f>
        <v>0</v>
      </c>
      <c r="I1509" t="str">
        <f>getMount('RawData (GH)'!G1509)</f>
        <v>Canon EF</v>
      </c>
      <c r="J1509" t="str">
        <f>getSensorCompatibility('RawData (GH)'!H1509)</f>
        <v>APS-C/ Kleinbild</v>
      </c>
      <c r="K1509" s="45">
        <f>getWeightAsDouble('RawData (GH)'!I1509)</f>
        <v>540</v>
      </c>
      <c r="L1509" s="34">
        <f>getSizeDiameter('RawData (GH)'!J1509)</f>
        <v>80.400000000000006</v>
      </c>
      <c r="M1509" s="34">
        <f>getSizeLength('RawData (GH)'!J1509)</f>
        <v>91.7</v>
      </c>
    </row>
    <row r="1510" spans="1:13" x14ac:dyDescent="0.25">
      <c r="A1510" t="str">
        <f>'RawData (GH)'!A1510</f>
        <v>Tamron SP AF 45mm 1.8 Di VC USD für Nikon F schwarz</v>
      </c>
      <c r="B1510" s="5">
        <f>getFocalLengthStart('RawData (GH)'!B1510)</f>
        <v>45</v>
      </c>
      <c r="C1510" s="5">
        <f>getFocalLengthEnd('RawData (GH)'!B1510)</f>
        <v>45</v>
      </c>
      <c r="D1510" s="9">
        <f>getApertureStart('RawData (GH)'!C1510)</f>
        <v>1.8</v>
      </c>
      <c r="E1510" s="9">
        <f>getApertureEnd('RawData (GH)'!C1510)</f>
        <v>1.8</v>
      </c>
      <c r="F1510" s="2">
        <f>getFiltersizeAsDouble('RawData (GH)'!D1510)</f>
        <v>67</v>
      </c>
      <c r="G1510" s="35">
        <f>getMagnification('RawData (GH)'!E1510)</f>
        <v>3.4</v>
      </c>
      <c r="H1510" s="62">
        <f>getMinimalFocus('RawData (GH)'!F1510)</f>
        <v>0</v>
      </c>
      <c r="I1510" t="str">
        <f>getMount('RawData (GH)'!G1510)</f>
        <v>Nikon F</v>
      </c>
      <c r="J1510" t="str">
        <f>getSensorCompatibility('RawData (GH)'!H1510)</f>
        <v>APS-C/ Kleinbild</v>
      </c>
      <c r="K1510" s="45">
        <f>getWeightAsDouble('RawData (GH)'!I1510)</f>
        <v>520</v>
      </c>
      <c r="L1510" s="34">
        <f>getSizeDiameter('RawData (GH)'!J1510)</f>
        <v>80.400000000000006</v>
      </c>
      <c r="M1510" s="34">
        <f>getSizeLength('RawData (GH)'!J1510)</f>
        <v>89.2</v>
      </c>
    </row>
    <row r="1511" spans="1:13" x14ac:dyDescent="0.25">
      <c r="A1511" t="str">
        <f>'RawData (GH)'!A1511</f>
        <v>Tamron SP AF 60mm 2.0 Di II LD IF Makro 1:1 für Canon EF schwarz</v>
      </c>
      <c r="B1511" s="5">
        <f>getFocalLengthStart('RawData (GH)'!B1511)</f>
        <v>60</v>
      </c>
      <c r="C1511" s="5">
        <f>getFocalLengthEnd('RawData (GH)'!B1511)</f>
        <v>60</v>
      </c>
      <c r="D1511" s="9">
        <f>getApertureStart('RawData (GH)'!C1511)</f>
        <v>2</v>
      </c>
      <c r="E1511" s="9">
        <f>getApertureEnd('RawData (GH)'!C1511)</f>
        <v>2</v>
      </c>
      <c r="F1511" s="2">
        <f>getFiltersizeAsDouble('RawData (GH)'!D1511)</f>
        <v>55</v>
      </c>
      <c r="G1511" s="35">
        <f>getMagnification('RawData (GH)'!E1511)</f>
        <v>1</v>
      </c>
      <c r="H1511" s="62">
        <f>getMinimalFocus('RawData (GH)'!F1511)</f>
        <v>0</v>
      </c>
      <c r="I1511" t="str">
        <f>getMount('RawData (GH)'!G1511)</f>
        <v>Canon EF-S</v>
      </c>
      <c r="J1511" t="str">
        <f>getSensorCompatibility('RawData (GH)'!H1511)</f>
        <v>APS-C</v>
      </c>
      <c r="K1511" s="45">
        <f>getWeightAsDouble('RawData (GH)'!I1511)</f>
        <v>400</v>
      </c>
      <c r="L1511" s="34">
        <f>getSizeDiameter('RawData (GH)'!J1511)</f>
        <v>73</v>
      </c>
      <c r="M1511" s="34">
        <f>getSizeLength('RawData (GH)'!J1511)</f>
        <v>80</v>
      </c>
    </row>
    <row r="1512" spans="1:13" x14ac:dyDescent="0.25">
      <c r="A1512" t="str">
        <f>'RawData (GH)'!A1512</f>
        <v>Tamron SP AF 60mm 2.0 Di II LD IF Makro 1:1 für Nikon F schwarz</v>
      </c>
      <c r="B1512" s="5">
        <f>getFocalLengthStart('RawData (GH)'!B1512)</f>
        <v>60</v>
      </c>
      <c r="C1512" s="5">
        <f>getFocalLengthEnd('RawData (GH)'!B1512)</f>
        <v>60</v>
      </c>
      <c r="D1512" s="9">
        <f>getApertureStart('RawData (GH)'!C1512)</f>
        <v>2</v>
      </c>
      <c r="E1512" s="9">
        <f>getApertureEnd('RawData (GH)'!C1512)</f>
        <v>2</v>
      </c>
      <c r="F1512" s="2">
        <f>getFiltersizeAsDouble('RawData (GH)'!D1512)</f>
        <v>55</v>
      </c>
      <c r="G1512" s="35">
        <f>getMagnification('RawData (GH)'!E1512)</f>
        <v>1</v>
      </c>
      <c r="H1512" s="62">
        <f>getMinimalFocus('RawData (GH)'!F1512)</f>
        <v>0</v>
      </c>
      <c r="I1512" t="str">
        <f>getMount('RawData (GH)'!G1512)</f>
        <v>Nikon F</v>
      </c>
      <c r="J1512" t="str">
        <f>getSensorCompatibility('RawData (GH)'!H1512)</f>
        <v>APS-C</v>
      </c>
      <c r="K1512" s="45">
        <f>getWeightAsDouble('RawData (GH)'!I1512)</f>
        <v>400</v>
      </c>
      <c r="L1512" s="34">
        <f>getSizeDiameter('RawData (GH)'!J1512)</f>
        <v>73</v>
      </c>
      <c r="M1512" s="34">
        <f>getSizeLength('RawData (GH)'!J1512)</f>
        <v>80</v>
      </c>
    </row>
    <row r="1513" spans="1:13" x14ac:dyDescent="0.25">
      <c r="A1513" t="str">
        <f>'RawData (GH)'!A1513</f>
        <v>Tamron SP AF 60mm 2.0 Di II LD IF Makro 1:1 für Sony A schwarz</v>
      </c>
      <c r="B1513" s="5">
        <f>getFocalLengthStart('RawData (GH)'!B1513)</f>
        <v>60</v>
      </c>
      <c r="C1513" s="5">
        <f>getFocalLengthEnd('RawData (GH)'!B1513)</f>
        <v>60</v>
      </c>
      <c r="D1513" s="9">
        <f>getApertureStart('RawData (GH)'!C1513)</f>
        <v>2</v>
      </c>
      <c r="E1513" s="9">
        <f>getApertureEnd('RawData (GH)'!C1513)</f>
        <v>2</v>
      </c>
      <c r="F1513" s="2">
        <f>getFiltersizeAsDouble('RawData (GH)'!D1513)</f>
        <v>55</v>
      </c>
      <c r="G1513" s="35">
        <f>getMagnification('RawData (GH)'!E1513)</f>
        <v>1</v>
      </c>
      <c r="H1513" s="62">
        <f>getMinimalFocus('RawData (GH)'!F1513)</f>
        <v>0</v>
      </c>
      <c r="I1513" t="str">
        <f>getMount('RawData (GH)'!G1513)</f>
        <v>Sony A</v>
      </c>
      <c r="J1513" t="str">
        <f>getSensorCompatibility('RawData (GH)'!H1513)</f>
        <v>APS-C</v>
      </c>
      <c r="K1513" s="45">
        <f>getWeightAsDouble('RawData (GH)'!I1513)</f>
        <v>400</v>
      </c>
      <c r="L1513" s="34">
        <f>getSizeDiameter('RawData (GH)'!J1513)</f>
        <v>73</v>
      </c>
      <c r="M1513" s="34">
        <f>getSizeLength('RawData (GH)'!J1513)</f>
        <v>80</v>
      </c>
    </row>
    <row r="1514" spans="1:13" x14ac:dyDescent="0.25">
      <c r="A1514" t="str">
        <f>'RawData (GH)'!A1514</f>
        <v>Tamron SP AF 70-200mm 2.8 Di LD IF Makro für Canon EF schwarz</v>
      </c>
      <c r="B1514" s="5">
        <f>getFocalLengthStart('RawData (GH)'!B1514)</f>
        <v>70</v>
      </c>
      <c r="C1514" s="5">
        <f>getFocalLengthEnd('RawData (GH)'!B1514)</f>
        <v>200</v>
      </c>
      <c r="D1514" s="9">
        <f>getApertureStart('RawData (GH)'!C1514)</f>
        <v>2.8</v>
      </c>
      <c r="E1514" s="9">
        <f>getApertureEnd('RawData (GH)'!C1514)</f>
        <v>2.8</v>
      </c>
      <c r="F1514" s="2">
        <f>getFiltersizeAsDouble('RawData (GH)'!D1514)</f>
        <v>77</v>
      </c>
      <c r="G1514" s="35">
        <f>getMagnification('RawData (GH)'!E1514)</f>
        <v>3.1</v>
      </c>
      <c r="H1514" s="62">
        <f>getMinimalFocus('RawData (GH)'!F1514)</f>
        <v>0</v>
      </c>
      <c r="I1514" t="str">
        <f>getMount('RawData (GH)'!G1514)</f>
        <v>Canon EF</v>
      </c>
      <c r="J1514" t="str">
        <f>getSensorCompatibility('RawData (GH)'!H1514)</f>
        <v>APS-C/ Kleinbild</v>
      </c>
      <c r="K1514" s="45">
        <f>getWeightAsDouble('RawData (GH)'!I1514)</f>
        <v>1150</v>
      </c>
      <c r="L1514" s="34">
        <f>getSizeDiameter('RawData (GH)'!J1514)</f>
        <v>89.5</v>
      </c>
      <c r="M1514" s="34">
        <f>getSizeLength('RawData (GH)'!J1514)</f>
        <v>194.3</v>
      </c>
    </row>
    <row r="1515" spans="1:13" x14ac:dyDescent="0.25">
      <c r="A1515" t="str">
        <f>'RawData (GH)'!A1515</f>
        <v>Tamron SP AF 70-200mm 2.8 Di LD IF Makro für Nikon F schwarz</v>
      </c>
      <c r="B1515" s="5">
        <f>getFocalLengthStart('RawData (GH)'!B1515)</f>
        <v>70</v>
      </c>
      <c r="C1515" s="5">
        <f>getFocalLengthEnd('RawData (GH)'!B1515)</f>
        <v>200</v>
      </c>
      <c r="D1515" s="9">
        <f>getApertureStart('RawData (GH)'!C1515)</f>
        <v>2.8</v>
      </c>
      <c r="E1515" s="9">
        <f>getApertureEnd('RawData (GH)'!C1515)</f>
        <v>2.8</v>
      </c>
      <c r="F1515" s="2">
        <f>getFiltersizeAsDouble('RawData (GH)'!D1515)</f>
        <v>77</v>
      </c>
      <c r="G1515" s="35">
        <f>getMagnification('RawData (GH)'!E1515)</f>
        <v>3.1</v>
      </c>
      <c r="H1515" s="62">
        <f>getMinimalFocus('RawData (GH)'!F1515)</f>
        <v>0</v>
      </c>
      <c r="I1515" t="str">
        <f>getMount('RawData (GH)'!G1515)</f>
        <v>Nikon F</v>
      </c>
      <c r="J1515" t="str">
        <f>getSensorCompatibility('RawData (GH)'!H1515)</f>
        <v>APS-C/ Kleinbild</v>
      </c>
      <c r="K1515" s="45">
        <f>getWeightAsDouble('RawData (GH)'!I1515)</f>
        <v>1150</v>
      </c>
      <c r="L1515" s="34">
        <f>getSizeDiameter('RawData (GH)'!J1515)</f>
        <v>89.5</v>
      </c>
      <c r="M1515" s="34">
        <f>getSizeLength('RawData (GH)'!J1515)</f>
        <v>194.3</v>
      </c>
    </row>
    <row r="1516" spans="1:13" x14ac:dyDescent="0.25">
      <c r="A1516" t="str">
        <f>'RawData (GH)'!A1516</f>
        <v>Tamron SP AF 70-200mm 2.8 Di LD IF Makro für Pentax K schwarz</v>
      </c>
      <c r="B1516" s="5">
        <f>getFocalLengthStart('RawData (GH)'!B1516)</f>
        <v>70</v>
      </c>
      <c r="C1516" s="5">
        <f>getFocalLengthEnd('RawData (GH)'!B1516)</f>
        <v>200</v>
      </c>
      <c r="D1516" s="9">
        <f>getApertureStart('RawData (GH)'!C1516)</f>
        <v>2.8</v>
      </c>
      <c r="E1516" s="9">
        <f>getApertureEnd('RawData (GH)'!C1516)</f>
        <v>2.8</v>
      </c>
      <c r="F1516" s="2">
        <f>getFiltersizeAsDouble('RawData (GH)'!D1516)</f>
        <v>77</v>
      </c>
      <c r="G1516" s="35">
        <f>getMagnification('RawData (GH)'!E1516)</f>
        <v>3.1</v>
      </c>
      <c r="H1516" s="62">
        <f>getMinimalFocus('RawData (GH)'!F1516)</f>
        <v>0</v>
      </c>
      <c r="I1516" t="str">
        <f>getMount('RawData (GH)'!G1516)</f>
        <v>Pentax K</v>
      </c>
      <c r="J1516" t="str">
        <f>getSensorCompatibility('RawData (GH)'!H1516)</f>
        <v>APS-C/ Kleinbild</v>
      </c>
      <c r="K1516" s="45">
        <f>getWeightAsDouble('RawData (GH)'!I1516)</f>
        <v>1150</v>
      </c>
      <c r="L1516" s="34">
        <f>getSizeDiameter('RawData (GH)'!J1516)</f>
        <v>89.5</v>
      </c>
      <c r="M1516" s="34">
        <f>getSizeLength('RawData (GH)'!J1516)</f>
        <v>194.3</v>
      </c>
    </row>
    <row r="1517" spans="1:13" x14ac:dyDescent="0.25">
      <c r="A1517" t="str">
        <f>'RawData (GH)'!A1517</f>
        <v>Tamron SP AF 70-200mm 2.8 Di LD IF Makro für Sony A schwarz</v>
      </c>
      <c r="B1517" s="5">
        <f>getFocalLengthStart('RawData (GH)'!B1517)</f>
        <v>70</v>
      </c>
      <c r="C1517" s="5">
        <f>getFocalLengthEnd('RawData (GH)'!B1517)</f>
        <v>200</v>
      </c>
      <c r="D1517" s="9">
        <f>getApertureStart('RawData (GH)'!C1517)</f>
        <v>2.8</v>
      </c>
      <c r="E1517" s="9">
        <f>getApertureEnd('RawData (GH)'!C1517)</f>
        <v>2.8</v>
      </c>
      <c r="F1517" s="2">
        <f>getFiltersizeAsDouble('RawData (GH)'!D1517)</f>
        <v>77</v>
      </c>
      <c r="G1517" s="35">
        <f>getMagnification('RawData (GH)'!E1517)</f>
        <v>3.1</v>
      </c>
      <c r="H1517" s="62">
        <f>getMinimalFocus('RawData (GH)'!F1517)</f>
        <v>0</v>
      </c>
      <c r="I1517" t="str">
        <f>getMount('RawData (GH)'!G1517)</f>
        <v>Sony A</v>
      </c>
      <c r="J1517" t="str">
        <f>getSensorCompatibility('RawData (GH)'!H1517)</f>
        <v>APS-C/ Kleinbild</v>
      </c>
      <c r="K1517" s="45">
        <f>getWeightAsDouble('RawData (GH)'!I1517)</f>
        <v>1150</v>
      </c>
      <c r="L1517" s="34">
        <f>getSizeDiameter('RawData (GH)'!J1517)</f>
        <v>89.5</v>
      </c>
      <c r="M1517" s="34">
        <f>getSizeLength('RawData (GH)'!J1517)</f>
        <v>194.3</v>
      </c>
    </row>
    <row r="1518" spans="1:13" x14ac:dyDescent="0.25">
      <c r="A1518" t="str">
        <f>'RawData (GH)'!A1518</f>
        <v>Tamron SP AF 70-200mm 2.8 Di USD für Sony A schwarz</v>
      </c>
      <c r="B1518" s="5">
        <f>getFocalLengthStart('RawData (GH)'!B1518)</f>
        <v>70</v>
      </c>
      <c r="C1518" s="5">
        <f>getFocalLengthEnd('RawData (GH)'!B1518)</f>
        <v>200</v>
      </c>
      <c r="D1518" s="9">
        <f>getApertureStart('RawData (GH)'!C1518)</f>
        <v>2.8</v>
      </c>
      <c r="E1518" s="9">
        <f>getApertureEnd('RawData (GH)'!C1518)</f>
        <v>2.8</v>
      </c>
      <c r="F1518" s="2">
        <f>getFiltersizeAsDouble('RawData (GH)'!D1518)</f>
        <v>77</v>
      </c>
      <c r="G1518" s="35">
        <f>getMagnification('RawData (GH)'!E1518)</f>
        <v>8</v>
      </c>
      <c r="H1518" s="62">
        <f>getMinimalFocus('RawData (GH)'!F1518)</f>
        <v>0</v>
      </c>
      <c r="I1518" t="str">
        <f>getMount('RawData (GH)'!G1518)</f>
        <v>Sony A</v>
      </c>
      <c r="J1518" t="str">
        <f>getSensorCompatibility('RawData (GH)'!H1518)</f>
        <v>APS-C/ Kleinbild</v>
      </c>
      <c r="K1518" s="45">
        <f>getWeightAsDouble('RawData (GH)'!I1518)</f>
        <v>1470</v>
      </c>
      <c r="L1518" s="34">
        <f>getSizeDiameter('RawData (GH)'!J1518)</f>
        <v>85.8</v>
      </c>
      <c r="M1518" s="34">
        <f>getSizeLength('RawData (GH)'!J1518)</f>
        <v>188.3</v>
      </c>
    </row>
    <row r="1519" spans="1:13" x14ac:dyDescent="0.25">
      <c r="A1519" t="str">
        <f>'RawData (GH)'!A1519</f>
        <v>Tamron SP AF 70-200mm 2.8 Di VC USD für Canon EF schwarz</v>
      </c>
      <c r="B1519" s="5">
        <f>getFocalLengthStart('RawData (GH)'!B1519)</f>
        <v>70</v>
      </c>
      <c r="C1519" s="5">
        <f>getFocalLengthEnd('RawData (GH)'!B1519)</f>
        <v>200</v>
      </c>
      <c r="D1519" s="9">
        <f>getApertureStart('RawData (GH)'!C1519)</f>
        <v>2.8</v>
      </c>
      <c r="E1519" s="9">
        <f>getApertureEnd('RawData (GH)'!C1519)</f>
        <v>2.8</v>
      </c>
      <c r="F1519" s="2">
        <f>getFiltersizeAsDouble('RawData (GH)'!D1519)</f>
        <v>77</v>
      </c>
      <c r="G1519" s="35">
        <f>getMagnification('RawData (GH)'!E1519)</f>
        <v>8</v>
      </c>
      <c r="H1519" s="62">
        <f>getMinimalFocus('RawData (GH)'!F1519)</f>
        <v>0</v>
      </c>
      <c r="I1519" t="str">
        <f>getMount('RawData (GH)'!G1519)</f>
        <v>Canon EF</v>
      </c>
      <c r="J1519" t="str">
        <f>getSensorCompatibility('RawData (GH)'!H1519)</f>
        <v>APS-C/ Kleinbild</v>
      </c>
      <c r="K1519" s="45">
        <f>getWeightAsDouble('RawData (GH)'!I1519)</f>
        <v>1470</v>
      </c>
      <c r="L1519" s="34">
        <f>getSizeDiameter('RawData (GH)'!J1519)</f>
        <v>85.8</v>
      </c>
      <c r="M1519" s="34">
        <f>getSizeLength('RawData (GH)'!J1519)</f>
        <v>188.3</v>
      </c>
    </row>
    <row r="1520" spans="1:13" x14ac:dyDescent="0.25">
      <c r="A1520" t="str">
        <f>'RawData (GH)'!A1520</f>
        <v>Tamron SP AF 70-200mm 2.8 Di VC USD für Nikon F schwarz</v>
      </c>
      <c r="B1520" s="5">
        <f>getFocalLengthStart('RawData (GH)'!B1520)</f>
        <v>70</v>
      </c>
      <c r="C1520" s="5">
        <f>getFocalLengthEnd('RawData (GH)'!B1520)</f>
        <v>200</v>
      </c>
      <c r="D1520" s="9">
        <f>getApertureStart('RawData (GH)'!C1520)</f>
        <v>2.8</v>
      </c>
      <c r="E1520" s="9">
        <f>getApertureEnd('RawData (GH)'!C1520)</f>
        <v>2.8</v>
      </c>
      <c r="F1520" s="2">
        <f>getFiltersizeAsDouble('RawData (GH)'!D1520)</f>
        <v>77</v>
      </c>
      <c r="G1520" s="35">
        <f>getMagnification('RawData (GH)'!E1520)</f>
        <v>8</v>
      </c>
      <c r="H1520" s="62">
        <f>getMinimalFocus('RawData (GH)'!F1520)</f>
        <v>0</v>
      </c>
      <c r="I1520" t="str">
        <f>getMount('RawData (GH)'!G1520)</f>
        <v>Nikon F</v>
      </c>
      <c r="J1520" t="str">
        <f>getSensorCompatibility('RawData (GH)'!H1520)</f>
        <v>APS-C/ Kleinbild</v>
      </c>
      <c r="K1520" s="45">
        <f>getWeightAsDouble('RawData (GH)'!I1520)</f>
        <v>1470</v>
      </c>
      <c r="L1520" s="34">
        <f>getSizeDiameter('RawData (GH)'!J1520)</f>
        <v>85.8</v>
      </c>
      <c r="M1520" s="34">
        <f>getSizeLength('RawData (GH)'!J1520)</f>
        <v>188.3</v>
      </c>
    </row>
    <row r="1521" spans="1:13" x14ac:dyDescent="0.25">
      <c r="A1521" t="str">
        <f>'RawData (GH)'!A1521</f>
        <v>Tamron SP AF 70-200mm 2.8 Di VC USD G2 für Canon EF schwarz</v>
      </c>
      <c r="B1521" s="5">
        <f>getFocalLengthStart('RawData (GH)'!B1521)</f>
        <v>70</v>
      </c>
      <c r="C1521" s="5">
        <f>getFocalLengthEnd('RawData (GH)'!B1521)</f>
        <v>200</v>
      </c>
      <c r="D1521" s="9">
        <f>getApertureStart('RawData (GH)'!C1521)</f>
        <v>2.8</v>
      </c>
      <c r="E1521" s="9">
        <f>getApertureEnd('RawData (GH)'!C1521)</f>
        <v>2.8</v>
      </c>
      <c r="F1521" s="2">
        <f>getFiltersizeAsDouble('RawData (GH)'!D1521)</f>
        <v>77</v>
      </c>
      <c r="G1521" s="35">
        <f>getMagnification('RawData (GH)'!E1521)</f>
        <v>6.1</v>
      </c>
      <c r="H1521" s="62">
        <f>getMinimalFocus('RawData (GH)'!F1521)</f>
        <v>0</v>
      </c>
      <c r="I1521" t="str">
        <f>getMount('RawData (GH)'!G1521)</f>
        <v>Canon EF</v>
      </c>
      <c r="J1521" t="str">
        <f>getSensorCompatibility('RawData (GH)'!H1521)</f>
        <v>APS-C/ Kleinbild</v>
      </c>
      <c r="K1521" s="45">
        <f>getWeightAsDouble('RawData (GH)'!I1521)</f>
        <v>1500</v>
      </c>
      <c r="L1521" s="34">
        <f>getSizeDiameter('RawData (GH)'!J1521)</f>
        <v>88</v>
      </c>
      <c r="M1521" s="34">
        <f>getSizeLength('RawData (GH)'!J1521)</f>
        <v>193.8</v>
      </c>
    </row>
    <row r="1522" spans="1:13" x14ac:dyDescent="0.25">
      <c r="A1522" t="str">
        <f>'RawData (GH)'!A1522</f>
        <v>Tamron SP AF 70-200mm 2.8 Di VC USD G2 für Nikon F schwarz</v>
      </c>
      <c r="B1522" s="5">
        <f>getFocalLengthStart('RawData (GH)'!B1522)</f>
        <v>70</v>
      </c>
      <c r="C1522" s="5">
        <f>getFocalLengthEnd('RawData (GH)'!B1522)</f>
        <v>200</v>
      </c>
      <c r="D1522" s="9">
        <f>getApertureStart('RawData (GH)'!C1522)</f>
        <v>2.8</v>
      </c>
      <c r="E1522" s="9">
        <f>getApertureEnd('RawData (GH)'!C1522)</f>
        <v>2.8</v>
      </c>
      <c r="F1522" s="2">
        <f>getFiltersizeAsDouble('RawData (GH)'!D1522)</f>
        <v>77</v>
      </c>
      <c r="G1522" s="35">
        <f>getMagnification('RawData (GH)'!E1522)</f>
        <v>6.1</v>
      </c>
      <c r="H1522" s="62">
        <f>getMinimalFocus('RawData (GH)'!F1522)</f>
        <v>0</v>
      </c>
      <c r="I1522" t="str">
        <f>getMount('RawData (GH)'!G1522)</f>
        <v>Nikon F</v>
      </c>
      <c r="J1522" t="str">
        <f>getSensorCompatibility('RawData (GH)'!H1522)</f>
        <v>APS-C/ Kleinbild</v>
      </c>
      <c r="K1522" s="45">
        <f>getWeightAsDouble('RawData (GH)'!I1522)</f>
        <v>1490</v>
      </c>
      <c r="L1522" s="34">
        <f>getSizeDiameter('RawData (GH)'!J1522)</f>
        <v>88</v>
      </c>
      <c r="M1522" s="34">
        <f>getSizeLength('RawData (GH)'!J1522)</f>
        <v>191.3</v>
      </c>
    </row>
    <row r="1523" spans="1:13" x14ac:dyDescent="0.25">
      <c r="A1523" t="str">
        <f>'RawData (GH)'!A1523</f>
        <v>Tamron SP AF 70-300mm 4.0-5.6 Di USD für Sony A schwarz</v>
      </c>
      <c r="B1523" s="5">
        <f>getFocalLengthStart('RawData (GH)'!B1523)</f>
        <v>70</v>
      </c>
      <c r="C1523" s="5">
        <f>getFocalLengthEnd('RawData (GH)'!B1523)</f>
        <v>300</v>
      </c>
      <c r="D1523" s="9">
        <f>getApertureStart('RawData (GH)'!C1523)</f>
        <v>4</v>
      </c>
      <c r="E1523" s="9">
        <f>getApertureEnd('RawData (GH)'!C1523)</f>
        <v>5.6</v>
      </c>
      <c r="F1523" s="2">
        <f>getFiltersizeAsDouble('RawData (GH)'!D1523)</f>
        <v>62</v>
      </c>
      <c r="G1523" s="35">
        <f>getMagnification('RawData (GH)'!E1523)</f>
        <v>4</v>
      </c>
      <c r="H1523" s="62">
        <f>getMinimalFocus('RawData (GH)'!F1523)</f>
        <v>0</v>
      </c>
      <c r="I1523" t="str">
        <f>getMount('RawData (GH)'!G1523)</f>
        <v>Sony A</v>
      </c>
      <c r="J1523" t="str">
        <f>getSensorCompatibility('RawData (GH)'!H1523)</f>
        <v>APS-C/ Kleinbild</v>
      </c>
      <c r="K1523" s="45">
        <f>getWeightAsDouble('RawData (GH)'!I1523)</f>
        <v>765</v>
      </c>
      <c r="L1523" s="34">
        <f>getSizeDiameter('RawData (GH)'!J1523)</f>
        <v>81.5</v>
      </c>
      <c r="M1523" s="34">
        <f>getSizeLength('RawData (GH)'!J1523)</f>
        <v>142.69999999999999</v>
      </c>
    </row>
    <row r="1524" spans="1:13" x14ac:dyDescent="0.25">
      <c r="A1524" t="str">
        <f>'RawData (GH)'!A1524</f>
        <v>Tamron SP AF 70-300mm 4.0-5.6 Di VC USD für Canon EF schwarz</v>
      </c>
      <c r="B1524" s="5">
        <f>getFocalLengthStart('RawData (GH)'!B1524)</f>
        <v>70</v>
      </c>
      <c r="C1524" s="5">
        <f>getFocalLengthEnd('RawData (GH)'!B1524)</f>
        <v>300</v>
      </c>
      <c r="D1524" s="9">
        <f>getApertureStart('RawData (GH)'!C1524)</f>
        <v>4</v>
      </c>
      <c r="E1524" s="9">
        <f>getApertureEnd('RawData (GH)'!C1524)</f>
        <v>5.6</v>
      </c>
      <c r="F1524" s="2">
        <f>getFiltersizeAsDouble('RawData (GH)'!D1524)</f>
        <v>62</v>
      </c>
      <c r="G1524" s="35">
        <f>getMagnification('RawData (GH)'!E1524)</f>
        <v>4</v>
      </c>
      <c r="H1524" s="62">
        <f>getMinimalFocus('RawData (GH)'!F1524)</f>
        <v>0</v>
      </c>
      <c r="I1524" t="str">
        <f>getMount('RawData (GH)'!G1524)</f>
        <v>Canon EF</v>
      </c>
      <c r="J1524" t="str">
        <f>getSensorCompatibility('RawData (GH)'!H1524)</f>
        <v>APS-C/ Kleinbild</v>
      </c>
      <c r="K1524" s="45">
        <f>getWeightAsDouble('RawData (GH)'!I1524)</f>
        <v>765</v>
      </c>
      <c r="L1524" s="34">
        <f>getSizeDiameter('RawData (GH)'!J1524)</f>
        <v>81.5</v>
      </c>
      <c r="M1524" s="34">
        <f>getSizeLength('RawData (GH)'!J1524)</f>
        <v>142.69999999999999</v>
      </c>
    </row>
    <row r="1525" spans="1:13" x14ac:dyDescent="0.25">
      <c r="A1525" t="str">
        <f>'RawData (GH)'!A1525</f>
        <v>Tamron SP AF 70-300mm 4.0-5.6 Di VC USD für Nikon F schwarz</v>
      </c>
      <c r="B1525" s="5">
        <f>getFocalLengthStart('RawData (GH)'!B1525)</f>
        <v>70</v>
      </c>
      <c r="C1525" s="5">
        <f>getFocalLengthEnd('RawData (GH)'!B1525)</f>
        <v>300</v>
      </c>
      <c r="D1525" s="9">
        <f>getApertureStart('RawData (GH)'!C1525)</f>
        <v>4</v>
      </c>
      <c r="E1525" s="9">
        <f>getApertureEnd('RawData (GH)'!C1525)</f>
        <v>5.6</v>
      </c>
      <c r="F1525" s="2">
        <f>getFiltersizeAsDouble('RawData (GH)'!D1525)</f>
        <v>62</v>
      </c>
      <c r="G1525" s="35">
        <f>getMagnification('RawData (GH)'!E1525)</f>
        <v>4</v>
      </c>
      <c r="H1525" s="62">
        <f>getMinimalFocus('RawData (GH)'!F1525)</f>
        <v>0</v>
      </c>
      <c r="I1525" t="str">
        <f>getMount('RawData (GH)'!G1525)</f>
        <v>Nikon F</v>
      </c>
      <c r="J1525" t="str">
        <f>getSensorCompatibility('RawData (GH)'!H1525)</f>
        <v>APS-C/ Kleinbild</v>
      </c>
      <c r="K1525" s="45">
        <f>getWeightAsDouble('RawData (GH)'!I1525)</f>
        <v>765</v>
      </c>
      <c r="L1525" s="34">
        <f>getSizeDiameter('RawData (GH)'!J1525)</f>
        <v>81.5</v>
      </c>
      <c r="M1525" s="34">
        <f>getSizeLength('RawData (GH)'!J1525)</f>
        <v>142.69999999999999</v>
      </c>
    </row>
    <row r="1526" spans="1:13" x14ac:dyDescent="0.25">
      <c r="A1526" t="str">
        <f>'RawData (GH)'!A1526</f>
        <v>Tamron SP AF 85mm 1.8 Di USD für Sony A schwarz</v>
      </c>
      <c r="B1526" s="5">
        <f>getFocalLengthStart('RawData (GH)'!B1526)</f>
        <v>85</v>
      </c>
      <c r="C1526" s="5">
        <f>getFocalLengthEnd('RawData (GH)'!B1526)</f>
        <v>85</v>
      </c>
      <c r="D1526" s="9">
        <f>getApertureStart('RawData (GH)'!C1526)</f>
        <v>1.8</v>
      </c>
      <c r="E1526" s="9">
        <f>getApertureEnd('RawData (GH)'!C1526)</f>
        <v>1.8</v>
      </c>
      <c r="F1526" s="2">
        <f>getFiltersizeAsDouble('RawData (GH)'!D1526)</f>
        <v>67</v>
      </c>
      <c r="G1526" s="35">
        <f>getMagnification('RawData (GH)'!E1526)</f>
        <v>7.2</v>
      </c>
      <c r="H1526" s="62">
        <f>getMinimalFocus('RawData (GH)'!F1526)</f>
        <v>0</v>
      </c>
      <c r="I1526" t="str">
        <f>getMount('RawData (GH)'!G1526)</f>
        <v>Sony A</v>
      </c>
      <c r="J1526" t="str">
        <f>getSensorCompatibility('RawData (GH)'!H1526)</f>
        <v>APS-C/ Kleinbild</v>
      </c>
      <c r="K1526" s="45">
        <f>getWeightAsDouble('RawData (GH)'!I1526)</f>
        <v>700</v>
      </c>
      <c r="L1526" s="34">
        <f>getSizeDiameter('RawData (GH)'!J1526)</f>
        <v>84.8</v>
      </c>
      <c r="M1526" s="34">
        <f>getSizeLength('RawData (GH)'!J1526)</f>
        <v>91.3</v>
      </c>
    </row>
    <row r="1527" spans="1:13" x14ac:dyDescent="0.25">
      <c r="A1527" t="str">
        <f>'RawData (GH)'!A1527</f>
        <v>Tamron SP AF 85mm 1.8 Di VC USD für Canon EF schwarz</v>
      </c>
      <c r="B1527" s="5">
        <f>getFocalLengthStart('RawData (GH)'!B1527)</f>
        <v>85</v>
      </c>
      <c r="C1527" s="5">
        <f>getFocalLengthEnd('RawData (GH)'!B1527)</f>
        <v>85</v>
      </c>
      <c r="D1527" s="9">
        <f>getApertureStart('RawData (GH)'!C1527)</f>
        <v>1.8</v>
      </c>
      <c r="E1527" s="9">
        <f>getApertureEnd('RawData (GH)'!C1527)</f>
        <v>1.8</v>
      </c>
      <c r="F1527" s="2">
        <f>getFiltersizeAsDouble('RawData (GH)'!D1527)</f>
        <v>67</v>
      </c>
      <c r="G1527" s="35">
        <f>getMagnification('RawData (GH)'!E1527)</f>
        <v>7.2</v>
      </c>
      <c r="H1527" s="62">
        <f>getMinimalFocus('RawData (GH)'!F1527)</f>
        <v>0</v>
      </c>
      <c r="I1527" t="str">
        <f>getMount('RawData (GH)'!G1527)</f>
        <v>Canon EF</v>
      </c>
      <c r="J1527" t="str">
        <f>getSensorCompatibility('RawData (GH)'!H1527)</f>
        <v>APS-C/ Kleinbild</v>
      </c>
      <c r="K1527" s="45">
        <f>getWeightAsDouble('RawData (GH)'!I1527)</f>
        <v>700</v>
      </c>
      <c r="L1527" s="34">
        <f>getSizeDiameter('RawData (GH)'!J1527)</f>
        <v>84.8</v>
      </c>
      <c r="M1527" s="34">
        <f>getSizeLength('RawData (GH)'!J1527)</f>
        <v>91.3</v>
      </c>
    </row>
    <row r="1528" spans="1:13" x14ac:dyDescent="0.25">
      <c r="A1528" t="str">
        <f>'RawData (GH)'!A1528</f>
        <v>Tamron SP AF 85mm 1.8 Di VC USD für Nikon F schwarz</v>
      </c>
      <c r="B1528" s="5">
        <f>getFocalLengthStart('RawData (GH)'!B1528)</f>
        <v>85</v>
      </c>
      <c r="C1528" s="5">
        <f>getFocalLengthEnd('RawData (GH)'!B1528)</f>
        <v>85</v>
      </c>
      <c r="D1528" s="9">
        <f>getApertureStart('RawData (GH)'!C1528)</f>
        <v>1.8</v>
      </c>
      <c r="E1528" s="9">
        <f>getApertureEnd('RawData (GH)'!C1528)</f>
        <v>1.8</v>
      </c>
      <c r="F1528" s="2">
        <f>getFiltersizeAsDouble('RawData (GH)'!D1528)</f>
        <v>67</v>
      </c>
      <c r="G1528" s="35">
        <f>getMagnification('RawData (GH)'!E1528)</f>
        <v>7.2</v>
      </c>
      <c r="H1528" s="62">
        <f>getMinimalFocus('RawData (GH)'!F1528)</f>
        <v>0</v>
      </c>
      <c r="I1528" t="str">
        <f>getMount('RawData (GH)'!G1528)</f>
        <v>Nikon F</v>
      </c>
      <c r="J1528" t="str">
        <f>getSensorCompatibility('RawData (GH)'!H1528)</f>
        <v>APS-C/ Kleinbild</v>
      </c>
      <c r="K1528" s="45">
        <f>getWeightAsDouble('RawData (GH)'!I1528)</f>
        <v>700</v>
      </c>
      <c r="L1528" s="34">
        <f>getSizeDiameter('RawData (GH)'!J1528)</f>
        <v>84.8</v>
      </c>
      <c r="M1528" s="34">
        <f>getSizeLength('RawData (GH)'!J1528)</f>
        <v>91.3</v>
      </c>
    </row>
    <row r="1529" spans="1:13" x14ac:dyDescent="0.25">
      <c r="A1529" t="str">
        <f>'RawData (GH)'!A1529</f>
        <v>Tamron SP AF 90mm 2.8 Di Makro 1:1 für Canon EF schwarz</v>
      </c>
      <c r="B1529" s="5">
        <f>getFocalLengthStart('RawData (GH)'!B1529)</f>
        <v>90</v>
      </c>
      <c r="C1529" s="5">
        <f>getFocalLengthEnd('RawData (GH)'!B1529)</f>
        <v>90</v>
      </c>
      <c r="D1529" s="9">
        <f>getApertureStart('RawData (GH)'!C1529)</f>
        <v>2.8</v>
      </c>
      <c r="E1529" s="9">
        <f>getApertureEnd('RawData (GH)'!C1529)</f>
        <v>2.8</v>
      </c>
      <c r="F1529" s="2">
        <f>getFiltersizeAsDouble('RawData (GH)'!D1529)</f>
        <v>55</v>
      </c>
      <c r="G1529" s="35">
        <f>getMagnification('RawData (GH)'!E1529)</f>
        <v>1</v>
      </c>
      <c r="H1529" s="62">
        <f>getMinimalFocus('RawData (GH)'!F1529)</f>
        <v>0</v>
      </c>
      <c r="I1529" t="str">
        <f>getMount('RawData (GH)'!G1529)</f>
        <v>Canon EF</v>
      </c>
      <c r="J1529" t="str">
        <f>getSensorCompatibility('RawData (GH)'!H1529)</f>
        <v>APS-C/ Kleinbild</v>
      </c>
      <c r="K1529" s="45">
        <f>getWeightAsDouble('RawData (GH)'!I1529)</f>
        <v>405</v>
      </c>
      <c r="L1529" s="34">
        <f>getSizeDiameter('RawData (GH)'!J1529)</f>
        <v>71.5</v>
      </c>
      <c r="M1529" s="34">
        <f>getSizeLength('RawData (GH)'!J1529)</f>
        <v>97</v>
      </c>
    </row>
    <row r="1530" spans="1:13" x14ac:dyDescent="0.25">
      <c r="A1530" t="str">
        <f>'RawData (GH)'!A1530</f>
        <v>Tamron SP AF 90mm 2.8 Di Makro 1:1 für Nikon F schwarz</v>
      </c>
      <c r="B1530" s="5">
        <f>getFocalLengthStart('RawData (GH)'!B1530)</f>
        <v>90</v>
      </c>
      <c r="C1530" s="5">
        <f>getFocalLengthEnd('RawData (GH)'!B1530)</f>
        <v>90</v>
      </c>
      <c r="D1530" s="9">
        <f>getApertureStart('RawData (GH)'!C1530)</f>
        <v>2.8</v>
      </c>
      <c r="E1530" s="9">
        <f>getApertureEnd('RawData (GH)'!C1530)</f>
        <v>2.8</v>
      </c>
      <c r="F1530" s="2">
        <f>getFiltersizeAsDouble('RawData (GH)'!D1530)</f>
        <v>55</v>
      </c>
      <c r="G1530" s="35">
        <f>getMagnification('RawData (GH)'!E1530)</f>
        <v>1</v>
      </c>
      <c r="H1530" s="62">
        <f>getMinimalFocus('RawData (GH)'!F1530)</f>
        <v>0</v>
      </c>
      <c r="I1530" t="str">
        <f>getMount('RawData (GH)'!G1530)</f>
        <v>Nikon F</v>
      </c>
      <c r="J1530" t="str">
        <f>getSensorCompatibility('RawData (GH)'!H1530)</f>
        <v>APS-C/ Kleinbild</v>
      </c>
      <c r="K1530" s="45">
        <f>getWeightAsDouble('RawData (GH)'!I1530)</f>
        <v>405</v>
      </c>
      <c r="L1530" s="34">
        <f>getSizeDiameter('RawData (GH)'!J1530)</f>
        <v>71.5</v>
      </c>
      <c r="M1530" s="34">
        <f>getSizeLength('RawData (GH)'!J1530)</f>
        <v>97</v>
      </c>
    </row>
    <row r="1531" spans="1:13" x14ac:dyDescent="0.25">
      <c r="A1531" t="str">
        <f>'RawData (GH)'!A1531</f>
        <v>Tamron SP AF 90mm 2.8 Di Makro 1:1 für Pentax K schwarz</v>
      </c>
      <c r="B1531" s="5">
        <f>getFocalLengthStart('RawData (GH)'!B1531)</f>
        <v>90</v>
      </c>
      <c r="C1531" s="5">
        <f>getFocalLengthEnd('RawData (GH)'!B1531)</f>
        <v>90</v>
      </c>
      <c r="D1531" s="9">
        <f>getApertureStart('RawData (GH)'!C1531)</f>
        <v>2.8</v>
      </c>
      <c r="E1531" s="9">
        <f>getApertureEnd('RawData (GH)'!C1531)</f>
        <v>2.8</v>
      </c>
      <c r="F1531" s="2">
        <f>getFiltersizeAsDouble('RawData (GH)'!D1531)</f>
        <v>55</v>
      </c>
      <c r="G1531" s="35">
        <f>getMagnification('RawData (GH)'!E1531)</f>
        <v>1</v>
      </c>
      <c r="H1531" s="62">
        <f>getMinimalFocus('RawData (GH)'!F1531)</f>
        <v>0</v>
      </c>
      <c r="I1531" t="str">
        <f>getMount('RawData (GH)'!G1531)</f>
        <v>Pentax K</v>
      </c>
      <c r="J1531" t="str">
        <f>getSensorCompatibility('RawData (GH)'!H1531)</f>
        <v>APS-C/ Kleinbild</v>
      </c>
      <c r="K1531" s="45">
        <f>getWeightAsDouble('RawData (GH)'!I1531)</f>
        <v>405</v>
      </c>
      <c r="L1531" s="34">
        <f>getSizeDiameter('RawData (GH)'!J1531)</f>
        <v>71.5</v>
      </c>
      <c r="M1531" s="34">
        <f>getSizeLength('RawData (GH)'!J1531)</f>
        <v>97</v>
      </c>
    </row>
    <row r="1532" spans="1:13" x14ac:dyDescent="0.25">
      <c r="A1532" t="str">
        <f>'RawData (GH)'!A1532</f>
        <v>Tamron SP AF 90mm 2.8 Di Makro 1:1 für Sony A schwarz</v>
      </c>
      <c r="B1532" s="5">
        <f>getFocalLengthStart('RawData (GH)'!B1532)</f>
        <v>90</v>
      </c>
      <c r="C1532" s="5">
        <f>getFocalLengthEnd('RawData (GH)'!B1532)</f>
        <v>90</v>
      </c>
      <c r="D1532" s="9">
        <f>getApertureStart('RawData (GH)'!C1532)</f>
        <v>2.8</v>
      </c>
      <c r="E1532" s="9">
        <f>getApertureEnd('RawData (GH)'!C1532)</f>
        <v>2.8</v>
      </c>
      <c r="F1532" s="2">
        <f>getFiltersizeAsDouble('RawData (GH)'!D1532)</f>
        <v>55</v>
      </c>
      <c r="G1532" s="35">
        <f>getMagnification('RawData (GH)'!E1532)</f>
        <v>1</v>
      </c>
      <c r="H1532" s="62">
        <f>getMinimalFocus('RawData (GH)'!F1532)</f>
        <v>0</v>
      </c>
      <c r="I1532" t="str">
        <f>getMount('RawData (GH)'!G1532)</f>
        <v>Sony A</v>
      </c>
      <c r="J1532" t="str">
        <f>getSensorCompatibility('RawData (GH)'!H1532)</f>
        <v>APS-C/ Kleinbild</v>
      </c>
      <c r="K1532" s="45">
        <f>getWeightAsDouble('RawData (GH)'!I1532)</f>
        <v>405</v>
      </c>
      <c r="L1532" s="34">
        <f>getSizeDiameter('RawData (GH)'!J1532)</f>
        <v>71.5</v>
      </c>
      <c r="M1532" s="34">
        <f>getSizeLength('RawData (GH)'!J1532)</f>
        <v>97</v>
      </c>
    </row>
    <row r="1533" spans="1:13" x14ac:dyDescent="0.25">
      <c r="A1533" t="str">
        <f>'RawData (GH)'!A1533</f>
        <v>Tamron SP AF 90mm 2.8 Di Makro 1:1 mit AF-Motor für Nikon F schwarz</v>
      </c>
      <c r="B1533" s="5">
        <f>getFocalLengthStart('RawData (GH)'!B1533)</f>
        <v>90</v>
      </c>
      <c r="C1533" s="5">
        <f>getFocalLengthEnd('RawData (GH)'!B1533)</f>
        <v>90</v>
      </c>
      <c r="D1533" s="9">
        <f>getApertureStart('RawData (GH)'!C1533)</f>
        <v>2.8</v>
      </c>
      <c r="E1533" s="9">
        <f>getApertureEnd('RawData (GH)'!C1533)</f>
        <v>2.8</v>
      </c>
      <c r="F1533" s="2">
        <f>getFiltersizeAsDouble('RawData (GH)'!D1533)</f>
        <v>55</v>
      </c>
      <c r="G1533" s="35">
        <f>getMagnification('RawData (GH)'!E1533)</f>
        <v>1</v>
      </c>
      <c r="H1533" s="62">
        <f>getMinimalFocus('RawData (GH)'!F1533)</f>
        <v>0</v>
      </c>
      <c r="I1533" t="str">
        <f>getMount('RawData (GH)'!G1533)</f>
        <v>Nikon F</v>
      </c>
      <c r="J1533" t="str">
        <f>getSensorCompatibility('RawData (GH)'!H1533)</f>
        <v>APS-C/ Kleinbild</v>
      </c>
      <c r="K1533" s="45">
        <f>getWeightAsDouble('RawData (GH)'!I1533)</f>
        <v>405</v>
      </c>
      <c r="L1533" s="34">
        <f>getSizeDiameter('RawData (GH)'!J1533)</f>
        <v>71.5</v>
      </c>
      <c r="M1533" s="34">
        <f>getSizeLength('RawData (GH)'!J1533)</f>
        <v>97</v>
      </c>
    </row>
    <row r="1534" spans="1:13" x14ac:dyDescent="0.25">
      <c r="A1534" t="str">
        <f>'RawData (GH)'!A1534</f>
        <v>Tamron SP AF 90mm 2.8 Di USD Makro 1:1 für Sony A schwarz (F004S)</v>
      </c>
      <c r="B1534" s="5">
        <f>getFocalLengthStart('RawData (GH)'!B1534)</f>
        <v>90</v>
      </c>
      <c r="C1534" s="5">
        <f>getFocalLengthEnd('RawData (GH)'!B1534)</f>
        <v>90</v>
      </c>
      <c r="D1534" s="9">
        <f>getApertureStart('RawData (GH)'!C1534)</f>
        <v>2.8</v>
      </c>
      <c r="E1534" s="9">
        <f>getApertureEnd('RawData (GH)'!C1534)</f>
        <v>2.8</v>
      </c>
      <c r="F1534" s="2">
        <f>getFiltersizeAsDouble('RawData (GH)'!D1534)</f>
        <v>58</v>
      </c>
      <c r="G1534" s="35">
        <f>getMagnification('RawData (GH)'!E1534)</f>
        <v>1</v>
      </c>
      <c r="H1534" s="62">
        <f>getMinimalFocus('RawData (GH)'!F1534)</f>
        <v>0</v>
      </c>
      <c r="I1534" t="str">
        <f>getMount('RawData (GH)'!G1534)</f>
        <v>Sony A</v>
      </c>
      <c r="J1534" t="str">
        <f>getSensorCompatibility('RawData (GH)'!H1534)</f>
        <v>APS-C/ Kleinbild</v>
      </c>
      <c r="K1534" s="45">
        <f>getWeightAsDouble('RawData (GH)'!I1534)</f>
        <v>550</v>
      </c>
      <c r="L1534" s="34">
        <f>getSizeDiameter('RawData (GH)'!J1534)</f>
        <v>76.400000000000006</v>
      </c>
      <c r="M1534" s="34">
        <f>getSizeLength('RawData (GH)'!J1534)</f>
        <v>114.5</v>
      </c>
    </row>
    <row r="1535" spans="1:13" x14ac:dyDescent="0.25">
      <c r="A1535" t="str">
        <f>'RawData (GH)'!A1535</f>
        <v>Tamron SP AF 90mm 2.8 Di USD Makro 1:1 für Sony A schwarz (F017S)</v>
      </c>
      <c r="B1535" s="5">
        <f>getFocalLengthStart('RawData (GH)'!B1535)</f>
        <v>90</v>
      </c>
      <c r="C1535" s="5">
        <f>getFocalLengthEnd('RawData (GH)'!B1535)</f>
        <v>90</v>
      </c>
      <c r="D1535" s="9">
        <f>getApertureStart('RawData (GH)'!C1535)</f>
        <v>2.8</v>
      </c>
      <c r="E1535" s="9">
        <f>getApertureEnd('RawData (GH)'!C1535)</f>
        <v>2.8</v>
      </c>
      <c r="F1535" s="2">
        <f>getFiltersizeAsDouble('RawData (GH)'!D1535)</f>
        <v>62</v>
      </c>
      <c r="G1535" s="35">
        <f>getMagnification('RawData (GH)'!E1535)</f>
        <v>1</v>
      </c>
      <c r="H1535" s="62">
        <f>getMinimalFocus('RawData (GH)'!F1535)</f>
        <v>0</v>
      </c>
      <c r="I1535" t="str">
        <f>getMount('RawData (GH)'!G1535)</f>
        <v>Sony A</v>
      </c>
      <c r="J1535" t="str">
        <f>getSensorCompatibility('RawData (GH)'!H1535)</f>
        <v>APS-C/ Kleinbild</v>
      </c>
      <c r="K1535" s="45">
        <f>getWeightAsDouble('RawData (GH)'!I1535)</f>
        <v>610</v>
      </c>
      <c r="L1535" s="34">
        <f>getSizeDiameter('RawData (GH)'!J1535)</f>
        <v>79</v>
      </c>
      <c r="M1535" s="34">
        <f>getSizeLength('RawData (GH)'!J1535)</f>
        <v>117.1</v>
      </c>
    </row>
    <row r="1536" spans="1:13" x14ac:dyDescent="0.25">
      <c r="A1536" t="str">
        <f>'RawData (GH)'!A1536</f>
        <v>Tamron SP AF 90mm 2.8 Di VC USD Makro 1:1 für Canon EF schwarz (F004E)</v>
      </c>
      <c r="B1536" s="5">
        <f>getFocalLengthStart('RawData (GH)'!B1536)</f>
        <v>90</v>
      </c>
      <c r="C1536" s="5">
        <f>getFocalLengthEnd('RawData (GH)'!B1536)</f>
        <v>90</v>
      </c>
      <c r="D1536" s="9">
        <f>getApertureStart('RawData (GH)'!C1536)</f>
        <v>2.8</v>
      </c>
      <c r="E1536" s="9">
        <f>getApertureEnd('RawData (GH)'!C1536)</f>
        <v>2.8</v>
      </c>
      <c r="F1536" s="2">
        <f>getFiltersizeAsDouble('RawData (GH)'!D1536)</f>
        <v>58</v>
      </c>
      <c r="G1536" s="35">
        <f>getMagnification('RawData (GH)'!E1536)</f>
        <v>1</v>
      </c>
      <c r="H1536" s="62">
        <f>getMinimalFocus('RawData (GH)'!F1536)</f>
        <v>0</v>
      </c>
      <c r="I1536" t="str">
        <f>getMount('RawData (GH)'!G1536)</f>
        <v>Canon EF</v>
      </c>
      <c r="J1536" t="str">
        <f>getSensorCompatibility('RawData (GH)'!H1536)</f>
        <v>APS-C/ Kleinbild</v>
      </c>
      <c r="K1536" s="45">
        <f>getWeightAsDouble('RawData (GH)'!I1536)</f>
        <v>550</v>
      </c>
      <c r="L1536" s="34">
        <f>getSizeDiameter('RawData (GH)'!J1536)</f>
        <v>76.400000000000006</v>
      </c>
      <c r="M1536" s="34">
        <f>getSizeLength('RawData (GH)'!J1536)</f>
        <v>114.5</v>
      </c>
    </row>
    <row r="1537" spans="1:13" x14ac:dyDescent="0.25">
      <c r="A1537" t="str">
        <f>'RawData (GH)'!A1537</f>
        <v>Tamron SP AF 90mm 2.8 Di VC USD Makro 1:1 für Canon EF schwarz (F017E)</v>
      </c>
      <c r="B1537" s="5">
        <f>getFocalLengthStart('RawData (GH)'!B1537)</f>
        <v>90</v>
      </c>
      <c r="C1537" s="5">
        <f>getFocalLengthEnd('RawData (GH)'!B1537)</f>
        <v>90</v>
      </c>
      <c r="D1537" s="9">
        <f>getApertureStart('RawData (GH)'!C1537)</f>
        <v>2.8</v>
      </c>
      <c r="E1537" s="9">
        <f>getApertureEnd('RawData (GH)'!C1537)</f>
        <v>2.8</v>
      </c>
      <c r="F1537" s="2">
        <f>getFiltersizeAsDouble('RawData (GH)'!D1537)</f>
        <v>62</v>
      </c>
      <c r="G1537" s="35">
        <f>getMagnification('RawData (GH)'!E1537)</f>
        <v>1</v>
      </c>
      <c r="H1537" s="62">
        <f>getMinimalFocus('RawData (GH)'!F1537)</f>
        <v>0</v>
      </c>
      <c r="I1537" t="str">
        <f>getMount('RawData (GH)'!G1537)</f>
        <v>Canon EF</v>
      </c>
      <c r="J1537" t="str">
        <f>getSensorCompatibility('RawData (GH)'!H1537)</f>
        <v>APS-C/ Kleinbild</v>
      </c>
      <c r="K1537" s="45">
        <f>getWeightAsDouble('RawData (GH)'!I1537)</f>
        <v>610</v>
      </c>
      <c r="L1537" s="34">
        <f>getSizeDiameter('RawData (GH)'!J1537)</f>
        <v>79</v>
      </c>
      <c r="M1537" s="34">
        <f>getSizeLength('RawData (GH)'!J1537)</f>
        <v>117.1</v>
      </c>
    </row>
    <row r="1538" spans="1:13" x14ac:dyDescent="0.25">
      <c r="A1538" t="str">
        <f>'RawData (GH)'!A1538</f>
        <v>Tamron SP AF 90mm 2.8 Di VC USD Makro 1:1 für Nikon F schwarz (F004N)</v>
      </c>
      <c r="B1538" s="5">
        <f>getFocalLengthStart('RawData (GH)'!B1538)</f>
        <v>90</v>
      </c>
      <c r="C1538" s="5">
        <f>getFocalLengthEnd('RawData (GH)'!B1538)</f>
        <v>90</v>
      </c>
      <c r="D1538" s="9">
        <f>getApertureStart('RawData (GH)'!C1538)</f>
        <v>2.8</v>
      </c>
      <c r="E1538" s="9">
        <f>getApertureEnd('RawData (GH)'!C1538)</f>
        <v>2.8</v>
      </c>
      <c r="F1538" s="2">
        <f>getFiltersizeAsDouble('RawData (GH)'!D1538)</f>
        <v>58</v>
      </c>
      <c r="G1538" s="35">
        <f>getMagnification('RawData (GH)'!E1538)</f>
        <v>1</v>
      </c>
      <c r="H1538" s="62">
        <f>getMinimalFocus('RawData (GH)'!F1538)</f>
        <v>0</v>
      </c>
      <c r="I1538" t="str">
        <f>getMount('RawData (GH)'!G1538)</f>
        <v>Nikon F</v>
      </c>
      <c r="J1538" t="str">
        <f>getSensorCompatibility('RawData (GH)'!H1538)</f>
        <v>APS-C/ Kleinbild</v>
      </c>
      <c r="K1538" s="45">
        <f>getWeightAsDouble('RawData (GH)'!I1538)</f>
        <v>550</v>
      </c>
      <c r="L1538" s="34">
        <f>getSizeDiameter('RawData (GH)'!J1538)</f>
        <v>76.400000000000006</v>
      </c>
      <c r="M1538" s="34">
        <f>getSizeLength('RawData (GH)'!J1538)</f>
        <v>114.5</v>
      </c>
    </row>
    <row r="1539" spans="1:13" x14ac:dyDescent="0.25">
      <c r="A1539" t="str">
        <f>'RawData (GH)'!A1539</f>
        <v>Tamron SP AF 90mm 2.8 Di VC USD Makro 1:1 für Nikon F schwarz (F017N)</v>
      </c>
      <c r="B1539" s="5">
        <f>getFocalLengthStart('RawData (GH)'!B1539)</f>
        <v>90</v>
      </c>
      <c r="C1539" s="5">
        <f>getFocalLengthEnd('RawData (GH)'!B1539)</f>
        <v>90</v>
      </c>
      <c r="D1539" s="9">
        <f>getApertureStart('RawData (GH)'!C1539)</f>
        <v>2.8</v>
      </c>
      <c r="E1539" s="9">
        <f>getApertureEnd('RawData (GH)'!C1539)</f>
        <v>2.8</v>
      </c>
      <c r="F1539" s="2">
        <f>getFiltersizeAsDouble('RawData (GH)'!D1539)</f>
        <v>62</v>
      </c>
      <c r="G1539" s="35">
        <f>getMagnification('RawData (GH)'!E1539)</f>
        <v>1</v>
      </c>
      <c r="H1539" s="62">
        <f>getMinimalFocus('RawData (GH)'!F1539)</f>
        <v>0</v>
      </c>
      <c r="I1539" t="str">
        <f>getMount('RawData (GH)'!G1539)</f>
        <v>Nikon F</v>
      </c>
      <c r="J1539" t="str">
        <f>getSensorCompatibility('RawData (GH)'!H1539)</f>
        <v>APS-C/ Kleinbild</v>
      </c>
      <c r="K1539" s="45">
        <f>getWeightAsDouble('RawData (GH)'!I1539)</f>
        <v>610</v>
      </c>
      <c r="L1539" s="34">
        <f>getSizeDiameter('RawData (GH)'!J1539)</f>
        <v>79</v>
      </c>
      <c r="M1539" s="34">
        <f>getSizeLength('RawData (GH)'!J1539)</f>
        <v>117.1</v>
      </c>
    </row>
    <row r="1540" spans="1:13" x14ac:dyDescent="0.25">
      <c r="A1540" t="str">
        <f>'RawData (GH)'!A1540</f>
        <v>Tokina AT-X 10-17mm 3.5-4.5 AF DX Fisheye für Canon EF schwarz</v>
      </c>
      <c r="B1540" s="5">
        <f>getFocalLengthStart('RawData (GH)'!B1540)</f>
        <v>10</v>
      </c>
      <c r="C1540" s="5">
        <f>getFocalLengthEnd('RawData (GH)'!B1540)</f>
        <v>17</v>
      </c>
      <c r="D1540" s="9">
        <f>getApertureStart('RawData (GH)'!C1540)</f>
        <v>3.5</v>
      </c>
      <c r="E1540" s="9">
        <f>getApertureEnd('RawData (GH)'!C1540)</f>
        <v>4.5</v>
      </c>
      <c r="F1540" s="2">
        <f>getFiltersizeAsDouble('RawData (GH)'!D1540)</f>
        <v>0</v>
      </c>
      <c r="G1540" s="35">
        <f>getMagnification('RawData (GH)'!E1540)</f>
        <v>2.56</v>
      </c>
      <c r="H1540" s="62">
        <f>getMinimalFocus('RawData (GH)'!F1540)</f>
        <v>0</v>
      </c>
      <c r="I1540" t="str">
        <f>getMount('RawData (GH)'!G1540)</f>
        <v>Canon EF-S</v>
      </c>
      <c r="J1540" t="str">
        <f>getSensorCompatibility('RawData (GH)'!H1540)</f>
        <v>APS-C</v>
      </c>
      <c r="K1540" s="45">
        <f>getWeightAsDouble('RawData (GH)'!I1540)</f>
        <v>350</v>
      </c>
      <c r="L1540" s="34">
        <f>getSizeDiameter('RawData (GH)'!J1540)</f>
        <v>70</v>
      </c>
      <c r="M1540" s="34">
        <f>getSizeLength('RawData (GH)'!J1540)</f>
        <v>71.099999999999994</v>
      </c>
    </row>
    <row r="1541" spans="1:13" x14ac:dyDescent="0.25">
      <c r="A1541" t="str">
        <f>'RawData (GH)'!A1541</f>
        <v>Tokina AT-X 10-17mm 3.5-4.5 AF DX Fisheye für Nikon F schwarz</v>
      </c>
      <c r="B1541" s="5">
        <f>getFocalLengthStart('RawData (GH)'!B1541)</f>
        <v>10</v>
      </c>
      <c r="C1541" s="5">
        <f>getFocalLengthEnd('RawData (GH)'!B1541)</f>
        <v>17</v>
      </c>
      <c r="D1541" s="9">
        <f>getApertureStart('RawData (GH)'!C1541)</f>
        <v>3.5</v>
      </c>
      <c r="E1541" s="9">
        <f>getApertureEnd('RawData (GH)'!C1541)</f>
        <v>4.5</v>
      </c>
      <c r="F1541" s="2">
        <f>getFiltersizeAsDouble('RawData (GH)'!D1541)</f>
        <v>0</v>
      </c>
      <c r="G1541" s="35">
        <f>getMagnification('RawData (GH)'!E1541)</f>
        <v>2.56</v>
      </c>
      <c r="H1541" s="62">
        <f>getMinimalFocus('RawData (GH)'!F1541)</f>
        <v>0</v>
      </c>
      <c r="I1541" t="str">
        <f>getMount('RawData (GH)'!G1541)</f>
        <v>Nikon F</v>
      </c>
      <c r="J1541" t="str">
        <f>getSensorCompatibility('RawData (GH)'!H1541)</f>
        <v>APS-C</v>
      </c>
      <c r="K1541" s="45">
        <f>getWeightAsDouble('RawData (GH)'!I1541)</f>
        <v>350</v>
      </c>
      <c r="L1541" s="34">
        <f>getSizeDiameter('RawData (GH)'!J1541)</f>
        <v>70</v>
      </c>
      <c r="M1541" s="34">
        <f>getSizeLength('RawData (GH)'!J1541)</f>
        <v>71.099999999999994</v>
      </c>
    </row>
    <row r="1542" spans="1:13" x14ac:dyDescent="0.25">
      <c r="A1542" t="str">
        <f>'RawData (GH)'!A1542</f>
        <v>Tokina AT-X 10-17mm 3.5-4.5 AF DX NH Fisheye für Canon EF schwarz</v>
      </c>
      <c r="B1542" s="5">
        <f>getFocalLengthStart('RawData (GH)'!B1542)</f>
        <v>10</v>
      </c>
      <c r="C1542" s="5">
        <f>getFocalLengthEnd('RawData (GH)'!B1542)</f>
        <v>17</v>
      </c>
      <c r="D1542" s="9">
        <f>getApertureStart('RawData (GH)'!C1542)</f>
        <v>3.5</v>
      </c>
      <c r="E1542" s="9">
        <f>getApertureEnd('RawData (GH)'!C1542)</f>
        <v>4.5</v>
      </c>
      <c r="F1542" s="2">
        <f>getFiltersizeAsDouble('RawData (GH)'!D1542)</f>
        <v>0</v>
      </c>
      <c r="G1542" s="35">
        <f>getMagnification('RawData (GH)'!E1542)</f>
        <v>2.56</v>
      </c>
      <c r="H1542" s="62">
        <f>getMinimalFocus('RawData (GH)'!F1542)</f>
        <v>0</v>
      </c>
      <c r="I1542" t="str">
        <f>getMount('RawData (GH)'!G1542)</f>
        <v>Canon EF-S</v>
      </c>
      <c r="J1542" t="str">
        <f>getSensorCompatibility('RawData (GH)'!H1542)</f>
        <v>APS-C/ Kleinbild</v>
      </c>
      <c r="K1542" s="45">
        <f>getWeightAsDouble('RawData (GH)'!I1542)</f>
        <v>350</v>
      </c>
      <c r="L1542" s="34">
        <f>getSizeDiameter('RawData (GH)'!J1542)</f>
        <v>69.900000000000006</v>
      </c>
      <c r="M1542" s="34">
        <f>getSizeLength('RawData (GH)'!J1542)</f>
        <v>70.900000000000006</v>
      </c>
    </row>
    <row r="1543" spans="1:13" x14ac:dyDescent="0.25">
      <c r="A1543" t="str">
        <f>'RawData (GH)'!A1543</f>
        <v>Tokina AT-X 10-17mm 3.5-4.5 AF DX NH Fisheye für Nikon F schwarz</v>
      </c>
      <c r="B1543" s="5">
        <f>getFocalLengthStart('RawData (GH)'!B1543)</f>
        <v>10</v>
      </c>
      <c r="C1543" s="5">
        <f>getFocalLengthEnd('RawData (GH)'!B1543)</f>
        <v>17</v>
      </c>
      <c r="D1543" s="9">
        <f>getApertureStart('RawData (GH)'!C1543)</f>
        <v>3.5</v>
      </c>
      <c r="E1543" s="9">
        <f>getApertureEnd('RawData (GH)'!C1543)</f>
        <v>4.5</v>
      </c>
      <c r="F1543" s="2">
        <f>getFiltersizeAsDouble('RawData (GH)'!D1543)</f>
        <v>0</v>
      </c>
      <c r="G1543" s="35">
        <f>getMagnification('RawData (GH)'!E1543)</f>
        <v>2.56</v>
      </c>
      <c r="H1543" s="62">
        <f>getMinimalFocus('RawData (GH)'!F1543)</f>
        <v>0</v>
      </c>
      <c r="I1543" t="str">
        <f>getMount('RawData (GH)'!G1543)</f>
        <v>Nikon F</v>
      </c>
      <c r="J1543" t="str">
        <f>getSensorCompatibility('RawData (GH)'!H1543)</f>
        <v>APS-C/ Kleinbild</v>
      </c>
      <c r="K1543" s="45">
        <f>getWeightAsDouble('RawData (GH)'!I1543)</f>
        <v>350</v>
      </c>
      <c r="L1543" s="34">
        <f>getSizeDiameter('RawData (GH)'!J1543)</f>
        <v>69.900000000000006</v>
      </c>
      <c r="M1543" s="34">
        <f>getSizeLength('RawData (GH)'!J1543)</f>
        <v>70.900000000000006</v>
      </c>
    </row>
    <row r="1544" spans="1:13" x14ac:dyDescent="0.25">
      <c r="A1544" t="str">
        <f>'RawData (GH)'!A1544</f>
        <v>Tokina AT-X 16.5-135mm 3.5-5.6 DX für Canon EF schwarz</v>
      </c>
      <c r="B1544" s="5">
        <f>getFocalLengthStart('RawData (GH)'!B1544)</f>
        <v>16.5</v>
      </c>
      <c r="C1544" s="5">
        <f>getFocalLengthEnd('RawData (GH)'!B1544)</f>
        <v>135</v>
      </c>
      <c r="D1544" s="9">
        <f>getApertureStart('RawData (GH)'!C1544)</f>
        <v>3.5</v>
      </c>
      <c r="E1544" s="9">
        <f>getApertureEnd('RawData (GH)'!C1544)</f>
        <v>5.6</v>
      </c>
      <c r="F1544" s="2">
        <f>getFiltersizeAsDouble('RawData (GH)'!D1544)</f>
        <v>77</v>
      </c>
      <c r="G1544" s="35">
        <f>getMagnification('RawData (GH)'!E1544)</f>
        <v>5.43</v>
      </c>
      <c r="H1544" s="62">
        <f>getMinimalFocus('RawData (GH)'!F1544)</f>
        <v>0</v>
      </c>
      <c r="I1544" t="str">
        <f>getMount('RawData (GH)'!G1544)</f>
        <v>Canon EF-S</v>
      </c>
      <c r="J1544" t="str">
        <f>getSensorCompatibility('RawData (GH)'!H1544)</f>
        <v>APS-C</v>
      </c>
      <c r="K1544" s="45">
        <f>getWeightAsDouble('RawData (GH)'!I1544)</f>
        <v>610</v>
      </c>
      <c r="L1544" s="34">
        <f>getSizeDiameter('RawData (GH)'!J1544)</f>
        <v>84</v>
      </c>
      <c r="M1544" s="34">
        <f>getSizeLength('RawData (GH)'!J1544)</f>
        <v>78</v>
      </c>
    </row>
    <row r="1545" spans="1:13" x14ac:dyDescent="0.25">
      <c r="A1545" t="str">
        <f>'RawData (GH)'!A1545</f>
        <v>Tokina AT-X 16.5-135mm 3.5-5.6 DX für Nikon F schwarz</v>
      </c>
      <c r="B1545" s="5">
        <f>getFocalLengthStart('RawData (GH)'!B1545)</f>
        <v>16.5</v>
      </c>
      <c r="C1545" s="5">
        <f>getFocalLengthEnd('RawData (GH)'!B1545)</f>
        <v>135</v>
      </c>
      <c r="D1545" s="9">
        <f>getApertureStart('RawData (GH)'!C1545)</f>
        <v>3.5</v>
      </c>
      <c r="E1545" s="9">
        <f>getApertureEnd('RawData (GH)'!C1545)</f>
        <v>5.6</v>
      </c>
      <c r="F1545" s="2">
        <f>getFiltersizeAsDouble('RawData (GH)'!D1545)</f>
        <v>77</v>
      </c>
      <c r="G1545" s="35">
        <f>getMagnification('RawData (GH)'!E1545)</f>
        <v>5.43</v>
      </c>
      <c r="H1545" s="62">
        <f>getMinimalFocus('RawData (GH)'!F1545)</f>
        <v>0</v>
      </c>
      <c r="I1545" t="str">
        <f>getMount('RawData (GH)'!G1545)</f>
        <v>Nikon F</v>
      </c>
      <c r="J1545" t="str">
        <f>getSensorCompatibility('RawData (GH)'!H1545)</f>
        <v>APS-C</v>
      </c>
      <c r="K1545" s="45">
        <f>getWeightAsDouble('RawData (GH)'!I1545)</f>
        <v>610</v>
      </c>
      <c r="L1545" s="34">
        <f>getSizeDiameter('RawData (GH)'!J1545)</f>
        <v>84</v>
      </c>
      <c r="M1545" s="34">
        <f>getSizeLength('RawData (GH)'!J1545)</f>
        <v>78</v>
      </c>
    </row>
    <row r="1546" spans="1:13" x14ac:dyDescent="0.25">
      <c r="A1546" t="str">
        <f>'RawData (GH)'!A1546</f>
        <v>Tokina AT-X 17-35mm 4.0 FX für Canon EF schwarz</v>
      </c>
      <c r="B1546" s="5">
        <f>getFocalLengthStart('RawData (GH)'!B1546)</f>
        <v>17</v>
      </c>
      <c r="C1546" s="5">
        <f>getFocalLengthEnd('RawData (GH)'!B1546)</f>
        <v>35</v>
      </c>
      <c r="D1546" s="9">
        <f>getApertureStart('RawData (GH)'!C1546)</f>
        <v>4</v>
      </c>
      <c r="E1546" s="9">
        <f>getApertureEnd('RawData (GH)'!C1546)</f>
        <v>4</v>
      </c>
      <c r="F1546" s="2">
        <f>getFiltersizeAsDouble('RawData (GH)'!D1546)</f>
        <v>0</v>
      </c>
      <c r="G1546" s="35">
        <f>getMagnification('RawData (GH)'!E1546)</f>
        <v>4.82</v>
      </c>
      <c r="H1546" s="62">
        <f>getMinimalFocus('RawData (GH)'!F1546)</f>
        <v>0</v>
      </c>
      <c r="I1546" t="str">
        <f>getMount('RawData (GH)'!G1546)</f>
        <v>Canon EF</v>
      </c>
      <c r="J1546" t="str">
        <f>getSensorCompatibility('RawData (GH)'!H1546)</f>
        <v>APS-C/ Kleinbild</v>
      </c>
      <c r="K1546" s="45">
        <f>getWeightAsDouble('RawData (GH)'!I1546)</f>
        <v>600</v>
      </c>
      <c r="L1546" s="34">
        <f>getSizeDiameter('RawData (GH)'!J1546)</f>
        <v>89</v>
      </c>
      <c r="M1546" s="34">
        <f>getSizeLength('RawData (GH)'!J1546)</f>
        <v>94</v>
      </c>
    </row>
    <row r="1547" spans="1:13" x14ac:dyDescent="0.25">
      <c r="A1547" t="str">
        <f>'RawData (GH)'!A1547</f>
        <v>Tokina AT-X 17-35mm 4.0 FX für Nikon F schwarz</v>
      </c>
      <c r="B1547" s="5">
        <f>getFocalLengthStart('RawData (GH)'!B1547)</f>
        <v>17</v>
      </c>
      <c r="C1547" s="5">
        <f>getFocalLengthEnd('RawData (GH)'!B1547)</f>
        <v>35</v>
      </c>
      <c r="D1547" s="9">
        <f>getApertureStart('RawData (GH)'!C1547)</f>
        <v>4</v>
      </c>
      <c r="E1547" s="9">
        <f>getApertureEnd('RawData (GH)'!C1547)</f>
        <v>4</v>
      </c>
      <c r="F1547" s="2">
        <f>getFiltersizeAsDouble('RawData (GH)'!D1547)</f>
        <v>0</v>
      </c>
      <c r="G1547" s="35">
        <f>getMagnification('RawData (GH)'!E1547)</f>
        <v>4.82</v>
      </c>
      <c r="H1547" s="62">
        <f>getMinimalFocus('RawData (GH)'!F1547)</f>
        <v>0</v>
      </c>
      <c r="I1547" t="str">
        <f>getMount('RawData (GH)'!G1547)</f>
        <v>Nikon F</v>
      </c>
      <c r="J1547" t="str">
        <f>getSensorCompatibility('RawData (GH)'!H1547)</f>
        <v>APS-C/ Kleinbild</v>
      </c>
      <c r="K1547" s="45">
        <f>getWeightAsDouble('RawData (GH)'!I1547)</f>
        <v>600</v>
      </c>
      <c r="L1547" s="34">
        <f>getSizeDiameter('RawData (GH)'!J1547)</f>
        <v>89</v>
      </c>
      <c r="M1547" s="34">
        <f>getSizeLength('RawData (GH)'!J1547)</f>
        <v>94</v>
      </c>
    </row>
    <row r="1548" spans="1:13" x14ac:dyDescent="0.25">
      <c r="A1548" t="str">
        <f>'RawData (GH)'!A1548</f>
        <v>Tokina AT-X 28-70mm 2.6-2.8 für Sony/Konica Minolta schwarz</v>
      </c>
      <c r="B1548" s="5">
        <f>getFocalLengthStart('RawData (GH)'!B1548)</f>
        <v>0</v>
      </c>
      <c r="C1548" s="5">
        <f>getFocalLengthEnd('RawData (GH)'!B1548)</f>
        <v>0</v>
      </c>
      <c r="D1548" s="9">
        <f>getApertureStart('RawData (GH)'!C1548)</f>
        <v>0</v>
      </c>
      <c r="E1548" s="9">
        <f>getApertureEnd('RawData (GH)'!C1548)</f>
        <v>0</v>
      </c>
      <c r="F1548" s="2">
        <f>getFiltersizeAsDouble('RawData (GH)'!D1548)</f>
        <v>0</v>
      </c>
      <c r="G1548" s="35">
        <f>getMagnification('RawData (GH)'!E1548)</f>
        <v>0</v>
      </c>
      <c r="H1548" s="62">
        <f>getMinimalFocus('RawData (GH)'!F1548)</f>
        <v>0</v>
      </c>
      <c r="I1548" t="str">
        <f>getMount('RawData (GH)'!G1548)</f>
        <v>Unknown</v>
      </c>
      <c r="J1548" t="str">
        <f>getSensorCompatibility('RawData (GH)'!H1548)</f>
        <v>Unknown</v>
      </c>
      <c r="K1548" s="45">
        <f>getWeightAsDouble('RawData (GH)'!I1548)</f>
        <v>0</v>
      </c>
      <c r="L1548" s="34">
        <f>getSizeDiameter('RawData (GH)'!J1548)</f>
        <v>0</v>
      </c>
      <c r="M1548" s="34">
        <f>getSizeLength('RawData (GH)'!J1548)</f>
        <v>0</v>
      </c>
    </row>
    <row r="1549" spans="1:13" x14ac:dyDescent="0.25">
      <c r="A1549" t="str">
        <f>'RawData (GH)'!A1549</f>
        <v>Tokina AT-X Pro 100mm 2.8 Makro für Canon EF schwarz</v>
      </c>
      <c r="B1549" s="5">
        <f>getFocalLengthStart('RawData (GH)'!B1549)</f>
        <v>100</v>
      </c>
      <c r="C1549" s="5">
        <f>getFocalLengthEnd('RawData (GH)'!B1549)</f>
        <v>100</v>
      </c>
      <c r="D1549" s="9">
        <f>getApertureStart('RawData (GH)'!C1549)</f>
        <v>2.8</v>
      </c>
      <c r="E1549" s="9">
        <f>getApertureEnd('RawData (GH)'!C1549)</f>
        <v>2.8</v>
      </c>
      <c r="F1549" s="2">
        <f>getFiltersizeAsDouble('RawData (GH)'!D1549)</f>
        <v>55</v>
      </c>
      <c r="G1549" s="35">
        <f>getMagnification('RawData (GH)'!E1549)</f>
        <v>1</v>
      </c>
      <c r="H1549" s="62">
        <f>getMinimalFocus('RawData (GH)'!F1549)</f>
        <v>0</v>
      </c>
      <c r="I1549" t="str">
        <f>getMount('RawData (GH)'!G1549)</f>
        <v>Canon EF</v>
      </c>
      <c r="J1549" t="str">
        <f>getSensorCompatibility('RawData (GH)'!H1549)</f>
        <v>APS-C/ Kleinbild</v>
      </c>
      <c r="K1549" s="45">
        <f>getWeightAsDouble('RawData (GH)'!I1549)</f>
        <v>540</v>
      </c>
      <c r="L1549" s="34">
        <f>getSizeDiameter('RawData (GH)'!J1549)</f>
        <v>73</v>
      </c>
      <c r="M1549" s="34">
        <f>getSizeLength('RawData (GH)'!J1549)</f>
        <v>95.1</v>
      </c>
    </row>
    <row r="1550" spans="1:13" x14ac:dyDescent="0.25">
      <c r="A1550" t="str">
        <f>'RawData (GH)'!A1550</f>
        <v>Tokina AT-X Pro 100mm 2.8 Makro für Nikon F schwarz</v>
      </c>
      <c r="B1550" s="5">
        <f>getFocalLengthStart('RawData (GH)'!B1550)</f>
        <v>100</v>
      </c>
      <c r="C1550" s="5">
        <f>getFocalLengthEnd('RawData (GH)'!B1550)</f>
        <v>100</v>
      </c>
      <c r="D1550" s="9">
        <f>getApertureStart('RawData (GH)'!C1550)</f>
        <v>2.8</v>
      </c>
      <c r="E1550" s="9">
        <f>getApertureEnd('RawData (GH)'!C1550)</f>
        <v>2.8</v>
      </c>
      <c r="F1550" s="2">
        <f>getFiltersizeAsDouble('RawData (GH)'!D1550)</f>
        <v>55</v>
      </c>
      <c r="G1550" s="35">
        <f>getMagnification('RawData (GH)'!E1550)</f>
        <v>1</v>
      </c>
      <c r="H1550" s="62">
        <f>getMinimalFocus('RawData (GH)'!F1550)</f>
        <v>0</v>
      </c>
      <c r="I1550" t="str">
        <f>getMount('RawData (GH)'!G1550)</f>
        <v>Nikon F</v>
      </c>
      <c r="J1550" t="str">
        <f>getSensorCompatibility('RawData (GH)'!H1550)</f>
        <v>APS-C/ Kleinbild</v>
      </c>
      <c r="K1550" s="45">
        <f>getWeightAsDouble('RawData (GH)'!I1550)</f>
        <v>540</v>
      </c>
      <c r="L1550" s="34">
        <f>getSizeDiameter('RawData (GH)'!J1550)</f>
        <v>73</v>
      </c>
      <c r="M1550" s="34">
        <f>getSizeLength('RawData (GH)'!J1550)</f>
        <v>95.1</v>
      </c>
    </row>
    <row r="1551" spans="1:13" x14ac:dyDescent="0.25">
      <c r="A1551" t="str">
        <f>'RawData (GH)'!A1551</f>
        <v>Tokina AT-X Pro 11-16mm 2.8 DX für Canon EF schwarz</v>
      </c>
      <c r="B1551" s="5">
        <f>getFocalLengthStart('RawData (GH)'!B1551)</f>
        <v>11</v>
      </c>
      <c r="C1551" s="5">
        <f>getFocalLengthEnd('RawData (GH)'!B1551)</f>
        <v>16</v>
      </c>
      <c r="D1551" s="9">
        <f>getApertureStart('RawData (GH)'!C1551)</f>
        <v>2.8</v>
      </c>
      <c r="E1551" s="9">
        <f>getApertureEnd('RawData (GH)'!C1551)</f>
        <v>2.8</v>
      </c>
      <c r="F1551" s="2">
        <f>getFiltersizeAsDouble('RawData (GH)'!D1551)</f>
        <v>77</v>
      </c>
      <c r="G1551" s="35">
        <f>getMagnification('RawData (GH)'!E1551)</f>
        <v>11.6</v>
      </c>
      <c r="H1551" s="62">
        <f>getMinimalFocus('RawData (GH)'!F1551)</f>
        <v>0</v>
      </c>
      <c r="I1551" t="str">
        <f>getMount('RawData (GH)'!G1551)</f>
        <v>Canon EF-S</v>
      </c>
      <c r="J1551" t="str">
        <f>getSensorCompatibility('RawData (GH)'!H1551)</f>
        <v>APS-C</v>
      </c>
      <c r="K1551" s="45">
        <f>getWeightAsDouble('RawData (GH)'!I1551)</f>
        <v>560</v>
      </c>
      <c r="L1551" s="34">
        <f>getSizeDiameter('RawData (GH)'!J1551)</f>
        <v>84</v>
      </c>
      <c r="M1551" s="34">
        <f>getSizeLength('RawData (GH)'!J1551)</f>
        <v>96</v>
      </c>
    </row>
    <row r="1552" spans="1:13" x14ac:dyDescent="0.25">
      <c r="A1552" t="str">
        <f>'RawData (GH)'!A1552</f>
        <v>Tokina AT-X Pro 11-16mm 2.8 DX für Nikon F schwarz</v>
      </c>
      <c r="B1552" s="5">
        <f>getFocalLengthStart('RawData (GH)'!B1552)</f>
        <v>11</v>
      </c>
      <c r="C1552" s="5">
        <f>getFocalLengthEnd('RawData (GH)'!B1552)</f>
        <v>16</v>
      </c>
      <c r="D1552" s="9">
        <f>getApertureStart('RawData (GH)'!C1552)</f>
        <v>2.8</v>
      </c>
      <c r="E1552" s="9">
        <f>getApertureEnd('RawData (GH)'!C1552)</f>
        <v>2.8</v>
      </c>
      <c r="F1552" s="2">
        <f>getFiltersizeAsDouble('RawData (GH)'!D1552)</f>
        <v>77</v>
      </c>
      <c r="G1552" s="35">
        <f>getMagnification('RawData (GH)'!E1552)</f>
        <v>11.6</v>
      </c>
      <c r="H1552" s="62">
        <f>getMinimalFocus('RawData (GH)'!F1552)</f>
        <v>0</v>
      </c>
      <c r="I1552" t="str">
        <f>getMount('RawData (GH)'!G1552)</f>
        <v>Nikon F</v>
      </c>
      <c r="J1552" t="str">
        <f>getSensorCompatibility('RawData (GH)'!H1552)</f>
        <v>APS-C</v>
      </c>
      <c r="K1552" s="45">
        <f>getWeightAsDouble('RawData (GH)'!I1552)</f>
        <v>560</v>
      </c>
      <c r="L1552" s="34">
        <f>getSizeDiameter('RawData (GH)'!J1552)</f>
        <v>84</v>
      </c>
      <c r="M1552" s="34">
        <f>getSizeLength('RawData (GH)'!J1552)</f>
        <v>96</v>
      </c>
    </row>
    <row r="1553" spans="1:13" x14ac:dyDescent="0.25">
      <c r="A1553" t="str">
        <f>'RawData (GH)'!A1553</f>
        <v>Tokina AT-X Pro 11-16mm 2.8 DX für Sony A schwarz</v>
      </c>
      <c r="B1553" s="5">
        <f>getFocalLengthStart('RawData (GH)'!B1553)</f>
        <v>11</v>
      </c>
      <c r="C1553" s="5">
        <f>getFocalLengthEnd('RawData (GH)'!B1553)</f>
        <v>16</v>
      </c>
      <c r="D1553" s="9">
        <f>getApertureStart('RawData (GH)'!C1553)</f>
        <v>2.8</v>
      </c>
      <c r="E1553" s="9">
        <f>getApertureEnd('RawData (GH)'!C1553)</f>
        <v>2.8</v>
      </c>
      <c r="F1553" s="2">
        <f>getFiltersizeAsDouble('RawData (GH)'!D1553)</f>
        <v>77</v>
      </c>
      <c r="G1553" s="35">
        <f>getMagnification('RawData (GH)'!E1553)</f>
        <v>11.6</v>
      </c>
      <c r="H1553" s="62">
        <f>getMinimalFocus('RawData (GH)'!F1553)</f>
        <v>0</v>
      </c>
      <c r="I1553" t="str">
        <f>getMount('RawData (GH)'!G1553)</f>
        <v>Sony A</v>
      </c>
      <c r="J1553" t="str">
        <f>getSensorCompatibility('RawData (GH)'!H1553)</f>
        <v>APS-C</v>
      </c>
      <c r="K1553" s="45">
        <f>getWeightAsDouble('RawData (GH)'!I1553)</f>
        <v>560</v>
      </c>
      <c r="L1553" s="34">
        <f>getSizeDiameter('RawData (GH)'!J1553)</f>
        <v>84</v>
      </c>
      <c r="M1553" s="34">
        <f>getSizeLength('RawData (GH)'!J1553)</f>
        <v>96</v>
      </c>
    </row>
    <row r="1554" spans="1:13" x14ac:dyDescent="0.25">
      <c r="A1554" t="str">
        <f>'RawData (GH)'!A1554</f>
        <v>Tokina AT-X Pro 11-16mm 2.8 DX II für Canon EF schwarz</v>
      </c>
      <c r="B1554" s="5">
        <f>getFocalLengthStart('RawData (GH)'!B1554)</f>
        <v>11</v>
      </c>
      <c r="C1554" s="5">
        <f>getFocalLengthEnd('RawData (GH)'!B1554)</f>
        <v>16</v>
      </c>
      <c r="D1554" s="9">
        <f>getApertureStart('RawData (GH)'!C1554)</f>
        <v>2.8</v>
      </c>
      <c r="E1554" s="9">
        <f>getApertureEnd('RawData (GH)'!C1554)</f>
        <v>2.8</v>
      </c>
      <c r="F1554" s="2">
        <f>getFiltersizeAsDouble('RawData (GH)'!D1554)</f>
        <v>77</v>
      </c>
      <c r="G1554" s="35">
        <f>getMagnification('RawData (GH)'!E1554)</f>
        <v>11.6</v>
      </c>
      <c r="H1554" s="62">
        <f>getMinimalFocus('RawData (GH)'!F1554)</f>
        <v>0</v>
      </c>
      <c r="I1554" t="str">
        <f>getMount('RawData (GH)'!G1554)</f>
        <v>Canon EF-S</v>
      </c>
      <c r="J1554" t="str">
        <f>getSensorCompatibility('RawData (GH)'!H1554)</f>
        <v>APS-C</v>
      </c>
      <c r="K1554" s="45">
        <f>getWeightAsDouble('RawData (GH)'!I1554)</f>
        <v>550</v>
      </c>
      <c r="L1554" s="34">
        <f>getSizeDiameter('RawData (GH)'!J1554)</f>
        <v>84</v>
      </c>
      <c r="M1554" s="34">
        <f>getSizeLength('RawData (GH)'!J1554)</f>
        <v>89</v>
      </c>
    </row>
    <row r="1555" spans="1:13" x14ac:dyDescent="0.25">
      <c r="A1555" t="str">
        <f>'RawData (GH)'!A1555</f>
        <v>Tokina AT-X Pro 11-16mm 2.8 DX II für Nikon F schwarz</v>
      </c>
      <c r="B1555" s="5">
        <f>getFocalLengthStart('RawData (GH)'!B1555)</f>
        <v>11</v>
      </c>
      <c r="C1555" s="5">
        <f>getFocalLengthEnd('RawData (GH)'!B1555)</f>
        <v>16</v>
      </c>
      <c r="D1555" s="9">
        <f>getApertureStart('RawData (GH)'!C1555)</f>
        <v>2.8</v>
      </c>
      <c r="E1555" s="9">
        <f>getApertureEnd('RawData (GH)'!C1555)</f>
        <v>2.8</v>
      </c>
      <c r="F1555" s="2">
        <f>getFiltersizeAsDouble('RawData (GH)'!D1555)</f>
        <v>77</v>
      </c>
      <c r="G1555" s="35">
        <f>getMagnification('RawData (GH)'!E1555)</f>
        <v>11.6</v>
      </c>
      <c r="H1555" s="62">
        <f>getMinimalFocus('RawData (GH)'!F1555)</f>
        <v>0</v>
      </c>
      <c r="I1555" t="str">
        <f>getMount('RawData (GH)'!G1555)</f>
        <v>Nikon F</v>
      </c>
      <c r="J1555" t="str">
        <f>getSensorCompatibility('RawData (GH)'!H1555)</f>
        <v>APS-C</v>
      </c>
      <c r="K1555" s="45">
        <f>getWeightAsDouble('RawData (GH)'!I1555)</f>
        <v>550</v>
      </c>
      <c r="L1555" s="34">
        <f>getSizeDiameter('RawData (GH)'!J1555)</f>
        <v>84</v>
      </c>
      <c r="M1555" s="34">
        <f>getSizeLength('RawData (GH)'!J1555)</f>
        <v>89</v>
      </c>
    </row>
    <row r="1556" spans="1:13" x14ac:dyDescent="0.25">
      <c r="A1556" t="str">
        <f>'RawData (GH)'!A1556</f>
        <v>Tokina AT-X Pro 11-20mm 2.8 DX für Canon EF schwarz</v>
      </c>
      <c r="B1556" s="5">
        <f>getFocalLengthStart('RawData (GH)'!B1556)</f>
        <v>11</v>
      </c>
      <c r="C1556" s="5">
        <f>getFocalLengthEnd('RawData (GH)'!B1556)</f>
        <v>20</v>
      </c>
      <c r="D1556" s="9">
        <f>getApertureStart('RawData (GH)'!C1556)</f>
        <v>2.8</v>
      </c>
      <c r="E1556" s="9">
        <f>getApertureEnd('RawData (GH)'!C1556)</f>
        <v>2.8</v>
      </c>
      <c r="F1556" s="2">
        <f>getFiltersizeAsDouble('RawData (GH)'!D1556)</f>
        <v>82</v>
      </c>
      <c r="G1556" s="35">
        <f>getMagnification('RawData (GH)'!E1556)</f>
        <v>8.6199999999999992</v>
      </c>
      <c r="H1556" s="62">
        <f>getMinimalFocus('RawData (GH)'!F1556)</f>
        <v>0</v>
      </c>
      <c r="I1556" t="str">
        <f>getMount('RawData (GH)'!G1556)</f>
        <v>Canon EF-S</v>
      </c>
      <c r="J1556" t="str">
        <f>getSensorCompatibility('RawData (GH)'!H1556)</f>
        <v>APS-C</v>
      </c>
      <c r="K1556" s="45">
        <f>getWeightAsDouble('RawData (GH)'!I1556)</f>
        <v>560</v>
      </c>
      <c r="L1556" s="34">
        <f>getSizeDiameter('RawData (GH)'!J1556)</f>
        <v>89</v>
      </c>
      <c r="M1556" s="34">
        <f>getSizeLength('RawData (GH)'!J1556)</f>
        <v>92</v>
      </c>
    </row>
    <row r="1557" spans="1:13" x14ac:dyDescent="0.25">
      <c r="A1557" t="str">
        <f>'RawData (GH)'!A1557</f>
        <v>Tokina AT-X Pro 11-20mm 2.8 DX für Nikon F schwarz</v>
      </c>
      <c r="B1557" s="5">
        <f>getFocalLengthStart('RawData (GH)'!B1557)</f>
        <v>11</v>
      </c>
      <c r="C1557" s="5">
        <f>getFocalLengthEnd('RawData (GH)'!B1557)</f>
        <v>20</v>
      </c>
      <c r="D1557" s="9">
        <f>getApertureStart('RawData (GH)'!C1557)</f>
        <v>2.8</v>
      </c>
      <c r="E1557" s="9">
        <f>getApertureEnd('RawData (GH)'!C1557)</f>
        <v>2.8</v>
      </c>
      <c r="F1557" s="2">
        <f>getFiltersizeAsDouble('RawData (GH)'!D1557)</f>
        <v>82</v>
      </c>
      <c r="G1557" s="35">
        <f>getMagnification('RawData (GH)'!E1557)</f>
        <v>8.6199999999999992</v>
      </c>
      <c r="H1557" s="62">
        <f>getMinimalFocus('RawData (GH)'!F1557)</f>
        <v>0</v>
      </c>
      <c r="I1557" t="str">
        <f>getMount('RawData (GH)'!G1557)</f>
        <v>Nikon F</v>
      </c>
      <c r="J1557" t="str">
        <f>getSensorCompatibility('RawData (GH)'!H1557)</f>
        <v>APS-C</v>
      </c>
      <c r="K1557" s="45">
        <f>getWeightAsDouble('RawData (GH)'!I1557)</f>
        <v>560</v>
      </c>
      <c r="L1557" s="34">
        <f>getSizeDiameter('RawData (GH)'!J1557)</f>
        <v>89</v>
      </c>
      <c r="M1557" s="34">
        <f>getSizeLength('RawData (GH)'!J1557)</f>
        <v>92</v>
      </c>
    </row>
    <row r="1558" spans="1:13" x14ac:dyDescent="0.25">
      <c r="A1558" t="str">
        <f>'RawData (GH)'!A1558</f>
        <v>Tokina AT-X Pro 12-24mm 4.0 DX II für Canon EF schwarz</v>
      </c>
      <c r="B1558" s="5">
        <f>getFocalLengthStart('RawData (GH)'!B1558)</f>
        <v>12</v>
      </c>
      <c r="C1558" s="5">
        <f>getFocalLengthEnd('RawData (GH)'!B1558)</f>
        <v>24</v>
      </c>
      <c r="D1558" s="9">
        <f>getApertureStart('RawData (GH)'!C1558)</f>
        <v>4</v>
      </c>
      <c r="E1558" s="9">
        <f>getApertureEnd('RawData (GH)'!C1558)</f>
        <v>4</v>
      </c>
      <c r="F1558" s="2">
        <f>getFiltersizeAsDouble('RawData (GH)'!D1558)</f>
        <v>77</v>
      </c>
      <c r="G1558" s="35">
        <f>getMagnification('RawData (GH)'!E1558)</f>
        <v>8</v>
      </c>
      <c r="H1558" s="62">
        <f>getMinimalFocus('RawData (GH)'!F1558)</f>
        <v>0</v>
      </c>
      <c r="I1558" t="str">
        <f>getMount('RawData (GH)'!G1558)</f>
        <v>Canon EF-S</v>
      </c>
      <c r="J1558" t="str">
        <f>getSensorCompatibility('RawData (GH)'!H1558)</f>
        <v>APS-C</v>
      </c>
      <c r="K1558" s="45">
        <f>getWeightAsDouble('RawData (GH)'!I1558)</f>
        <v>540</v>
      </c>
      <c r="L1558" s="34">
        <f>getSizeDiameter('RawData (GH)'!J1558)</f>
        <v>84</v>
      </c>
      <c r="M1558" s="34">
        <f>getSizeLength('RawData (GH)'!J1558)</f>
        <v>89.5</v>
      </c>
    </row>
    <row r="1559" spans="1:13" x14ac:dyDescent="0.25">
      <c r="A1559" t="str">
        <f>'RawData (GH)'!A1559</f>
        <v>Tokina AT-X Pro 12-24mm 4.0 DX II für Nikon F schwarz</v>
      </c>
      <c r="B1559" s="5">
        <f>getFocalLengthStart('RawData (GH)'!B1559)</f>
        <v>12</v>
      </c>
      <c r="C1559" s="5">
        <f>getFocalLengthEnd('RawData (GH)'!B1559)</f>
        <v>24</v>
      </c>
      <c r="D1559" s="9">
        <f>getApertureStart('RawData (GH)'!C1559)</f>
        <v>4</v>
      </c>
      <c r="E1559" s="9">
        <f>getApertureEnd('RawData (GH)'!C1559)</f>
        <v>4</v>
      </c>
      <c r="F1559" s="2">
        <f>getFiltersizeAsDouble('RawData (GH)'!D1559)</f>
        <v>77</v>
      </c>
      <c r="G1559" s="35">
        <f>getMagnification('RawData (GH)'!E1559)</f>
        <v>8</v>
      </c>
      <c r="H1559" s="62">
        <f>getMinimalFocus('RawData (GH)'!F1559)</f>
        <v>0</v>
      </c>
      <c r="I1559" t="str">
        <f>getMount('RawData (GH)'!G1559)</f>
        <v>Nikon F</v>
      </c>
      <c r="J1559" t="str">
        <f>getSensorCompatibility('RawData (GH)'!H1559)</f>
        <v>APS-C</v>
      </c>
      <c r="K1559" s="45">
        <f>getWeightAsDouble('RawData (GH)'!I1559)</f>
        <v>540</v>
      </c>
      <c r="L1559" s="34">
        <f>getSizeDiameter('RawData (GH)'!J1559)</f>
        <v>84</v>
      </c>
      <c r="M1559" s="34">
        <f>getSizeLength('RawData (GH)'!J1559)</f>
        <v>89.5</v>
      </c>
    </row>
    <row r="1560" spans="1:13" x14ac:dyDescent="0.25">
      <c r="A1560" t="str">
        <f>'RawData (GH)'!A1560</f>
        <v>Tokina AT-X Pro 12-28mm 4.0 DX für Canon EF schwarz</v>
      </c>
      <c r="B1560" s="5">
        <f>getFocalLengthStart('RawData (GH)'!B1560)</f>
        <v>12</v>
      </c>
      <c r="C1560" s="5">
        <f>getFocalLengthEnd('RawData (GH)'!B1560)</f>
        <v>28</v>
      </c>
      <c r="D1560" s="9">
        <f>getApertureStart('RawData (GH)'!C1560)</f>
        <v>4</v>
      </c>
      <c r="E1560" s="9">
        <f>getApertureEnd('RawData (GH)'!C1560)</f>
        <v>4</v>
      </c>
      <c r="F1560" s="2">
        <f>getFiltersizeAsDouble('RawData (GH)'!D1560)</f>
        <v>77</v>
      </c>
      <c r="G1560" s="35">
        <f>getMagnification('RawData (GH)'!E1560)</f>
        <v>4.9400000000000004</v>
      </c>
      <c r="H1560" s="62">
        <f>getMinimalFocus('RawData (GH)'!F1560)</f>
        <v>0</v>
      </c>
      <c r="I1560" t="str">
        <f>getMount('RawData (GH)'!G1560)</f>
        <v>Canon EF-S</v>
      </c>
      <c r="J1560" t="str">
        <f>getSensorCompatibility('RawData (GH)'!H1560)</f>
        <v>APS-C</v>
      </c>
      <c r="K1560" s="45">
        <f>getWeightAsDouble('RawData (GH)'!I1560)</f>
        <v>600</v>
      </c>
      <c r="L1560" s="34">
        <f>getSizeDiameter('RawData (GH)'!J1560)</f>
        <v>84</v>
      </c>
      <c r="M1560" s="34">
        <f>getSizeLength('RawData (GH)'!J1560)</f>
        <v>90.2</v>
      </c>
    </row>
    <row r="1561" spans="1:13" x14ac:dyDescent="0.25">
      <c r="A1561" t="str">
        <f>'RawData (GH)'!A1561</f>
        <v>Tokina AT-X Pro 12-28mm 4.0 DX für Nikon F schwarz</v>
      </c>
      <c r="B1561" s="5">
        <f>getFocalLengthStart('RawData (GH)'!B1561)</f>
        <v>12</v>
      </c>
      <c r="C1561" s="5">
        <f>getFocalLengthEnd('RawData (GH)'!B1561)</f>
        <v>28</v>
      </c>
      <c r="D1561" s="9">
        <f>getApertureStart('RawData (GH)'!C1561)</f>
        <v>4</v>
      </c>
      <c r="E1561" s="9">
        <f>getApertureEnd('RawData (GH)'!C1561)</f>
        <v>4</v>
      </c>
      <c r="F1561" s="2">
        <f>getFiltersizeAsDouble('RawData (GH)'!D1561)</f>
        <v>77</v>
      </c>
      <c r="G1561" s="35">
        <f>getMagnification('RawData (GH)'!E1561)</f>
        <v>4.9400000000000004</v>
      </c>
      <c r="H1561" s="62">
        <f>getMinimalFocus('RawData (GH)'!F1561)</f>
        <v>0</v>
      </c>
      <c r="I1561" t="str">
        <f>getMount('RawData (GH)'!G1561)</f>
        <v>Nikon F</v>
      </c>
      <c r="J1561" t="str">
        <f>getSensorCompatibility('RawData (GH)'!H1561)</f>
        <v>APS-C</v>
      </c>
      <c r="K1561" s="45">
        <f>getWeightAsDouble('RawData (GH)'!I1561)</f>
        <v>600</v>
      </c>
      <c r="L1561" s="34">
        <f>getSizeDiameter('RawData (GH)'!J1561)</f>
        <v>84</v>
      </c>
      <c r="M1561" s="34">
        <f>getSizeLength('RawData (GH)'!J1561)</f>
        <v>90.2</v>
      </c>
    </row>
    <row r="1562" spans="1:13" x14ac:dyDescent="0.25">
      <c r="A1562" t="str">
        <f>'RawData (GH)'!A1562</f>
        <v>Tokina AT-X Pro 14-20mm 2.0 DX für Canon EF schwarz</v>
      </c>
      <c r="B1562" s="5">
        <f>getFocalLengthStart('RawData (GH)'!B1562)</f>
        <v>14</v>
      </c>
      <c r="C1562" s="5">
        <f>getFocalLengthEnd('RawData (GH)'!B1562)</f>
        <v>20</v>
      </c>
      <c r="D1562" s="9">
        <f>getApertureStart('RawData (GH)'!C1562)</f>
        <v>2</v>
      </c>
      <c r="E1562" s="9">
        <f>getApertureEnd('RawData (GH)'!C1562)</f>
        <v>2</v>
      </c>
      <c r="F1562" s="2">
        <f>getFiltersizeAsDouble('RawData (GH)'!D1562)</f>
        <v>82</v>
      </c>
      <c r="G1562" s="35">
        <f>getMagnification('RawData (GH)'!E1562)</f>
        <v>8.36</v>
      </c>
      <c r="H1562" s="62">
        <f>getMinimalFocus('RawData (GH)'!F1562)</f>
        <v>0</v>
      </c>
      <c r="I1562" t="str">
        <f>getMount('RawData (GH)'!G1562)</f>
        <v>Canon EF-S</v>
      </c>
      <c r="J1562" t="str">
        <f>getSensorCompatibility('RawData (GH)'!H1562)</f>
        <v>APS-C</v>
      </c>
      <c r="K1562" s="45">
        <f>getWeightAsDouble('RawData (GH)'!I1562)</f>
        <v>725</v>
      </c>
      <c r="L1562" s="34">
        <f>getSizeDiameter('RawData (GH)'!J1562)</f>
        <v>89</v>
      </c>
      <c r="M1562" s="34">
        <f>getSizeLength('RawData (GH)'!J1562)</f>
        <v>106</v>
      </c>
    </row>
    <row r="1563" spans="1:13" x14ac:dyDescent="0.25">
      <c r="A1563" t="str">
        <f>'RawData (GH)'!A1563</f>
        <v>Tokina AT-X Pro 14-20mm 2.0 DX für Nikon F schwarz</v>
      </c>
      <c r="B1563" s="5">
        <f>getFocalLengthStart('RawData (GH)'!B1563)</f>
        <v>14</v>
      </c>
      <c r="C1563" s="5">
        <f>getFocalLengthEnd('RawData (GH)'!B1563)</f>
        <v>20</v>
      </c>
      <c r="D1563" s="9">
        <f>getApertureStart('RawData (GH)'!C1563)</f>
        <v>2</v>
      </c>
      <c r="E1563" s="9">
        <f>getApertureEnd('RawData (GH)'!C1563)</f>
        <v>2</v>
      </c>
      <c r="F1563" s="2">
        <f>getFiltersizeAsDouble('RawData (GH)'!D1563)</f>
        <v>82</v>
      </c>
      <c r="G1563" s="35">
        <f>getMagnification('RawData (GH)'!E1563)</f>
        <v>8.36</v>
      </c>
      <c r="H1563" s="62">
        <f>getMinimalFocus('RawData (GH)'!F1563)</f>
        <v>0</v>
      </c>
      <c r="I1563" t="str">
        <f>getMount('RawData (GH)'!G1563)</f>
        <v>Nikon F</v>
      </c>
      <c r="J1563" t="str">
        <f>getSensorCompatibility('RawData (GH)'!H1563)</f>
        <v>APS-C</v>
      </c>
      <c r="K1563" s="45">
        <f>getWeightAsDouble('RawData (GH)'!I1563)</f>
        <v>725</v>
      </c>
      <c r="L1563" s="34">
        <f>getSizeDiameter('RawData (GH)'!J1563)</f>
        <v>89</v>
      </c>
      <c r="M1563" s="34">
        <f>getSizeLength('RawData (GH)'!J1563)</f>
        <v>106</v>
      </c>
    </row>
    <row r="1564" spans="1:13" x14ac:dyDescent="0.25">
      <c r="A1564" t="str">
        <f>'RawData (GH)'!A1564</f>
        <v>Tokina AT-X Pro 16-28mm 2.8 FX für Canon EF schwarz</v>
      </c>
      <c r="B1564" s="5">
        <f>getFocalLengthStart('RawData (GH)'!B1564)</f>
        <v>16</v>
      </c>
      <c r="C1564" s="5">
        <f>getFocalLengthEnd('RawData (GH)'!B1564)</f>
        <v>28</v>
      </c>
      <c r="D1564" s="9">
        <f>getApertureStart('RawData (GH)'!C1564)</f>
        <v>2.8</v>
      </c>
      <c r="E1564" s="9">
        <f>getApertureEnd('RawData (GH)'!C1564)</f>
        <v>2.8</v>
      </c>
      <c r="F1564" s="2">
        <f>getFiltersizeAsDouble('RawData (GH)'!D1564)</f>
        <v>0</v>
      </c>
      <c r="G1564" s="35">
        <f>getMagnification('RawData (GH)'!E1564)</f>
        <v>5.62</v>
      </c>
      <c r="H1564" s="62">
        <f>getMinimalFocus('RawData (GH)'!F1564)</f>
        <v>0</v>
      </c>
      <c r="I1564" t="str">
        <f>getMount('RawData (GH)'!G1564)</f>
        <v>Canon EF</v>
      </c>
      <c r="J1564" t="str">
        <f>getSensorCompatibility('RawData (GH)'!H1564)</f>
        <v>APS-C/ Kleinbild</v>
      </c>
      <c r="K1564" s="45">
        <f>getWeightAsDouble('RawData (GH)'!I1564)</f>
        <v>950</v>
      </c>
      <c r="L1564" s="34">
        <f>getSizeDiameter('RawData (GH)'!J1564)</f>
        <v>90</v>
      </c>
      <c r="M1564" s="34">
        <f>getSizeLength('RawData (GH)'!J1564)</f>
        <v>133.30000000000001</v>
      </c>
    </row>
    <row r="1565" spans="1:13" x14ac:dyDescent="0.25">
      <c r="A1565" t="str">
        <f>'RawData (GH)'!A1565</f>
        <v>Tokina AT-X Pro 16-28mm 2.8 FX für Nikon F schwarz</v>
      </c>
      <c r="B1565" s="5">
        <f>getFocalLengthStart('RawData (GH)'!B1565)</f>
        <v>16</v>
      </c>
      <c r="C1565" s="5">
        <f>getFocalLengthEnd('RawData (GH)'!B1565)</f>
        <v>28</v>
      </c>
      <c r="D1565" s="9">
        <f>getApertureStart('RawData (GH)'!C1565)</f>
        <v>2.8</v>
      </c>
      <c r="E1565" s="9">
        <f>getApertureEnd('RawData (GH)'!C1565)</f>
        <v>2.8</v>
      </c>
      <c r="F1565" s="2">
        <f>getFiltersizeAsDouble('RawData (GH)'!D1565)</f>
        <v>0</v>
      </c>
      <c r="G1565" s="35">
        <f>getMagnification('RawData (GH)'!E1565)</f>
        <v>5.62</v>
      </c>
      <c r="H1565" s="62">
        <f>getMinimalFocus('RawData (GH)'!F1565)</f>
        <v>0</v>
      </c>
      <c r="I1565" t="str">
        <f>getMount('RawData (GH)'!G1565)</f>
        <v>Nikon F</v>
      </c>
      <c r="J1565" t="str">
        <f>getSensorCompatibility('RawData (GH)'!H1565)</f>
        <v>APS-C/ Kleinbild</v>
      </c>
      <c r="K1565" s="45">
        <f>getWeightAsDouble('RawData (GH)'!I1565)</f>
        <v>950</v>
      </c>
      <c r="L1565" s="34">
        <f>getSizeDiameter('RawData (GH)'!J1565)</f>
        <v>90</v>
      </c>
      <c r="M1565" s="34">
        <f>getSizeLength('RawData (GH)'!J1565)</f>
        <v>133.30000000000001</v>
      </c>
    </row>
    <row r="1566" spans="1:13" x14ac:dyDescent="0.25">
      <c r="A1566" t="str">
        <f>'RawData (GH)'!A1566</f>
        <v>Tokina AT-X Pro 24-70mm 2.8 FX für Canon EF schwarz</v>
      </c>
      <c r="B1566" s="5">
        <f>getFocalLengthStart('RawData (GH)'!B1566)</f>
        <v>24</v>
      </c>
      <c r="C1566" s="5">
        <f>getFocalLengthEnd('RawData (GH)'!B1566)</f>
        <v>70</v>
      </c>
      <c r="D1566" s="9">
        <f>getApertureStart('RawData (GH)'!C1566)</f>
        <v>2.8</v>
      </c>
      <c r="E1566" s="9">
        <f>getApertureEnd('RawData (GH)'!C1566)</f>
        <v>2.8</v>
      </c>
      <c r="F1566" s="2">
        <f>getFiltersizeAsDouble('RawData (GH)'!D1566)</f>
        <v>82</v>
      </c>
      <c r="G1566" s="35">
        <f>getMagnification('RawData (GH)'!E1566)</f>
        <v>4.7300000000000004</v>
      </c>
      <c r="H1566" s="62">
        <f>getMinimalFocus('RawData (GH)'!F1566)</f>
        <v>0</v>
      </c>
      <c r="I1566" t="str">
        <f>getMount('RawData (GH)'!G1566)</f>
        <v>Canon EF</v>
      </c>
      <c r="J1566" t="str">
        <f>getSensorCompatibility('RawData (GH)'!H1566)</f>
        <v>APS-C/ Kleinbild</v>
      </c>
      <c r="K1566" s="45">
        <f>getWeightAsDouble('RawData (GH)'!I1566)</f>
        <v>1010</v>
      </c>
      <c r="L1566" s="34">
        <f>getSizeDiameter('RawData (GH)'!J1566)</f>
        <v>89.6</v>
      </c>
      <c r="M1566" s="34">
        <f>getSizeLength('RawData (GH)'!J1566)</f>
        <v>107.5</v>
      </c>
    </row>
    <row r="1567" spans="1:13" x14ac:dyDescent="0.25">
      <c r="A1567" t="str">
        <f>'RawData (GH)'!A1567</f>
        <v>Tokina AT-X Pro 24-70mm 2.8 FX für Nikon F schwarz</v>
      </c>
      <c r="B1567" s="5">
        <f>getFocalLengthStart('RawData (GH)'!B1567)</f>
        <v>24</v>
      </c>
      <c r="C1567" s="5">
        <f>getFocalLengthEnd('RawData (GH)'!B1567)</f>
        <v>70</v>
      </c>
      <c r="D1567" s="9">
        <f>getApertureStart('RawData (GH)'!C1567)</f>
        <v>2.8</v>
      </c>
      <c r="E1567" s="9">
        <f>getApertureEnd('RawData (GH)'!C1567)</f>
        <v>2.8</v>
      </c>
      <c r="F1567" s="2">
        <f>getFiltersizeAsDouble('RawData (GH)'!D1567)</f>
        <v>82</v>
      </c>
      <c r="G1567" s="35">
        <f>getMagnification('RawData (GH)'!E1567)</f>
        <v>4.7300000000000004</v>
      </c>
      <c r="H1567" s="62">
        <f>getMinimalFocus('RawData (GH)'!F1567)</f>
        <v>0</v>
      </c>
      <c r="I1567" t="str">
        <f>getMount('RawData (GH)'!G1567)</f>
        <v>Nikon F</v>
      </c>
      <c r="J1567" t="str">
        <f>getSensorCompatibility('RawData (GH)'!H1567)</f>
        <v>APS-C/ Kleinbild</v>
      </c>
      <c r="K1567" s="45">
        <f>getWeightAsDouble('RawData (GH)'!I1567)</f>
        <v>1010</v>
      </c>
      <c r="L1567" s="34">
        <f>getSizeDiameter('RawData (GH)'!J1567)</f>
        <v>89.6</v>
      </c>
      <c r="M1567" s="34">
        <f>getSizeLength('RawData (GH)'!J1567)</f>
        <v>107.5</v>
      </c>
    </row>
    <row r="1568" spans="1:13" x14ac:dyDescent="0.25">
      <c r="A1568" t="str">
        <f>'RawData (GH)'!A1568</f>
        <v>Tokina AT-X Pro 35mm 2.8 DX Makro für Canon EF schwarz</v>
      </c>
      <c r="B1568" s="5">
        <f>getFocalLengthStart('RawData (GH)'!B1568)</f>
        <v>35</v>
      </c>
      <c r="C1568" s="5">
        <f>getFocalLengthEnd('RawData (GH)'!B1568)</f>
        <v>35</v>
      </c>
      <c r="D1568" s="9">
        <f>getApertureStart('RawData (GH)'!C1568)</f>
        <v>2.8</v>
      </c>
      <c r="E1568" s="9">
        <f>getApertureEnd('RawData (GH)'!C1568)</f>
        <v>2.8</v>
      </c>
      <c r="F1568" s="2">
        <f>getFiltersizeAsDouble('RawData (GH)'!D1568)</f>
        <v>52</v>
      </c>
      <c r="G1568" s="35">
        <f>getMagnification('RawData (GH)'!E1568)</f>
        <v>1</v>
      </c>
      <c r="H1568" s="62">
        <f>getMinimalFocus('RawData (GH)'!F1568)</f>
        <v>0</v>
      </c>
      <c r="I1568" t="str">
        <f>getMount('RawData (GH)'!G1568)</f>
        <v>Canon EF-S</v>
      </c>
      <c r="J1568" t="str">
        <f>getSensorCompatibility('RawData (GH)'!H1568)</f>
        <v>APS-C</v>
      </c>
      <c r="K1568" s="45">
        <f>getWeightAsDouble('RawData (GH)'!I1568)</f>
        <v>340</v>
      </c>
      <c r="L1568" s="34">
        <f>getSizeDiameter('RawData (GH)'!J1568)</f>
        <v>73.2</v>
      </c>
      <c r="M1568" s="34">
        <f>getSizeLength('RawData (GH)'!J1568)</f>
        <v>60.4</v>
      </c>
    </row>
    <row r="1569" spans="1:13" x14ac:dyDescent="0.25">
      <c r="A1569" t="str">
        <f>'RawData (GH)'!A1569</f>
        <v>Tokina AT-X Pro 70-200mm 4.0 FX VCM-S für Nikon F schwarz</v>
      </c>
      <c r="B1569" s="5">
        <f>getFocalLengthStart('RawData (GH)'!B1569)</f>
        <v>70</v>
      </c>
      <c r="C1569" s="5">
        <f>getFocalLengthEnd('RawData (GH)'!B1569)</f>
        <v>200</v>
      </c>
      <c r="D1569" s="9">
        <f>getApertureStart('RawData (GH)'!C1569)</f>
        <v>4</v>
      </c>
      <c r="E1569" s="9">
        <f>getApertureEnd('RawData (GH)'!C1569)</f>
        <v>4</v>
      </c>
      <c r="F1569" s="2">
        <f>getFiltersizeAsDouble('RawData (GH)'!D1569)</f>
        <v>67</v>
      </c>
      <c r="G1569" s="35">
        <f>getMagnification('RawData (GH)'!E1569)</f>
        <v>3.57</v>
      </c>
      <c r="H1569" s="62">
        <f>getMinimalFocus('RawData (GH)'!F1569)</f>
        <v>0</v>
      </c>
      <c r="I1569" t="str">
        <f>getMount('RawData (GH)'!G1569)</f>
        <v>Nikon F</v>
      </c>
      <c r="J1569" t="str">
        <f>getSensorCompatibility('RawData (GH)'!H1569)</f>
        <v>APS-C/ Kleinbild</v>
      </c>
      <c r="K1569" s="45">
        <f>getWeightAsDouble('RawData (GH)'!I1569)</f>
        <v>980</v>
      </c>
      <c r="L1569" s="34">
        <f>getSizeDiameter('RawData (GH)'!J1569)</f>
        <v>82</v>
      </c>
      <c r="M1569" s="34">
        <f>getSizeLength('RawData (GH)'!J1569)</f>
        <v>167.5</v>
      </c>
    </row>
    <row r="1570" spans="1:13" x14ac:dyDescent="0.25">
      <c r="A1570" t="str">
        <f>'RawData (GH)'!A1570</f>
        <v>Tokina FiRIN 20mm 2.0 FE MF für Sony E schwarz</v>
      </c>
      <c r="B1570" s="5">
        <f>getFocalLengthStart('RawData (GH)'!B1570)</f>
        <v>20</v>
      </c>
      <c r="C1570" s="5">
        <f>getFocalLengthEnd('RawData (GH)'!B1570)</f>
        <v>20</v>
      </c>
      <c r="D1570" s="9">
        <f>getApertureStart('RawData (GH)'!C1570)</f>
        <v>2</v>
      </c>
      <c r="E1570" s="9">
        <f>getApertureEnd('RawData (GH)'!C1570)</f>
        <v>2</v>
      </c>
      <c r="F1570" s="2">
        <f>getFiltersizeAsDouble('RawData (GH)'!D1570)</f>
        <v>62</v>
      </c>
      <c r="G1570" s="35">
        <f>getMagnification('RawData (GH)'!E1570)</f>
        <v>10.29</v>
      </c>
      <c r="H1570" s="62">
        <f>getMinimalFocus('RawData (GH)'!F1570)</f>
        <v>0</v>
      </c>
      <c r="I1570" t="str">
        <f>getMount('RawData (GH)'!G1570)</f>
        <v>Sony E</v>
      </c>
      <c r="J1570" t="str">
        <f>getSensorCompatibility('RawData (GH)'!H1570)</f>
        <v>APS-C/ Kleinbild</v>
      </c>
      <c r="K1570" s="45">
        <f>getWeightAsDouble('RawData (GH)'!I1570)</f>
        <v>490</v>
      </c>
      <c r="L1570" s="34">
        <f>getSizeDiameter('RawData (GH)'!J1570)</f>
        <v>69</v>
      </c>
      <c r="M1570" s="34">
        <f>getSizeLength('RawData (GH)'!J1570)</f>
        <v>81.5</v>
      </c>
    </row>
    <row r="1571" spans="1:13" x14ac:dyDescent="0.25">
      <c r="A1571" t="str">
        <f>'RawData (GH)'!A1571</f>
        <v>Tokina Reflex 300mm 6.3 MF Makro für Micro-Four-Thirds silber</v>
      </c>
      <c r="B1571" s="5">
        <f>getFocalLengthStart('RawData (GH)'!B1571)</f>
        <v>300</v>
      </c>
      <c r="C1571" s="5">
        <f>getFocalLengthEnd('RawData (GH)'!B1571)</f>
        <v>300</v>
      </c>
      <c r="D1571" s="9">
        <f>getApertureStart('RawData (GH)'!C1571)</f>
        <v>6.3</v>
      </c>
      <c r="E1571" s="9">
        <f>getApertureEnd('RawData (GH)'!C1571)</f>
        <v>6.3</v>
      </c>
      <c r="F1571" s="2">
        <f>getFiltersizeAsDouble('RawData (GH)'!D1571)</f>
        <v>55</v>
      </c>
      <c r="G1571" s="35">
        <f>getMagnification('RawData (GH)'!E1571)</f>
        <v>2</v>
      </c>
      <c r="H1571" s="62">
        <f>getMinimalFocus('RawData (GH)'!F1571)</f>
        <v>0</v>
      </c>
      <c r="I1571" t="str">
        <f>getMount('RawData (GH)'!G1571)</f>
        <v>Micro-Four-Thirds</v>
      </c>
      <c r="J1571" t="str">
        <f>getSensorCompatibility('RawData (GH)'!H1571)</f>
        <v>Four-Thirds</v>
      </c>
      <c r="K1571" s="45">
        <f>getWeightAsDouble('RawData (GH)'!I1571)</f>
        <v>298</v>
      </c>
      <c r="L1571" s="34">
        <f>getSizeDiameter('RawData (GH)'!J1571)</f>
        <v>55</v>
      </c>
      <c r="M1571" s="34">
        <f>getSizeLength('RawData (GH)'!J1571)</f>
        <v>66</v>
      </c>
    </row>
    <row r="1572" spans="1:13" x14ac:dyDescent="0.25">
      <c r="A1572" t="str">
        <f>'RawData (GH)'!A1572</f>
        <v>Veydra Mini Prime 12mm T2.2 für Micro-Four-Thirds schwarz</v>
      </c>
      <c r="B1572" s="5">
        <f>getFocalLengthStart('RawData (GH)'!B1572)</f>
        <v>12</v>
      </c>
      <c r="C1572" s="5">
        <f>getFocalLengthEnd('RawData (GH)'!B1572)</f>
        <v>12</v>
      </c>
      <c r="D1572" s="9">
        <f>getApertureStart('RawData (GH)'!C1572)</f>
        <v>2.2000000000000002</v>
      </c>
      <c r="E1572" s="9">
        <f>getApertureEnd('RawData (GH)'!C1572)</f>
        <v>2.2000000000000002</v>
      </c>
      <c r="F1572" s="2">
        <f>getFiltersizeAsDouble('RawData (GH)'!D1572)</f>
        <v>77</v>
      </c>
      <c r="G1572" s="35">
        <f>getMagnification('RawData (GH)'!E1572)</f>
        <v>0</v>
      </c>
      <c r="H1572" s="62">
        <f>getMinimalFocus('RawData (GH)'!F1572)</f>
        <v>0</v>
      </c>
      <c r="I1572" t="str">
        <f>getMount('RawData (GH)'!G1572)</f>
        <v>Micro-Four-Thirds</v>
      </c>
      <c r="J1572" t="str">
        <f>getSensorCompatibility('RawData (GH)'!H1572)</f>
        <v>APS-C/ Kleinbild</v>
      </c>
      <c r="K1572" s="45">
        <f>getWeightAsDouble('RawData (GH)'!I1572)</f>
        <v>544</v>
      </c>
      <c r="L1572" s="34">
        <f>getSizeDiameter('RawData (GH)'!J1572)</f>
        <v>0</v>
      </c>
      <c r="M1572" s="34">
        <f>getSizeLength('RawData (GH)'!J1572)</f>
        <v>0</v>
      </c>
    </row>
    <row r="1573" spans="1:13" x14ac:dyDescent="0.25">
      <c r="A1573" t="str">
        <f>'RawData (GH)'!A1573</f>
        <v>Veydra Mini Prime 16mm T2.2 für Micro-Four-Thirds schwarz</v>
      </c>
      <c r="B1573" s="5">
        <f>getFocalLengthStart('RawData (GH)'!B1573)</f>
        <v>16</v>
      </c>
      <c r="C1573" s="5">
        <f>getFocalLengthEnd('RawData (GH)'!B1573)</f>
        <v>16</v>
      </c>
      <c r="D1573" s="9">
        <f>getApertureStart('RawData (GH)'!C1573)</f>
        <v>2.2000000000000002</v>
      </c>
      <c r="E1573" s="9">
        <f>getApertureEnd('RawData (GH)'!C1573)</f>
        <v>2.2000000000000002</v>
      </c>
      <c r="F1573" s="2">
        <f>getFiltersizeAsDouble('RawData (GH)'!D1573)</f>
        <v>77</v>
      </c>
      <c r="G1573" s="35">
        <f>getMagnification('RawData (GH)'!E1573)</f>
        <v>0</v>
      </c>
      <c r="H1573" s="62">
        <f>getMinimalFocus('RawData (GH)'!F1573)</f>
        <v>0</v>
      </c>
      <c r="I1573" t="str">
        <f>getMount('RawData (GH)'!G1573)</f>
        <v>Micro-Four-Thirds</v>
      </c>
      <c r="J1573" t="str">
        <f>getSensorCompatibility('RawData (GH)'!H1573)</f>
        <v>APS-C/ Kleinbild</v>
      </c>
      <c r="K1573" s="45">
        <f>getWeightAsDouble('RawData (GH)'!I1573)</f>
        <v>544</v>
      </c>
      <c r="L1573" s="34">
        <f>getSizeDiameter('RawData (GH)'!J1573)</f>
        <v>0</v>
      </c>
      <c r="M1573" s="34">
        <f>getSizeLength('RawData (GH)'!J1573)</f>
        <v>0</v>
      </c>
    </row>
    <row r="1574" spans="1:13" x14ac:dyDescent="0.25">
      <c r="A1574" t="str">
        <f>'RawData (GH)'!A1574</f>
        <v>Veydra Mini Prime 25mm T2.2 für Micro-Four-Thirds schwarz</v>
      </c>
      <c r="B1574" s="5">
        <f>getFocalLengthStart('RawData (GH)'!B1574)</f>
        <v>25</v>
      </c>
      <c r="C1574" s="5">
        <f>getFocalLengthEnd('RawData (GH)'!B1574)</f>
        <v>25</v>
      </c>
      <c r="D1574" s="9">
        <f>getApertureStart('RawData (GH)'!C1574)</f>
        <v>2.2000000000000002</v>
      </c>
      <c r="E1574" s="9">
        <f>getApertureEnd('RawData (GH)'!C1574)</f>
        <v>2.2000000000000002</v>
      </c>
      <c r="F1574" s="2">
        <f>getFiltersizeAsDouble('RawData (GH)'!D1574)</f>
        <v>77</v>
      </c>
      <c r="G1574" s="35">
        <f>getMagnification('RawData (GH)'!E1574)</f>
        <v>0</v>
      </c>
      <c r="H1574" s="62">
        <f>getMinimalFocus('RawData (GH)'!F1574)</f>
        <v>0</v>
      </c>
      <c r="I1574" t="str">
        <f>getMount('RawData (GH)'!G1574)</f>
        <v>Micro-Four-Thirds</v>
      </c>
      <c r="J1574" t="str">
        <f>getSensorCompatibility('RawData (GH)'!H1574)</f>
        <v>APS-C</v>
      </c>
      <c r="K1574" s="45">
        <f>getWeightAsDouble('RawData (GH)'!I1574)</f>
        <v>499</v>
      </c>
      <c r="L1574" s="34">
        <f>getSizeDiameter('RawData (GH)'!J1574)</f>
        <v>0</v>
      </c>
      <c r="M1574" s="34">
        <f>getSizeLength('RawData (GH)'!J1574)</f>
        <v>0</v>
      </c>
    </row>
    <row r="1575" spans="1:13" x14ac:dyDescent="0.25">
      <c r="A1575" t="str">
        <f>'RawData (GH)'!A1575</f>
        <v>Veydra Mini Prime 25mm T2.2 für Sony E schwarz</v>
      </c>
      <c r="B1575" s="5">
        <f>getFocalLengthStart('RawData (GH)'!B1575)</f>
        <v>25</v>
      </c>
      <c r="C1575" s="5">
        <f>getFocalLengthEnd('RawData (GH)'!B1575)</f>
        <v>25</v>
      </c>
      <c r="D1575" s="9">
        <f>getApertureStart('RawData (GH)'!C1575)</f>
        <v>2.2000000000000002</v>
      </c>
      <c r="E1575" s="9">
        <f>getApertureEnd('RawData (GH)'!C1575)</f>
        <v>2.2000000000000002</v>
      </c>
      <c r="F1575" s="2">
        <f>getFiltersizeAsDouble('RawData (GH)'!D1575)</f>
        <v>77</v>
      </c>
      <c r="G1575" s="35">
        <f>getMagnification('RawData (GH)'!E1575)</f>
        <v>0</v>
      </c>
      <c r="H1575" s="62">
        <f>getMinimalFocus('RawData (GH)'!F1575)</f>
        <v>0</v>
      </c>
      <c r="I1575" t="str">
        <f>getMount('RawData (GH)'!G1575)</f>
        <v>Sony E</v>
      </c>
      <c r="J1575" t="str">
        <f>getSensorCompatibility('RawData (GH)'!H1575)</f>
        <v>APS-C</v>
      </c>
      <c r="K1575" s="45">
        <f>getWeightAsDouble('RawData (GH)'!I1575)</f>
        <v>499</v>
      </c>
      <c r="L1575" s="34">
        <f>getSizeDiameter('RawData (GH)'!J1575)</f>
        <v>0</v>
      </c>
      <c r="M1575" s="34">
        <f>getSizeLength('RawData (GH)'!J1575)</f>
        <v>0</v>
      </c>
    </row>
    <row r="1576" spans="1:13" x14ac:dyDescent="0.25">
      <c r="A1576" t="str">
        <f>'RawData (GH)'!A1576</f>
        <v>Veydra Mini Prime 35mm T2.2 für Micro-Four-Thirds schwarz</v>
      </c>
      <c r="B1576" s="5">
        <f>getFocalLengthStart('RawData (GH)'!B1576)</f>
        <v>35</v>
      </c>
      <c r="C1576" s="5">
        <f>getFocalLengthEnd('RawData (GH)'!B1576)</f>
        <v>35</v>
      </c>
      <c r="D1576" s="9">
        <f>getApertureStart('RawData (GH)'!C1576)</f>
        <v>2.2000000000000002</v>
      </c>
      <c r="E1576" s="9">
        <f>getApertureEnd('RawData (GH)'!C1576)</f>
        <v>2.2000000000000002</v>
      </c>
      <c r="F1576" s="2">
        <f>getFiltersizeAsDouble('RawData (GH)'!D1576)</f>
        <v>77</v>
      </c>
      <c r="G1576" s="35">
        <f>getMagnification('RawData (GH)'!E1576)</f>
        <v>0</v>
      </c>
      <c r="H1576" s="62">
        <f>getMinimalFocus('RawData (GH)'!F1576)</f>
        <v>0</v>
      </c>
      <c r="I1576" t="str">
        <f>getMount('RawData (GH)'!G1576)</f>
        <v>Micro-Four-Thirds</v>
      </c>
      <c r="J1576" t="str">
        <f>getSensorCompatibility('RawData (GH)'!H1576)</f>
        <v>APS-C/ Kleinbild</v>
      </c>
      <c r="K1576" s="45">
        <f>getWeightAsDouble('RawData (GH)'!I1576)</f>
        <v>880</v>
      </c>
      <c r="L1576" s="34">
        <f>getSizeDiameter('RawData (GH)'!J1576)</f>
        <v>0</v>
      </c>
      <c r="M1576" s="34">
        <f>getSizeLength('RawData (GH)'!J1576)</f>
        <v>0</v>
      </c>
    </row>
    <row r="1577" spans="1:13" x14ac:dyDescent="0.25">
      <c r="A1577" t="str">
        <f>'RawData (GH)'!A1577</f>
        <v>Veydra Mini Prime 35mm T2.2 für Sony E schwarz</v>
      </c>
      <c r="B1577" s="5">
        <f>getFocalLengthStart('RawData (GH)'!B1577)</f>
        <v>35</v>
      </c>
      <c r="C1577" s="5">
        <f>getFocalLengthEnd('RawData (GH)'!B1577)</f>
        <v>35</v>
      </c>
      <c r="D1577" s="9">
        <f>getApertureStart('RawData (GH)'!C1577)</f>
        <v>2.2000000000000002</v>
      </c>
      <c r="E1577" s="9">
        <f>getApertureEnd('RawData (GH)'!C1577)</f>
        <v>2.2000000000000002</v>
      </c>
      <c r="F1577" s="2">
        <f>getFiltersizeAsDouble('RawData (GH)'!D1577)</f>
        <v>77</v>
      </c>
      <c r="G1577" s="35">
        <f>getMagnification('RawData (GH)'!E1577)</f>
        <v>0</v>
      </c>
      <c r="H1577" s="62">
        <f>getMinimalFocus('RawData (GH)'!F1577)</f>
        <v>0</v>
      </c>
      <c r="I1577" t="str">
        <f>getMount('RawData (GH)'!G1577)</f>
        <v>Sony E</v>
      </c>
      <c r="J1577" t="str">
        <f>getSensorCompatibility('RawData (GH)'!H1577)</f>
        <v>APS-C/ Kleinbild</v>
      </c>
      <c r="K1577" s="45">
        <f>getWeightAsDouble('RawData (GH)'!I1577)</f>
        <v>880</v>
      </c>
      <c r="L1577" s="34">
        <f>getSizeDiameter('RawData (GH)'!J1577)</f>
        <v>0</v>
      </c>
      <c r="M1577" s="34">
        <f>getSizeLength('RawData (GH)'!J1577)</f>
        <v>0</v>
      </c>
    </row>
    <row r="1578" spans="1:13" x14ac:dyDescent="0.25">
      <c r="A1578" t="str">
        <f>'RawData (GH)'!A1578</f>
        <v>Veydra Mini Prime 50mm T2.2 für Micro-Four-Thirds schwarz</v>
      </c>
      <c r="B1578" s="5">
        <f>getFocalLengthStart('RawData (GH)'!B1578)</f>
        <v>50</v>
      </c>
      <c r="C1578" s="5">
        <f>getFocalLengthEnd('RawData (GH)'!B1578)</f>
        <v>50</v>
      </c>
      <c r="D1578" s="9">
        <f>getApertureStart('RawData (GH)'!C1578)</f>
        <v>2.2000000000000002</v>
      </c>
      <c r="E1578" s="9">
        <f>getApertureEnd('RawData (GH)'!C1578)</f>
        <v>2.2000000000000002</v>
      </c>
      <c r="F1578" s="2">
        <f>getFiltersizeAsDouble('RawData (GH)'!D1578)</f>
        <v>77</v>
      </c>
      <c r="G1578" s="35">
        <f>getMagnification('RawData (GH)'!E1578)</f>
        <v>0</v>
      </c>
      <c r="H1578" s="62">
        <f>getMinimalFocus('RawData (GH)'!F1578)</f>
        <v>0</v>
      </c>
      <c r="I1578" t="str">
        <f>getMount('RawData (GH)'!G1578)</f>
        <v>Micro-Four-Thirds</v>
      </c>
      <c r="J1578" t="str">
        <f>getSensorCompatibility('RawData (GH)'!H1578)</f>
        <v>APS-C/ Kleinbild</v>
      </c>
      <c r="K1578" s="45">
        <f>getWeightAsDouble('RawData (GH)'!I1578)</f>
        <v>462</v>
      </c>
      <c r="L1578" s="34">
        <f>getSizeDiameter('RawData (GH)'!J1578)</f>
        <v>0</v>
      </c>
      <c r="M1578" s="34">
        <f>getSizeLength('RawData (GH)'!J1578)</f>
        <v>0</v>
      </c>
    </row>
    <row r="1579" spans="1:13" x14ac:dyDescent="0.25">
      <c r="A1579" t="str">
        <f>'RawData (GH)'!A1579</f>
        <v>Veydra Mini Prime 50mm T2.2 für Sony E schwarz</v>
      </c>
      <c r="B1579" s="5">
        <f>getFocalLengthStart('RawData (GH)'!B1579)</f>
        <v>50</v>
      </c>
      <c r="C1579" s="5">
        <f>getFocalLengthEnd('RawData (GH)'!B1579)</f>
        <v>50</v>
      </c>
      <c r="D1579" s="9">
        <f>getApertureStart('RawData (GH)'!C1579)</f>
        <v>2.2000000000000002</v>
      </c>
      <c r="E1579" s="9">
        <f>getApertureEnd('RawData (GH)'!C1579)</f>
        <v>2.2000000000000002</v>
      </c>
      <c r="F1579" s="2">
        <f>getFiltersizeAsDouble('RawData (GH)'!D1579)</f>
        <v>77</v>
      </c>
      <c r="G1579" s="35">
        <f>getMagnification('RawData (GH)'!E1579)</f>
        <v>0</v>
      </c>
      <c r="H1579" s="62">
        <f>getMinimalFocus('RawData (GH)'!F1579)</f>
        <v>0</v>
      </c>
      <c r="I1579" t="str">
        <f>getMount('RawData (GH)'!G1579)</f>
        <v>Sony E</v>
      </c>
      <c r="J1579" t="str">
        <f>getSensorCompatibility('RawData (GH)'!H1579)</f>
        <v>APS-C/ Kleinbild</v>
      </c>
      <c r="K1579" s="45">
        <f>getWeightAsDouble('RawData (GH)'!I1579)</f>
        <v>462</v>
      </c>
      <c r="L1579" s="34">
        <f>getSizeDiameter('RawData (GH)'!J1579)</f>
        <v>0</v>
      </c>
      <c r="M1579" s="34">
        <f>getSizeLength('RawData (GH)'!J1579)</f>
        <v>0</v>
      </c>
    </row>
    <row r="1580" spans="1:13" x14ac:dyDescent="0.25">
      <c r="A1580" t="str">
        <f>'RawData (GH)'!A1580</f>
        <v>Veydra Mini Prime 85mm T2.2 für Micro-Four-Thirds schwarz</v>
      </c>
      <c r="B1580" s="5">
        <f>getFocalLengthStart('RawData (GH)'!B1580)</f>
        <v>85</v>
      </c>
      <c r="C1580" s="5">
        <f>getFocalLengthEnd('RawData (GH)'!B1580)</f>
        <v>85</v>
      </c>
      <c r="D1580" s="9">
        <f>getApertureStart('RawData (GH)'!C1580)</f>
        <v>2.2000000000000002</v>
      </c>
      <c r="E1580" s="9">
        <f>getApertureEnd('RawData (GH)'!C1580)</f>
        <v>2.2000000000000002</v>
      </c>
      <c r="F1580" s="2">
        <f>getFiltersizeAsDouble('RawData (GH)'!D1580)</f>
        <v>0</v>
      </c>
      <c r="G1580" s="35">
        <f>getMagnification('RawData (GH)'!E1580)</f>
        <v>0</v>
      </c>
      <c r="H1580" s="62">
        <f>getMinimalFocus('RawData (GH)'!F1580)</f>
        <v>0</v>
      </c>
      <c r="I1580" t="str">
        <f>getMount('RawData (GH)'!G1580)</f>
        <v>Micro-Four-Thirds</v>
      </c>
      <c r="J1580" t="str">
        <f>getSensorCompatibility('RawData (GH)'!H1580)</f>
        <v>APS-C/ Kleinbild</v>
      </c>
      <c r="K1580" s="45">
        <f>getWeightAsDouble('RawData (GH)'!I1580)</f>
        <v>0</v>
      </c>
      <c r="L1580" s="34">
        <f>getSizeDiameter('RawData (GH)'!J1580)</f>
        <v>0</v>
      </c>
      <c r="M1580" s="34">
        <f>getSizeLength('RawData (GH)'!J1580)</f>
        <v>0</v>
      </c>
    </row>
    <row r="1581" spans="1:13" x14ac:dyDescent="0.25">
      <c r="A1581" t="str">
        <f>'RawData (GH)'!A1581</f>
        <v>Veydra Mini Prime 85mm T2.2 für Sony E schwarz</v>
      </c>
      <c r="B1581" s="5">
        <f>getFocalLengthStart('RawData (GH)'!B1581)</f>
        <v>85</v>
      </c>
      <c r="C1581" s="5">
        <f>getFocalLengthEnd('RawData (GH)'!B1581)</f>
        <v>85</v>
      </c>
      <c r="D1581" s="9">
        <f>getApertureStart('RawData (GH)'!C1581)</f>
        <v>2.2000000000000002</v>
      </c>
      <c r="E1581" s="9">
        <f>getApertureEnd('RawData (GH)'!C1581)</f>
        <v>2.2000000000000002</v>
      </c>
      <c r="F1581" s="2">
        <f>getFiltersizeAsDouble('RawData (GH)'!D1581)</f>
        <v>0</v>
      </c>
      <c r="G1581" s="35">
        <f>getMagnification('RawData (GH)'!E1581)</f>
        <v>0</v>
      </c>
      <c r="H1581" s="62">
        <f>getMinimalFocus('RawData (GH)'!F1581)</f>
        <v>0</v>
      </c>
      <c r="I1581" t="str">
        <f>getMount('RawData (GH)'!G1581)</f>
        <v>Sony E</v>
      </c>
      <c r="J1581" t="str">
        <f>getSensorCompatibility('RawData (GH)'!H1581)</f>
        <v>APS-C/ Kleinbild</v>
      </c>
      <c r="K1581" s="45">
        <f>getWeightAsDouble('RawData (GH)'!I1581)</f>
        <v>0</v>
      </c>
      <c r="L1581" s="34">
        <f>getSizeDiameter('RawData (GH)'!J1581)</f>
        <v>0</v>
      </c>
      <c r="M1581" s="34">
        <f>getSizeLength('RawData (GH)'!J1581)</f>
        <v>0</v>
      </c>
    </row>
    <row r="1582" spans="1:13" x14ac:dyDescent="0.25">
      <c r="A1582" t="str">
        <f>'RawData (GH)'!A1582</f>
        <v>Voigtländer APO-Lanthar 65mm 2.0 Macro für Sony E schwarz</v>
      </c>
      <c r="B1582" s="5">
        <f>getFocalLengthStart('RawData (GH)'!B1582)</f>
        <v>65</v>
      </c>
      <c r="C1582" s="5">
        <f>getFocalLengthEnd('RawData (GH)'!B1582)</f>
        <v>65</v>
      </c>
      <c r="D1582" s="9">
        <f>getApertureStart('RawData (GH)'!C1582)</f>
        <v>2</v>
      </c>
      <c r="E1582" s="9">
        <f>getApertureEnd('RawData (GH)'!C1582)</f>
        <v>2</v>
      </c>
      <c r="F1582" s="2">
        <f>getFiltersizeAsDouble('RawData (GH)'!D1582)</f>
        <v>67</v>
      </c>
      <c r="G1582" s="35">
        <f>getMagnification('RawData (GH)'!E1582)</f>
        <v>2</v>
      </c>
      <c r="H1582" s="62">
        <f>getMinimalFocus('RawData (GH)'!F1582)</f>
        <v>0</v>
      </c>
      <c r="I1582" t="str">
        <f>getMount('RawData (GH)'!G1582)</f>
        <v>Sony E</v>
      </c>
      <c r="J1582" t="str">
        <f>getSensorCompatibility('RawData (GH)'!H1582)</f>
        <v>APS-C/ Kleinbild</v>
      </c>
      <c r="K1582" s="45">
        <f>getWeightAsDouble('RawData (GH)'!I1582)</f>
        <v>0</v>
      </c>
      <c r="L1582" s="34">
        <f>getSizeDiameter('RawData (GH)'!J1582)</f>
        <v>77.2</v>
      </c>
      <c r="M1582" s="34">
        <f>getSizeLength('RawData (GH)'!J1582)</f>
        <v>98.5</v>
      </c>
    </row>
    <row r="1583" spans="1:13" x14ac:dyDescent="0.25">
      <c r="A1583" t="str">
        <f>'RawData (GH)'!A1583</f>
        <v>Voigtländer Classic Collection Color Heliar 75mm 1.8 schwarz</v>
      </c>
      <c r="B1583" s="5">
        <f>getFocalLengthStart('RawData (GH)'!B1583)</f>
        <v>75</v>
      </c>
      <c r="C1583" s="5">
        <f>getFocalLengthEnd('RawData (GH)'!B1583)</f>
        <v>75</v>
      </c>
      <c r="D1583" s="9">
        <f>getApertureStart('RawData (GH)'!C1583)</f>
        <v>1.8</v>
      </c>
      <c r="E1583" s="9">
        <f>getApertureEnd('RawData (GH)'!C1583)</f>
        <v>1.8</v>
      </c>
      <c r="F1583" s="2">
        <f>getFiltersizeAsDouble('RawData (GH)'!D1583)</f>
        <v>52</v>
      </c>
      <c r="G1583" s="35">
        <f>getMagnification('RawData (GH)'!E1583)</f>
        <v>7.41</v>
      </c>
      <c r="H1583" s="62">
        <f>getMinimalFocus('RawData (GH)'!F1583)</f>
        <v>0</v>
      </c>
      <c r="I1583" t="str">
        <f>getMount('RawData (GH)'!G1583)</f>
        <v>Leica M</v>
      </c>
      <c r="J1583" t="str">
        <f>getSensorCompatibility('RawData (GH)'!H1583)</f>
        <v>Mittelformat</v>
      </c>
      <c r="K1583" s="45">
        <f>getWeightAsDouble('RawData (GH)'!I1583)</f>
        <v>427</v>
      </c>
      <c r="L1583" s="34">
        <f>getSizeDiameter('RawData (GH)'!J1583)</f>
        <v>57.9</v>
      </c>
      <c r="M1583" s="34">
        <f>getSizeLength('RawData (GH)'!J1583)</f>
        <v>73.8</v>
      </c>
    </row>
    <row r="1584" spans="1:13" x14ac:dyDescent="0.25">
      <c r="A1584" t="str">
        <f>'RawData (GH)'!A1584</f>
        <v>Voigtländer Classic Collection Color Skopar 21mm 4.0 schwarz</v>
      </c>
      <c r="B1584" s="5">
        <f>getFocalLengthStart('RawData (GH)'!B1584)</f>
        <v>21</v>
      </c>
      <c r="C1584" s="5">
        <f>getFocalLengthEnd('RawData (GH)'!B1584)</f>
        <v>21</v>
      </c>
      <c r="D1584" s="9">
        <f>getApertureStart('RawData (GH)'!C1584)</f>
        <v>4</v>
      </c>
      <c r="E1584" s="9">
        <f>getApertureEnd('RawData (GH)'!C1584)</f>
        <v>4</v>
      </c>
      <c r="F1584" s="2">
        <f>getFiltersizeAsDouble('RawData (GH)'!D1584)</f>
        <v>0</v>
      </c>
      <c r="G1584" s="35">
        <f>getMagnification('RawData (GH)'!E1584)</f>
        <v>0</v>
      </c>
      <c r="H1584" s="62">
        <f>getMinimalFocus('RawData (GH)'!F1584)</f>
        <v>0</v>
      </c>
      <c r="I1584" t="str">
        <f>getMount('RawData (GH)'!G1584)</f>
        <v>Leica M</v>
      </c>
      <c r="J1584" t="str">
        <f>getSensorCompatibility('RawData (GH)'!H1584)</f>
        <v>Mittelformat</v>
      </c>
      <c r="K1584" s="45">
        <f>getWeightAsDouble('RawData (GH)'!I1584)</f>
        <v>109</v>
      </c>
      <c r="L1584" s="34">
        <f>getSizeDiameter('RawData (GH)'!J1584)</f>
        <v>49.6</v>
      </c>
      <c r="M1584" s="34">
        <f>getSizeLength('RawData (GH)'!J1584)</f>
        <v>29.1</v>
      </c>
    </row>
    <row r="1585" spans="1:13" x14ac:dyDescent="0.25">
      <c r="A1585" t="str">
        <f>'RawData (GH)'!A1585</f>
        <v>Voigtländer Classic Collection Color Skopar Pancake 25mm 4.0 schwarz</v>
      </c>
      <c r="B1585" s="5">
        <f>getFocalLengthStart('RawData (GH)'!B1585)</f>
        <v>25</v>
      </c>
      <c r="C1585" s="5">
        <f>getFocalLengthEnd('RawData (GH)'!B1585)</f>
        <v>25</v>
      </c>
      <c r="D1585" s="9">
        <f>getApertureStart('RawData (GH)'!C1585)</f>
        <v>4</v>
      </c>
      <c r="E1585" s="9">
        <f>getApertureEnd('RawData (GH)'!C1585)</f>
        <v>4</v>
      </c>
      <c r="F1585" s="2">
        <f>getFiltersizeAsDouble('RawData (GH)'!D1585)</f>
        <v>39</v>
      </c>
      <c r="G1585" s="35">
        <f>getMagnification('RawData (GH)'!E1585)</f>
        <v>0</v>
      </c>
      <c r="H1585" s="62">
        <f>getMinimalFocus('RawData (GH)'!F1585)</f>
        <v>0</v>
      </c>
      <c r="I1585" t="str">
        <f>getMount('RawData (GH)'!G1585)</f>
        <v>Leica M</v>
      </c>
      <c r="J1585" t="str">
        <f>getSensorCompatibility('RawData (GH)'!H1585)</f>
        <v>Mittelformat</v>
      </c>
      <c r="K1585" s="45">
        <f>getWeightAsDouble('RawData (GH)'!I1585)</f>
        <v>156</v>
      </c>
      <c r="L1585" s="34">
        <f>getSizeDiameter('RawData (GH)'!J1585)</f>
        <v>0</v>
      </c>
      <c r="M1585" s="34">
        <f>getSizeLength('RawData (GH)'!J1585)</f>
        <v>0</v>
      </c>
    </row>
    <row r="1586" spans="1:13" x14ac:dyDescent="0.25">
      <c r="A1586" t="str">
        <f>'RawData (GH)'!A1586</f>
        <v>Voigtländer Classic Collection Color Skopar Pancake II 21mm 4.0 schwarz</v>
      </c>
      <c r="B1586" s="5">
        <f>getFocalLengthStart('RawData (GH)'!B1586)</f>
        <v>21</v>
      </c>
      <c r="C1586" s="5">
        <f>getFocalLengthEnd('RawData (GH)'!B1586)</f>
        <v>21</v>
      </c>
      <c r="D1586" s="9">
        <f>getApertureStart('RawData (GH)'!C1586)</f>
        <v>4</v>
      </c>
      <c r="E1586" s="9">
        <f>getApertureEnd('RawData (GH)'!C1586)</f>
        <v>4</v>
      </c>
      <c r="F1586" s="2">
        <f>getFiltersizeAsDouble('RawData (GH)'!D1586)</f>
        <v>0</v>
      </c>
      <c r="G1586" s="35">
        <f>getMagnification('RawData (GH)'!E1586)</f>
        <v>0</v>
      </c>
      <c r="H1586" s="62">
        <f>getMinimalFocus('RawData (GH)'!F1586)</f>
        <v>0</v>
      </c>
      <c r="I1586" t="str">
        <f>getMount('RawData (GH)'!G1586)</f>
        <v>Leica M</v>
      </c>
      <c r="J1586" t="str">
        <f>getSensorCompatibility('RawData (GH)'!H1586)</f>
        <v>Mittelformat</v>
      </c>
      <c r="K1586" s="45">
        <f>getWeightAsDouble('RawData (GH)'!I1586)</f>
        <v>136</v>
      </c>
      <c r="L1586" s="34">
        <f>getSizeDiameter('RawData (GH)'!J1586)</f>
        <v>55</v>
      </c>
      <c r="M1586" s="34">
        <f>getSizeLength('RawData (GH)'!J1586)</f>
        <v>25.4</v>
      </c>
    </row>
    <row r="1587" spans="1:13" x14ac:dyDescent="0.25">
      <c r="A1587" t="str">
        <f>'RawData (GH)'!A1587</f>
        <v>Voigtländer Classic Collection Color Skopar Pancake II 35mm 2.5 schwarz</v>
      </c>
      <c r="B1587" s="5">
        <f>getFocalLengthStart('RawData (GH)'!B1587)</f>
        <v>35</v>
      </c>
      <c r="C1587" s="5">
        <f>getFocalLengthEnd('RawData (GH)'!B1587)</f>
        <v>35</v>
      </c>
      <c r="D1587" s="9">
        <f>getApertureStart('RawData (GH)'!C1587)</f>
        <v>2.5</v>
      </c>
      <c r="E1587" s="9">
        <f>getApertureEnd('RawData (GH)'!C1587)</f>
        <v>2.5</v>
      </c>
      <c r="F1587" s="2">
        <f>getFiltersizeAsDouble('RawData (GH)'!D1587)</f>
        <v>0</v>
      </c>
      <c r="G1587" s="35">
        <f>getMagnification('RawData (GH)'!E1587)</f>
        <v>0</v>
      </c>
      <c r="H1587" s="62">
        <f>getMinimalFocus('RawData (GH)'!F1587)</f>
        <v>0</v>
      </c>
      <c r="I1587" t="str">
        <f>getMount('RawData (GH)'!G1587)</f>
        <v>Leica M</v>
      </c>
      <c r="J1587" t="str">
        <f>getSensorCompatibility('RawData (GH)'!H1587)</f>
        <v>Mittelformat</v>
      </c>
      <c r="K1587" s="45">
        <f>getWeightAsDouble('RawData (GH)'!I1587)</f>
        <v>134</v>
      </c>
      <c r="L1587" s="34">
        <f>getSizeDiameter('RawData (GH)'!J1587)</f>
        <v>55</v>
      </c>
      <c r="M1587" s="34">
        <f>getSizeLength('RawData (GH)'!J1587)</f>
        <v>23</v>
      </c>
    </row>
    <row r="1588" spans="1:13" x14ac:dyDescent="0.25">
      <c r="A1588" t="str">
        <f>'RawData (GH)'!A1588</f>
        <v>Voigtländer Classic Collection Nokton 35mm 1.2 schwarz</v>
      </c>
      <c r="B1588" s="5">
        <f>getFocalLengthStart('RawData (GH)'!B1588)</f>
        <v>35</v>
      </c>
      <c r="C1588" s="5">
        <f>getFocalLengthEnd('RawData (GH)'!B1588)</f>
        <v>35</v>
      </c>
      <c r="D1588" s="9">
        <f>getApertureStart('RawData (GH)'!C1588)</f>
        <v>1.2</v>
      </c>
      <c r="E1588" s="9">
        <f>getApertureEnd('RawData (GH)'!C1588)</f>
        <v>1.2</v>
      </c>
      <c r="F1588" s="2">
        <f>getFiltersizeAsDouble('RawData (GH)'!D1588)</f>
        <v>0</v>
      </c>
      <c r="G1588" s="35">
        <f>getMagnification('RawData (GH)'!E1588)</f>
        <v>0</v>
      </c>
      <c r="H1588" s="62">
        <f>getMinimalFocus('RawData (GH)'!F1588)</f>
        <v>0</v>
      </c>
      <c r="I1588" t="str">
        <f>getMount('RawData (GH)'!G1588)</f>
        <v>Leica M</v>
      </c>
      <c r="J1588" t="str">
        <f>getSensorCompatibility('RawData (GH)'!H1588)</f>
        <v>Mittelformat</v>
      </c>
      <c r="K1588" s="45">
        <f>getWeightAsDouble('RawData (GH)'!I1588)</f>
        <v>490</v>
      </c>
      <c r="L1588" s="34">
        <f>getSizeDiameter('RawData (GH)'!J1588)</f>
        <v>63</v>
      </c>
      <c r="M1588" s="34">
        <f>getSizeLength('RawData (GH)'!J1588)</f>
        <v>77.8</v>
      </c>
    </row>
    <row r="1589" spans="1:13" x14ac:dyDescent="0.25">
      <c r="A1589" t="str">
        <f>'RawData (GH)'!A1589</f>
        <v>Voigtländer Classic Collection Nokton 35mm 1.4 schwarz</v>
      </c>
      <c r="B1589" s="5">
        <f>getFocalLengthStart('RawData (GH)'!B1589)</f>
        <v>35</v>
      </c>
      <c r="C1589" s="5">
        <f>getFocalLengthEnd('RawData (GH)'!B1589)</f>
        <v>35</v>
      </c>
      <c r="D1589" s="9">
        <f>getApertureStart('RawData (GH)'!C1589)</f>
        <v>1.4</v>
      </c>
      <c r="E1589" s="9">
        <f>getApertureEnd('RawData (GH)'!C1589)</f>
        <v>1.4</v>
      </c>
      <c r="F1589" s="2">
        <f>getFiltersizeAsDouble('RawData (GH)'!D1589)</f>
        <v>43</v>
      </c>
      <c r="G1589" s="35">
        <f>getMagnification('RawData (GH)'!E1589)</f>
        <v>0</v>
      </c>
      <c r="H1589" s="62">
        <f>getMinimalFocus('RawData (GH)'!F1589)</f>
        <v>0</v>
      </c>
      <c r="I1589" t="str">
        <f>getMount('RawData (GH)'!G1589)</f>
        <v>Leica M</v>
      </c>
      <c r="J1589" t="str">
        <f>getSensorCompatibility('RawData (GH)'!H1589)</f>
        <v>Mittelformat</v>
      </c>
      <c r="K1589" s="45">
        <f>getWeightAsDouble('RawData (GH)'!I1589)</f>
        <v>200</v>
      </c>
      <c r="L1589" s="34">
        <f>getSizeDiameter('RawData (GH)'!J1589)</f>
        <v>55</v>
      </c>
      <c r="M1589" s="34">
        <f>getSizeLength('RawData (GH)'!J1589)</f>
        <v>28.5</v>
      </c>
    </row>
    <row r="1590" spans="1:13" x14ac:dyDescent="0.25">
      <c r="A1590" t="str">
        <f>'RawData (GH)'!A1590</f>
        <v>Voigtländer Classic Collection Nokton 40mm 1.4 schwarz</v>
      </c>
      <c r="B1590" s="5">
        <f>getFocalLengthStart('RawData (GH)'!B1590)</f>
        <v>40</v>
      </c>
      <c r="C1590" s="5">
        <f>getFocalLengthEnd('RawData (GH)'!B1590)</f>
        <v>40</v>
      </c>
      <c r="D1590" s="9">
        <f>getApertureStart('RawData (GH)'!C1590)</f>
        <v>1.4</v>
      </c>
      <c r="E1590" s="9">
        <f>getApertureEnd('RawData (GH)'!C1590)</f>
        <v>1.4</v>
      </c>
      <c r="F1590" s="2">
        <f>getFiltersizeAsDouble('RawData (GH)'!D1590)</f>
        <v>0</v>
      </c>
      <c r="G1590" s="35">
        <f>getMagnification('RawData (GH)'!E1590)</f>
        <v>0</v>
      </c>
      <c r="H1590" s="62">
        <f>getMinimalFocus('RawData (GH)'!F1590)</f>
        <v>0</v>
      </c>
      <c r="I1590" t="str">
        <f>getMount('RawData (GH)'!G1590)</f>
        <v>Leica M</v>
      </c>
      <c r="J1590" t="str">
        <f>getSensorCompatibility('RawData (GH)'!H1590)</f>
        <v>Mittelformat</v>
      </c>
      <c r="K1590" s="45">
        <f>getWeightAsDouble('RawData (GH)'!I1590)</f>
        <v>175</v>
      </c>
      <c r="L1590" s="34">
        <f>getSizeDiameter('RawData (GH)'!J1590)</f>
        <v>55</v>
      </c>
      <c r="M1590" s="34">
        <f>getSizeLength('RawData (GH)'!J1590)</f>
        <v>29.7</v>
      </c>
    </row>
    <row r="1591" spans="1:13" x14ac:dyDescent="0.25">
      <c r="A1591" t="str">
        <f>'RawData (GH)'!A1591</f>
        <v>Voigtländer Classic Collection Nokton 50mm 1.1 schwarz</v>
      </c>
      <c r="B1591" s="5">
        <f>getFocalLengthStart('RawData (GH)'!B1591)</f>
        <v>50</v>
      </c>
      <c r="C1591" s="5">
        <f>getFocalLengthEnd('RawData (GH)'!B1591)</f>
        <v>50</v>
      </c>
      <c r="D1591" s="9">
        <f>getApertureStart('RawData (GH)'!C1591)</f>
        <v>1.1000000000000001</v>
      </c>
      <c r="E1591" s="9">
        <f>getApertureEnd('RawData (GH)'!C1591)</f>
        <v>1.1000000000000001</v>
      </c>
      <c r="F1591" s="2">
        <f>getFiltersizeAsDouble('RawData (GH)'!D1591)</f>
        <v>58</v>
      </c>
      <c r="G1591" s="35">
        <f>getMagnification('RawData (GH)'!E1591)</f>
        <v>0</v>
      </c>
      <c r="H1591" s="62">
        <f>getMinimalFocus('RawData (GH)'!F1591)</f>
        <v>0</v>
      </c>
      <c r="I1591" t="str">
        <f>getMount('RawData (GH)'!G1591)</f>
        <v>Leica M</v>
      </c>
      <c r="J1591" t="str">
        <f>getSensorCompatibility('RawData (GH)'!H1591)</f>
        <v>Mittelformat</v>
      </c>
      <c r="K1591" s="45">
        <f>getWeightAsDouble('RawData (GH)'!I1591)</f>
        <v>428</v>
      </c>
      <c r="L1591" s="34">
        <f>getSizeDiameter('RawData (GH)'!J1591)</f>
        <v>69.599999999999994</v>
      </c>
      <c r="M1591" s="34">
        <f>getSizeLength('RawData (GH)'!J1591)</f>
        <v>57.2</v>
      </c>
    </row>
    <row r="1592" spans="1:13" x14ac:dyDescent="0.25">
      <c r="A1592" t="str">
        <f>'RawData (GH)'!A1592</f>
        <v>Voigtländer Classic Collection Nokton 50mm 1.5</v>
      </c>
      <c r="B1592" s="5">
        <f>getFocalLengthStart('RawData (GH)'!B1592)</f>
        <v>50</v>
      </c>
      <c r="C1592" s="5">
        <f>getFocalLengthEnd('RawData (GH)'!B1592)</f>
        <v>50</v>
      </c>
      <c r="D1592" s="9">
        <f>getApertureStart('RawData (GH)'!C1592)</f>
        <v>1.5</v>
      </c>
      <c r="E1592" s="9">
        <f>getApertureEnd('RawData (GH)'!C1592)</f>
        <v>1.5</v>
      </c>
      <c r="F1592" s="2">
        <f>getFiltersizeAsDouble('RawData (GH)'!D1592)</f>
        <v>0</v>
      </c>
      <c r="G1592" s="35">
        <f>getMagnification('RawData (GH)'!E1592)</f>
        <v>0</v>
      </c>
      <c r="H1592" s="62">
        <f>getMinimalFocus('RawData (GH)'!F1592)</f>
        <v>0</v>
      </c>
      <c r="I1592" t="str">
        <f>getMount('RawData (GH)'!G1592)</f>
        <v>Leica M</v>
      </c>
      <c r="J1592" t="str">
        <f>getSensorCompatibility('RawData (GH)'!H1592)</f>
        <v>Mittelformat</v>
      </c>
      <c r="K1592" s="45">
        <f>getWeightAsDouble('RawData (GH)'!I1592)</f>
        <v>243</v>
      </c>
      <c r="L1592" s="34">
        <f>getSizeDiameter('RawData (GH)'!J1592)</f>
        <v>60</v>
      </c>
      <c r="M1592" s="34">
        <f>getSizeLength('RawData (GH)'!J1592)</f>
        <v>54.5</v>
      </c>
    </row>
    <row r="1593" spans="1:13" x14ac:dyDescent="0.25">
      <c r="A1593" t="str">
        <f>'RawData (GH)'!A1593</f>
        <v>Voigtländer Classic Collection Super Wide Heliar 15mm 4.5 schwarz</v>
      </c>
      <c r="B1593" s="5">
        <f>getFocalLengthStart('RawData (GH)'!B1593)</f>
        <v>15</v>
      </c>
      <c r="C1593" s="5">
        <f>getFocalLengthEnd('RawData (GH)'!B1593)</f>
        <v>15</v>
      </c>
      <c r="D1593" s="9">
        <f>getApertureStart('RawData (GH)'!C1593)</f>
        <v>4.5</v>
      </c>
      <c r="E1593" s="9">
        <f>getApertureEnd('RawData (GH)'!C1593)</f>
        <v>4.5</v>
      </c>
      <c r="F1593" s="2">
        <f>getFiltersizeAsDouble('RawData (GH)'!D1593)</f>
        <v>0</v>
      </c>
      <c r="G1593" s="35">
        <f>getMagnification('RawData (GH)'!E1593)</f>
        <v>0</v>
      </c>
      <c r="H1593" s="62">
        <f>getMinimalFocus('RawData (GH)'!F1593)</f>
        <v>0</v>
      </c>
      <c r="I1593" t="str">
        <f>getMount('RawData (GH)'!G1593)</f>
        <v>Leica M</v>
      </c>
      <c r="J1593" t="str">
        <f>getSensorCompatibility('RawData (GH)'!H1593)</f>
        <v>Mittelformat</v>
      </c>
      <c r="K1593" s="45">
        <f>getWeightAsDouble('RawData (GH)'!I1593)</f>
        <v>105</v>
      </c>
      <c r="L1593" s="34">
        <f>getSizeDiameter('RawData (GH)'!J1593)</f>
        <v>49.6</v>
      </c>
      <c r="M1593" s="34">
        <f>getSizeLength('RawData (GH)'!J1593)</f>
        <v>30.7</v>
      </c>
    </row>
    <row r="1594" spans="1:13" x14ac:dyDescent="0.25">
      <c r="A1594" t="str">
        <f>'RawData (GH)'!A1594</f>
        <v>Voigtländer Classic Collection Ultra Wide Heliar 12mm 5.6 schwarz</v>
      </c>
      <c r="B1594" s="5">
        <f>getFocalLengthStart('RawData (GH)'!B1594)</f>
        <v>12</v>
      </c>
      <c r="C1594" s="5">
        <f>getFocalLengthEnd('RawData (GH)'!B1594)</f>
        <v>12</v>
      </c>
      <c r="D1594" s="9">
        <f>getApertureStart('RawData (GH)'!C1594)</f>
        <v>5.6</v>
      </c>
      <c r="E1594" s="9">
        <f>getApertureEnd('RawData (GH)'!C1594)</f>
        <v>5.6</v>
      </c>
      <c r="F1594" s="2">
        <f>getFiltersizeAsDouble('RawData (GH)'!D1594)</f>
        <v>67</v>
      </c>
      <c r="G1594" s="35">
        <f>getMagnification('RawData (GH)'!E1594)</f>
        <v>0</v>
      </c>
      <c r="H1594" s="62">
        <f>getMinimalFocus('RawData (GH)'!F1594)</f>
        <v>0</v>
      </c>
      <c r="I1594" t="str">
        <f>getMount('RawData (GH)'!G1594)</f>
        <v>Leica M</v>
      </c>
      <c r="J1594" t="str">
        <f>getSensorCompatibility('RawData (GH)'!H1594)</f>
        <v>Mittelformat</v>
      </c>
      <c r="K1594" s="45">
        <f>getWeightAsDouble('RawData (GH)'!I1594)</f>
        <v>162</v>
      </c>
      <c r="L1594" s="34">
        <f>getSizeDiameter('RawData (GH)'!J1594)</f>
        <v>74.599999999999994</v>
      </c>
      <c r="M1594" s="34">
        <f>getSizeLength('RawData (GH)'!J1594)</f>
        <v>42.5</v>
      </c>
    </row>
    <row r="1595" spans="1:13" x14ac:dyDescent="0.25">
      <c r="A1595" t="str">
        <f>'RawData (GH)'!A1595</f>
        <v>Voigtländer Classic Collection Ultron 21mm 1.8 schwarz</v>
      </c>
      <c r="B1595" s="5">
        <f>getFocalLengthStart('RawData (GH)'!B1595)</f>
        <v>21</v>
      </c>
      <c r="C1595" s="5">
        <f>getFocalLengthEnd('RawData (GH)'!B1595)</f>
        <v>21</v>
      </c>
      <c r="D1595" s="9">
        <f>getApertureStart('RawData (GH)'!C1595)</f>
        <v>1.8</v>
      </c>
      <c r="E1595" s="9">
        <f>getApertureEnd('RawData (GH)'!C1595)</f>
        <v>1.8</v>
      </c>
      <c r="F1595" s="2">
        <f>getFiltersizeAsDouble('RawData (GH)'!D1595)</f>
        <v>58</v>
      </c>
      <c r="G1595" s="35">
        <f>getMagnification('RawData (GH)'!E1595)</f>
        <v>0</v>
      </c>
      <c r="H1595" s="62">
        <f>getMinimalFocus('RawData (GH)'!F1595)</f>
        <v>0</v>
      </c>
      <c r="I1595" t="str">
        <f>getMount('RawData (GH)'!G1595)</f>
        <v>Leica M</v>
      </c>
      <c r="J1595" t="str">
        <f>getSensorCompatibility('RawData (GH)'!H1595)</f>
        <v>Mittelformat</v>
      </c>
      <c r="K1595" s="45">
        <f>getWeightAsDouble('RawData (GH)'!I1595)</f>
        <v>412</v>
      </c>
      <c r="L1595" s="34">
        <f>getSizeDiameter('RawData (GH)'!J1595)</f>
        <v>69</v>
      </c>
      <c r="M1595" s="34">
        <f>getSizeLength('RawData (GH)'!J1595)</f>
        <v>78.400000000000006</v>
      </c>
    </row>
    <row r="1596" spans="1:13" x14ac:dyDescent="0.25">
      <c r="A1596" t="str">
        <f>'RawData (GH)'!A1596</f>
        <v>Voigtländer Classic Collection Ultron 28mm 2.0 schwarz</v>
      </c>
      <c r="B1596" s="5">
        <f>getFocalLengthStart('RawData (GH)'!B1596)</f>
        <v>28</v>
      </c>
      <c r="C1596" s="5">
        <f>getFocalLengthEnd('RawData (GH)'!B1596)</f>
        <v>28</v>
      </c>
      <c r="D1596" s="9">
        <f>getApertureStart('RawData (GH)'!C1596)</f>
        <v>2</v>
      </c>
      <c r="E1596" s="9">
        <f>getApertureEnd('RawData (GH)'!C1596)</f>
        <v>2</v>
      </c>
      <c r="F1596" s="2">
        <f>getFiltersizeAsDouble('RawData (GH)'!D1596)</f>
        <v>46</v>
      </c>
      <c r="G1596" s="35">
        <f>getMagnification('RawData (GH)'!E1596)</f>
        <v>0</v>
      </c>
      <c r="H1596" s="62">
        <f>getMinimalFocus('RawData (GH)'!F1596)</f>
        <v>0</v>
      </c>
      <c r="I1596" t="str">
        <f>getMount('RawData (GH)'!G1596)</f>
        <v>Leica M</v>
      </c>
      <c r="J1596" t="str">
        <f>getSensorCompatibility('RawData (GH)'!H1596)</f>
        <v>Mittelformat</v>
      </c>
      <c r="K1596" s="45">
        <f>getWeightAsDouble('RawData (GH)'!I1596)</f>
        <v>244</v>
      </c>
      <c r="L1596" s="34">
        <f>getSizeDiameter('RawData (GH)'!J1596)</f>
        <v>55</v>
      </c>
      <c r="M1596" s="34">
        <f>getSizeLength('RawData (GH)'!J1596)</f>
        <v>51.2</v>
      </c>
    </row>
    <row r="1597" spans="1:13" x14ac:dyDescent="0.25">
      <c r="A1597" t="str">
        <f>'RawData (GH)'!A1597</f>
        <v>Voigtländer Heliar 10mm 5.6 für Sony E schwarz</v>
      </c>
      <c r="B1597" s="5">
        <f>getFocalLengthStart('RawData (GH)'!B1597)</f>
        <v>10</v>
      </c>
      <c r="C1597" s="5">
        <f>getFocalLengthEnd('RawData (GH)'!B1597)</f>
        <v>10</v>
      </c>
      <c r="D1597" s="9">
        <f>getApertureStart('RawData (GH)'!C1597)</f>
        <v>5.6</v>
      </c>
      <c r="E1597" s="9">
        <f>getApertureEnd('RawData (GH)'!C1597)</f>
        <v>5.6</v>
      </c>
      <c r="F1597" s="2">
        <f>getFiltersizeAsDouble('RawData (GH)'!D1597)</f>
        <v>0</v>
      </c>
      <c r="G1597" s="35">
        <f>getMagnification('RawData (GH)'!E1597)</f>
        <v>0</v>
      </c>
      <c r="H1597" s="62">
        <f>getMinimalFocus('RawData (GH)'!F1597)</f>
        <v>0</v>
      </c>
      <c r="I1597" t="str">
        <f>getMount('RawData (GH)'!G1597)</f>
        <v>Sony E</v>
      </c>
      <c r="J1597" t="str">
        <f>getSensorCompatibility('RawData (GH)'!H1597)</f>
        <v>APS-C/ Kleinbild</v>
      </c>
      <c r="K1597" s="45">
        <f>getWeightAsDouble('RawData (GH)'!I1597)</f>
        <v>371</v>
      </c>
      <c r="L1597" s="34">
        <f>getSizeDiameter('RawData (GH)'!J1597)</f>
        <v>67.8</v>
      </c>
      <c r="M1597" s="34">
        <f>getSizeLength('RawData (GH)'!J1597)</f>
        <v>73.8</v>
      </c>
    </row>
    <row r="1598" spans="1:13" x14ac:dyDescent="0.25">
      <c r="A1598" t="str">
        <f>'RawData (GH)'!A1598</f>
        <v>Voigtländer Heliar 12mm 5.6 für Sony E schwarz</v>
      </c>
      <c r="B1598" s="5">
        <f>getFocalLengthStart('RawData (GH)'!B1598)</f>
        <v>12</v>
      </c>
      <c r="C1598" s="5">
        <f>getFocalLengthEnd('RawData (GH)'!B1598)</f>
        <v>12</v>
      </c>
      <c r="D1598" s="9">
        <f>getApertureStart('RawData (GH)'!C1598)</f>
        <v>5.6</v>
      </c>
      <c r="E1598" s="9">
        <f>getApertureEnd('RawData (GH)'!C1598)</f>
        <v>5.6</v>
      </c>
      <c r="F1598" s="2">
        <f>getFiltersizeAsDouble('RawData (GH)'!D1598)</f>
        <v>0</v>
      </c>
      <c r="G1598" s="35">
        <f>getMagnification('RawData (GH)'!E1598)</f>
        <v>0</v>
      </c>
      <c r="H1598" s="62">
        <f>getMinimalFocus('RawData (GH)'!F1598)</f>
        <v>0</v>
      </c>
      <c r="I1598" t="str">
        <f>getMount('RawData (GH)'!G1598)</f>
        <v>Sony E</v>
      </c>
      <c r="J1598" t="str">
        <f>getSensorCompatibility('RawData (GH)'!H1598)</f>
        <v>APS-C/ Kleinbild</v>
      </c>
      <c r="K1598" s="45">
        <f>getWeightAsDouble('RawData (GH)'!I1598)</f>
        <v>0</v>
      </c>
      <c r="L1598" s="34">
        <f>getSizeDiameter('RawData (GH)'!J1598)</f>
        <v>67.400000000000006</v>
      </c>
      <c r="M1598" s="34">
        <f>getSizeLength('RawData (GH)'!J1598)</f>
        <v>74.3</v>
      </c>
    </row>
    <row r="1599" spans="1:13" x14ac:dyDescent="0.25">
      <c r="A1599" t="str">
        <f>'RawData (GH)'!A1599</f>
        <v>Voigtländer Heliar 15mm 4.5 für Sony E schwarz</v>
      </c>
      <c r="B1599" s="5">
        <f>getFocalLengthStart('RawData (GH)'!B1599)</f>
        <v>15</v>
      </c>
      <c r="C1599" s="5">
        <f>getFocalLengthEnd('RawData (GH)'!B1599)</f>
        <v>15</v>
      </c>
      <c r="D1599" s="9">
        <f>getApertureStart('RawData (GH)'!C1599)</f>
        <v>4.5</v>
      </c>
      <c r="E1599" s="9">
        <f>getApertureEnd('RawData (GH)'!C1599)</f>
        <v>4.5</v>
      </c>
      <c r="F1599" s="2">
        <f>getFiltersizeAsDouble('RawData (GH)'!D1599)</f>
        <v>58</v>
      </c>
      <c r="G1599" s="35">
        <f>getMagnification('RawData (GH)'!E1599)</f>
        <v>0</v>
      </c>
      <c r="H1599" s="62">
        <f>getMinimalFocus('RawData (GH)'!F1599)</f>
        <v>0</v>
      </c>
      <c r="I1599" t="str">
        <f>getMount('RawData (GH)'!G1599)</f>
        <v>Sony E</v>
      </c>
      <c r="J1599" t="str">
        <f>getSensorCompatibility('RawData (GH)'!H1599)</f>
        <v>APS-C/ Kleinbild</v>
      </c>
      <c r="K1599" s="45">
        <f>getWeightAsDouble('RawData (GH)'!I1599)</f>
        <v>294</v>
      </c>
      <c r="L1599" s="34">
        <f>getSizeDiameter('RawData (GH)'!J1599)</f>
        <v>66.400000000000006</v>
      </c>
      <c r="M1599" s="34">
        <f>getSizeLength('RawData (GH)'!J1599)</f>
        <v>67.5</v>
      </c>
    </row>
    <row r="1600" spans="1:13" x14ac:dyDescent="0.25">
      <c r="A1600" t="str">
        <f>'RawData (GH)'!A1600</f>
        <v>Voigtländer Nokton 10.5mm 0.95 für Micro-Four-Thirds schwarz</v>
      </c>
      <c r="B1600" s="5">
        <f>getFocalLengthStart('RawData (GH)'!B1600)</f>
        <v>10.5</v>
      </c>
      <c r="C1600" s="5">
        <f>getFocalLengthEnd('RawData (GH)'!B1600)</f>
        <v>10.5</v>
      </c>
      <c r="D1600" s="9">
        <f>getApertureStart('RawData (GH)'!C1600)</f>
        <v>0.95</v>
      </c>
      <c r="E1600" s="9">
        <f>getApertureEnd('RawData (GH)'!C1600)</f>
        <v>0.95</v>
      </c>
      <c r="F1600" s="2">
        <f>getFiltersizeAsDouble('RawData (GH)'!D1600)</f>
        <v>72</v>
      </c>
      <c r="G1600" s="35">
        <f>getMagnification('RawData (GH)'!E1600)</f>
        <v>0</v>
      </c>
      <c r="H1600" s="62">
        <f>getMinimalFocus('RawData (GH)'!F1600)</f>
        <v>0</v>
      </c>
      <c r="I1600" t="str">
        <f>getMount('RawData (GH)'!G1600)</f>
        <v>Micro-Four-Thirds</v>
      </c>
      <c r="J1600" t="str">
        <f>getSensorCompatibility('RawData (GH)'!H1600)</f>
        <v>Four-Thirds</v>
      </c>
      <c r="K1600" s="45">
        <f>getWeightAsDouble('RawData (GH)'!I1600)</f>
        <v>586</v>
      </c>
      <c r="L1600" s="34">
        <f>getSizeDiameter('RawData (GH)'!J1600)</f>
        <v>77</v>
      </c>
      <c r="M1600" s="34">
        <f>getSizeLength('RawData (GH)'!J1600)</f>
        <v>82.4</v>
      </c>
    </row>
    <row r="1601" spans="1:13" x14ac:dyDescent="0.25">
      <c r="A1601" t="str">
        <f>'RawData (GH)'!A1601</f>
        <v>Voigtländer Nokton 17.5mm 0.95 für Micro-Four-Thirds schwarz</v>
      </c>
      <c r="B1601" s="5">
        <f>getFocalLengthStart('RawData (GH)'!B1601)</f>
        <v>17.5</v>
      </c>
      <c r="C1601" s="5">
        <f>getFocalLengthEnd('RawData (GH)'!B1601)</f>
        <v>17.5</v>
      </c>
      <c r="D1601" s="9">
        <f>getApertureStart('RawData (GH)'!C1601)</f>
        <v>0.95</v>
      </c>
      <c r="E1601" s="9">
        <f>getApertureEnd('RawData (GH)'!C1601)</f>
        <v>0.95</v>
      </c>
      <c r="F1601" s="2">
        <f>getFiltersizeAsDouble('RawData (GH)'!D1601)</f>
        <v>58</v>
      </c>
      <c r="G1601" s="35">
        <f>getMagnification('RawData (GH)'!E1601)</f>
        <v>4</v>
      </c>
      <c r="H1601" s="62">
        <f>getMinimalFocus('RawData (GH)'!F1601)</f>
        <v>0</v>
      </c>
      <c r="I1601" t="str">
        <f>getMount('RawData (GH)'!G1601)</f>
        <v>Micro-Four-Thirds</v>
      </c>
      <c r="J1601" t="str">
        <f>getSensorCompatibility('RawData (GH)'!H1601)</f>
        <v>Four-Thirds</v>
      </c>
      <c r="K1601" s="45">
        <f>getWeightAsDouble('RawData (GH)'!I1601)</f>
        <v>540</v>
      </c>
      <c r="L1601" s="34">
        <f>getSizeDiameter('RawData (GH)'!J1601)</f>
        <v>63.4</v>
      </c>
      <c r="M1601" s="34">
        <f>getSizeLength('RawData (GH)'!J1601)</f>
        <v>80</v>
      </c>
    </row>
    <row r="1602" spans="1:13" x14ac:dyDescent="0.25">
      <c r="A1602" t="str">
        <f>'RawData (GH)'!A1602</f>
        <v>Voigtländer Nokton 25mm 0.95 für Micro-Four-Thirds schwarz</v>
      </c>
      <c r="B1602" s="5">
        <f>getFocalLengthStart('RawData (GH)'!B1602)</f>
        <v>25</v>
      </c>
      <c r="C1602" s="5">
        <f>getFocalLengthEnd('RawData (GH)'!B1602)</f>
        <v>25</v>
      </c>
      <c r="D1602" s="9">
        <f>getApertureStart('RawData (GH)'!C1602)</f>
        <v>0.95</v>
      </c>
      <c r="E1602" s="9">
        <f>getApertureEnd('RawData (GH)'!C1602)</f>
        <v>0.95</v>
      </c>
      <c r="F1602" s="2">
        <f>getFiltersizeAsDouble('RawData (GH)'!D1602)</f>
        <v>52</v>
      </c>
      <c r="G1602" s="35">
        <f>getMagnification('RawData (GH)'!E1602)</f>
        <v>0</v>
      </c>
      <c r="H1602" s="62">
        <f>getMinimalFocus('RawData (GH)'!F1602)</f>
        <v>0</v>
      </c>
      <c r="I1602" t="str">
        <f>getMount('RawData (GH)'!G1602)</f>
        <v>Micro-Four-Thirds</v>
      </c>
      <c r="J1602" t="str">
        <f>getSensorCompatibility('RawData (GH)'!H1602)</f>
        <v>Four-Thirds</v>
      </c>
      <c r="K1602" s="45">
        <f>getWeightAsDouble('RawData (GH)'!I1602)</f>
        <v>410</v>
      </c>
      <c r="L1602" s="34">
        <f>getSizeDiameter('RawData (GH)'!J1602)</f>
        <v>58.4</v>
      </c>
      <c r="M1602" s="34">
        <f>getSizeLength('RawData (GH)'!J1602)</f>
        <v>70</v>
      </c>
    </row>
    <row r="1603" spans="1:13" x14ac:dyDescent="0.25">
      <c r="A1603" t="str">
        <f>'RawData (GH)'!A1603</f>
        <v>Voigtländer Nokton 40mm 1.2 für Sony E schwarz</v>
      </c>
      <c r="B1603" s="5">
        <f>getFocalLengthStart('RawData (GH)'!B1603)</f>
        <v>40</v>
      </c>
      <c r="C1603" s="5">
        <f>getFocalLengthEnd('RawData (GH)'!B1603)</f>
        <v>40</v>
      </c>
      <c r="D1603" s="9">
        <f>getApertureStart('RawData (GH)'!C1603)</f>
        <v>1.2</v>
      </c>
      <c r="E1603" s="9">
        <f>getApertureEnd('RawData (GH)'!C1603)</f>
        <v>1.2</v>
      </c>
      <c r="F1603" s="2">
        <f>getFiltersizeAsDouble('RawData (GH)'!D1603)</f>
        <v>58</v>
      </c>
      <c r="G1603" s="35">
        <f>getMagnification('RawData (GH)'!E1603)</f>
        <v>6.2</v>
      </c>
      <c r="H1603" s="62">
        <f>getMinimalFocus('RawData (GH)'!F1603)</f>
        <v>0</v>
      </c>
      <c r="I1603" t="str">
        <f>getMount('RawData (GH)'!G1603)</f>
        <v>Sony E</v>
      </c>
      <c r="J1603" t="str">
        <f>getSensorCompatibility('RawData (GH)'!H1603)</f>
        <v>APS-C/ Kleinbild</v>
      </c>
      <c r="K1603" s="45">
        <f>getWeightAsDouble('RawData (GH)'!I1603)</f>
        <v>420</v>
      </c>
      <c r="L1603" s="34">
        <f>getSizeDiameter('RawData (GH)'!J1603)</f>
        <v>70.099999999999994</v>
      </c>
      <c r="M1603" s="34">
        <f>getSizeLength('RawData (GH)'!J1603)</f>
        <v>59.3</v>
      </c>
    </row>
    <row r="1604" spans="1:13" x14ac:dyDescent="0.25">
      <c r="A1604" t="str">
        <f>'RawData (GH)'!A1604</f>
        <v>Voigtländer Nokton 42.5mm 0.95 für Micro-Four-Thirds schwarz</v>
      </c>
      <c r="B1604" s="5">
        <f>getFocalLengthStart('RawData (GH)'!B1604)</f>
        <v>42.5</v>
      </c>
      <c r="C1604" s="5">
        <f>getFocalLengthEnd('RawData (GH)'!B1604)</f>
        <v>42.5</v>
      </c>
      <c r="D1604" s="9">
        <f>getApertureStart('RawData (GH)'!C1604)</f>
        <v>0.95</v>
      </c>
      <c r="E1604" s="9">
        <f>getApertureEnd('RawData (GH)'!C1604)</f>
        <v>0.95</v>
      </c>
      <c r="F1604" s="2">
        <f>getFiltersizeAsDouble('RawData (GH)'!D1604)</f>
        <v>58</v>
      </c>
      <c r="G1604" s="35">
        <f>getMagnification('RawData (GH)'!E1604)</f>
        <v>0</v>
      </c>
      <c r="H1604" s="62">
        <f>getMinimalFocus('RawData (GH)'!F1604)</f>
        <v>0</v>
      </c>
      <c r="I1604" t="str">
        <f>getMount('RawData (GH)'!G1604)</f>
        <v>Micro-Four-Thirds</v>
      </c>
      <c r="J1604" t="str">
        <f>getSensorCompatibility('RawData (GH)'!H1604)</f>
        <v>Four-Thirds</v>
      </c>
      <c r="K1604" s="45">
        <f>getWeightAsDouble('RawData (GH)'!I1604)</f>
        <v>0</v>
      </c>
      <c r="L1604" s="34">
        <f>getSizeDiameter('RawData (GH)'!J1604)</f>
        <v>64.3</v>
      </c>
      <c r="M1604" s="34">
        <f>getSizeLength('RawData (GH)'!J1604)</f>
        <v>74.599999999999994</v>
      </c>
    </row>
    <row r="1605" spans="1:13" x14ac:dyDescent="0.25">
      <c r="A1605" t="str">
        <f>'RawData (GH)'!A1605</f>
        <v>Voigtländer SL II Nokton N 58mm 1.4 für Nikon F schwarz</v>
      </c>
      <c r="B1605" s="5">
        <f>getFocalLengthStart('RawData (GH)'!B1605)</f>
        <v>58</v>
      </c>
      <c r="C1605" s="5">
        <f>getFocalLengthEnd('RawData (GH)'!B1605)</f>
        <v>58</v>
      </c>
      <c r="D1605" s="9">
        <f>getApertureStart('RawData (GH)'!C1605)</f>
        <v>1.4</v>
      </c>
      <c r="E1605" s="9">
        <f>getApertureEnd('RawData (GH)'!C1605)</f>
        <v>1.4</v>
      </c>
      <c r="F1605" s="2">
        <f>getFiltersizeAsDouble('RawData (GH)'!D1605)</f>
        <v>58</v>
      </c>
      <c r="G1605" s="35">
        <f>getMagnification('RawData (GH)'!E1605)</f>
        <v>0</v>
      </c>
      <c r="H1605" s="62">
        <f>getMinimalFocus('RawData (GH)'!F1605)</f>
        <v>0</v>
      </c>
      <c r="I1605" t="str">
        <f>getMount('RawData (GH)'!G1605)</f>
        <v>Nikon F</v>
      </c>
      <c r="J1605" t="str">
        <f>getSensorCompatibility('RawData (GH)'!H1605)</f>
        <v>APS-C/ Kleinbild</v>
      </c>
      <c r="K1605" s="45">
        <f>getWeightAsDouble('RawData (GH)'!I1605)</f>
        <v>320</v>
      </c>
      <c r="L1605" s="34">
        <f>getSizeDiameter('RawData (GH)'!J1605)</f>
        <v>64.400000000000006</v>
      </c>
      <c r="M1605" s="34">
        <f>getSizeLength('RawData (GH)'!J1605)</f>
        <v>47.5</v>
      </c>
    </row>
    <row r="1606" spans="1:13" x14ac:dyDescent="0.25">
      <c r="A1606" t="str">
        <f>'RawData (GH)'!A1606</f>
        <v>Voigtländer SL II Nokton S 58mm 1.4 für Nikon F schwarz</v>
      </c>
      <c r="B1606" s="5">
        <f>getFocalLengthStart('RawData (GH)'!B1606)</f>
        <v>58</v>
      </c>
      <c r="C1606" s="5">
        <f>getFocalLengthEnd('RawData (GH)'!B1606)</f>
        <v>58</v>
      </c>
      <c r="D1606" s="9">
        <f>getApertureStart('RawData (GH)'!C1606)</f>
        <v>1.4</v>
      </c>
      <c r="E1606" s="9">
        <f>getApertureEnd('RawData (GH)'!C1606)</f>
        <v>1.4</v>
      </c>
      <c r="F1606" s="2">
        <f>getFiltersizeAsDouble('RawData (GH)'!D1606)</f>
        <v>52</v>
      </c>
      <c r="G1606" s="35">
        <f>getMagnification('RawData (GH)'!E1606)</f>
        <v>0</v>
      </c>
      <c r="H1606" s="62">
        <f>getMinimalFocus('RawData (GH)'!F1606)</f>
        <v>0</v>
      </c>
      <c r="I1606" t="str">
        <f>getMount('RawData (GH)'!G1606)</f>
        <v>Nikon F</v>
      </c>
      <c r="J1606" t="str">
        <f>getSensorCompatibility('RawData (GH)'!H1606)</f>
        <v>APS-C/ Kleinbild</v>
      </c>
      <c r="K1606" s="45">
        <f>getWeightAsDouble('RawData (GH)'!I1606)</f>
        <v>320</v>
      </c>
      <c r="L1606" s="34">
        <f>getSizeDiameter('RawData (GH)'!J1606)</f>
        <v>67.599999999999994</v>
      </c>
      <c r="M1606" s="34">
        <f>getSizeLength('RawData (GH)'!J1606)</f>
        <v>45.5</v>
      </c>
    </row>
    <row r="1607" spans="1:13" x14ac:dyDescent="0.25">
      <c r="A1607" t="str">
        <f>'RawData (GH)'!A1607</f>
        <v>Voigtländer SL II Ultron 40mm 2.0 für Nikon F schwarz</v>
      </c>
      <c r="B1607" s="5">
        <f>getFocalLengthStart('RawData (GH)'!B1607)</f>
        <v>40</v>
      </c>
      <c r="C1607" s="5">
        <f>getFocalLengthEnd('RawData (GH)'!B1607)</f>
        <v>40</v>
      </c>
      <c r="D1607" s="9">
        <f>getApertureStart('RawData (GH)'!C1607)</f>
        <v>2</v>
      </c>
      <c r="E1607" s="9">
        <f>getApertureEnd('RawData (GH)'!C1607)</f>
        <v>2</v>
      </c>
      <c r="F1607" s="2">
        <f>getFiltersizeAsDouble('RawData (GH)'!D1607)</f>
        <v>52</v>
      </c>
      <c r="G1607" s="35">
        <f>getMagnification('RawData (GH)'!E1607)</f>
        <v>7</v>
      </c>
      <c r="H1607" s="62">
        <f>getMinimalFocus('RawData (GH)'!F1607)</f>
        <v>0</v>
      </c>
      <c r="I1607" t="str">
        <f>getMount('RawData (GH)'!G1607)</f>
        <v>Nikon F</v>
      </c>
      <c r="J1607" t="str">
        <f>getSensorCompatibility('RawData (GH)'!H1607)</f>
        <v>APS-C/ Kleinbild</v>
      </c>
      <c r="K1607" s="45">
        <f>getWeightAsDouble('RawData (GH)'!I1607)</f>
        <v>200</v>
      </c>
      <c r="L1607" s="34">
        <f>getSizeDiameter('RawData (GH)'!J1607)</f>
        <v>63</v>
      </c>
      <c r="M1607" s="34">
        <f>getSizeLength('RawData (GH)'!J1607)</f>
        <v>24.5</v>
      </c>
    </row>
    <row r="1608" spans="1:13" x14ac:dyDescent="0.25">
      <c r="A1608" t="str">
        <f>'RawData (GH)'!A1608</f>
        <v>Voigtländer VM Heliar 10mm 5.6 schwarz</v>
      </c>
      <c r="B1608" s="5">
        <f>getFocalLengthStart('RawData (GH)'!B1608)</f>
        <v>10</v>
      </c>
      <c r="C1608" s="5">
        <f>getFocalLengthEnd('RawData (GH)'!B1608)</f>
        <v>10</v>
      </c>
      <c r="D1608" s="9">
        <f>getApertureStart('RawData (GH)'!C1608)</f>
        <v>5.6</v>
      </c>
      <c r="E1608" s="9">
        <f>getApertureEnd('RawData (GH)'!C1608)</f>
        <v>5.6</v>
      </c>
      <c r="F1608" s="2">
        <f>getFiltersizeAsDouble('RawData (GH)'!D1608)</f>
        <v>0</v>
      </c>
      <c r="G1608" s="35">
        <f>getMagnification('RawData (GH)'!E1608)</f>
        <v>0</v>
      </c>
      <c r="H1608" s="62">
        <f>getMinimalFocus('RawData (GH)'!F1608)</f>
        <v>0</v>
      </c>
      <c r="I1608" t="str">
        <f>getMount('RawData (GH)'!G1608)</f>
        <v>Leica M</v>
      </c>
      <c r="J1608" t="str">
        <f>getSensorCompatibility('RawData (GH)'!H1608)</f>
        <v>Mittelformat</v>
      </c>
      <c r="K1608" s="45">
        <f>getWeightAsDouble('RawData (GH)'!I1608)</f>
        <v>312</v>
      </c>
      <c r="L1608" s="34">
        <f>getSizeDiameter('RawData (GH)'!J1608)</f>
        <v>67.8</v>
      </c>
      <c r="M1608" s="34">
        <f>getSizeLength('RawData (GH)'!J1608)</f>
        <v>58.7</v>
      </c>
    </row>
    <row r="1609" spans="1:13" x14ac:dyDescent="0.25">
      <c r="A1609" t="str">
        <f>'RawData (GH)'!A1609</f>
        <v>Voigtländer VM Heliar 12mm 5.6 schwarz</v>
      </c>
      <c r="B1609" s="5">
        <f>getFocalLengthStart('RawData (GH)'!B1609)</f>
        <v>12</v>
      </c>
      <c r="C1609" s="5">
        <f>getFocalLengthEnd('RawData (GH)'!B1609)</f>
        <v>12</v>
      </c>
      <c r="D1609" s="9">
        <f>getApertureStart('RawData (GH)'!C1609)</f>
        <v>5.6</v>
      </c>
      <c r="E1609" s="9">
        <f>getApertureEnd('RawData (GH)'!C1609)</f>
        <v>5.6</v>
      </c>
      <c r="F1609" s="2">
        <f>getFiltersizeAsDouble('RawData (GH)'!D1609)</f>
        <v>0</v>
      </c>
      <c r="G1609" s="35">
        <f>getMagnification('RawData (GH)'!E1609)</f>
        <v>0</v>
      </c>
      <c r="H1609" s="62">
        <f>getMinimalFocus('RawData (GH)'!F1609)</f>
        <v>0</v>
      </c>
      <c r="I1609" t="str">
        <f>getMount('RawData (GH)'!G1609)</f>
        <v>Leica M</v>
      </c>
      <c r="J1609" t="str">
        <f>getSensorCompatibility('RawData (GH)'!H1609)</f>
        <v>Mittelformat</v>
      </c>
      <c r="K1609" s="45">
        <f>getWeightAsDouble('RawData (GH)'!I1609)</f>
        <v>0</v>
      </c>
      <c r="L1609" s="34">
        <f>getSizeDiameter('RawData (GH)'!J1609)</f>
        <v>64.8</v>
      </c>
      <c r="M1609" s="34">
        <f>getSizeLength('RawData (GH)'!J1609)</f>
        <v>59.2</v>
      </c>
    </row>
    <row r="1610" spans="1:13" x14ac:dyDescent="0.25">
      <c r="A1610" t="str">
        <f>'RawData (GH)'!A1610</f>
        <v>Voigtländer VM Heliar 15mm 4.5 schwarz</v>
      </c>
      <c r="B1610" s="5">
        <f>getFocalLengthStart('RawData (GH)'!B1610)</f>
        <v>15</v>
      </c>
      <c r="C1610" s="5">
        <f>getFocalLengthEnd('RawData (GH)'!B1610)</f>
        <v>15</v>
      </c>
      <c r="D1610" s="9">
        <f>getApertureStart('RawData (GH)'!C1610)</f>
        <v>4.5</v>
      </c>
      <c r="E1610" s="9">
        <f>getApertureEnd('RawData (GH)'!C1610)</f>
        <v>4.5</v>
      </c>
      <c r="F1610" s="2">
        <f>getFiltersizeAsDouble('RawData (GH)'!D1610)</f>
        <v>58</v>
      </c>
      <c r="G1610" s="35">
        <f>getMagnification('RawData (GH)'!E1610)</f>
        <v>0</v>
      </c>
      <c r="H1610" s="62">
        <f>getMinimalFocus('RawData (GH)'!F1610)</f>
        <v>0</v>
      </c>
      <c r="I1610" t="str">
        <f>getMount('RawData (GH)'!G1610)</f>
        <v>Leica M</v>
      </c>
      <c r="J1610" t="str">
        <f>getSensorCompatibility('RawData (GH)'!H1610)</f>
        <v>Mittelformat</v>
      </c>
      <c r="K1610" s="45">
        <f>getWeightAsDouble('RawData (GH)'!I1610)</f>
        <v>0</v>
      </c>
      <c r="L1610" s="34">
        <f>getSizeDiameter('RawData (GH)'!J1610)</f>
        <v>64.8</v>
      </c>
      <c r="M1610" s="34">
        <f>getSizeLength('RawData (GH)'!J1610)</f>
        <v>55.2</v>
      </c>
    </row>
    <row r="1611" spans="1:13" x14ac:dyDescent="0.25">
      <c r="A1611" t="str">
        <f>'RawData (GH)'!A1611</f>
        <v>Voigtländer VM Heliar 40mm 2.8 schwarz</v>
      </c>
      <c r="B1611" s="5">
        <f>getFocalLengthStart('RawData (GH)'!B1611)</f>
        <v>40</v>
      </c>
      <c r="C1611" s="5">
        <f>getFocalLengthEnd('RawData (GH)'!B1611)</f>
        <v>40</v>
      </c>
      <c r="D1611" s="9">
        <f>getApertureStart('RawData (GH)'!C1611)</f>
        <v>2.8</v>
      </c>
      <c r="E1611" s="9">
        <f>getApertureEnd('RawData (GH)'!C1611)</f>
        <v>2.8</v>
      </c>
      <c r="F1611" s="2">
        <f>getFiltersizeAsDouble('RawData (GH)'!D1611)</f>
        <v>37</v>
      </c>
      <c r="G1611" s="35">
        <f>getMagnification('RawData (GH)'!E1611)</f>
        <v>0</v>
      </c>
      <c r="H1611" s="62">
        <f>getMinimalFocus('RawData (GH)'!F1611)</f>
        <v>0</v>
      </c>
      <c r="I1611" t="str">
        <f>getMount('RawData (GH)'!G1611)</f>
        <v>Leica M</v>
      </c>
      <c r="J1611" t="str">
        <f>getSensorCompatibility('RawData (GH)'!H1611)</f>
        <v>Mittelformat</v>
      </c>
      <c r="K1611" s="45">
        <f>getWeightAsDouble('RawData (GH)'!I1611)</f>
        <v>132</v>
      </c>
      <c r="L1611" s="34">
        <f>getSizeDiameter('RawData (GH)'!J1611)</f>
        <v>51</v>
      </c>
      <c r="M1611" s="34">
        <f>getSizeLength('RawData (GH)'!J1611)</f>
        <v>12.6</v>
      </c>
    </row>
    <row r="1612" spans="1:13" x14ac:dyDescent="0.25">
      <c r="A1612" t="str">
        <f>'RawData (GH)'!A1612</f>
        <v>Voigtländer VM Heliar 50mm 3.5 schwarz</v>
      </c>
      <c r="B1612" s="5">
        <f>getFocalLengthStart('RawData (GH)'!B1612)</f>
        <v>50</v>
      </c>
      <c r="C1612" s="5">
        <f>getFocalLengthEnd('RawData (GH)'!B1612)</f>
        <v>50</v>
      </c>
      <c r="D1612" s="9">
        <f>getApertureStart('RawData (GH)'!C1612)</f>
        <v>3.5</v>
      </c>
      <c r="E1612" s="9">
        <f>getApertureEnd('RawData (GH)'!C1612)</f>
        <v>3.5</v>
      </c>
      <c r="F1612" s="2">
        <f>getFiltersizeAsDouble('RawData (GH)'!D1612)</f>
        <v>27</v>
      </c>
      <c r="G1612" s="35">
        <f>getMagnification('RawData (GH)'!E1612)</f>
        <v>0</v>
      </c>
      <c r="H1612" s="62">
        <f>getMinimalFocus('RawData (GH)'!F1612)</f>
        <v>0</v>
      </c>
      <c r="I1612" t="str">
        <f>getMount('RawData (GH)'!G1612)</f>
        <v>Leica M</v>
      </c>
      <c r="J1612" t="str">
        <f>getSensorCompatibility('RawData (GH)'!H1612)</f>
        <v>Mittelformat</v>
      </c>
      <c r="K1612" s="45">
        <f>getWeightAsDouble('RawData (GH)'!I1612)</f>
        <v>209</v>
      </c>
      <c r="L1612" s="34">
        <f>getSizeDiameter('RawData (GH)'!J1612)</f>
        <v>52</v>
      </c>
      <c r="M1612" s="34">
        <f>getSizeLength('RawData (GH)'!J1612)</f>
        <v>43.2</v>
      </c>
    </row>
    <row r="1613" spans="1:13" x14ac:dyDescent="0.25">
      <c r="A1613" t="str">
        <f>'RawData (GH)'!A1613</f>
        <v>Voigtländer VM Ultron 35mm 1.7 schwarz</v>
      </c>
      <c r="B1613" s="5">
        <f>getFocalLengthStart('RawData (GH)'!B1613)</f>
        <v>35</v>
      </c>
      <c r="C1613" s="5">
        <f>getFocalLengthEnd('RawData (GH)'!B1613)</f>
        <v>35</v>
      </c>
      <c r="D1613" s="9">
        <f>getApertureStart('RawData (GH)'!C1613)</f>
        <v>1.7</v>
      </c>
      <c r="E1613" s="9">
        <f>getApertureEnd('RawData (GH)'!C1613)</f>
        <v>1.7</v>
      </c>
      <c r="F1613" s="2">
        <f>getFiltersizeAsDouble('RawData (GH)'!D1613)</f>
        <v>43</v>
      </c>
      <c r="G1613" s="35">
        <f>getMagnification('RawData (GH)'!E1613)</f>
        <v>0</v>
      </c>
      <c r="H1613" s="62">
        <f>getMinimalFocus('RawData (GH)'!F1613)</f>
        <v>0</v>
      </c>
      <c r="I1613" t="str">
        <f>getMount('RawData (GH)'!G1613)</f>
        <v>Leica M</v>
      </c>
      <c r="J1613" t="str">
        <f>getSensorCompatibility('RawData (GH)'!H1613)</f>
        <v>Mittelformat</v>
      </c>
      <c r="K1613" s="45">
        <f>getWeightAsDouble('RawData (GH)'!I1613)</f>
        <v>226</v>
      </c>
      <c r="L1613" s="34">
        <f>getSizeDiameter('RawData (GH)'!J1613)</f>
        <v>53</v>
      </c>
      <c r="M1613" s="34">
        <f>getSizeLength('RawData (GH)'!J1613)</f>
        <v>50.6</v>
      </c>
    </row>
    <row r="1614" spans="1:13" x14ac:dyDescent="0.25">
      <c r="A1614" t="str">
        <f>'RawData (GH)'!A1614</f>
        <v>Voigtländer VM Ultron 35mm 1.7 silber</v>
      </c>
      <c r="B1614" s="5">
        <f>getFocalLengthStart('RawData (GH)'!B1614)</f>
        <v>35</v>
      </c>
      <c r="C1614" s="5">
        <f>getFocalLengthEnd('RawData (GH)'!B1614)</f>
        <v>35</v>
      </c>
      <c r="D1614" s="9">
        <f>getApertureStart('RawData (GH)'!C1614)</f>
        <v>1.7</v>
      </c>
      <c r="E1614" s="9">
        <f>getApertureEnd('RawData (GH)'!C1614)</f>
        <v>1.7</v>
      </c>
      <c r="F1614" s="2">
        <f>getFiltersizeAsDouble('RawData (GH)'!D1614)</f>
        <v>43</v>
      </c>
      <c r="G1614" s="35">
        <f>getMagnification('RawData (GH)'!E1614)</f>
        <v>0</v>
      </c>
      <c r="H1614" s="62">
        <f>getMinimalFocus('RawData (GH)'!F1614)</f>
        <v>0</v>
      </c>
      <c r="I1614" t="str">
        <f>getMount('RawData (GH)'!G1614)</f>
        <v>Leica M</v>
      </c>
      <c r="J1614" t="str">
        <f>getSensorCompatibility('RawData (GH)'!H1614)</f>
        <v>Mittelformat</v>
      </c>
      <c r="K1614" s="45">
        <f>getWeightAsDouble('RawData (GH)'!I1614)</f>
        <v>297</v>
      </c>
      <c r="L1614" s="34">
        <f>getSizeDiameter('RawData (GH)'!J1614)</f>
        <v>53</v>
      </c>
      <c r="M1614" s="34">
        <f>getSizeLength('RawData (GH)'!J1614)</f>
        <v>50.6</v>
      </c>
    </row>
    <row r="1615" spans="1:13" x14ac:dyDescent="0.25">
      <c r="A1615" t="str">
        <f>'RawData (GH)'!A1615</f>
        <v>Voking 12mm 2.8 für Canon EF-M schwarz</v>
      </c>
      <c r="B1615" s="5">
        <f>getFocalLengthStart('RawData (GH)'!B1615)</f>
        <v>12</v>
      </c>
      <c r="C1615" s="5">
        <f>getFocalLengthEnd('RawData (GH)'!B1615)</f>
        <v>12</v>
      </c>
      <c r="D1615" s="9">
        <f>getApertureStart('RawData (GH)'!C1615)</f>
        <v>2.8</v>
      </c>
      <c r="E1615" s="9">
        <f>getApertureEnd('RawData (GH)'!C1615)</f>
        <v>2.8</v>
      </c>
      <c r="F1615" s="2">
        <f>getFiltersizeAsDouble('RawData (GH)'!D1615)</f>
        <v>72</v>
      </c>
      <c r="G1615" s="35">
        <f>getMagnification('RawData (GH)'!E1615)</f>
        <v>0</v>
      </c>
      <c r="H1615" s="62">
        <f>getMinimalFocus('RawData (GH)'!F1615)</f>
        <v>0</v>
      </c>
      <c r="I1615" t="str">
        <f>getMount('RawData (GH)'!G1615)</f>
        <v>Canon EF-M</v>
      </c>
      <c r="J1615" t="str">
        <f>getSensorCompatibility('RawData (GH)'!H1615)</f>
        <v>APS-C</v>
      </c>
      <c r="K1615" s="45">
        <f>getWeightAsDouble('RawData (GH)'!I1615)</f>
        <v>330</v>
      </c>
      <c r="L1615" s="34">
        <f>getSizeDiameter('RawData (GH)'!J1615)</f>
        <v>0</v>
      </c>
      <c r="M1615" s="34">
        <f>getSizeLength('RawData (GH)'!J1615)</f>
        <v>0</v>
      </c>
    </row>
    <row r="1616" spans="1:13" x14ac:dyDescent="0.25">
      <c r="A1616" t="str">
        <f>'RawData (GH)'!A1616</f>
        <v>Voking 12mm 2.8 für Fujifilm X schwarz</v>
      </c>
      <c r="B1616" s="5">
        <f>getFocalLengthStart('RawData (GH)'!B1616)</f>
        <v>12</v>
      </c>
      <c r="C1616" s="5">
        <f>getFocalLengthEnd('RawData (GH)'!B1616)</f>
        <v>12</v>
      </c>
      <c r="D1616" s="9">
        <f>getApertureStart('RawData (GH)'!C1616)</f>
        <v>2.8</v>
      </c>
      <c r="E1616" s="9">
        <f>getApertureEnd('RawData (GH)'!C1616)</f>
        <v>2.8</v>
      </c>
      <c r="F1616" s="2">
        <f>getFiltersizeAsDouble('RawData (GH)'!D1616)</f>
        <v>72</v>
      </c>
      <c r="G1616" s="35">
        <f>getMagnification('RawData (GH)'!E1616)</f>
        <v>0</v>
      </c>
      <c r="H1616" s="62">
        <f>getMinimalFocus('RawData (GH)'!F1616)</f>
        <v>0</v>
      </c>
      <c r="I1616" t="str">
        <f>getMount('RawData (GH)'!G1616)</f>
        <v>Fujifilm X</v>
      </c>
      <c r="J1616" t="str">
        <f>getSensorCompatibility('RawData (GH)'!H1616)</f>
        <v>APS-C</v>
      </c>
      <c r="K1616" s="45">
        <f>getWeightAsDouble('RawData (GH)'!I1616)</f>
        <v>330</v>
      </c>
      <c r="L1616" s="34">
        <f>getSizeDiameter('RawData (GH)'!J1616)</f>
        <v>0</v>
      </c>
      <c r="M1616" s="34">
        <f>getSizeLength('RawData (GH)'!J1616)</f>
        <v>0</v>
      </c>
    </row>
    <row r="1617" spans="1:13" x14ac:dyDescent="0.25">
      <c r="A1617" t="str">
        <f>'RawData (GH)'!A1617</f>
        <v>Voking 12mm 2.8 für Micro-Four-Thirds schwarz</v>
      </c>
      <c r="B1617" s="5">
        <f>getFocalLengthStart('RawData (GH)'!B1617)</f>
        <v>12</v>
      </c>
      <c r="C1617" s="5">
        <f>getFocalLengthEnd('RawData (GH)'!B1617)</f>
        <v>12</v>
      </c>
      <c r="D1617" s="9">
        <f>getApertureStart('RawData (GH)'!C1617)</f>
        <v>2.8</v>
      </c>
      <c r="E1617" s="9">
        <f>getApertureEnd('RawData (GH)'!C1617)</f>
        <v>2.8</v>
      </c>
      <c r="F1617" s="2">
        <f>getFiltersizeAsDouble('RawData (GH)'!D1617)</f>
        <v>72</v>
      </c>
      <c r="G1617" s="35">
        <f>getMagnification('RawData (GH)'!E1617)</f>
        <v>0</v>
      </c>
      <c r="H1617" s="62">
        <f>getMinimalFocus('RawData (GH)'!F1617)</f>
        <v>0</v>
      </c>
      <c r="I1617" t="str">
        <f>getMount('RawData (GH)'!G1617)</f>
        <v>Micro-Four-Thirds</v>
      </c>
      <c r="J1617" t="str">
        <f>getSensorCompatibility('RawData (GH)'!H1617)</f>
        <v>APS-C</v>
      </c>
      <c r="K1617" s="45">
        <f>getWeightAsDouble('RawData (GH)'!I1617)</f>
        <v>330</v>
      </c>
      <c r="L1617" s="34">
        <f>getSizeDiameter('RawData (GH)'!J1617)</f>
        <v>0</v>
      </c>
      <c r="M1617" s="34">
        <f>getSizeLength('RawData (GH)'!J1617)</f>
        <v>0</v>
      </c>
    </row>
    <row r="1618" spans="1:13" x14ac:dyDescent="0.25">
      <c r="A1618" t="str">
        <f>'RawData (GH)'!A1618</f>
        <v>Voking 12mm 2.8 für Nikon 1 schwarz</v>
      </c>
      <c r="B1618" s="5">
        <f>getFocalLengthStart('RawData (GH)'!B1618)</f>
        <v>12</v>
      </c>
      <c r="C1618" s="5">
        <f>getFocalLengthEnd('RawData (GH)'!B1618)</f>
        <v>12</v>
      </c>
      <c r="D1618" s="9">
        <f>getApertureStart('RawData (GH)'!C1618)</f>
        <v>2.8</v>
      </c>
      <c r="E1618" s="9">
        <f>getApertureEnd('RawData (GH)'!C1618)</f>
        <v>2.8</v>
      </c>
      <c r="F1618" s="2">
        <f>getFiltersizeAsDouble('RawData (GH)'!D1618)</f>
        <v>72</v>
      </c>
      <c r="G1618" s="35">
        <f>getMagnification('RawData (GH)'!E1618)</f>
        <v>0</v>
      </c>
      <c r="H1618" s="62">
        <f>getMinimalFocus('RawData (GH)'!F1618)</f>
        <v>0</v>
      </c>
      <c r="I1618" t="str">
        <f>getMount('RawData (GH)'!G1618)</f>
        <v>Nikon 1</v>
      </c>
      <c r="J1618" t="str">
        <f>getSensorCompatibility('RawData (GH)'!H1618)</f>
        <v>APS-C</v>
      </c>
      <c r="K1618" s="45">
        <f>getWeightAsDouble('RawData (GH)'!I1618)</f>
        <v>330</v>
      </c>
      <c r="L1618" s="34">
        <f>getSizeDiameter('RawData (GH)'!J1618)</f>
        <v>0</v>
      </c>
      <c r="M1618" s="34">
        <f>getSizeLength('RawData (GH)'!J1618)</f>
        <v>0</v>
      </c>
    </row>
    <row r="1619" spans="1:13" x14ac:dyDescent="0.25">
      <c r="A1619" t="str">
        <f>'RawData (GH)'!A1619</f>
        <v>Voking 12mm 2.8 für Sony E schwarz</v>
      </c>
      <c r="B1619" s="5">
        <f>getFocalLengthStart('RawData (GH)'!B1619)</f>
        <v>12</v>
      </c>
      <c r="C1619" s="5">
        <f>getFocalLengthEnd('RawData (GH)'!B1619)</f>
        <v>12</v>
      </c>
      <c r="D1619" s="9">
        <f>getApertureStart('RawData (GH)'!C1619)</f>
        <v>2.8</v>
      </c>
      <c r="E1619" s="9">
        <f>getApertureEnd('RawData (GH)'!C1619)</f>
        <v>2.8</v>
      </c>
      <c r="F1619" s="2">
        <f>getFiltersizeAsDouble('RawData (GH)'!D1619)</f>
        <v>72</v>
      </c>
      <c r="G1619" s="35">
        <f>getMagnification('RawData (GH)'!E1619)</f>
        <v>0</v>
      </c>
      <c r="H1619" s="62">
        <f>getMinimalFocus('RawData (GH)'!F1619)</f>
        <v>0</v>
      </c>
      <c r="I1619" t="str">
        <f>getMount('RawData (GH)'!G1619)</f>
        <v>Sony E</v>
      </c>
      <c r="J1619" t="str">
        <f>getSensorCompatibility('RawData (GH)'!H1619)</f>
        <v>APS-C</v>
      </c>
      <c r="K1619" s="45">
        <f>getWeightAsDouble('RawData (GH)'!I1619)</f>
        <v>330</v>
      </c>
      <c r="L1619" s="34">
        <f>getSizeDiameter('RawData (GH)'!J1619)</f>
        <v>0</v>
      </c>
      <c r="M1619" s="34">
        <f>getSizeLength('RawData (GH)'!J1619)</f>
        <v>0</v>
      </c>
    </row>
    <row r="1620" spans="1:13" x14ac:dyDescent="0.25">
      <c r="A1620" t="str">
        <f>'RawData (GH)'!A1620</f>
        <v>Voking 25mm 0.95 für Canon EF-M schwarz</v>
      </c>
      <c r="B1620" s="5">
        <f>getFocalLengthStart('RawData (GH)'!B1620)</f>
        <v>25</v>
      </c>
      <c r="C1620" s="5">
        <f>getFocalLengthEnd('RawData (GH)'!B1620)</f>
        <v>25</v>
      </c>
      <c r="D1620" s="9">
        <f>getApertureStart('RawData (GH)'!C1620)</f>
        <v>0.95</v>
      </c>
      <c r="E1620" s="9">
        <f>getApertureEnd('RawData (GH)'!C1620)</f>
        <v>0.95</v>
      </c>
      <c r="F1620" s="2">
        <f>getFiltersizeAsDouble('RawData (GH)'!D1620)</f>
        <v>55</v>
      </c>
      <c r="G1620" s="35">
        <f>getMagnification('RawData (GH)'!E1620)</f>
        <v>0</v>
      </c>
      <c r="H1620" s="62">
        <f>getMinimalFocus('RawData (GH)'!F1620)</f>
        <v>0</v>
      </c>
      <c r="I1620" t="str">
        <f>getMount('RawData (GH)'!G1620)</f>
        <v>Canon EF-M</v>
      </c>
      <c r="J1620" t="str">
        <f>getSensorCompatibility('RawData (GH)'!H1620)</f>
        <v>APS-C</v>
      </c>
      <c r="K1620" s="45">
        <f>getWeightAsDouble('RawData (GH)'!I1620)</f>
        <v>540</v>
      </c>
      <c r="L1620" s="34">
        <f>getSizeDiameter('RawData (GH)'!J1620)</f>
        <v>64</v>
      </c>
      <c r="M1620" s="34">
        <f>getSizeLength('RawData (GH)'!J1620)</f>
        <v>101</v>
      </c>
    </row>
    <row r="1621" spans="1:13" x14ac:dyDescent="0.25">
      <c r="A1621" t="str">
        <f>'RawData (GH)'!A1621</f>
        <v>Voking 25mm 0.95 für Fujifilm X schwarz</v>
      </c>
      <c r="B1621" s="5">
        <f>getFocalLengthStart('RawData (GH)'!B1621)</f>
        <v>25</v>
      </c>
      <c r="C1621" s="5">
        <f>getFocalLengthEnd('RawData (GH)'!B1621)</f>
        <v>25</v>
      </c>
      <c r="D1621" s="9">
        <f>getApertureStart('RawData (GH)'!C1621)</f>
        <v>0.95</v>
      </c>
      <c r="E1621" s="9">
        <f>getApertureEnd('RawData (GH)'!C1621)</f>
        <v>0.95</v>
      </c>
      <c r="F1621" s="2">
        <f>getFiltersizeAsDouble('RawData (GH)'!D1621)</f>
        <v>55</v>
      </c>
      <c r="G1621" s="35">
        <f>getMagnification('RawData (GH)'!E1621)</f>
        <v>0</v>
      </c>
      <c r="H1621" s="62">
        <f>getMinimalFocus('RawData (GH)'!F1621)</f>
        <v>0</v>
      </c>
      <c r="I1621" t="str">
        <f>getMount('RawData (GH)'!G1621)</f>
        <v>Fujifilm X</v>
      </c>
      <c r="J1621" t="str">
        <f>getSensorCompatibility('RawData (GH)'!H1621)</f>
        <v>APS-C</v>
      </c>
      <c r="K1621" s="45">
        <f>getWeightAsDouble('RawData (GH)'!I1621)</f>
        <v>540</v>
      </c>
      <c r="L1621" s="34">
        <f>getSizeDiameter('RawData (GH)'!J1621)</f>
        <v>64</v>
      </c>
      <c r="M1621" s="34">
        <f>getSizeLength('RawData (GH)'!J1621)</f>
        <v>101</v>
      </c>
    </row>
    <row r="1622" spans="1:13" x14ac:dyDescent="0.25">
      <c r="A1622" t="str">
        <f>'RawData (GH)'!A1622</f>
        <v>Voking 25mm 0.95 für Micro-Four-Thirds schwarz</v>
      </c>
      <c r="B1622" s="5">
        <f>getFocalLengthStart('RawData (GH)'!B1622)</f>
        <v>25</v>
      </c>
      <c r="C1622" s="5">
        <f>getFocalLengthEnd('RawData (GH)'!B1622)</f>
        <v>25</v>
      </c>
      <c r="D1622" s="9">
        <f>getApertureStart('RawData (GH)'!C1622)</f>
        <v>0.95</v>
      </c>
      <c r="E1622" s="9">
        <f>getApertureEnd('RawData (GH)'!C1622)</f>
        <v>0.95</v>
      </c>
      <c r="F1622" s="2">
        <f>getFiltersizeAsDouble('RawData (GH)'!D1622)</f>
        <v>55</v>
      </c>
      <c r="G1622" s="35">
        <f>getMagnification('RawData (GH)'!E1622)</f>
        <v>0</v>
      </c>
      <c r="H1622" s="62">
        <f>getMinimalFocus('RawData (GH)'!F1622)</f>
        <v>0</v>
      </c>
      <c r="I1622" t="str">
        <f>getMount('RawData (GH)'!G1622)</f>
        <v>Micro-Four-Thirds</v>
      </c>
      <c r="J1622" t="str">
        <f>getSensorCompatibility('RawData (GH)'!H1622)</f>
        <v>APS-C</v>
      </c>
      <c r="K1622" s="45">
        <f>getWeightAsDouble('RawData (GH)'!I1622)</f>
        <v>540</v>
      </c>
      <c r="L1622" s="34">
        <f>getSizeDiameter('RawData (GH)'!J1622)</f>
        <v>64</v>
      </c>
      <c r="M1622" s="34">
        <f>getSizeLength('RawData (GH)'!J1622)</f>
        <v>101</v>
      </c>
    </row>
    <row r="1623" spans="1:13" x14ac:dyDescent="0.25">
      <c r="A1623" t="str">
        <f>'RawData (GH)'!A1623</f>
        <v>Voking 25mm 0.95 für Nikon 1 schwarz</v>
      </c>
      <c r="B1623" s="5">
        <f>getFocalLengthStart('RawData (GH)'!B1623)</f>
        <v>25</v>
      </c>
      <c r="C1623" s="5">
        <f>getFocalLengthEnd('RawData (GH)'!B1623)</f>
        <v>25</v>
      </c>
      <c r="D1623" s="9">
        <f>getApertureStart('RawData (GH)'!C1623)</f>
        <v>0.95</v>
      </c>
      <c r="E1623" s="9">
        <f>getApertureEnd('RawData (GH)'!C1623)</f>
        <v>0.95</v>
      </c>
      <c r="F1623" s="2">
        <f>getFiltersizeAsDouble('RawData (GH)'!D1623)</f>
        <v>55</v>
      </c>
      <c r="G1623" s="35">
        <f>getMagnification('RawData (GH)'!E1623)</f>
        <v>0</v>
      </c>
      <c r="H1623" s="62">
        <f>getMinimalFocus('RawData (GH)'!F1623)</f>
        <v>0</v>
      </c>
      <c r="I1623" t="str">
        <f>getMount('RawData (GH)'!G1623)</f>
        <v>Nikon 1</v>
      </c>
      <c r="J1623" t="str">
        <f>getSensorCompatibility('RawData (GH)'!H1623)</f>
        <v>APS-C</v>
      </c>
      <c r="K1623" s="45">
        <f>getWeightAsDouble('RawData (GH)'!I1623)</f>
        <v>540</v>
      </c>
      <c r="L1623" s="34">
        <f>getSizeDiameter('RawData (GH)'!J1623)</f>
        <v>64</v>
      </c>
      <c r="M1623" s="34">
        <f>getSizeLength('RawData (GH)'!J1623)</f>
        <v>101</v>
      </c>
    </row>
    <row r="1624" spans="1:13" x14ac:dyDescent="0.25">
      <c r="A1624" t="str">
        <f>'RawData (GH)'!A1624</f>
        <v>Voking 25mm 0.95 für Sony E schwarz</v>
      </c>
      <c r="B1624" s="5">
        <f>getFocalLengthStart('RawData (GH)'!B1624)</f>
        <v>25</v>
      </c>
      <c r="C1624" s="5">
        <f>getFocalLengthEnd('RawData (GH)'!B1624)</f>
        <v>25</v>
      </c>
      <c r="D1624" s="9">
        <f>getApertureStart('RawData (GH)'!C1624)</f>
        <v>0.95</v>
      </c>
      <c r="E1624" s="9">
        <f>getApertureEnd('RawData (GH)'!C1624)</f>
        <v>0.95</v>
      </c>
      <c r="F1624" s="2">
        <f>getFiltersizeAsDouble('RawData (GH)'!D1624)</f>
        <v>55</v>
      </c>
      <c r="G1624" s="35">
        <f>getMagnification('RawData (GH)'!E1624)</f>
        <v>0</v>
      </c>
      <c r="H1624" s="62">
        <f>getMinimalFocus('RawData (GH)'!F1624)</f>
        <v>0</v>
      </c>
      <c r="I1624" t="str">
        <f>getMount('RawData (GH)'!G1624)</f>
        <v>Sony E</v>
      </c>
      <c r="J1624" t="str">
        <f>getSensorCompatibility('RawData (GH)'!H1624)</f>
        <v>APS-C</v>
      </c>
      <c r="K1624" s="45">
        <f>getWeightAsDouble('RawData (GH)'!I1624)</f>
        <v>540</v>
      </c>
      <c r="L1624" s="34">
        <f>getSizeDiameter('RawData (GH)'!J1624)</f>
        <v>64</v>
      </c>
      <c r="M1624" s="34">
        <f>getSizeLength('RawData (GH)'!J1624)</f>
        <v>101</v>
      </c>
    </row>
    <row r="1625" spans="1:13" x14ac:dyDescent="0.25">
      <c r="A1625" t="str">
        <f>'RawData (GH)'!A1625</f>
        <v>Voking 28mm 2.8 für Canon EF-M schwarz</v>
      </c>
      <c r="B1625" s="5">
        <f>getFocalLengthStart('RawData (GH)'!B1625)</f>
        <v>28</v>
      </c>
      <c r="C1625" s="5">
        <f>getFocalLengthEnd('RawData (GH)'!B1625)</f>
        <v>28</v>
      </c>
      <c r="D1625" s="9">
        <f>getApertureStart('RawData (GH)'!C1625)</f>
        <v>2.8</v>
      </c>
      <c r="E1625" s="9">
        <f>getApertureEnd('RawData (GH)'!C1625)</f>
        <v>2.8</v>
      </c>
      <c r="F1625" s="2">
        <f>getFiltersizeAsDouble('RawData (GH)'!D1625)</f>
        <v>49</v>
      </c>
      <c r="G1625" s="35">
        <f>getMagnification('RawData (GH)'!E1625)</f>
        <v>0</v>
      </c>
      <c r="H1625" s="62">
        <f>getMinimalFocus('RawData (GH)'!F1625)</f>
        <v>0</v>
      </c>
      <c r="I1625" t="str">
        <f>getMount('RawData (GH)'!G1625)</f>
        <v>Canon EF-M</v>
      </c>
      <c r="J1625" t="str">
        <f>getSensorCompatibility('RawData (GH)'!H1625)</f>
        <v>APS-C</v>
      </c>
      <c r="K1625" s="45">
        <f>getWeightAsDouble('RawData (GH)'!I1625)</f>
        <v>102</v>
      </c>
      <c r="L1625" s="34">
        <f>getSizeDiameter('RawData (GH)'!J1625)</f>
        <v>60.4</v>
      </c>
      <c r="M1625" s="34">
        <f>getSizeLength('RawData (GH)'!J1625)</f>
        <v>29</v>
      </c>
    </row>
    <row r="1626" spans="1:13" x14ac:dyDescent="0.25">
      <c r="A1626" t="str">
        <f>'RawData (GH)'!A1626</f>
        <v>Voking 28mm 2.8 für Fujifilm X schwarz</v>
      </c>
      <c r="B1626" s="5">
        <f>getFocalLengthStart('RawData (GH)'!B1626)</f>
        <v>28</v>
      </c>
      <c r="C1626" s="5">
        <f>getFocalLengthEnd('RawData (GH)'!B1626)</f>
        <v>28</v>
      </c>
      <c r="D1626" s="9">
        <f>getApertureStart('RawData (GH)'!C1626)</f>
        <v>2.8</v>
      </c>
      <c r="E1626" s="9">
        <f>getApertureEnd('RawData (GH)'!C1626)</f>
        <v>2.8</v>
      </c>
      <c r="F1626" s="2">
        <f>getFiltersizeAsDouble('RawData (GH)'!D1626)</f>
        <v>49</v>
      </c>
      <c r="G1626" s="35">
        <f>getMagnification('RawData (GH)'!E1626)</f>
        <v>0</v>
      </c>
      <c r="H1626" s="62">
        <f>getMinimalFocus('RawData (GH)'!F1626)</f>
        <v>0</v>
      </c>
      <c r="I1626" t="str">
        <f>getMount('RawData (GH)'!G1626)</f>
        <v>Fujifilm X</v>
      </c>
      <c r="J1626" t="str">
        <f>getSensorCompatibility('RawData (GH)'!H1626)</f>
        <v>APS-C</v>
      </c>
      <c r="K1626" s="45">
        <f>getWeightAsDouble('RawData (GH)'!I1626)</f>
        <v>102</v>
      </c>
      <c r="L1626" s="34">
        <f>getSizeDiameter('RawData (GH)'!J1626)</f>
        <v>60.4</v>
      </c>
      <c r="M1626" s="34">
        <f>getSizeLength('RawData (GH)'!J1626)</f>
        <v>29</v>
      </c>
    </row>
    <row r="1627" spans="1:13" x14ac:dyDescent="0.25">
      <c r="A1627" t="str">
        <f>'RawData (GH)'!A1627</f>
        <v>Voking 28mm 2.8 für Micro-Four-Thirds schwarz</v>
      </c>
      <c r="B1627" s="5">
        <f>getFocalLengthStart('RawData (GH)'!B1627)</f>
        <v>28</v>
      </c>
      <c r="C1627" s="5">
        <f>getFocalLengthEnd('RawData (GH)'!B1627)</f>
        <v>28</v>
      </c>
      <c r="D1627" s="9">
        <f>getApertureStart('RawData (GH)'!C1627)</f>
        <v>2.8</v>
      </c>
      <c r="E1627" s="9">
        <f>getApertureEnd('RawData (GH)'!C1627)</f>
        <v>2.8</v>
      </c>
      <c r="F1627" s="2">
        <f>getFiltersizeAsDouble('RawData (GH)'!D1627)</f>
        <v>49</v>
      </c>
      <c r="G1627" s="35">
        <f>getMagnification('RawData (GH)'!E1627)</f>
        <v>0</v>
      </c>
      <c r="H1627" s="62">
        <f>getMinimalFocus('RawData (GH)'!F1627)</f>
        <v>0</v>
      </c>
      <c r="I1627" t="str">
        <f>getMount('RawData (GH)'!G1627)</f>
        <v>Micro-Four-Thirds</v>
      </c>
      <c r="J1627" t="str">
        <f>getSensorCompatibility('RawData (GH)'!H1627)</f>
        <v>APS-C</v>
      </c>
      <c r="K1627" s="45">
        <f>getWeightAsDouble('RawData (GH)'!I1627)</f>
        <v>102</v>
      </c>
      <c r="L1627" s="34">
        <f>getSizeDiameter('RawData (GH)'!J1627)</f>
        <v>60.4</v>
      </c>
      <c r="M1627" s="34">
        <f>getSizeLength('RawData (GH)'!J1627)</f>
        <v>29</v>
      </c>
    </row>
    <row r="1628" spans="1:13" x14ac:dyDescent="0.25">
      <c r="A1628" t="str">
        <f>'RawData (GH)'!A1628</f>
        <v>Voking 28mm 2.8 für Nikon 1 schwarz</v>
      </c>
      <c r="B1628" s="5">
        <f>getFocalLengthStart('RawData (GH)'!B1628)</f>
        <v>28</v>
      </c>
      <c r="C1628" s="5">
        <f>getFocalLengthEnd('RawData (GH)'!B1628)</f>
        <v>28</v>
      </c>
      <c r="D1628" s="9">
        <f>getApertureStart('RawData (GH)'!C1628)</f>
        <v>2.8</v>
      </c>
      <c r="E1628" s="9">
        <f>getApertureEnd('RawData (GH)'!C1628)</f>
        <v>2.8</v>
      </c>
      <c r="F1628" s="2">
        <f>getFiltersizeAsDouble('RawData (GH)'!D1628)</f>
        <v>49</v>
      </c>
      <c r="G1628" s="35">
        <f>getMagnification('RawData (GH)'!E1628)</f>
        <v>0</v>
      </c>
      <c r="H1628" s="62">
        <f>getMinimalFocus('RawData (GH)'!F1628)</f>
        <v>0</v>
      </c>
      <c r="I1628" t="str">
        <f>getMount('RawData (GH)'!G1628)</f>
        <v>Nikon 1</v>
      </c>
      <c r="J1628" t="str">
        <f>getSensorCompatibility('RawData (GH)'!H1628)</f>
        <v>APS-C</v>
      </c>
      <c r="K1628" s="45">
        <f>getWeightAsDouble('RawData (GH)'!I1628)</f>
        <v>102</v>
      </c>
      <c r="L1628" s="34">
        <f>getSizeDiameter('RawData (GH)'!J1628)</f>
        <v>60.4</v>
      </c>
      <c r="M1628" s="34">
        <f>getSizeLength('RawData (GH)'!J1628)</f>
        <v>29</v>
      </c>
    </row>
    <row r="1629" spans="1:13" x14ac:dyDescent="0.25">
      <c r="A1629" t="str">
        <f>'RawData (GH)'!A1629</f>
        <v>Voking 28mm 2.8 für Sony E schwarz</v>
      </c>
      <c r="B1629" s="5">
        <f>getFocalLengthStart('RawData (GH)'!B1629)</f>
        <v>28</v>
      </c>
      <c r="C1629" s="5">
        <f>getFocalLengthEnd('RawData (GH)'!B1629)</f>
        <v>28</v>
      </c>
      <c r="D1629" s="9">
        <f>getApertureStart('RawData (GH)'!C1629)</f>
        <v>2.8</v>
      </c>
      <c r="E1629" s="9">
        <f>getApertureEnd('RawData (GH)'!C1629)</f>
        <v>2.8</v>
      </c>
      <c r="F1629" s="2">
        <f>getFiltersizeAsDouble('RawData (GH)'!D1629)</f>
        <v>49</v>
      </c>
      <c r="G1629" s="35">
        <f>getMagnification('RawData (GH)'!E1629)</f>
        <v>0</v>
      </c>
      <c r="H1629" s="62">
        <f>getMinimalFocus('RawData (GH)'!F1629)</f>
        <v>0</v>
      </c>
      <c r="I1629" t="str">
        <f>getMount('RawData (GH)'!G1629)</f>
        <v>Sony E</v>
      </c>
      <c r="J1629" t="str">
        <f>getSensorCompatibility('RawData (GH)'!H1629)</f>
        <v>APS-C</v>
      </c>
      <c r="K1629" s="45">
        <f>getWeightAsDouble('RawData (GH)'!I1629)</f>
        <v>102</v>
      </c>
      <c r="L1629" s="34">
        <f>getSizeDiameter('RawData (GH)'!J1629)</f>
        <v>60.4</v>
      </c>
      <c r="M1629" s="34">
        <f>getSizeLength('RawData (GH)'!J1629)</f>
        <v>29</v>
      </c>
    </row>
    <row r="1630" spans="1:13" x14ac:dyDescent="0.25">
      <c r="A1630" t="str">
        <f>'RawData (GH)'!A1630</f>
        <v>Voking 35mm 1.7 für Canon EF-M schwarz</v>
      </c>
      <c r="B1630" s="5">
        <f>getFocalLengthStart('RawData (GH)'!B1630)</f>
        <v>35</v>
      </c>
      <c r="C1630" s="5">
        <f>getFocalLengthEnd('RawData (GH)'!B1630)</f>
        <v>35</v>
      </c>
      <c r="D1630" s="9">
        <f>getApertureStart('RawData (GH)'!C1630)</f>
        <v>1.7</v>
      </c>
      <c r="E1630" s="9">
        <f>getApertureEnd('RawData (GH)'!C1630)</f>
        <v>1.7</v>
      </c>
      <c r="F1630" s="2">
        <f>getFiltersizeAsDouble('RawData (GH)'!D1630)</f>
        <v>49</v>
      </c>
      <c r="G1630" s="35">
        <f>getMagnification('RawData (GH)'!E1630)</f>
        <v>0</v>
      </c>
      <c r="H1630" s="62">
        <f>getMinimalFocus('RawData (GH)'!F1630)</f>
        <v>0</v>
      </c>
      <c r="I1630" t="str">
        <f>getMount('RawData (GH)'!G1630)</f>
        <v>Canon EF-M</v>
      </c>
      <c r="J1630" t="str">
        <f>getSensorCompatibility('RawData (GH)'!H1630)</f>
        <v>APS-C</v>
      </c>
      <c r="K1630" s="45">
        <f>getWeightAsDouble('RawData (GH)'!I1630)</f>
        <v>176</v>
      </c>
      <c r="L1630" s="34">
        <f>getSizeDiameter('RawData (GH)'!J1630)</f>
        <v>60.5</v>
      </c>
      <c r="M1630" s="34">
        <f>getSizeLength('RawData (GH)'!J1630)</f>
        <v>41</v>
      </c>
    </row>
    <row r="1631" spans="1:13" x14ac:dyDescent="0.25">
      <c r="A1631" t="str">
        <f>'RawData (GH)'!A1631</f>
        <v>Voking 35mm 1.7 für Fujifilm X schwarz</v>
      </c>
      <c r="B1631" s="5">
        <f>getFocalLengthStart('RawData (GH)'!B1631)</f>
        <v>35</v>
      </c>
      <c r="C1631" s="5">
        <f>getFocalLengthEnd('RawData (GH)'!B1631)</f>
        <v>35</v>
      </c>
      <c r="D1631" s="9">
        <f>getApertureStart('RawData (GH)'!C1631)</f>
        <v>1.7</v>
      </c>
      <c r="E1631" s="9">
        <f>getApertureEnd('RawData (GH)'!C1631)</f>
        <v>1.7</v>
      </c>
      <c r="F1631" s="2">
        <f>getFiltersizeAsDouble('RawData (GH)'!D1631)</f>
        <v>49</v>
      </c>
      <c r="G1631" s="35">
        <f>getMagnification('RawData (GH)'!E1631)</f>
        <v>0</v>
      </c>
      <c r="H1631" s="62">
        <f>getMinimalFocus('RawData (GH)'!F1631)</f>
        <v>0</v>
      </c>
      <c r="I1631" t="str">
        <f>getMount('RawData (GH)'!G1631)</f>
        <v>Fujifilm X</v>
      </c>
      <c r="J1631" t="str">
        <f>getSensorCompatibility('RawData (GH)'!H1631)</f>
        <v>APS-C</v>
      </c>
      <c r="K1631" s="45">
        <f>getWeightAsDouble('RawData (GH)'!I1631)</f>
        <v>176</v>
      </c>
      <c r="L1631" s="34">
        <f>getSizeDiameter('RawData (GH)'!J1631)</f>
        <v>60.5</v>
      </c>
      <c r="M1631" s="34">
        <f>getSizeLength('RawData (GH)'!J1631)</f>
        <v>41</v>
      </c>
    </row>
    <row r="1632" spans="1:13" x14ac:dyDescent="0.25">
      <c r="A1632" t="str">
        <f>'RawData (GH)'!A1632</f>
        <v>Voking 35mm 1.7 für Micro-Four-Thirds schwarz</v>
      </c>
      <c r="B1632" s="5">
        <f>getFocalLengthStart('RawData (GH)'!B1632)</f>
        <v>35</v>
      </c>
      <c r="C1632" s="5">
        <f>getFocalLengthEnd('RawData (GH)'!B1632)</f>
        <v>35</v>
      </c>
      <c r="D1632" s="9">
        <f>getApertureStart('RawData (GH)'!C1632)</f>
        <v>1.7</v>
      </c>
      <c r="E1632" s="9">
        <f>getApertureEnd('RawData (GH)'!C1632)</f>
        <v>1.7</v>
      </c>
      <c r="F1632" s="2">
        <f>getFiltersizeAsDouble('RawData (GH)'!D1632)</f>
        <v>49</v>
      </c>
      <c r="G1632" s="35">
        <f>getMagnification('RawData (GH)'!E1632)</f>
        <v>0</v>
      </c>
      <c r="H1632" s="62">
        <f>getMinimalFocus('RawData (GH)'!F1632)</f>
        <v>0</v>
      </c>
      <c r="I1632" t="str">
        <f>getMount('RawData (GH)'!G1632)</f>
        <v>Micro-Four-Thirds</v>
      </c>
      <c r="J1632" t="str">
        <f>getSensorCompatibility('RawData (GH)'!H1632)</f>
        <v>APS-C</v>
      </c>
      <c r="K1632" s="45">
        <f>getWeightAsDouble('RawData (GH)'!I1632)</f>
        <v>176</v>
      </c>
      <c r="L1632" s="34">
        <f>getSizeDiameter('RawData (GH)'!J1632)</f>
        <v>60.5</v>
      </c>
      <c r="M1632" s="34">
        <f>getSizeLength('RawData (GH)'!J1632)</f>
        <v>41</v>
      </c>
    </row>
    <row r="1633" spans="1:13" x14ac:dyDescent="0.25">
      <c r="A1633" t="str">
        <f>'RawData (GH)'!A1633</f>
        <v>Voking 35mm 1.7 für Nikon 1 schwarz</v>
      </c>
      <c r="B1633" s="5">
        <f>getFocalLengthStart('RawData (GH)'!B1633)</f>
        <v>35</v>
      </c>
      <c r="C1633" s="5">
        <f>getFocalLengthEnd('RawData (GH)'!B1633)</f>
        <v>35</v>
      </c>
      <c r="D1633" s="9">
        <f>getApertureStart('RawData (GH)'!C1633)</f>
        <v>1.7</v>
      </c>
      <c r="E1633" s="9">
        <f>getApertureEnd('RawData (GH)'!C1633)</f>
        <v>1.7</v>
      </c>
      <c r="F1633" s="2">
        <f>getFiltersizeAsDouble('RawData (GH)'!D1633)</f>
        <v>49</v>
      </c>
      <c r="G1633" s="35">
        <f>getMagnification('RawData (GH)'!E1633)</f>
        <v>0</v>
      </c>
      <c r="H1633" s="62">
        <f>getMinimalFocus('RawData (GH)'!F1633)</f>
        <v>0</v>
      </c>
      <c r="I1633" t="str">
        <f>getMount('RawData (GH)'!G1633)</f>
        <v>Nikon 1</v>
      </c>
      <c r="J1633" t="str">
        <f>getSensorCompatibility('RawData (GH)'!H1633)</f>
        <v>APS-C</v>
      </c>
      <c r="K1633" s="45">
        <f>getWeightAsDouble('RawData (GH)'!I1633)</f>
        <v>176</v>
      </c>
      <c r="L1633" s="34">
        <f>getSizeDiameter('RawData (GH)'!J1633)</f>
        <v>60.5</v>
      </c>
      <c r="M1633" s="34">
        <f>getSizeLength('RawData (GH)'!J1633)</f>
        <v>41</v>
      </c>
    </row>
    <row r="1634" spans="1:13" x14ac:dyDescent="0.25">
      <c r="A1634" t="str">
        <f>'RawData (GH)'!A1634</f>
        <v>Voking 35mm 1.7 für Sony E schwarz</v>
      </c>
      <c r="B1634" s="5">
        <f>getFocalLengthStart('RawData (GH)'!B1634)</f>
        <v>35</v>
      </c>
      <c r="C1634" s="5">
        <f>getFocalLengthEnd('RawData (GH)'!B1634)</f>
        <v>35</v>
      </c>
      <c r="D1634" s="9">
        <f>getApertureStart('RawData (GH)'!C1634)</f>
        <v>1.7</v>
      </c>
      <c r="E1634" s="9">
        <f>getApertureEnd('RawData (GH)'!C1634)</f>
        <v>1.7</v>
      </c>
      <c r="F1634" s="2">
        <f>getFiltersizeAsDouble('RawData (GH)'!D1634)</f>
        <v>49</v>
      </c>
      <c r="G1634" s="35">
        <f>getMagnification('RawData (GH)'!E1634)</f>
        <v>0</v>
      </c>
      <c r="H1634" s="62">
        <f>getMinimalFocus('RawData (GH)'!F1634)</f>
        <v>0</v>
      </c>
      <c r="I1634" t="str">
        <f>getMount('RawData (GH)'!G1634)</f>
        <v>Sony E</v>
      </c>
      <c r="J1634" t="str">
        <f>getSensorCompatibility('RawData (GH)'!H1634)</f>
        <v>APS-C</v>
      </c>
      <c r="K1634" s="45">
        <f>getWeightAsDouble('RawData (GH)'!I1634)</f>
        <v>176</v>
      </c>
      <c r="L1634" s="34">
        <f>getSizeDiameter('RawData (GH)'!J1634)</f>
        <v>60.5</v>
      </c>
      <c r="M1634" s="34">
        <f>getSizeLength('RawData (GH)'!J1634)</f>
        <v>41</v>
      </c>
    </row>
    <row r="1635" spans="1:13" x14ac:dyDescent="0.25">
      <c r="A1635" t="str">
        <f>'RawData (GH)'!A1635</f>
        <v>Voking 50mm 2.0 für Canon EF-M schwarz</v>
      </c>
      <c r="B1635" s="5">
        <f>getFocalLengthStart('RawData (GH)'!B1635)</f>
        <v>50</v>
      </c>
      <c r="C1635" s="5">
        <f>getFocalLengthEnd('RawData (GH)'!B1635)</f>
        <v>50</v>
      </c>
      <c r="D1635" s="9">
        <f>getApertureStart('RawData (GH)'!C1635)</f>
        <v>2</v>
      </c>
      <c r="E1635" s="9">
        <f>getApertureEnd('RawData (GH)'!C1635)</f>
        <v>2</v>
      </c>
      <c r="F1635" s="2">
        <f>getFiltersizeAsDouble('RawData (GH)'!D1635)</f>
        <v>49</v>
      </c>
      <c r="G1635" s="35">
        <f>getMagnification('RawData (GH)'!E1635)</f>
        <v>0</v>
      </c>
      <c r="H1635" s="62">
        <f>getMinimalFocus('RawData (GH)'!F1635)</f>
        <v>0</v>
      </c>
      <c r="I1635" t="str">
        <f>getMount('RawData (GH)'!G1635)</f>
        <v>Canon EF-M</v>
      </c>
      <c r="J1635" t="str">
        <f>getSensorCompatibility('RawData (GH)'!H1635)</f>
        <v>APS-C</v>
      </c>
      <c r="K1635" s="45">
        <f>getWeightAsDouble('RawData (GH)'!I1635)</f>
        <v>188</v>
      </c>
      <c r="L1635" s="34">
        <f>getSizeDiameter('RawData (GH)'!J1635)</f>
        <v>60.5</v>
      </c>
      <c r="M1635" s="34">
        <f>getSizeLength('RawData (GH)'!J1635)</f>
        <v>41</v>
      </c>
    </row>
    <row r="1636" spans="1:13" x14ac:dyDescent="0.25">
      <c r="A1636" t="str">
        <f>'RawData (GH)'!A1636</f>
        <v>Voking 50mm 2.0 für Fujifilm X schwarz</v>
      </c>
      <c r="B1636" s="5">
        <f>getFocalLengthStart('RawData (GH)'!B1636)</f>
        <v>50</v>
      </c>
      <c r="C1636" s="5">
        <f>getFocalLengthEnd('RawData (GH)'!B1636)</f>
        <v>50</v>
      </c>
      <c r="D1636" s="9">
        <f>getApertureStart('RawData (GH)'!C1636)</f>
        <v>2</v>
      </c>
      <c r="E1636" s="9">
        <f>getApertureEnd('RawData (GH)'!C1636)</f>
        <v>2</v>
      </c>
      <c r="F1636" s="2">
        <f>getFiltersizeAsDouble('RawData (GH)'!D1636)</f>
        <v>49</v>
      </c>
      <c r="G1636" s="35">
        <f>getMagnification('RawData (GH)'!E1636)</f>
        <v>0</v>
      </c>
      <c r="H1636" s="62">
        <f>getMinimalFocus('RawData (GH)'!F1636)</f>
        <v>0</v>
      </c>
      <c r="I1636" t="str">
        <f>getMount('RawData (GH)'!G1636)</f>
        <v>Fujifilm X</v>
      </c>
      <c r="J1636" t="str">
        <f>getSensorCompatibility('RawData (GH)'!H1636)</f>
        <v>APS-C</v>
      </c>
      <c r="K1636" s="45">
        <f>getWeightAsDouble('RawData (GH)'!I1636)</f>
        <v>188</v>
      </c>
      <c r="L1636" s="34">
        <f>getSizeDiameter('RawData (GH)'!J1636)</f>
        <v>60.5</v>
      </c>
      <c r="M1636" s="34">
        <f>getSizeLength('RawData (GH)'!J1636)</f>
        <v>41</v>
      </c>
    </row>
    <row r="1637" spans="1:13" x14ac:dyDescent="0.25">
      <c r="A1637" t="str">
        <f>'RawData (GH)'!A1637</f>
        <v>Voking 50mm 2.0 für Micro-Four-Thirds schwarz</v>
      </c>
      <c r="B1637" s="5">
        <f>getFocalLengthStart('RawData (GH)'!B1637)</f>
        <v>50</v>
      </c>
      <c r="C1637" s="5">
        <f>getFocalLengthEnd('RawData (GH)'!B1637)</f>
        <v>50</v>
      </c>
      <c r="D1637" s="9">
        <f>getApertureStart('RawData (GH)'!C1637)</f>
        <v>2</v>
      </c>
      <c r="E1637" s="9">
        <f>getApertureEnd('RawData (GH)'!C1637)</f>
        <v>2</v>
      </c>
      <c r="F1637" s="2">
        <f>getFiltersizeAsDouble('RawData (GH)'!D1637)</f>
        <v>49</v>
      </c>
      <c r="G1637" s="35">
        <f>getMagnification('RawData (GH)'!E1637)</f>
        <v>0</v>
      </c>
      <c r="H1637" s="62">
        <f>getMinimalFocus('RawData (GH)'!F1637)</f>
        <v>0</v>
      </c>
      <c r="I1637" t="str">
        <f>getMount('RawData (GH)'!G1637)</f>
        <v>Micro-Four-Thirds</v>
      </c>
      <c r="J1637" t="str">
        <f>getSensorCompatibility('RawData (GH)'!H1637)</f>
        <v>APS-C</v>
      </c>
      <c r="K1637" s="45">
        <f>getWeightAsDouble('RawData (GH)'!I1637)</f>
        <v>188</v>
      </c>
      <c r="L1637" s="34">
        <f>getSizeDiameter('RawData (GH)'!J1637)</f>
        <v>60.5</v>
      </c>
      <c r="M1637" s="34">
        <f>getSizeLength('RawData (GH)'!J1637)</f>
        <v>41</v>
      </c>
    </row>
    <row r="1638" spans="1:13" x14ac:dyDescent="0.25">
      <c r="A1638" t="str">
        <f>'RawData (GH)'!A1638</f>
        <v>Voking 50mm 2.0 für Nikon 1 schwarz</v>
      </c>
      <c r="B1638" s="5">
        <f>getFocalLengthStart('RawData (GH)'!B1638)</f>
        <v>50</v>
      </c>
      <c r="C1638" s="5">
        <f>getFocalLengthEnd('RawData (GH)'!B1638)</f>
        <v>50</v>
      </c>
      <c r="D1638" s="9">
        <f>getApertureStart('RawData (GH)'!C1638)</f>
        <v>2</v>
      </c>
      <c r="E1638" s="9">
        <f>getApertureEnd('RawData (GH)'!C1638)</f>
        <v>2</v>
      </c>
      <c r="F1638" s="2">
        <f>getFiltersizeAsDouble('RawData (GH)'!D1638)</f>
        <v>49</v>
      </c>
      <c r="G1638" s="35">
        <f>getMagnification('RawData (GH)'!E1638)</f>
        <v>0</v>
      </c>
      <c r="H1638" s="62">
        <f>getMinimalFocus('RawData (GH)'!F1638)</f>
        <v>0</v>
      </c>
      <c r="I1638" t="str">
        <f>getMount('RawData (GH)'!G1638)</f>
        <v>Nikon 1</v>
      </c>
      <c r="J1638" t="str">
        <f>getSensorCompatibility('RawData (GH)'!H1638)</f>
        <v>APS-C</v>
      </c>
      <c r="K1638" s="45">
        <f>getWeightAsDouble('RawData (GH)'!I1638)</f>
        <v>188</v>
      </c>
      <c r="L1638" s="34">
        <f>getSizeDiameter('RawData (GH)'!J1638)</f>
        <v>60.5</v>
      </c>
      <c r="M1638" s="34">
        <f>getSizeLength('RawData (GH)'!J1638)</f>
        <v>41</v>
      </c>
    </row>
    <row r="1639" spans="1:13" x14ac:dyDescent="0.25">
      <c r="A1639" t="str">
        <f>'RawData (GH)'!A1639</f>
        <v>Voking 50mm 2.0 für Sony E schwarz</v>
      </c>
      <c r="B1639" s="5">
        <f>getFocalLengthStart('RawData (GH)'!B1639)</f>
        <v>50</v>
      </c>
      <c r="C1639" s="5">
        <f>getFocalLengthEnd('RawData (GH)'!B1639)</f>
        <v>50</v>
      </c>
      <c r="D1639" s="9">
        <f>getApertureStart('RawData (GH)'!C1639)</f>
        <v>2</v>
      </c>
      <c r="E1639" s="9">
        <f>getApertureEnd('RawData (GH)'!C1639)</f>
        <v>2</v>
      </c>
      <c r="F1639" s="2">
        <f>getFiltersizeAsDouble('RawData (GH)'!D1639)</f>
        <v>49</v>
      </c>
      <c r="G1639" s="35">
        <f>getMagnification('RawData (GH)'!E1639)</f>
        <v>0</v>
      </c>
      <c r="H1639" s="62">
        <f>getMinimalFocus('RawData (GH)'!F1639)</f>
        <v>0</v>
      </c>
      <c r="I1639" t="str">
        <f>getMount('RawData (GH)'!G1639)</f>
        <v>Sony E</v>
      </c>
      <c r="J1639" t="str">
        <f>getSensorCompatibility('RawData (GH)'!H1639)</f>
        <v>APS-C</v>
      </c>
      <c r="K1639" s="45">
        <f>getWeightAsDouble('RawData (GH)'!I1639)</f>
        <v>188</v>
      </c>
      <c r="L1639" s="34">
        <f>getSizeDiameter('RawData (GH)'!J1639)</f>
        <v>60.5</v>
      </c>
      <c r="M1639" s="34">
        <f>getSizeLength('RawData (GH)'!J1639)</f>
        <v>41</v>
      </c>
    </row>
    <row r="1640" spans="1:13" x14ac:dyDescent="0.25">
      <c r="A1640" t="str">
        <f>'RawData (GH)'!A1640</f>
        <v>Voking 8mm 3.5 für Canon EF schwarz</v>
      </c>
      <c r="B1640" s="5">
        <f>getFocalLengthStart('RawData (GH)'!B1640)</f>
        <v>8</v>
      </c>
      <c r="C1640" s="5">
        <f>getFocalLengthEnd('RawData (GH)'!B1640)</f>
        <v>8</v>
      </c>
      <c r="D1640" s="9">
        <f>getApertureStart('RawData (GH)'!C1640)</f>
        <v>3.5</v>
      </c>
      <c r="E1640" s="9">
        <f>getApertureEnd('RawData (GH)'!C1640)</f>
        <v>3.5</v>
      </c>
      <c r="F1640" s="2">
        <f>getFiltersizeAsDouble('RawData (GH)'!D1640)</f>
        <v>0</v>
      </c>
      <c r="G1640" s="35">
        <f>getMagnification('RawData (GH)'!E1640)</f>
        <v>0</v>
      </c>
      <c r="H1640" s="62">
        <f>getMinimalFocus('RawData (GH)'!F1640)</f>
        <v>0</v>
      </c>
      <c r="I1640" t="str">
        <f>getMount('RawData (GH)'!G1640)</f>
        <v>Canon EF-S</v>
      </c>
      <c r="J1640" t="str">
        <f>getSensorCompatibility('RawData (GH)'!H1640)</f>
        <v>APS-C</v>
      </c>
      <c r="K1640" s="45">
        <f>getWeightAsDouble('RawData (GH)'!I1640)</f>
        <v>570</v>
      </c>
      <c r="L1640" s="34">
        <f>getSizeDiameter('RawData (GH)'!J1640)</f>
        <v>0</v>
      </c>
      <c r="M1640" s="34">
        <f>getSizeLength('RawData (GH)'!J1640)</f>
        <v>0</v>
      </c>
    </row>
    <row r="1641" spans="1:13" x14ac:dyDescent="0.25">
      <c r="A1641" t="str">
        <f>'RawData (GH)'!A1641</f>
        <v>Voking 8mm 3.5 für Canon EF-M schwarz</v>
      </c>
      <c r="B1641" s="5">
        <f>getFocalLengthStart('RawData (GH)'!B1641)</f>
        <v>8</v>
      </c>
      <c r="C1641" s="5">
        <f>getFocalLengthEnd('RawData (GH)'!B1641)</f>
        <v>8</v>
      </c>
      <c r="D1641" s="9">
        <f>getApertureStart('RawData (GH)'!C1641)</f>
        <v>3.5</v>
      </c>
      <c r="E1641" s="9">
        <f>getApertureEnd('RawData (GH)'!C1641)</f>
        <v>3.5</v>
      </c>
      <c r="F1641" s="2">
        <f>getFiltersizeAsDouble('RawData (GH)'!D1641)</f>
        <v>0</v>
      </c>
      <c r="G1641" s="35">
        <f>getMagnification('RawData (GH)'!E1641)</f>
        <v>0</v>
      </c>
      <c r="H1641" s="62">
        <f>getMinimalFocus('RawData (GH)'!F1641)</f>
        <v>0</v>
      </c>
      <c r="I1641" t="str">
        <f>getMount('RawData (GH)'!G1641)</f>
        <v>Canon EF-M</v>
      </c>
      <c r="J1641" t="str">
        <f>getSensorCompatibility('RawData (GH)'!H1641)</f>
        <v>APS-C</v>
      </c>
      <c r="K1641" s="45">
        <f>getWeightAsDouble('RawData (GH)'!I1641)</f>
        <v>570</v>
      </c>
      <c r="L1641" s="34">
        <f>getSizeDiameter('RawData (GH)'!J1641)</f>
        <v>0</v>
      </c>
      <c r="M1641" s="34">
        <f>getSizeLength('RawData (GH)'!J1641)</f>
        <v>0</v>
      </c>
    </row>
    <row r="1642" spans="1:13" x14ac:dyDescent="0.25">
      <c r="A1642" t="str">
        <f>'RawData (GH)'!A1642</f>
        <v>Voking 8mm 3.5 für Fujifilm X schwarz</v>
      </c>
      <c r="B1642" s="5">
        <f>getFocalLengthStart('RawData (GH)'!B1642)</f>
        <v>8</v>
      </c>
      <c r="C1642" s="5">
        <f>getFocalLengthEnd('RawData (GH)'!B1642)</f>
        <v>8</v>
      </c>
      <c r="D1642" s="9">
        <f>getApertureStart('RawData (GH)'!C1642)</f>
        <v>3.5</v>
      </c>
      <c r="E1642" s="9">
        <f>getApertureEnd('RawData (GH)'!C1642)</f>
        <v>3.5</v>
      </c>
      <c r="F1642" s="2">
        <f>getFiltersizeAsDouble('RawData (GH)'!D1642)</f>
        <v>0</v>
      </c>
      <c r="G1642" s="35">
        <f>getMagnification('RawData (GH)'!E1642)</f>
        <v>0</v>
      </c>
      <c r="H1642" s="62">
        <f>getMinimalFocus('RawData (GH)'!F1642)</f>
        <v>0</v>
      </c>
      <c r="I1642" t="str">
        <f>getMount('RawData (GH)'!G1642)</f>
        <v>Fujifilm X</v>
      </c>
      <c r="J1642" t="str">
        <f>getSensorCompatibility('RawData (GH)'!H1642)</f>
        <v>APS-C</v>
      </c>
      <c r="K1642" s="45">
        <f>getWeightAsDouble('RawData (GH)'!I1642)</f>
        <v>570</v>
      </c>
      <c r="L1642" s="34">
        <f>getSizeDiameter('RawData (GH)'!J1642)</f>
        <v>0</v>
      </c>
      <c r="M1642" s="34">
        <f>getSizeLength('RawData (GH)'!J1642)</f>
        <v>0</v>
      </c>
    </row>
    <row r="1643" spans="1:13" x14ac:dyDescent="0.25">
      <c r="A1643" t="str">
        <f>'RawData (GH)'!A1643</f>
        <v>Voking 8mm 3.5 für Micro-Four-Thirds schwarz</v>
      </c>
      <c r="B1643" s="5">
        <f>getFocalLengthStart('RawData (GH)'!B1643)</f>
        <v>8</v>
      </c>
      <c r="C1643" s="5">
        <f>getFocalLengthEnd('RawData (GH)'!B1643)</f>
        <v>8</v>
      </c>
      <c r="D1643" s="9">
        <f>getApertureStart('RawData (GH)'!C1643)</f>
        <v>3.5</v>
      </c>
      <c r="E1643" s="9">
        <f>getApertureEnd('RawData (GH)'!C1643)</f>
        <v>3.5</v>
      </c>
      <c r="F1643" s="2">
        <f>getFiltersizeAsDouble('RawData (GH)'!D1643)</f>
        <v>0</v>
      </c>
      <c r="G1643" s="35">
        <f>getMagnification('RawData (GH)'!E1643)</f>
        <v>0</v>
      </c>
      <c r="H1643" s="62">
        <f>getMinimalFocus('RawData (GH)'!F1643)</f>
        <v>0</v>
      </c>
      <c r="I1643" t="str">
        <f>getMount('RawData (GH)'!G1643)</f>
        <v>Micro-Four-Thirds</v>
      </c>
      <c r="J1643" t="str">
        <f>getSensorCompatibility('RawData (GH)'!H1643)</f>
        <v>APS-C</v>
      </c>
      <c r="K1643" s="45">
        <f>getWeightAsDouble('RawData (GH)'!I1643)</f>
        <v>570</v>
      </c>
      <c r="L1643" s="34">
        <f>getSizeDiameter('RawData (GH)'!J1643)</f>
        <v>0</v>
      </c>
      <c r="M1643" s="34">
        <f>getSizeLength('RawData (GH)'!J1643)</f>
        <v>0</v>
      </c>
    </row>
    <row r="1644" spans="1:13" x14ac:dyDescent="0.25">
      <c r="A1644" t="str">
        <f>'RawData (GH)'!A1644</f>
        <v>Voking 8mm 3.5 für Nikon 1 schwarz</v>
      </c>
      <c r="B1644" s="5">
        <f>getFocalLengthStart('RawData (GH)'!B1644)</f>
        <v>8</v>
      </c>
      <c r="C1644" s="5">
        <f>getFocalLengthEnd('RawData (GH)'!B1644)</f>
        <v>8</v>
      </c>
      <c r="D1644" s="9">
        <f>getApertureStart('RawData (GH)'!C1644)</f>
        <v>3.5</v>
      </c>
      <c r="E1644" s="9">
        <f>getApertureEnd('RawData (GH)'!C1644)</f>
        <v>3.5</v>
      </c>
      <c r="F1644" s="2">
        <f>getFiltersizeAsDouble('RawData (GH)'!D1644)</f>
        <v>0</v>
      </c>
      <c r="G1644" s="35">
        <f>getMagnification('RawData (GH)'!E1644)</f>
        <v>0</v>
      </c>
      <c r="H1644" s="62">
        <f>getMinimalFocus('RawData (GH)'!F1644)</f>
        <v>0</v>
      </c>
      <c r="I1644" t="str">
        <f>getMount('RawData (GH)'!G1644)</f>
        <v>Nikon 1</v>
      </c>
      <c r="J1644" t="str">
        <f>getSensorCompatibility('RawData (GH)'!H1644)</f>
        <v>APS-C</v>
      </c>
      <c r="K1644" s="45">
        <f>getWeightAsDouble('RawData (GH)'!I1644)</f>
        <v>570</v>
      </c>
      <c r="L1644" s="34">
        <f>getSizeDiameter('RawData (GH)'!J1644)</f>
        <v>0</v>
      </c>
      <c r="M1644" s="34">
        <f>getSizeLength('RawData (GH)'!J1644)</f>
        <v>0</v>
      </c>
    </row>
    <row r="1645" spans="1:13" x14ac:dyDescent="0.25">
      <c r="A1645" t="str">
        <f>'RawData (GH)'!A1645</f>
        <v>Voking 8mm 3.5 für Nikon F schwarz</v>
      </c>
      <c r="B1645" s="5">
        <f>getFocalLengthStart('RawData (GH)'!B1645)</f>
        <v>8</v>
      </c>
      <c r="C1645" s="5">
        <f>getFocalLengthEnd('RawData (GH)'!B1645)</f>
        <v>8</v>
      </c>
      <c r="D1645" s="9">
        <f>getApertureStart('RawData (GH)'!C1645)</f>
        <v>3.5</v>
      </c>
      <c r="E1645" s="9">
        <f>getApertureEnd('RawData (GH)'!C1645)</f>
        <v>3.5</v>
      </c>
      <c r="F1645" s="2">
        <f>getFiltersizeAsDouble('RawData (GH)'!D1645)</f>
        <v>0</v>
      </c>
      <c r="G1645" s="35">
        <f>getMagnification('RawData (GH)'!E1645)</f>
        <v>0</v>
      </c>
      <c r="H1645" s="62">
        <f>getMinimalFocus('RawData (GH)'!F1645)</f>
        <v>0</v>
      </c>
      <c r="I1645" t="str">
        <f>getMount('RawData (GH)'!G1645)</f>
        <v>Nikon F</v>
      </c>
      <c r="J1645" t="str">
        <f>getSensorCompatibility('RawData (GH)'!H1645)</f>
        <v>APS-C</v>
      </c>
      <c r="K1645" s="45">
        <f>getWeightAsDouble('RawData (GH)'!I1645)</f>
        <v>570</v>
      </c>
      <c r="L1645" s="34">
        <f>getSizeDiameter('RawData (GH)'!J1645)</f>
        <v>0</v>
      </c>
      <c r="M1645" s="34">
        <f>getSizeLength('RawData (GH)'!J1645)</f>
        <v>0</v>
      </c>
    </row>
    <row r="1646" spans="1:13" x14ac:dyDescent="0.25">
      <c r="A1646" t="str">
        <f>'RawData (GH)'!A1646</f>
        <v>Voking 8mm 3.5 für Sony E schwarz</v>
      </c>
      <c r="B1646" s="5">
        <f>getFocalLengthStart('RawData (GH)'!B1646)</f>
        <v>8</v>
      </c>
      <c r="C1646" s="5">
        <f>getFocalLengthEnd('RawData (GH)'!B1646)</f>
        <v>8</v>
      </c>
      <c r="D1646" s="9">
        <f>getApertureStart('RawData (GH)'!C1646)</f>
        <v>3.5</v>
      </c>
      <c r="E1646" s="9">
        <f>getApertureEnd('RawData (GH)'!C1646)</f>
        <v>3.5</v>
      </c>
      <c r="F1646" s="2">
        <f>getFiltersizeAsDouble('RawData (GH)'!D1646)</f>
        <v>0</v>
      </c>
      <c r="G1646" s="35">
        <f>getMagnification('RawData (GH)'!E1646)</f>
        <v>0</v>
      </c>
      <c r="H1646" s="62">
        <f>getMinimalFocus('RawData (GH)'!F1646)</f>
        <v>0</v>
      </c>
      <c r="I1646" t="str">
        <f>getMount('RawData (GH)'!G1646)</f>
        <v>Sony E</v>
      </c>
      <c r="J1646" t="str">
        <f>getSensorCompatibility('RawData (GH)'!H1646)</f>
        <v>APS-C</v>
      </c>
      <c r="K1646" s="45">
        <f>getWeightAsDouble('RawData (GH)'!I1646)</f>
        <v>570</v>
      </c>
      <c r="L1646" s="34">
        <f>getSizeDiameter('RawData (GH)'!J1646)</f>
        <v>0</v>
      </c>
      <c r="M1646" s="34">
        <f>getSizeLength('RawData (GH)'!J1646)</f>
        <v>0</v>
      </c>
    </row>
    <row r="1647" spans="1:13" x14ac:dyDescent="0.25">
      <c r="A1647" t="str">
        <f>'RawData (GH)'!A1647</f>
        <v>Walimex Pro 100mm 2.8 Makro CSC für Canon EF-M schwarz</v>
      </c>
      <c r="B1647" s="5">
        <f>getFocalLengthStart('RawData (GH)'!B1647)</f>
        <v>100</v>
      </c>
      <c r="C1647" s="5">
        <f>getFocalLengthEnd('RawData (GH)'!B1647)</f>
        <v>100</v>
      </c>
      <c r="D1647" s="9">
        <f>getApertureStart('RawData (GH)'!C1647)</f>
        <v>2.8</v>
      </c>
      <c r="E1647" s="9">
        <f>getApertureEnd('RawData (GH)'!C1647)</f>
        <v>2.8</v>
      </c>
      <c r="F1647" s="2">
        <f>getFiltersizeAsDouble('RawData (GH)'!D1647)</f>
        <v>67</v>
      </c>
      <c r="G1647" s="35">
        <f>getMagnification('RawData (GH)'!E1647)</f>
        <v>1</v>
      </c>
      <c r="H1647" s="62">
        <f>getMinimalFocus('RawData (GH)'!F1647)</f>
        <v>0</v>
      </c>
      <c r="I1647" t="str">
        <f>getMount('RawData (GH)'!G1647)</f>
        <v>Canon EF-M</v>
      </c>
      <c r="J1647" t="str">
        <f>getSensorCompatibility('RawData (GH)'!H1647)</f>
        <v>APS-C</v>
      </c>
      <c r="K1647" s="45">
        <f>getWeightAsDouble('RawData (GH)'!I1647)</f>
        <v>770</v>
      </c>
      <c r="L1647" s="34">
        <f>getSizeDiameter('RawData (GH)'!J1647)</f>
        <v>72.5</v>
      </c>
      <c r="M1647" s="34">
        <f>getSizeLength('RawData (GH)'!J1647)</f>
        <v>149</v>
      </c>
    </row>
    <row r="1648" spans="1:13" x14ac:dyDescent="0.25">
      <c r="A1648" t="str">
        <f>'RawData (GH)'!A1648</f>
        <v>Walimex Pro 100mm 2.8 Makro CSC für Fujifilm X schwarz</v>
      </c>
      <c r="B1648" s="5">
        <f>getFocalLengthStart('RawData (GH)'!B1648)</f>
        <v>100</v>
      </c>
      <c r="C1648" s="5">
        <f>getFocalLengthEnd('RawData (GH)'!B1648)</f>
        <v>100</v>
      </c>
      <c r="D1648" s="9">
        <f>getApertureStart('RawData (GH)'!C1648)</f>
        <v>2.8</v>
      </c>
      <c r="E1648" s="9">
        <f>getApertureEnd('RawData (GH)'!C1648)</f>
        <v>2.8</v>
      </c>
      <c r="F1648" s="2">
        <f>getFiltersizeAsDouble('RawData (GH)'!D1648)</f>
        <v>67</v>
      </c>
      <c r="G1648" s="35">
        <f>getMagnification('RawData (GH)'!E1648)</f>
        <v>1</v>
      </c>
      <c r="H1648" s="62">
        <f>getMinimalFocus('RawData (GH)'!F1648)</f>
        <v>0</v>
      </c>
      <c r="I1648" t="str">
        <f>getMount('RawData (GH)'!G1648)</f>
        <v>Fujifilm X</v>
      </c>
      <c r="J1648" t="str">
        <f>getSensorCompatibility('RawData (GH)'!H1648)</f>
        <v>APS-C</v>
      </c>
      <c r="K1648" s="45">
        <f>getWeightAsDouble('RawData (GH)'!I1648)</f>
        <v>770</v>
      </c>
      <c r="L1648" s="34">
        <f>getSizeDiameter('RawData (GH)'!J1648)</f>
        <v>72.5</v>
      </c>
      <c r="M1648" s="34">
        <f>getSizeLength('RawData (GH)'!J1648)</f>
        <v>149</v>
      </c>
    </row>
    <row r="1649" spans="1:13" x14ac:dyDescent="0.25">
      <c r="A1649" t="str">
        <f>'RawData (GH)'!A1649</f>
        <v>Walimex Pro 100mm 2.8 Makro CSC für Micro-Four-Thirds schwarz</v>
      </c>
      <c r="B1649" s="5">
        <f>getFocalLengthStart('RawData (GH)'!B1649)</f>
        <v>100</v>
      </c>
      <c r="C1649" s="5">
        <f>getFocalLengthEnd('RawData (GH)'!B1649)</f>
        <v>100</v>
      </c>
      <c r="D1649" s="9">
        <f>getApertureStart('RawData (GH)'!C1649)</f>
        <v>2.8</v>
      </c>
      <c r="E1649" s="9">
        <f>getApertureEnd('RawData (GH)'!C1649)</f>
        <v>2.8</v>
      </c>
      <c r="F1649" s="2">
        <f>getFiltersizeAsDouble('RawData (GH)'!D1649)</f>
        <v>67</v>
      </c>
      <c r="G1649" s="35">
        <f>getMagnification('RawData (GH)'!E1649)</f>
        <v>1</v>
      </c>
      <c r="H1649" s="62">
        <f>getMinimalFocus('RawData (GH)'!F1649)</f>
        <v>0</v>
      </c>
      <c r="I1649" t="str">
        <f>getMount('RawData (GH)'!G1649)</f>
        <v>Micro-Four-Thirds</v>
      </c>
      <c r="J1649" t="str">
        <f>getSensorCompatibility('RawData (GH)'!H1649)</f>
        <v>Four-Thirds</v>
      </c>
      <c r="K1649" s="45">
        <f>getWeightAsDouble('RawData (GH)'!I1649)</f>
        <v>770</v>
      </c>
      <c r="L1649" s="34">
        <f>getSizeDiameter('RawData (GH)'!J1649)</f>
        <v>72.5</v>
      </c>
      <c r="M1649" s="34">
        <f>getSizeLength('RawData (GH)'!J1649)</f>
        <v>149</v>
      </c>
    </row>
    <row r="1650" spans="1:13" x14ac:dyDescent="0.25">
      <c r="A1650" t="str">
        <f>'RawData (GH)'!A1650</f>
        <v>Walimex Pro 100mm 2.8 Makro CSC für Samsung NX schwarz</v>
      </c>
      <c r="B1650" s="5">
        <f>getFocalLengthStart('RawData (GH)'!B1650)</f>
        <v>100</v>
      </c>
      <c r="C1650" s="5">
        <f>getFocalLengthEnd('RawData (GH)'!B1650)</f>
        <v>100</v>
      </c>
      <c r="D1650" s="9">
        <f>getApertureStart('RawData (GH)'!C1650)</f>
        <v>2.8</v>
      </c>
      <c r="E1650" s="9">
        <f>getApertureEnd('RawData (GH)'!C1650)</f>
        <v>2.8</v>
      </c>
      <c r="F1650" s="2">
        <f>getFiltersizeAsDouble('RawData (GH)'!D1650)</f>
        <v>67</v>
      </c>
      <c r="G1650" s="35">
        <f>getMagnification('RawData (GH)'!E1650)</f>
        <v>1</v>
      </c>
      <c r="H1650" s="62">
        <f>getMinimalFocus('RawData (GH)'!F1650)</f>
        <v>0</v>
      </c>
      <c r="I1650" t="str">
        <f>getMount('RawData (GH)'!G1650)</f>
        <v>Samsung NX</v>
      </c>
      <c r="J1650" t="str">
        <f>getSensorCompatibility('RawData (GH)'!H1650)</f>
        <v>APS-C</v>
      </c>
      <c r="K1650" s="45">
        <f>getWeightAsDouble('RawData (GH)'!I1650)</f>
        <v>770</v>
      </c>
      <c r="L1650" s="34">
        <f>getSizeDiameter('RawData (GH)'!J1650)</f>
        <v>72.5</v>
      </c>
      <c r="M1650" s="34">
        <f>getSizeLength('RawData (GH)'!J1650)</f>
        <v>149</v>
      </c>
    </row>
    <row r="1651" spans="1:13" x14ac:dyDescent="0.25">
      <c r="A1651" t="str">
        <f>'RawData (GH)'!A1651</f>
        <v>Walimex Pro 100mm 2.8 Makro CSC für Sony E schwarz</v>
      </c>
      <c r="B1651" s="5">
        <f>getFocalLengthStart('RawData (GH)'!B1651)</f>
        <v>100</v>
      </c>
      <c r="C1651" s="5">
        <f>getFocalLengthEnd('RawData (GH)'!B1651)</f>
        <v>100</v>
      </c>
      <c r="D1651" s="9">
        <f>getApertureStart('RawData (GH)'!C1651)</f>
        <v>2.8</v>
      </c>
      <c r="E1651" s="9">
        <f>getApertureEnd('RawData (GH)'!C1651)</f>
        <v>2.8</v>
      </c>
      <c r="F1651" s="2">
        <f>getFiltersizeAsDouble('RawData (GH)'!D1651)</f>
        <v>67</v>
      </c>
      <c r="G1651" s="35">
        <f>getMagnification('RawData (GH)'!E1651)</f>
        <v>1</v>
      </c>
      <c r="H1651" s="62">
        <f>getMinimalFocus('RawData (GH)'!F1651)</f>
        <v>0</v>
      </c>
      <c r="I1651" t="str">
        <f>getMount('RawData (GH)'!G1651)</f>
        <v>Sony E</v>
      </c>
      <c r="J1651" t="str">
        <f>getSensorCompatibility('RawData (GH)'!H1651)</f>
        <v>APS-C/ Kleinbild</v>
      </c>
      <c r="K1651" s="45">
        <f>getWeightAsDouble('RawData (GH)'!I1651)</f>
        <v>770</v>
      </c>
      <c r="L1651" s="34">
        <f>getSizeDiameter('RawData (GH)'!J1651)</f>
        <v>72.5</v>
      </c>
      <c r="M1651" s="34">
        <f>getSizeLength('RawData (GH)'!J1651)</f>
        <v>149</v>
      </c>
    </row>
    <row r="1652" spans="1:13" x14ac:dyDescent="0.25">
      <c r="A1652" t="str">
        <f>'RawData (GH)'!A1652</f>
        <v>Walimex Pro 100mm 2.8 Makro DSLR für Canon EF schwarz</v>
      </c>
      <c r="B1652" s="5">
        <f>getFocalLengthStart('RawData (GH)'!B1652)</f>
        <v>100</v>
      </c>
      <c r="C1652" s="5">
        <f>getFocalLengthEnd('RawData (GH)'!B1652)</f>
        <v>100</v>
      </c>
      <c r="D1652" s="9">
        <f>getApertureStart('RawData (GH)'!C1652)</f>
        <v>2.8</v>
      </c>
      <c r="E1652" s="9">
        <f>getApertureEnd('RawData (GH)'!C1652)</f>
        <v>2.8</v>
      </c>
      <c r="F1652" s="2">
        <f>getFiltersizeAsDouble('RawData (GH)'!D1652)</f>
        <v>67</v>
      </c>
      <c r="G1652" s="35">
        <f>getMagnification('RawData (GH)'!E1652)</f>
        <v>1</v>
      </c>
      <c r="H1652" s="62">
        <f>getMinimalFocus('RawData (GH)'!F1652)</f>
        <v>0</v>
      </c>
      <c r="I1652" t="str">
        <f>getMount('RawData (GH)'!G1652)</f>
        <v>Canon EF</v>
      </c>
      <c r="J1652" t="str">
        <f>getSensorCompatibility('RawData (GH)'!H1652)</f>
        <v>APS-C/ Kleinbild</v>
      </c>
      <c r="K1652" s="45">
        <f>getWeightAsDouble('RawData (GH)'!I1652)</f>
        <v>770</v>
      </c>
      <c r="L1652" s="34">
        <f>getSizeDiameter('RawData (GH)'!J1652)</f>
        <v>72.5</v>
      </c>
      <c r="M1652" s="34">
        <f>getSizeLength('RawData (GH)'!J1652)</f>
        <v>149</v>
      </c>
    </row>
    <row r="1653" spans="1:13" x14ac:dyDescent="0.25">
      <c r="A1653" t="str">
        <f>'RawData (GH)'!A1653</f>
        <v>Walimex Pro 100mm 2.8 Makro DSLR für Nikon F schwarz</v>
      </c>
      <c r="B1653" s="5">
        <f>getFocalLengthStart('RawData (GH)'!B1653)</f>
        <v>100</v>
      </c>
      <c r="C1653" s="5">
        <f>getFocalLengthEnd('RawData (GH)'!B1653)</f>
        <v>100</v>
      </c>
      <c r="D1653" s="9">
        <f>getApertureStart('RawData (GH)'!C1653)</f>
        <v>2.8</v>
      </c>
      <c r="E1653" s="9">
        <f>getApertureEnd('RawData (GH)'!C1653)</f>
        <v>2.8</v>
      </c>
      <c r="F1653" s="2">
        <f>getFiltersizeAsDouble('RawData (GH)'!D1653)</f>
        <v>67</v>
      </c>
      <c r="G1653" s="35">
        <f>getMagnification('RawData (GH)'!E1653)</f>
        <v>1</v>
      </c>
      <c r="H1653" s="62">
        <f>getMinimalFocus('RawData (GH)'!F1653)</f>
        <v>0</v>
      </c>
      <c r="I1653" t="str">
        <f>getMount('RawData (GH)'!G1653)</f>
        <v>Nikon F</v>
      </c>
      <c r="J1653" t="str">
        <f>getSensorCompatibility('RawData (GH)'!H1653)</f>
        <v>APS-C/ Kleinbild</v>
      </c>
      <c r="K1653" s="45">
        <f>getWeightAsDouble('RawData (GH)'!I1653)</f>
        <v>770</v>
      </c>
      <c r="L1653" s="34">
        <f>getSizeDiameter('RawData (GH)'!J1653)</f>
        <v>72.5</v>
      </c>
      <c r="M1653" s="34">
        <f>getSizeLength('RawData (GH)'!J1653)</f>
        <v>149</v>
      </c>
    </row>
    <row r="1654" spans="1:13" x14ac:dyDescent="0.25">
      <c r="A1654" t="str">
        <f>'RawData (GH)'!A1654</f>
        <v>Walimex Pro 100mm T3.1 Makro VCSC für Canon EF-M schwarz</v>
      </c>
      <c r="B1654" s="5">
        <f>getFocalLengthStart('RawData (GH)'!B1654)</f>
        <v>100</v>
      </c>
      <c r="C1654" s="5">
        <f>getFocalLengthEnd('RawData (GH)'!B1654)</f>
        <v>100</v>
      </c>
      <c r="D1654" s="9">
        <f>getApertureStart('RawData (GH)'!C1654)</f>
        <v>3.1</v>
      </c>
      <c r="E1654" s="9">
        <f>getApertureEnd('RawData (GH)'!C1654)</f>
        <v>3.1</v>
      </c>
      <c r="F1654" s="2">
        <f>getFiltersizeAsDouble('RawData (GH)'!D1654)</f>
        <v>67</v>
      </c>
      <c r="G1654" s="35">
        <f>getMagnification('RawData (GH)'!E1654)</f>
        <v>1</v>
      </c>
      <c r="H1654" s="62">
        <f>getMinimalFocus('RawData (GH)'!F1654)</f>
        <v>0</v>
      </c>
      <c r="I1654" t="str">
        <f>getMount('RawData (GH)'!G1654)</f>
        <v>Canon EF-M</v>
      </c>
      <c r="J1654" t="str">
        <f>getSensorCompatibility('RawData (GH)'!H1654)</f>
        <v>APS-C</v>
      </c>
      <c r="K1654" s="45">
        <f>getWeightAsDouble('RawData (GH)'!I1654)</f>
        <v>775</v>
      </c>
      <c r="L1654" s="34">
        <f>getSizeDiameter('RawData (GH)'!J1654)</f>
        <v>82</v>
      </c>
      <c r="M1654" s="34">
        <f>getSizeLength('RawData (GH)'!J1654)</f>
        <v>149</v>
      </c>
    </row>
    <row r="1655" spans="1:13" x14ac:dyDescent="0.25">
      <c r="A1655" t="str">
        <f>'RawData (GH)'!A1655</f>
        <v>Walimex Pro 100mm T3.1 Makro VCSC für Four-Thirds schwarz</v>
      </c>
      <c r="B1655" s="5">
        <f>getFocalLengthStart('RawData (GH)'!B1655)</f>
        <v>100</v>
      </c>
      <c r="C1655" s="5">
        <f>getFocalLengthEnd('RawData (GH)'!B1655)</f>
        <v>100</v>
      </c>
      <c r="D1655" s="9">
        <f>getApertureStart('RawData (GH)'!C1655)</f>
        <v>3.1</v>
      </c>
      <c r="E1655" s="9">
        <f>getApertureEnd('RawData (GH)'!C1655)</f>
        <v>3.1</v>
      </c>
      <c r="F1655" s="2">
        <f>getFiltersizeAsDouble('RawData (GH)'!D1655)</f>
        <v>67</v>
      </c>
      <c r="G1655" s="35">
        <f>getMagnification('RawData (GH)'!E1655)</f>
        <v>1</v>
      </c>
      <c r="H1655" s="62">
        <f>getMinimalFocus('RawData (GH)'!F1655)</f>
        <v>0</v>
      </c>
      <c r="I1655" t="str">
        <f>getMount('RawData (GH)'!G1655)</f>
        <v>Four-Thirds</v>
      </c>
      <c r="J1655" t="str">
        <f>getSensorCompatibility('RawData (GH)'!H1655)</f>
        <v>Four-Thirds</v>
      </c>
      <c r="K1655" s="45">
        <f>getWeightAsDouble('RawData (GH)'!I1655)</f>
        <v>775</v>
      </c>
      <c r="L1655" s="34">
        <f>getSizeDiameter('RawData (GH)'!J1655)</f>
        <v>82</v>
      </c>
      <c r="M1655" s="34">
        <f>getSizeLength('RawData (GH)'!J1655)</f>
        <v>149</v>
      </c>
    </row>
    <row r="1656" spans="1:13" x14ac:dyDescent="0.25">
      <c r="A1656" t="str">
        <f>'RawData (GH)'!A1656</f>
        <v>Walimex Pro 100mm T3.1 Makro VCSC für Fujifilm X schwarz</v>
      </c>
      <c r="B1656" s="5">
        <f>getFocalLengthStart('RawData (GH)'!B1656)</f>
        <v>100</v>
      </c>
      <c r="C1656" s="5">
        <f>getFocalLengthEnd('RawData (GH)'!B1656)</f>
        <v>100</v>
      </c>
      <c r="D1656" s="9">
        <f>getApertureStart('RawData (GH)'!C1656)</f>
        <v>3.1</v>
      </c>
      <c r="E1656" s="9">
        <f>getApertureEnd('RawData (GH)'!C1656)</f>
        <v>3.1</v>
      </c>
      <c r="F1656" s="2">
        <f>getFiltersizeAsDouble('RawData (GH)'!D1656)</f>
        <v>67</v>
      </c>
      <c r="G1656" s="35">
        <f>getMagnification('RawData (GH)'!E1656)</f>
        <v>1</v>
      </c>
      <c r="H1656" s="62">
        <f>getMinimalFocus('RawData (GH)'!F1656)</f>
        <v>0</v>
      </c>
      <c r="I1656" t="str">
        <f>getMount('RawData (GH)'!G1656)</f>
        <v>Fujifilm X</v>
      </c>
      <c r="J1656" t="str">
        <f>getSensorCompatibility('RawData (GH)'!H1656)</f>
        <v>APS-C</v>
      </c>
      <c r="K1656" s="45">
        <f>getWeightAsDouble('RawData (GH)'!I1656)</f>
        <v>775</v>
      </c>
      <c r="L1656" s="34">
        <f>getSizeDiameter('RawData (GH)'!J1656)</f>
        <v>82</v>
      </c>
      <c r="M1656" s="34">
        <f>getSizeLength('RawData (GH)'!J1656)</f>
        <v>149</v>
      </c>
    </row>
    <row r="1657" spans="1:13" x14ac:dyDescent="0.25">
      <c r="A1657" t="str">
        <f>'RawData (GH)'!A1657</f>
        <v>Walimex Pro 100mm T3.1 Makro VCSC für Micro-Four-Thirds schwarz</v>
      </c>
      <c r="B1657" s="5">
        <f>getFocalLengthStart('RawData (GH)'!B1657)</f>
        <v>100</v>
      </c>
      <c r="C1657" s="5">
        <f>getFocalLengthEnd('RawData (GH)'!B1657)</f>
        <v>100</v>
      </c>
      <c r="D1657" s="9">
        <f>getApertureStart('RawData (GH)'!C1657)</f>
        <v>3.1</v>
      </c>
      <c r="E1657" s="9">
        <f>getApertureEnd('RawData (GH)'!C1657)</f>
        <v>3.1</v>
      </c>
      <c r="F1657" s="2">
        <f>getFiltersizeAsDouble('RawData (GH)'!D1657)</f>
        <v>67</v>
      </c>
      <c r="G1657" s="35">
        <f>getMagnification('RawData (GH)'!E1657)</f>
        <v>1</v>
      </c>
      <c r="H1657" s="62">
        <f>getMinimalFocus('RawData (GH)'!F1657)</f>
        <v>0</v>
      </c>
      <c r="I1657" t="str">
        <f>getMount('RawData (GH)'!G1657)</f>
        <v>Micro-Four-Thirds</v>
      </c>
      <c r="J1657" t="str">
        <f>getSensorCompatibility('RawData (GH)'!H1657)</f>
        <v>Four-Thirds</v>
      </c>
      <c r="K1657" s="45">
        <f>getWeightAsDouble('RawData (GH)'!I1657)</f>
        <v>775</v>
      </c>
      <c r="L1657" s="34">
        <f>getSizeDiameter('RawData (GH)'!J1657)</f>
        <v>82</v>
      </c>
      <c r="M1657" s="34">
        <f>getSizeLength('RawData (GH)'!J1657)</f>
        <v>149</v>
      </c>
    </row>
    <row r="1658" spans="1:13" x14ac:dyDescent="0.25">
      <c r="A1658" t="str">
        <f>'RawData (GH)'!A1658</f>
        <v>Walimex Pro 100mm T3.1 Makro VCSC für Sony E schwarz</v>
      </c>
      <c r="B1658" s="5">
        <f>getFocalLengthStart('RawData (GH)'!B1658)</f>
        <v>100</v>
      </c>
      <c r="C1658" s="5">
        <f>getFocalLengthEnd('RawData (GH)'!B1658)</f>
        <v>100</v>
      </c>
      <c r="D1658" s="9">
        <f>getApertureStart('RawData (GH)'!C1658)</f>
        <v>3.1</v>
      </c>
      <c r="E1658" s="9">
        <f>getApertureEnd('RawData (GH)'!C1658)</f>
        <v>3.1</v>
      </c>
      <c r="F1658" s="2">
        <f>getFiltersizeAsDouble('RawData (GH)'!D1658)</f>
        <v>67</v>
      </c>
      <c r="G1658" s="35">
        <f>getMagnification('RawData (GH)'!E1658)</f>
        <v>1</v>
      </c>
      <c r="H1658" s="62">
        <f>getMinimalFocus('RawData (GH)'!F1658)</f>
        <v>0</v>
      </c>
      <c r="I1658" t="str">
        <f>getMount('RawData (GH)'!G1658)</f>
        <v>Sony E</v>
      </c>
      <c r="J1658" t="str">
        <f>getSensorCompatibility('RawData (GH)'!H1658)</f>
        <v>APS-C/ Kleinbild</v>
      </c>
      <c r="K1658" s="45">
        <f>getWeightAsDouble('RawData (GH)'!I1658)</f>
        <v>775</v>
      </c>
      <c r="L1658" s="34">
        <f>getSizeDiameter('RawData (GH)'!J1658)</f>
        <v>82</v>
      </c>
      <c r="M1658" s="34">
        <f>getSizeLength('RawData (GH)'!J1658)</f>
        <v>149</v>
      </c>
    </row>
    <row r="1659" spans="1:13" x14ac:dyDescent="0.25">
      <c r="A1659" t="str">
        <f>'RawData (GH)'!A1659</f>
        <v>Walimex Pro 100mm T3.1 Makro VDSLR für Canon EF schwarz</v>
      </c>
      <c r="B1659" s="5">
        <f>getFocalLengthStart('RawData (GH)'!B1659)</f>
        <v>100</v>
      </c>
      <c r="C1659" s="5">
        <f>getFocalLengthEnd('RawData (GH)'!B1659)</f>
        <v>100</v>
      </c>
      <c r="D1659" s="9">
        <f>getApertureStart('RawData (GH)'!C1659)</f>
        <v>3.1</v>
      </c>
      <c r="E1659" s="9">
        <f>getApertureEnd('RawData (GH)'!C1659)</f>
        <v>3.1</v>
      </c>
      <c r="F1659" s="2">
        <f>getFiltersizeAsDouble('RawData (GH)'!D1659)</f>
        <v>67</v>
      </c>
      <c r="G1659" s="35">
        <f>getMagnification('RawData (GH)'!E1659)</f>
        <v>1</v>
      </c>
      <c r="H1659" s="62">
        <f>getMinimalFocus('RawData (GH)'!F1659)</f>
        <v>0</v>
      </c>
      <c r="I1659" t="str">
        <f>getMount('RawData (GH)'!G1659)</f>
        <v>Canon EF</v>
      </c>
      <c r="J1659" t="str">
        <f>getSensorCompatibility('RawData (GH)'!H1659)</f>
        <v>APS-C/ Kleinbild</v>
      </c>
      <c r="K1659" s="45">
        <f>getWeightAsDouble('RawData (GH)'!I1659)</f>
        <v>775</v>
      </c>
      <c r="L1659" s="34">
        <f>getSizeDiameter('RawData (GH)'!J1659)</f>
        <v>82</v>
      </c>
      <c r="M1659" s="34">
        <f>getSizeLength('RawData (GH)'!J1659)</f>
        <v>149</v>
      </c>
    </row>
    <row r="1660" spans="1:13" x14ac:dyDescent="0.25">
      <c r="A1660" t="str">
        <f>'RawData (GH)'!A1660</f>
        <v>Walimex Pro 100mm T3.1 Makro VDSLR für Nikon F schwarz</v>
      </c>
      <c r="B1660" s="5">
        <f>getFocalLengthStart('RawData (GH)'!B1660)</f>
        <v>100</v>
      </c>
      <c r="C1660" s="5">
        <f>getFocalLengthEnd('RawData (GH)'!B1660)</f>
        <v>100</v>
      </c>
      <c r="D1660" s="9">
        <f>getApertureStart('RawData (GH)'!C1660)</f>
        <v>3.1</v>
      </c>
      <c r="E1660" s="9">
        <f>getApertureEnd('RawData (GH)'!C1660)</f>
        <v>3.1</v>
      </c>
      <c r="F1660" s="2">
        <f>getFiltersizeAsDouble('RawData (GH)'!D1660)</f>
        <v>67</v>
      </c>
      <c r="G1660" s="35">
        <f>getMagnification('RawData (GH)'!E1660)</f>
        <v>1</v>
      </c>
      <c r="H1660" s="62">
        <f>getMinimalFocus('RawData (GH)'!F1660)</f>
        <v>0</v>
      </c>
      <c r="I1660" t="str">
        <f>getMount('RawData (GH)'!G1660)</f>
        <v>Nikon F</v>
      </c>
      <c r="J1660" t="str">
        <f>getSensorCompatibility('RawData (GH)'!H1660)</f>
        <v>APS-C/ Kleinbild</v>
      </c>
      <c r="K1660" s="45">
        <f>getWeightAsDouble('RawData (GH)'!I1660)</f>
        <v>775</v>
      </c>
      <c r="L1660" s="34">
        <f>getSizeDiameter('RawData (GH)'!J1660)</f>
        <v>82</v>
      </c>
      <c r="M1660" s="34">
        <f>getSizeLength('RawData (GH)'!J1660)</f>
        <v>149</v>
      </c>
    </row>
    <row r="1661" spans="1:13" x14ac:dyDescent="0.25">
      <c r="A1661" t="str">
        <f>'RawData (GH)'!A1661</f>
        <v>Walimex Pro 100mm T3.1 Makro VDSLR für Pentax K schwarz</v>
      </c>
      <c r="B1661" s="5">
        <f>getFocalLengthStart('RawData (GH)'!B1661)</f>
        <v>100</v>
      </c>
      <c r="C1661" s="5">
        <f>getFocalLengthEnd('RawData (GH)'!B1661)</f>
        <v>100</v>
      </c>
      <c r="D1661" s="9">
        <f>getApertureStart('RawData (GH)'!C1661)</f>
        <v>3.1</v>
      </c>
      <c r="E1661" s="9">
        <f>getApertureEnd('RawData (GH)'!C1661)</f>
        <v>3.1</v>
      </c>
      <c r="F1661" s="2">
        <f>getFiltersizeAsDouble('RawData (GH)'!D1661)</f>
        <v>67</v>
      </c>
      <c r="G1661" s="35">
        <f>getMagnification('RawData (GH)'!E1661)</f>
        <v>1</v>
      </c>
      <c r="H1661" s="62">
        <f>getMinimalFocus('RawData (GH)'!F1661)</f>
        <v>0</v>
      </c>
      <c r="I1661" t="str">
        <f>getMount('RawData (GH)'!G1661)</f>
        <v>Pentax K</v>
      </c>
      <c r="J1661" t="str">
        <f>getSensorCompatibility('RawData (GH)'!H1661)</f>
        <v>APS-C/ Kleinbild</v>
      </c>
      <c r="K1661" s="45">
        <f>getWeightAsDouble('RawData (GH)'!I1661)</f>
        <v>775</v>
      </c>
      <c r="L1661" s="34">
        <f>getSizeDiameter('RawData (GH)'!J1661)</f>
        <v>82</v>
      </c>
      <c r="M1661" s="34">
        <f>getSizeLength('RawData (GH)'!J1661)</f>
        <v>149</v>
      </c>
    </row>
    <row r="1662" spans="1:13" x14ac:dyDescent="0.25">
      <c r="A1662" t="str">
        <f>'RawData (GH)'!A1662</f>
        <v>Walimex Pro 10mm 2.8 für Canon EF schwarz</v>
      </c>
      <c r="B1662" s="5">
        <f>getFocalLengthStart('RawData (GH)'!B1662)</f>
        <v>10</v>
      </c>
      <c r="C1662" s="5">
        <f>getFocalLengthEnd('RawData (GH)'!B1662)</f>
        <v>10</v>
      </c>
      <c r="D1662" s="9">
        <f>getApertureStart('RawData (GH)'!C1662)</f>
        <v>2.8</v>
      </c>
      <c r="E1662" s="9">
        <f>getApertureEnd('RawData (GH)'!C1662)</f>
        <v>2.8</v>
      </c>
      <c r="F1662" s="2">
        <f>getFiltersizeAsDouble('RawData (GH)'!D1662)</f>
        <v>0</v>
      </c>
      <c r="G1662" s="35">
        <f>getMagnification('RawData (GH)'!E1662)</f>
        <v>0</v>
      </c>
      <c r="H1662" s="62">
        <f>getMinimalFocus('RawData (GH)'!F1662)</f>
        <v>0</v>
      </c>
      <c r="I1662" t="str">
        <f>getMount('RawData (GH)'!G1662)</f>
        <v>Canon EF</v>
      </c>
      <c r="J1662" t="str">
        <f>getSensorCompatibility('RawData (GH)'!H1662)</f>
        <v>APS-C</v>
      </c>
      <c r="K1662" s="45">
        <f>getWeightAsDouble('RawData (GH)'!I1662)</f>
        <v>625</v>
      </c>
      <c r="L1662" s="34">
        <f>getSizeDiameter('RawData (GH)'!J1662)</f>
        <v>87</v>
      </c>
      <c r="M1662" s="34">
        <f>getSizeLength('RawData (GH)'!J1662)</f>
        <v>132</v>
      </c>
    </row>
    <row r="1663" spans="1:13" x14ac:dyDescent="0.25">
      <c r="A1663" t="str">
        <f>'RawData (GH)'!A1663</f>
        <v>Walimex Pro 10mm 2.8 für Four-Thirds schwarz</v>
      </c>
      <c r="B1663" s="5">
        <f>getFocalLengthStart('RawData (GH)'!B1663)</f>
        <v>10</v>
      </c>
      <c r="C1663" s="5">
        <f>getFocalLengthEnd('RawData (GH)'!B1663)</f>
        <v>10</v>
      </c>
      <c r="D1663" s="9">
        <f>getApertureStart('RawData (GH)'!C1663)</f>
        <v>2.8</v>
      </c>
      <c r="E1663" s="9">
        <f>getApertureEnd('RawData (GH)'!C1663)</f>
        <v>2.8</v>
      </c>
      <c r="F1663" s="2">
        <f>getFiltersizeAsDouble('RawData (GH)'!D1663)</f>
        <v>0</v>
      </c>
      <c r="G1663" s="35">
        <f>getMagnification('RawData (GH)'!E1663)</f>
        <v>0</v>
      </c>
      <c r="H1663" s="62">
        <f>getMinimalFocus('RawData (GH)'!F1663)</f>
        <v>0</v>
      </c>
      <c r="I1663" t="str">
        <f>getMount('RawData (GH)'!G1663)</f>
        <v>Four-Thirds</v>
      </c>
      <c r="J1663" t="str">
        <f>getSensorCompatibility('RawData (GH)'!H1663)</f>
        <v>APS-C</v>
      </c>
      <c r="K1663" s="45">
        <f>getWeightAsDouble('RawData (GH)'!I1663)</f>
        <v>625</v>
      </c>
      <c r="L1663" s="34">
        <f>getSizeDiameter('RawData (GH)'!J1663)</f>
        <v>87</v>
      </c>
      <c r="M1663" s="34">
        <f>getSizeLength('RawData (GH)'!J1663)</f>
        <v>132</v>
      </c>
    </row>
    <row r="1664" spans="1:13" x14ac:dyDescent="0.25">
      <c r="A1664" t="str">
        <f>'RawData (GH)'!A1664</f>
        <v>Walimex Pro 10mm 2.8 für Fujifilm X schwarz</v>
      </c>
      <c r="B1664" s="5">
        <f>getFocalLengthStart('RawData (GH)'!B1664)</f>
        <v>10</v>
      </c>
      <c r="C1664" s="5">
        <f>getFocalLengthEnd('RawData (GH)'!B1664)</f>
        <v>10</v>
      </c>
      <c r="D1664" s="9">
        <f>getApertureStart('RawData (GH)'!C1664)</f>
        <v>2.8</v>
      </c>
      <c r="E1664" s="9">
        <f>getApertureEnd('RawData (GH)'!C1664)</f>
        <v>2.8</v>
      </c>
      <c r="F1664" s="2">
        <f>getFiltersizeAsDouble('RawData (GH)'!D1664)</f>
        <v>0</v>
      </c>
      <c r="G1664" s="35">
        <f>getMagnification('RawData (GH)'!E1664)</f>
        <v>0</v>
      </c>
      <c r="H1664" s="62">
        <f>getMinimalFocus('RawData (GH)'!F1664)</f>
        <v>0</v>
      </c>
      <c r="I1664" t="str">
        <f>getMount('RawData (GH)'!G1664)</f>
        <v>Fujifilm X</v>
      </c>
      <c r="J1664" t="str">
        <f>getSensorCompatibility('RawData (GH)'!H1664)</f>
        <v>APS-C</v>
      </c>
      <c r="K1664" s="45">
        <f>getWeightAsDouble('RawData (GH)'!I1664)</f>
        <v>625</v>
      </c>
      <c r="L1664" s="34">
        <f>getSizeDiameter('RawData (GH)'!J1664)</f>
        <v>87</v>
      </c>
      <c r="M1664" s="34">
        <f>getSizeLength('RawData (GH)'!J1664)</f>
        <v>132</v>
      </c>
    </row>
    <row r="1665" spans="1:13" x14ac:dyDescent="0.25">
      <c r="A1665" t="str">
        <f>'RawData (GH)'!A1665</f>
        <v>Walimex Pro 10mm 2.8 für Micro-Four-Thirds schwarz</v>
      </c>
      <c r="B1665" s="5">
        <f>getFocalLengthStart('RawData (GH)'!B1665)</f>
        <v>10</v>
      </c>
      <c r="C1665" s="5">
        <f>getFocalLengthEnd('RawData (GH)'!B1665)</f>
        <v>10</v>
      </c>
      <c r="D1665" s="9">
        <f>getApertureStart('RawData (GH)'!C1665)</f>
        <v>2.8</v>
      </c>
      <c r="E1665" s="9">
        <f>getApertureEnd('RawData (GH)'!C1665)</f>
        <v>2.8</v>
      </c>
      <c r="F1665" s="2">
        <f>getFiltersizeAsDouble('RawData (GH)'!D1665)</f>
        <v>0</v>
      </c>
      <c r="G1665" s="35">
        <f>getMagnification('RawData (GH)'!E1665)</f>
        <v>0</v>
      </c>
      <c r="H1665" s="62">
        <f>getMinimalFocus('RawData (GH)'!F1665)</f>
        <v>0</v>
      </c>
      <c r="I1665" t="str">
        <f>getMount('RawData (GH)'!G1665)</f>
        <v>Micro-Four-Thirds</v>
      </c>
      <c r="J1665" t="str">
        <f>getSensorCompatibility('RawData (GH)'!H1665)</f>
        <v>Four-Thirds</v>
      </c>
      <c r="K1665" s="45">
        <f>getWeightAsDouble('RawData (GH)'!I1665)</f>
        <v>625</v>
      </c>
      <c r="L1665" s="34">
        <f>getSizeDiameter('RawData (GH)'!J1665)</f>
        <v>87</v>
      </c>
      <c r="M1665" s="34">
        <f>getSizeLength('RawData (GH)'!J1665)</f>
        <v>132</v>
      </c>
    </row>
    <row r="1666" spans="1:13" x14ac:dyDescent="0.25">
      <c r="A1666" t="str">
        <f>'RawData (GH)'!A1666</f>
        <v>Walimex Pro 10mm 2.8 für Nikon F schwarz</v>
      </c>
      <c r="B1666" s="5">
        <f>getFocalLengthStart('RawData (GH)'!B1666)</f>
        <v>10</v>
      </c>
      <c r="C1666" s="5">
        <f>getFocalLengthEnd('RawData (GH)'!B1666)</f>
        <v>10</v>
      </c>
      <c r="D1666" s="9">
        <f>getApertureStart('RawData (GH)'!C1666)</f>
        <v>2.8</v>
      </c>
      <c r="E1666" s="9">
        <f>getApertureEnd('RawData (GH)'!C1666)</f>
        <v>2.8</v>
      </c>
      <c r="F1666" s="2">
        <f>getFiltersizeAsDouble('RawData (GH)'!D1666)</f>
        <v>0</v>
      </c>
      <c r="G1666" s="35">
        <f>getMagnification('RawData (GH)'!E1666)</f>
        <v>0</v>
      </c>
      <c r="H1666" s="62">
        <f>getMinimalFocus('RawData (GH)'!F1666)</f>
        <v>0</v>
      </c>
      <c r="I1666" t="str">
        <f>getMount('RawData (GH)'!G1666)</f>
        <v>Nikon F</v>
      </c>
      <c r="J1666" t="str">
        <f>getSensorCompatibility('RawData (GH)'!H1666)</f>
        <v>APS-C</v>
      </c>
      <c r="K1666" s="45">
        <f>getWeightAsDouble('RawData (GH)'!I1666)</f>
        <v>625</v>
      </c>
      <c r="L1666" s="34">
        <f>getSizeDiameter('RawData (GH)'!J1666)</f>
        <v>87</v>
      </c>
      <c r="M1666" s="34">
        <f>getSizeLength('RawData (GH)'!J1666)</f>
        <v>132</v>
      </c>
    </row>
    <row r="1667" spans="1:13" x14ac:dyDescent="0.25">
      <c r="A1667" t="str">
        <f>'RawData (GH)'!A1667</f>
        <v>Walimex Pro 10mm 2.8 für Samsung NX schwarz</v>
      </c>
      <c r="B1667" s="5">
        <f>getFocalLengthStart('RawData (GH)'!B1667)</f>
        <v>10</v>
      </c>
      <c r="C1667" s="5">
        <f>getFocalLengthEnd('RawData (GH)'!B1667)</f>
        <v>10</v>
      </c>
      <c r="D1667" s="9">
        <f>getApertureStart('RawData (GH)'!C1667)</f>
        <v>2.8</v>
      </c>
      <c r="E1667" s="9">
        <f>getApertureEnd('RawData (GH)'!C1667)</f>
        <v>2.8</v>
      </c>
      <c r="F1667" s="2">
        <f>getFiltersizeAsDouble('RawData (GH)'!D1667)</f>
        <v>0</v>
      </c>
      <c r="G1667" s="35">
        <f>getMagnification('RawData (GH)'!E1667)</f>
        <v>0</v>
      </c>
      <c r="H1667" s="62">
        <f>getMinimalFocus('RawData (GH)'!F1667)</f>
        <v>0</v>
      </c>
      <c r="I1667" t="str">
        <f>getMount('RawData (GH)'!G1667)</f>
        <v>Samsung NX</v>
      </c>
      <c r="J1667" t="str">
        <f>getSensorCompatibility('RawData (GH)'!H1667)</f>
        <v>APS-C</v>
      </c>
      <c r="K1667" s="45">
        <f>getWeightAsDouble('RawData (GH)'!I1667)</f>
        <v>625</v>
      </c>
      <c r="L1667" s="34">
        <f>getSizeDiameter('RawData (GH)'!J1667)</f>
        <v>87</v>
      </c>
      <c r="M1667" s="34">
        <f>getSizeLength('RawData (GH)'!J1667)</f>
        <v>132</v>
      </c>
    </row>
    <row r="1668" spans="1:13" x14ac:dyDescent="0.25">
      <c r="A1668" t="str">
        <f>'RawData (GH)'!A1668</f>
        <v>Walimex Pro 10mm 2.8 für Sony A schwarz</v>
      </c>
      <c r="B1668" s="5">
        <f>getFocalLengthStart('RawData (GH)'!B1668)</f>
        <v>10</v>
      </c>
      <c r="C1668" s="5">
        <f>getFocalLengthEnd('RawData (GH)'!B1668)</f>
        <v>10</v>
      </c>
      <c r="D1668" s="9">
        <f>getApertureStart('RawData (GH)'!C1668)</f>
        <v>2.8</v>
      </c>
      <c r="E1668" s="9">
        <f>getApertureEnd('RawData (GH)'!C1668)</f>
        <v>2.8</v>
      </c>
      <c r="F1668" s="2">
        <f>getFiltersizeAsDouble('RawData (GH)'!D1668)</f>
        <v>0</v>
      </c>
      <c r="G1668" s="35">
        <f>getMagnification('RawData (GH)'!E1668)</f>
        <v>0</v>
      </c>
      <c r="H1668" s="62">
        <f>getMinimalFocus('RawData (GH)'!F1668)</f>
        <v>0</v>
      </c>
      <c r="I1668" t="str">
        <f>getMount('RawData (GH)'!G1668)</f>
        <v>Sony A</v>
      </c>
      <c r="J1668" t="str">
        <f>getSensorCompatibility('RawData (GH)'!H1668)</f>
        <v>APS-C</v>
      </c>
      <c r="K1668" s="45">
        <f>getWeightAsDouble('RawData (GH)'!I1668)</f>
        <v>625</v>
      </c>
      <c r="L1668" s="34">
        <f>getSizeDiameter('RawData (GH)'!J1668)</f>
        <v>87</v>
      </c>
      <c r="M1668" s="34">
        <f>getSizeLength('RawData (GH)'!J1668)</f>
        <v>132</v>
      </c>
    </row>
    <row r="1669" spans="1:13" x14ac:dyDescent="0.25">
      <c r="A1669" t="str">
        <f>'RawData (GH)'!A1669</f>
        <v>Walimex Pro 10mm 2.8 für Sony E schwarz</v>
      </c>
      <c r="B1669" s="5">
        <f>getFocalLengthStart('RawData (GH)'!B1669)</f>
        <v>10</v>
      </c>
      <c r="C1669" s="5">
        <f>getFocalLengthEnd('RawData (GH)'!B1669)</f>
        <v>10</v>
      </c>
      <c r="D1669" s="9">
        <f>getApertureStart('RawData (GH)'!C1669)</f>
        <v>2.8</v>
      </c>
      <c r="E1669" s="9">
        <f>getApertureEnd('RawData (GH)'!C1669)</f>
        <v>2.8</v>
      </c>
      <c r="F1669" s="2">
        <f>getFiltersizeAsDouble('RawData (GH)'!D1669)</f>
        <v>0</v>
      </c>
      <c r="G1669" s="35">
        <f>getMagnification('RawData (GH)'!E1669)</f>
        <v>0</v>
      </c>
      <c r="H1669" s="62">
        <f>getMinimalFocus('RawData (GH)'!F1669)</f>
        <v>0</v>
      </c>
      <c r="I1669" t="str">
        <f>getMount('RawData (GH)'!G1669)</f>
        <v>Sony E</v>
      </c>
      <c r="J1669" t="str">
        <f>getSensorCompatibility('RawData (GH)'!H1669)</f>
        <v>APS-C</v>
      </c>
      <c r="K1669" s="45">
        <f>getWeightAsDouble('RawData (GH)'!I1669)</f>
        <v>625</v>
      </c>
      <c r="L1669" s="34">
        <f>getSizeDiameter('RawData (GH)'!J1669)</f>
        <v>87</v>
      </c>
      <c r="M1669" s="34">
        <f>getSizeLength('RawData (GH)'!J1669)</f>
        <v>132</v>
      </c>
    </row>
    <row r="1670" spans="1:13" x14ac:dyDescent="0.25">
      <c r="A1670" t="str">
        <f>'RawData (GH)'!A1670</f>
        <v>Walimex Pro 10mm 3.1 VCSC für Canon EF-M schwarz</v>
      </c>
      <c r="B1670" s="5">
        <f>getFocalLengthStart('RawData (GH)'!B1670)</f>
        <v>10</v>
      </c>
      <c r="C1670" s="5">
        <f>getFocalLengthEnd('RawData (GH)'!B1670)</f>
        <v>10</v>
      </c>
      <c r="D1670" s="9">
        <f>getApertureStart('RawData (GH)'!C1670)</f>
        <v>3.1</v>
      </c>
      <c r="E1670" s="9">
        <f>getApertureEnd('RawData (GH)'!C1670)</f>
        <v>3.1</v>
      </c>
      <c r="F1670" s="2">
        <f>getFiltersizeAsDouble('RawData (GH)'!D1670)</f>
        <v>0</v>
      </c>
      <c r="G1670" s="35">
        <f>getMagnification('RawData (GH)'!E1670)</f>
        <v>0</v>
      </c>
      <c r="H1670" s="62">
        <f>getMinimalFocus('RawData (GH)'!F1670)</f>
        <v>0</v>
      </c>
      <c r="I1670" t="str">
        <f>getMount('RawData (GH)'!G1670)</f>
        <v>Canon EF-M</v>
      </c>
      <c r="J1670" t="str">
        <f>getSensorCompatibility('RawData (GH)'!H1670)</f>
        <v>APS-C</v>
      </c>
      <c r="K1670" s="45">
        <f>getWeightAsDouble('RawData (GH)'!I1670)</f>
        <v>630</v>
      </c>
      <c r="L1670" s="34">
        <f>getSizeDiameter('RawData (GH)'!J1670)</f>
        <v>87</v>
      </c>
      <c r="M1670" s="34">
        <f>getSizeLength('RawData (GH)'!J1670)</f>
        <v>130.9</v>
      </c>
    </row>
    <row r="1671" spans="1:13" x14ac:dyDescent="0.25">
      <c r="A1671" t="str">
        <f>'RawData (GH)'!A1671</f>
        <v>Walimex Pro 10mm 3.1 VCSC für Fujifilm X schwarz</v>
      </c>
      <c r="B1671" s="5">
        <f>getFocalLengthStart('RawData (GH)'!B1671)</f>
        <v>10</v>
      </c>
      <c r="C1671" s="5">
        <f>getFocalLengthEnd('RawData (GH)'!B1671)</f>
        <v>10</v>
      </c>
      <c r="D1671" s="9">
        <f>getApertureStart('RawData (GH)'!C1671)</f>
        <v>3.1</v>
      </c>
      <c r="E1671" s="9">
        <f>getApertureEnd('RawData (GH)'!C1671)</f>
        <v>3.1</v>
      </c>
      <c r="F1671" s="2">
        <f>getFiltersizeAsDouble('RawData (GH)'!D1671)</f>
        <v>0</v>
      </c>
      <c r="G1671" s="35">
        <f>getMagnification('RawData (GH)'!E1671)</f>
        <v>0</v>
      </c>
      <c r="H1671" s="62">
        <f>getMinimalFocus('RawData (GH)'!F1671)</f>
        <v>0</v>
      </c>
      <c r="I1671" t="str">
        <f>getMount('RawData (GH)'!G1671)</f>
        <v>Fujifilm X</v>
      </c>
      <c r="J1671" t="str">
        <f>getSensorCompatibility('RawData (GH)'!H1671)</f>
        <v>APS-C</v>
      </c>
      <c r="K1671" s="45">
        <f>getWeightAsDouble('RawData (GH)'!I1671)</f>
        <v>630</v>
      </c>
      <c r="L1671" s="34">
        <f>getSizeDiameter('RawData (GH)'!J1671)</f>
        <v>87</v>
      </c>
      <c r="M1671" s="34">
        <f>getSizeLength('RawData (GH)'!J1671)</f>
        <v>130.9</v>
      </c>
    </row>
    <row r="1672" spans="1:13" x14ac:dyDescent="0.25">
      <c r="A1672" t="str">
        <f>'RawData (GH)'!A1672</f>
        <v>Walimex Pro 10mm 3.1 VCSC für Micro-Four-Thirds schwarz</v>
      </c>
      <c r="B1672" s="5">
        <f>getFocalLengthStart('RawData (GH)'!B1672)</f>
        <v>10</v>
      </c>
      <c r="C1672" s="5">
        <f>getFocalLengthEnd('RawData (GH)'!B1672)</f>
        <v>10</v>
      </c>
      <c r="D1672" s="9">
        <f>getApertureStart('RawData (GH)'!C1672)</f>
        <v>3.1</v>
      </c>
      <c r="E1672" s="9">
        <f>getApertureEnd('RawData (GH)'!C1672)</f>
        <v>3.1</v>
      </c>
      <c r="F1672" s="2">
        <f>getFiltersizeAsDouble('RawData (GH)'!D1672)</f>
        <v>0</v>
      </c>
      <c r="G1672" s="35">
        <f>getMagnification('RawData (GH)'!E1672)</f>
        <v>0</v>
      </c>
      <c r="H1672" s="62">
        <f>getMinimalFocus('RawData (GH)'!F1672)</f>
        <v>0</v>
      </c>
      <c r="I1672" t="str">
        <f>getMount('RawData (GH)'!G1672)</f>
        <v>Micro-Four-Thirds</v>
      </c>
      <c r="J1672" t="str">
        <f>getSensorCompatibility('RawData (GH)'!H1672)</f>
        <v>APS-C</v>
      </c>
      <c r="K1672" s="45">
        <f>getWeightAsDouble('RawData (GH)'!I1672)</f>
        <v>630</v>
      </c>
      <c r="L1672" s="34">
        <f>getSizeDiameter('RawData (GH)'!J1672)</f>
        <v>87</v>
      </c>
      <c r="M1672" s="34">
        <f>getSizeLength('RawData (GH)'!J1672)</f>
        <v>130.9</v>
      </c>
    </row>
    <row r="1673" spans="1:13" x14ac:dyDescent="0.25">
      <c r="A1673" t="str">
        <f>'RawData (GH)'!A1673</f>
        <v>Walimex Pro 10mm 3.1 VCSC für Pentax K schwarz</v>
      </c>
      <c r="B1673" s="5">
        <f>getFocalLengthStart('RawData (GH)'!B1673)</f>
        <v>10</v>
      </c>
      <c r="C1673" s="5">
        <f>getFocalLengthEnd('RawData (GH)'!B1673)</f>
        <v>10</v>
      </c>
      <c r="D1673" s="9">
        <f>getApertureStart('RawData (GH)'!C1673)</f>
        <v>3.1</v>
      </c>
      <c r="E1673" s="9">
        <f>getApertureEnd('RawData (GH)'!C1673)</f>
        <v>3.1</v>
      </c>
      <c r="F1673" s="2">
        <f>getFiltersizeAsDouble('RawData (GH)'!D1673)</f>
        <v>0</v>
      </c>
      <c r="G1673" s="35">
        <f>getMagnification('RawData (GH)'!E1673)</f>
        <v>0</v>
      </c>
      <c r="H1673" s="62">
        <f>getMinimalFocus('RawData (GH)'!F1673)</f>
        <v>0</v>
      </c>
      <c r="I1673" t="str">
        <f>getMount('RawData (GH)'!G1673)</f>
        <v>Pentax K</v>
      </c>
      <c r="J1673" t="str">
        <f>getSensorCompatibility('RawData (GH)'!H1673)</f>
        <v>APS-C</v>
      </c>
      <c r="K1673" s="45">
        <f>getWeightAsDouble('RawData (GH)'!I1673)</f>
        <v>590</v>
      </c>
      <c r="L1673" s="34">
        <f>getSizeDiameter('RawData (GH)'!J1673)</f>
        <v>87</v>
      </c>
      <c r="M1673" s="34">
        <f>getSizeLength('RawData (GH)'!J1673)</f>
        <v>104.6</v>
      </c>
    </row>
    <row r="1674" spans="1:13" x14ac:dyDescent="0.25">
      <c r="A1674" t="str">
        <f>'RawData (GH)'!A1674</f>
        <v>Walimex Pro 10mm 3.1 VCSC für Samsung NX schwarz</v>
      </c>
      <c r="B1674" s="5">
        <f>getFocalLengthStart('RawData (GH)'!B1674)</f>
        <v>10</v>
      </c>
      <c r="C1674" s="5">
        <f>getFocalLengthEnd('RawData (GH)'!B1674)</f>
        <v>10</v>
      </c>
      <c r="D1674" s="9">
        <f>getApertureStart('RawData (GH)'!C1674)</f>
        <v>3.1</v>
      </c>
      <c r="E1674" s="9">
        <f>getApertureEnd('RawData (GH)'!C1674)</f>
        <v>3.1</v>
      </c>
      <c r="F1674" s="2">
        <f>getFiltersizeAsDouble('RawData (GH)'!D1674)</f>
        <v>0</v>
      </c>
      <c r="G1674" s="35">
        <f>getMagnification('RawData (GH)'!E1674)</f>
        <v>0</v>
      </c>
      <c r="H1674" s="62">
        <f>getMinimalFocus('RawData (GH)'!F1674)</f>
        <v>0</v>
      </c>
      <c r="I1674" t="str">
        <f>getMount('RawData (GH)'!G1674)</f>
        <v>Samsung NX</v>
      </c>
      <c r="J1674" t="str">
        <f>getSensorCompatibility('RawData (GH)'!H1674)</f>
        <v>APS-C</v>
      </c>
      <c r="K1674" s="45">
        <f>getWeightAsDouble('RawData (GH)'!I1674)</f>
        <v>630</v>
      </c>
      <c r="L1674" s="34">
        <f>getSizeDiameter('RawData (GH)'!J1674)</f>
        <v>87</v>
      </c>
      <c r="M1674" s="34">
        <f>getSizeLength('RawData (GH)'!J1674)</f>
        <v>130.9</v>
      </c>
    </row>
    <row r="1675" spans="1:13" x14ac:dyDescent="0.25">
      <c r="A1675" t="str">
        <f>'RawData (GH)'!A1675</f>
        <v>Walimex Pro 10mm 3.1 VCSC für Sony E schwarz</v>
      </c>
      <c r="B1675" s="5">
        <f>getFocalLengthStart('RawData (GH)'!B1675)</f>
        <v>10</v>
      </c>
      <c r="C1675" s="5">
        <f>getFocalLengthEnd('RawData (GH)'!B1675)</f>
        <v>10</v>
      </c>
      <c r="D1675" s="9">
        <f>getApertureStart('RawData (GH)'!C1675)</f>
        <v>3.1</v>
      </c>
      <c r="E1675" s="9">
        <f>getApertureEnd('RawData (GH)'!C1675)</f>
        <v>3.1</v>
      </c>
      <c r="F1675" s="2">
        <f>getFiltersizeAsDouble('RawData (GH)'!D1675)</f>
        <v>0</v>
      </c>
      <c r="G1675" s="35">
        <f>getMagnification('RawData (GH)'!E1675)</f>
        <v>0</v>
      </c>
      <c r="H1675" s="62">
        <f>getMinimalFocus('RawData (GH)'!F1675)</f>
        <v>0</v>
      </c>
      <c r="I1675" t="str">
        <f>getMount('RawData (GH)'!G1675)</f>
        <v>Sony E</v>
      </c>
      <c r="J1675" t="str">
        <f>getSensorCompatibility('RawData (GH)'!H1675)</f>
        <v>APS-C</v>
      </c>
      <c r="K1675" s="45">
        <f>getWeightAsDouble('RawData (GH)'!I1675)</f>
        <v>630</v>
      </c>
      <c r="L1675" s="34">
        <f>getSizeDiameter('RawData (GH)'!J1675)</f>
        <v>87</v>
      </c>
      <c r="M1675" s="34">
        <f>getSizeLength('RawData (GH)'!J1675)</f>
        <v>130.9</v>
      </c>
    </row>
    <row r="1676" spans="1:13" x14ac:dyDescent="0.25">
      <c r="A1676" t="str">
        <f>'RawData (GH)'!A1676</f>
        <v>Walimex Pro 10mm 3.1 VDSLR für Canon EF schwarz</v>
      </c>
      <c r="B1676" s="5">
        <f>getFocalLengthStart('RawData (GH)'!B1676)</f>
        <v>10</v>
      </c>
      <c r="C1676" s="5">
        <f>getFocalLengthEnd('RawData (GH)'!B1676)</f>
        <v>10</v>
      </c>
      <c r="D1676" s="9">
        <f>getApertureStart('RawData (GH)'!C1676)</f>
        <v>3.1</v>
      </c>
      <c r="E1676" s="9">
        <f>getApertureEnd('RawData (GH)'!C1676)</f>
        <v>3.1</v>
      </c>
      <c r="F1676" s="2">
        <f>getFiltersizeAsDouble('RawData (GH)'!D1676)</f>
        <v>0</v>
      </c>
      <c r="G1676" s="35">
        <f>getMagnification('RawData (GH)'!E1676)</f>
        <v>0</v>
      </c>
      <c r="H1676" s="62">
        <f>getMinimalFocus('RawData (GH)'!F1676)</f>
        <v>0</v>
      </c>
      <c r="I1676" t="str">
        <f>getMount('RawData (GH)'!G1676)</f>
        <v>Canon EF</v>
      </c>
      <c r="J1676" t="str">
        <f>getSensorCompatibility('RawData (GH)'!H1676)</f>
        <v>APS-C</v>
      </c>
      <c r="K1676" s="45">
        <f>getWeightAsDouble('RawData (GH)'!I1676)</f>
        <v>600</v>
      </c>
      <c r="L1676" s="34">
        <f>getSizeDiameter('RawData (GH)'!J1676)</f>
        <v>87</v>
      </c>
      <c r="M1676" s="34">
        <f>getSizeLength('RawData (GH)'!J1676)</f>
        <v>106.1</v>
      </c>
    </row>
    <row r="1677" spans="1:13" x14ac:dyDescent="0.25">
      <c r="A1677" t="str">
        <f>'RawData (GH)'!A1677</f>
        <v>Walimex Pro 10mm 3.1 VDSLR für Nikon F schwarz</v>
      </c>
      <c r="B1677" s="5">
        <f>getFocalLengthStart('RawData (GH)'!B1677)</f>
        <v>10</v>
      </c>
      <c r="C1677" s="5">
        <f>getFocalLengthEnd('RawData (GH)'!B1677)</f>
        <v>10</v>
      </c>
      <c r="D1677" s="9">
        <f>getApertureStart('RawData (GH)'!C1677)</f>
        <v>3.1</v>
      </c>
      <c r="E1677" s="9">
        <f>getApertureEnd('RawData (GH)'!C1677)</f>
        <v>3.1</v>
      </c>
      <c r="F1677" s="2">
        <f>getFiltersizeAsDouble('RawData (GH)'!D1677)</f>
        <v>0</v>
      </c>
      <c r="G1677" s="35">
        <f>getMagnification('RawData (GH)'!E1677)</f>
        <v>0</v>
      </c>
      <c r="H1677" s="62">
        <f>getMinimalFocus('RawData (GH)'!F1677)</f>
        <v>0</v>
      </c>
      <c r="I1677" t="str">
        <f>getMount('RawData (GH)'!G1677)</f>
        <v>Nikon F</v>
      </c>
      <c r="J1677" t="str">
        <f>getSensorCompatibility('RawData (GH)'!H1677)</f>
        <v>APS-C</v>
      </c>
      <c r="K1677" s="45">
        <f>getWeightAsDouble('RawData (GH)'!I1677)</f>
        <v>590</v>
      </c>
      <c r="L1677" s="34">
        <f>getSizeDiameter('RawData (GH)'!J1677)</f>
        <v>87</v>
      </c>
      <c r="M1677" s="34">
        <f>getSizeLength('RawData (GH)'!J1677)</f>
        <v>103.6</v>
      </c>
    </row>
    <row r="1678" spans="1:13" x14ac:dyDescent="0.25">
      <c r="A1678" t="str">
        <f>'RawData (GH)'!A1678</f>
        <v>Walimex Pro 12mm 2.0 CSC für Canon EF-M silber</v>
      </c>
      <c r="B1678" s="5">
        <f>getFocalLengthStart('RawData (GH)'!B1678)</f>
        <v>12</v>
      </c>
      <c r="C1678" s="5">
        <f>getFocalLengthEnd('RawData (GH)'!B1678)</f>
        <v>12</v>
      </c>
      <c r="D1678" s="9">
        <f>getApertureStart('RawData (GH)'!C1678)</f>
        <v>2</v>
      </c>
      <c r="E1678" s="9">
        <f>getApertureEnd('RawData (GH)'!C1678)</f>
        <v>2</v>
      </c>
      <c r="F1678" s="2">
        <f>getFiltersizeAsDouble('RawData (GH)'!D1678)</f>
        <v>67</v>
      </c>
      <c r="G1678" s="35">
        <f>getMagnification('RawData (GH)'!E1678)</f>
        <v>0</v>
      </c>
      <c r="H1678" s="62">
        <f>getMinimalFocus('RawData (GH)'!F1678)</f>
        <v>0</v>
      </c>
      <c r="I1678" t="str">
        <f>getMount('RawData (GH)'!G1678)</f>
        <v>Canon EF-M</v>
      </c>
      <c r="J1678" t="str">
        <f>getSensorCompatibility('RawData (GH)'!H1678)</f>
        <v>APS-C</v>
      </c>
      <c r="K1678" s="45">
        <f>getWeightAsDouble('RawData (GH)'!I1678)</f>
        <v>260</v>
      </c>
      <c r="L1678" s="34">
        <f>getSizeDiameter('RawData (GH)'!J1678)</f>
        <v>72.5</v>
      </c>
      <c r="M1678" s="34">
        <f>getSizeLength('RawData (GH)'!J1678)</f>
        <v>59</v>
      </c>
    </row>
    <row r="1679" spans="1:13" x14ac:dyDescent="0.25">
      <c r="A1679" t="str">
        <f>'RawData (GH)'!A1679</f>
        <v>Walimex Pro 12mm 2.0 CSC für Fujifilm X schwarz</v>
      </c>
      <c r="B1679" s="5">
        <f>getFocalLengthStart('RawData (GH)'!B1679)</f>
        <v>12</v>
      </c>
      <c r="C1679" s="5">
        <f>getFocalLengthEnd('RawData (GH)'!B1679)</f>
        <v>12</v>
      </c>
      <c r="D1679" s="9">
        <f>getApertureStart('RawData (GH)'!C1679)</f>
        <v>2</v>
      </c>
      <c r="E1679" s="9">
        <f>getApertureEnd('RawData (GH)'!C1679)</f>
        <v>2</v>
      </c>
      <c r="F1679" s="2">
        <f>getFiltersizeAsDouble('RawData (GH)'!D1679)</f>
        <v>67</v>
      </c>
      <c r="G1679" s="35">
        <f>getMagnification('RawData (GH)'!E1679)</f>
        <v>0</v>
      </c>
      <c r="H1679" s="62">
        <f>getMinimalFocus('RawData (GH)'!F1679)</f>
        <v>0</v>
      </c>
      <c r="I1679" t="str">
        <f>getMount('RawData (GH)'!G1679)</f>
        <v>Fujifilm X</v>
      </c>
      <c r="J1679" t="str">
        <f>getSensorCompatibility('RawData (GH)'!H1679)</f>
        <v>APS-C</v>
      </c>
      <c r="K1679" s="45">
        <f>getWeightAsDouble('RawData (GH)'!I1679)</f>
        <v>260</v>
      </c>
      <c r="L1679" s="34">
        <f>getSizeDiameter('RawData (GH)'!J1679)</f>
        <v>72.5</v>
      </c>
      <c r="M1679" s="34">
        <f>getSizeLength('RawData (GH)'!J1679)</f>
        <v>59</v>
      </c>
    </row>
    <row r="1680" spans="1:13" x14ac:dyDescent="0.25">
      <c r="A1680" t="str">
        <f>'RawData (GH)'!A1680</f>
        <v>Walimex Pro 12mm 2.0 CSC für Micro-Four-Thirds schwarz</v>
      </c>
      <c r="B1680" s="5">
        <f>getFocalLengthStart('RawData (GH)'!B1680)</f>
        <v>12</v>
      </c>
      <c r="C1680" s="5">
        <f>getFocalLengthEnd('RawData (GH)'!B1680)</f>
        <v>12</v>
      </c>
      <c r="D1680" s="9">
        <f>getApertureStart('RawData (GH)'!C1680)</f>
        <v>2</v>
      </c>
      <c r="E1680" s="9">
        <f>getApertureEnd('RawData (GH)'!C1680)</f>
        <v>2</v>
      </c>
      <c r="F1680" s="2">
        <f>getFiltersizeAsDouble('RawData (GH)'!D1680)</f>
        <v>67</v>
      </c>
      <c r="G1680" s="35">
        <f>getMagnification('RawData (GH)'!E1680)</f>
        <v>0</v>
      </c>
      <c r="H1680" s="62">
        <f>getMinimalFocus('RawData (GH)'!F1680)</f>
        <v>0</v>
      </c>
      <c r="I1680" t="str">
        <f>getMount('RawData (GH)'!G1680)</f>
        <v>Micro-Four-Thirds</v>
      </c>
      <c r="J1680" t="str">
        <f>getSensorCompatibility('RawData (GH)'!H1680)</f>
        <v>Four-Thirds</v>
      </c>
      <c r="K1680" s="45">
        <f>getWeightAsDouble('RawData (GH)'!I1680)</f>
        <v>260</v>
      </c>
      <c r="L1680" s="34">
        <f>getSizeDiameter('RawData (GH)'!J1680)</f>
        <v>72.5</v>
      </c>
      <c r="M1680" s="34">
        <f>getSizeLength('RawData (GH)'!J1680)</f>
        <v>59</v>
      </c>
    </row>
    <row r="1681" spans="1:13" x14ac:dyDescent="0.25">
      <c r="A1681" t="str">
        <f>'RawData (GH)'!A1681</f>
        <v>Walimex Pro 12mm 2.0 CSC für Micro-Four-Thirds silber</v>
      </c>
      <c r="B1681" s="5">
        <f>getFocalLengthStart('RawData (GH)'!B1681)</f>
        <v>12</v>
      </c>
      <c r="C1681" s="5">
        <f>getFocalLengthEnd('RawData (GH)'!B1681)</f>
        <v>12</v>
      </c>
      <c r="D1681" s="9">
        <f>getApertureStart('RawData (GH)'!C1681)</f>
        <v>2</v>
      </c>
      <c r="E1681" s="9">
        <f>getApertureEnd('RawData (GH)'!C1681)</f>
        <v>2</v>
      </c>
      <c r="F1681" s="2">
        <f>getFiltersizeAsDouble('RawData (GH)'!D1681)</f>
        <v>67</v>
      </c>
      <c r="G1681" s="35">
        <f>getMagnification('RawData (GH)'!E1681)</f>
        <v>0</v>
      </c>
      <c r="H1681" s="62">
        <f>getMinimalFocus('RawData (GH)'!F1681)</f>
        <v>0</v>
      </c>
      <c r="I1681" t="str">
        <f>getMount('RawData (GH)'!G1681)</f>
        <v>Micro-Four-Thirds</v>
      </c>
      <c r="J1681" t="str">
        <f>getSensorCompatibility('RawData (GH)'!H1681)</f>
        <v>Four-Thirds</v>
      </c>
      <c r="K1681" s="45">
        <f>getWeightAsDouble('RawData (GH)'!I1681)</f>
        <v>260</v>
      </c>
      <c r="L1681" s="34">
        <f>getSizeDiameter('RawData (GH)'!J1681)</f>
        <v>72.5</v>
      </c>
      <c r="M1681" s="34">
        <f>getSizeLength('RawData (GH)'!J1681)</f>
        <v>59</v>
      </c>
    </row>
    <row r="1682" spans="1:13" x14ac:dyDescent="0.25">
      <c r="A1682" t="str">
        <f>'RawData (GH)'!A1682</f>
        <v>Walimex Pro 12mm 2.0 CSC für Samsung NX schwarz</v>
      </c>
      <c r="B1682" s="5">
        <f>getFocalLengthStart('RawData (GH)'!B1682)</f>
        <v>12</v>
      </c>
      <c r="C1682" s="5">
        <f>getFocalLengthEnd('RawData (GH)'!B1682)</f>
        <v>12</v>
      </c>
      <c r="D1682" s="9">
        <f>getApertureStart('RawData (GH)'!C1682)</f>
        <v>2</v>
      </c>
      <c r="E1682" s="9">
        <f>getApertureEnd('RawData (GH)'!C1682)</f>
        <v>2</v>
      </c>
      <c r="F1682" s="2">
        <f>getFiltersizeAsDouble('RawData (GH)'!D1682)</f>
        <v>67</v>
      </c>
      <c r="G1682" s="35">
        <f>getMagnification('RawData (GH)'!E1682)</f>
        <v>0</v>
      </c>
      <c r="H1682" s="62">
        <f>getMinimalFocus('RawData (GH)'!F1682)</f>
        <v>0</v>
      </c>
      <c r="I1682" t="str">
        <f>getMount('RawData (GH)'!G1682)</f>
        <v>Samsung NX</v>
      </c>
      <c r="J1682" t="str">
        <f>getSensorCompatibility('RawData (GH)'!H1682)</f>
        <v>APS-C</v>
      </c>
      <c r="K1682" s="45">
        <f>getWeightAsDouble('RawData (GH)'!I1682)</f>
        <v>260</v>
      </c>
      <c r="L1682" s="34">
        <f>getSizeDiameter('RawData (GH)'!J1682)</f>
        <v>72.5</v>
      </c>
      <c r="M1682" s="34">
        <f>getSizeLength('RawData (GH)'!J1682)</f>
        <v>59</v>
      </c>
    </row>
    <row r="1683" spans="1:13" x14ac:dyDescent="0.25">
      <c r="A1683" t="str">
        <f>'RawData (GH)'!A1683</f>
        <v>Walimex Pro 12mm 2.0 CSC für Sony E schwarz</v>
      </c>
      <c r="B1683" s="5">
        <f>getFocalLengthStart('RawData (GH)'!B1683)</f>
        <v>12</v>
      </c>
      <c r="C1683" s="5">
        <f>getFocalLengthEnd('RawData (GH)'!B1683)</f>
        <v>12</v>
      </c>
      <c r="D1683" s="9">
        <f>getApertureStart('RawData (GH)'!C1683)</f>
        <v>2</v>
      </c>
      <c r="E1683" s="9">
        <f>getApertureEnd('RawData (GH)'!C1683)</f>
        <v>2</v>
      </c>
      <c r="F1683" s="2">
        <f>getFiltersizeAsDouble('RawData (GH)'!D1683)</f>
        <v>67</v>
      </c>
      <c r="G1683" s="35">
        <f>getMagnification('RawData (GH)'!E1683)</f>
        <v>0</v>
      </c>
      <c r="H1683" s="62">
        <f>getMinimalFocus('RawData (GH)'!F1683)</f>
        <v>0</v>
      </c>
      <c r="I1683" t="str">
        <f>getMount('RawData (GH)'!G1683)</f>
        <v>Sony E</v>
      </c>
      <c r="J1683" t="str">
        <f>getSensorCompatibility('RawData (GH)'!H1683)</f>
        <v>APS-C</v>
      </c>
      <c r="K1683" s="45">
        <f>getWeightAsDouble('RawData (GH)'!I1683)</f>
        <v>260</v>
      </c>
      <c r="L1683" s="34">
        <f>getSizeDiameter('RawData (GH)'!J1683)</f>
        <v>72.5</v>
      </c>
      <c r="M1683" s="34">
        <f>getSizeLength('RawData (GH)'!J1683)</f>
        <v>59</v>
      </c>
    </row>
    <row r="1684" spans="1:13" x14ac:dyDescent="0.25">
      <c r="A1684" t="str">
        <f>'RawData (GH)'!A1684</f>
        <v>Walimex Pro 12mm 2.0 CSC für Sony E silber</v>
      </c>
      <c r="B1684" s="5">
        <f>getFocalLengthStart('RawData (GH)'!B1684)</f>
        <v>12</v>
      </c>
      <c r="C1684" s="5">
        <f>getFocalLengthEnd('RawData (GH)'!B1684)</f>
        <v>12</v>
      </c>
      <c r="D1684" s="9">
        <f>getApertureStart('RawData (GH)'!C1684)</f>
        <v>2</v>
      </c>
      <c r="E1684" s="9">
        <f>getApertureEnd('RawData (GH)'!C1684)</f>
        <v>2</v>
      </c>
      <c r="F1684" s="2">
        <f>getFiltersizeAsDouble('RawData (GH)'!D1684)</f>
        <v>67</v>
      </c>
      <c r="G1684" s="35">
        <f>getMagnification('RawData (GH)'!E1684)</f>
        <v>0</v>
      </c>
      <c r="H1684" s="62">
        <f>getMinimalFocus('RawData (GH)'!F1684)</f>
        <v>0</v>
      </c>
      <c r="I1684" t="str">
        <f>getMount('RawData (GH)'!G1684)</f>
        <v>Sony E</v>
      </c>
      <c r="J1684" t="str">
        <f>getSensorCompatibility('RawData (GH)'!H1684)</f>
        <v>APS-C</v>
      </c>
      <c r="K1684" s="45">
        <f>getWeightAsDouble('RawData (GH)'!I1684)</f>
        <v>260</v>
      </c>
      <c r="L1684" s="34">
        <f>getSizeDiameter('RawData (GH)'!J1684)</f>
        <v>72.5</v>
      </c>
      <c r="M1684" s="34">
        <f>getSizeLength('RawData (GH)'!J1684)</f>
        <v>59</v>
      </c>
    </row>
    <row r="1685" spans="1:13" x14ac:dyDescent="0.25">
      <c r="A1685" t="str">
        <f>'RawData (GH)'!A1685</f>
        <v>Walimex Pro 12mm 2.2 VCSC für Canon EF-M schwarz</v>
      </c>
      <c r="B1685" s="5">
        <f>getFocalLengthStart('RawData (GH)'!B1685)</f>
        <v>12</v>
      </c>
      <c r="C1685" s="5">
        <f>getFocalLengthEnd('RawData (GH)'!B1685)</f>
        <v>12</v>
      </c>
      <c r="D1685" s="9">
        <f>getApertureStart('RawData (GH)'!C1685)</f>
        <v>2.2000000000000002</v>
      </c>
      <c r="E1685" s="9">
        <f>getApertureEnd('RawData (GH)'!C1685)</f>
        <v>2.2000000000000002</v>
      </c>
      <c r="F1685" s="2">
        <f>getFiltersizeAsDouble('RawData (GH)'!D1685)</f>
        <v>67</v>
      </c>
      <c r="G1685" s="35">
        <f>getMagnification('RawData (GH)'!E1685)</f>
        <v>0</v>
      </c>
      <c r="H1685" s="62">
        <f>getMinimalFocus('RawData (GH)'!F1685)</f>
        <v>0</v>
      </c>
      <c r="I1685" t="str">
        <f>getMount('RawData (GH)'!G1685)</f>
        <v>Canon EF-M</v>
      </c>
      <c r="J1685" t="str">
        <f>getSensorCompatibility('RawData (GH)'!H1685)</f>
        <v>APS-C</v>
      </c>
      <c r="K1685" s="45">
        <f>getWeightAsDouble('RawData (GH)'!I1685)</f>
        <v>265</v>
      </c>
      <c r="L1685" s="34">
        <f>getSizeDiameter('RawData (GH)'!J1685)</f>
        <v>73.599999999999994</v>
      </c>
      <c r="M1685" s="34">
        <f>getSizeLength('RawData (GH)'!J1685)</f>
        <v>59</v>
      </c>
    </row>
    <row r="1686" spans="1:13" x14ac:dyDescent="0.25">
      <c r="A1686" t="str">
        <f>'RawData (GH)'!A1686</f>
        <v>Walimex Pro 12mm 2.2 VCSC für Fujifilm X schwarz</v>
      </c>
      <c r="B1686" s="5">
        <f>getFocalLengthStart('RawData (GH)'!B1686)</f>
        <v>12</v>
      </c>
      <c r="C1686" s="5">
        <f>getFocalLengthEnd('RawData (GH)'!B1686)</f>
        <v>12</v>
      </c>
      <c r="D1686" s="9">
        <f>getApertureStart('RawData (GH)'!C1686)</f>
        <v>2.2000000000000002</v>
      </c>
      <c r="E1686" s="9">
        <f>getApertureEnd('RawData (GH)'!C1686)</f>
        <v>2.2000000000000002</v>
      </c>
      <c r="F1686" s="2">
        <f>getFiltersizeAsDouble('RawData (GH)'!D1686)</f>
        <v>67</v>
      </c>
      <c r="G1686" s="35">
        <f>getMagnification('RawData (GH)'!E1686)</f>
        <v>0</v>
      </c>
      <c r="H1686" s="62">
        <f>getMinimalFocus('RawData (GH)'!F1686)</f>
        <v>0</v>
      </c>
      <c r="I1686" t="str">
        <f>getMount('RawData (GH)'!G1686)</f>
        <v>Fujifilm X</v>
      </c>
      <c r="J1686" t="str">
        <f>getSensorCompatibility('RawData (GH)'!H1686)</f>
        <v>Four-Thirds</v>
      </c>
      <c r="K1686" s="45">
        <f>getWeightAsDouble('RawData (GH)'!I1686)</f>
        <v>265</v>
      </c>
      <c r="L1686" s="34">
        <f>getSizeDiameter('RawData (GH)'!J1686)</f>
        <v>73.599999999999994</v>
      </c>
      <c r="M1686" s="34">
        <f>getSizeLength('RawData (GH)'!J1686)</f>
        <v>59</v>
      </c>
    </row>
    <row r="1687" spans="1:13" x14ac:dyDescent="0.25">
      <c r="A1687" t="str">
        <f>'RawData (GH)'!A1687</f>
        <v>Walimex Pro 12mm 2.2 VCSC für Micro-Four-Thirds schwarz</v>
      </c>
      <c r="B1687" s="5">
        <f>getFocalLengthStart('RawData (GH)'!B1687)</f>
        <v>12</v>
      </c>
      <c r="C1687" s="5">
        <f>getFocalLengthEnd('RawData (GH)'!B1687)</f>
        <v>12</v>
      </c>
      <c r="D1687" s="9">
        <f>getApertureStart('RawData (GH)'!C1687)</f>
        <v>2.2000000000000002</v>
      </c>
      <c r="E1687" s="9">
        <f>getApertureEnd('RawData (GH)'!C1687)</f>
        <v>2.2000000000000002</v>
      </c>
      <c r="F1687" s="2">
        <f>getFiltersizeAsDouble('RawData (GH)'!D1687)</f>
        <v>67</v>
      </c>
      <c r="G1687" s="35">
        <f>getMagnification('RawData (GH)'!E1687)</f>
        <v>0</v>
      </c>
      <c r="H1687" s="62">
        <f>getMinimalFocus('RawData (GH)'!F1687)</f>
        <v>0</v>
      </c>
      <c r="I1687" t="str">
        <f>getMount('RawData (GH)'!G1687)</f>
        <v>Micro-Four-Thirds</v>
      </c>
      <c r="J1687" t="str">
        <f>getSensorCompatibility('RawData (GH)'!H1687)</f>
        <v>Four-Thirds</v>
      </c>
      <c r="K1687" s="45">
        <f>getWeightAsDouble('RawData (GH)'!I1687)</f>
        <v>265</v>
      </c>
      <c r="L1687" s="34">
        <f>getSizeDiameter('RawData (GH)'!J1687)</f>
        <v>73.599999999999994</v>
      </c>
      <c r="M1687" s="34">
        <f>getSizeLength('RawData (GH)'!J1687)</f>
        <v>59</v>
      </c>
    </row>
    <row r="1688" spans="1:13" x14ac:dyDescent="0.25">
      <c r="A1688" t="str">
        <f>'RawData (GH)'!A1688</f>
        <v>Walimex Pro 12mm 2.2 VCSC für Samsung NX schwarz</v>
      </c>
      <c r="B1688" s="5">
        <f>getFocalLengthStart('RawData (GH)'!B1688)</f>
        <v>12</v>
      </c>
      <c r="C1688" s="5">
        <f>getFocalLengthEnd('RawData (GH)'!B1688)</f>
        <v>12</v>
      </c>
      <c r="D1688" s="9">
        <f>getApertureStart('RawData (GH)'!C1688)</f>
        <v>2.2000000000000002</v>
      </c>
      <c r="E1688" s="9">
        <f>getApertureEnd('RawData (GH)'!C1688)</f>
        <v>2.2000000000000002</v>
      </c>
      <c r="F1688" s="2">
        <f>getFiltersizeAsDouble('RawData (GH)'!D1688)</f>
        <v>67</v>
      </c>
      <c r="G1688" s="35">
        <f>getMagnification('RawData (GH)'!E1688)</f>
        <v>0</v>
      </c>
      <c r="H1688" s="62">
        <f>getMinimalFocus('RawData (GH)'!F1688)</f>
        <v>0</v>
      </c>
      <c r="I1688" t="str">
        <f>getMount('RawData (GH)'!G1688)</f>
        <v>Samsung NX</v>
      </c>
      <c r="J1688" t="str">
        <f>getSensorCompatibility('RawData (GH)'!H1688)</f>
        <v>Four-Thirds</v>
      </c>
      <c r="K1688" s="45">
        <f>getWeightAsDouble('RawData (GH)'!I1688)</f>
        <v>265</v>
      </c>
      <c r="L1688" s="34">
        <f>getSizeDiameter('RawData (GH)'!J1688)</f>
        <v>73.599999999999994</v>
      </c>
      <c r="M1688" s="34">
        <f>getSizeLength('RawData (GH)'!J1688)</f>
        <v>59</v>
      </c>
    </row>
    <row r="1689" spans="1:13" x14ac:dyDescent="0.25">
      <c r="A1689" t="str">
        <f>'RawData (GH)'!A1689</f>
        <v>Walimex Pro 12mm 2.2 VCSC für Sony E schwarz</v>
      </c>
      <c r="B1689" s="5">
        <f>getFocalLengthStart('RawData (GH)'!B1689)</f>
        <v>12</v>
      </c>
      <c r="C1689" s="5">
        <f>getFocalLengthEnd('RawData (GH)'!B1689)</f>
        <v>12</v>
      </c>
      <c r="D1689" s="9">
        <f>getApertureStart('RawData (GH)'!C1689)</f>
        <v>2.2000000000000002</v>
      </c>
      <c r="E1689" s="9">
        <f>getApertureEnd('RawData (GH)'!C1689)</f>
        <v>2.2000000000000002</v>
      </c>
      <c r="F1689" s="2">
        <f>getFiltersizeAsDouble('RawData (GH)'!D1689)</f>
        <v>67</v>
      </c>
      <c r="G1689" s="35">
        <f>getMagnification('RawData (GH)'!E1689)</f>
        <v>0</v>
      </c>
      <c r="H1689" s="62">
        <f>getMinimalFocus('RawData (GH)'!F1689)</f>
        <v>0</v>
      </c>
      <c r="I1689" t="str">
        <f>getMount('RawData (GH)'!G1689)</f>
        <v>Sony E</v>
      </c>
      <c r="J1689" t="str">
        <f>getSensorCompatibility('RawData (GH)'!H1689)</f>
        <v>APS-C</v>
      </c>
      <c r="K1689" s="45">
        <f>getWeightAsDouble('RawData (GH)'!I1689)</f>
        <v>265</v>
      </c>
      <c r="L1689" s="34">
        <f>getSizeDiameter('RawData (GH)'!J1689)</f>
        <v>73.599999999999994</v>
      </c>
      <c r="M1689" s="34">
        <f>getSizeLength('RawData (GH)'!J1689)</f>
        <v>59</v>
      </c>
    </row>
    <row r="1690" spans="1:13" x14ac:dyDescent="0.25">
      <c r="A1690" t="str">
        <f>'RawData (GH)'!A1690</f>
        <v>Walimex Pro 12mm 2.8 Fisheye CSC für Fujifilm X schwarz</v>
      </c>
      <c r="B1690" s="5">
        <f>getFocalLengthStart('RawData (GH)'!B1690)</f>
        <v>12</v>
      </c>
      <c r="C1690" s="5">
        <f>getFocalLengthEnd('RawData (GH)'!B1690)</f>
        <v>12</v>
      </c>
      <c r="D1690" s="9">
        <f>getApertureStart('RawData (GH)'!C1690)</f>
        <v>2.8</v>
      </c>
      <c r="E1690" s="9">
        <f>getApertureEnd('RawData (GH)'!C1690)</f>
        <v>2.8</v>
      </c>
      <c r="F1690" s="2">
        <f>getFiltersizeAsDouble('RawData (GH)'!D1690)</f>
        <v>0</v>
      </c>
      <c r="G1690" s="35">
        <f>getMagnification('RawData (GH)'!E1690)</f>
        <v>0</v>
      </c>
      <c r="H1690" s="62">
        <f>getMinimalFocus('RawData (GH)'!F1690)</f>
        <v>0</v>
      </c>
      <c r="I1690" t="str">
        <f>getMount('RawData (GH)'!G1690)</f>
        <v>Fujifilm X</v>
      </c>
      <c r="J1690" t="str">
        <f>getSensorCompatibility('RawData (GH)'!H1690)</f>
        <v>APS-C/ Kleinbild</v>
      </c>
      <c r="K1690" s="45">
        <f>getWeightAsDouble('RawData (GH)'!I1690)</f>
        <v>576</v>
      </c>
      <c r="L1690" s="34">
        <f>getSizeDiameter('RawData (GH)'!J1690)</f>
        <v>86</v>
      </c>
      <c r="M1690" s="34">
        <f>getSizeLength('RawData (GH)'!J1690)</f>
        <v>98</v>
      </c>
    </row>
    <row r="1691" spans="1:13" x14ac:dyDescent="0.25">
      <c r="A1691" t="str">
        <f>'RawData (GH)'!A1691</f>
        <v>Walimex Pro 12mm 2.8 Fisheye CSC für Sony E schwarz</v>
      </c>
      <c r="B1691" s="5">
        <f>getFocalLengthStart('RawData (GH)'!B1691)</f>
        <v>12</v>
      </c>
      <c r="C1691" s="5">
        <f>getFocalLengthEnd('RawData (GH)'!B1691)</f>
        <v>12</v>
      </c>
      <c r="D1691" s="9">
        <f>getApertureStart('RawData (GH)'!C1691)</f>
        <v>2.8</v>
      </c>
      <c r="E1691" s="9">
        <f>getApertureEnd('RawData (GH)'!C1691)</f>
        <v>2.8</v>
      </c>
      <c r="F1691" s="2">
        <f>getFiltersizeAsDouble('RawData (GH)'!D1691)</f>
        <v>0</v>
      </c>
      <c r="G1691" s="35">
        <f>getMagnification('RawData (GH)'!E1691)</f>
        <v>0</v>
      </c>
      <c r="H1691" s="62">
        <f>getMinimalFocus('RawData (GH)'!F1691)</f>
        <v>0</v>
      </c>
      <c r="I1691" t="str">
        <f>getMount('RawData (GH)'!G1691)</f>
        <v>Sony E</v>
      </c>
      <c r="J1691" t="str">
        <f>getSensorCompatibility('RawData (GH)'!H1691)</f>
        <v>APS-C/ Kleinbild</v>
      </c>
      <c r="K1691" s="45">
        <f>getWeightAsDouble('RawData (GH)'!I1691)</f>
        <v>528</v>
      </c>
      <c r="L1691" s="34">
        <f>getSizeDiameter('RawData (GH)'!J1691)</f>
        <v>77.3</v>
      </c>
      <c r="M1691" s="34">
        <f>getSizeLength('RawData (GH)'!J1691)</f>
        <v>98</v>
      </c>
    </row>
    <row r="1692" spans="1:13" x14ac:dyDescent="0.25">
      <c r="A1692" t="str">
        <f>'RawData (GH)'!A1692</f>
        <v>Walimex Pro 12mm 2.8 Fisheye DSLR für Canon EF schwarz</v>
      </c>
      <c r="B1692" s="5">
        <f>getFocalLengthStart('RawData (GH)'!B1692)</f>
        <v>12</v>
      </c>
      <c r="C1692" s="5">
        <f>getFocalLengthEnd('RawData (GH)'!B1692)</f>
        <v>12</v>
      </c>
      <c r="D1692" s="9">
        <f>getApertureStart('RawData (GH)'!C1692)</f>
        <v>2.8</v>
      </c>
      <c r="E1692" s="9">
        <f>getApertureEnd('RawData (GH)'!C1692)</f>
        <v>2.8</v>
      </c>
      <c r="F1692" s="2">
        <f>getFiltersizeAsDouble('RawData (GH)'!D1692)</f>
        <v>0</v>
      </c>
      <c r="G1692" s="35">
        <f>getMagnification('RawData (GH)'!E1692)</f>
        <v>0</v>
      </c>
      <c r="H1692" s="62">
        <f>getMinimalFocus('RawData (GH)'!F1692)</f>
        <v>0</v>
      </c>
      <c r="I1692" t="str">
        <f>getMount('RawData (GH)'!G1692)</f>
        <v>Canon EF</v>
      </c>
      <c r="J1692" t="str">
        <f>getSensorCompatibility('RawData (GH)'!H1692)</f>
        <v>APS-C/ Kleinbild</v>
      </c>
      <c r="K1692" s="45">
        <f>getWeightAsDouble('RawData (GH)'!I1692)</f>
        <v>565</v>
      </c>
      <c r="L1692" s="34">
        <f>getSizeDiameter('RawData (GH)'!J1692)</f>
        <v>72</v>
      </c>
      <c r="M1692" s="34">
        <f>getSizeLength('RawData (GH)'!J1692)</f>
        <v>98</v>
      </c>
    </row>
    <row r="1693" spans="1:13" x14ac:dyDescent="0.25">
      <c r="A1693" t="str">
        <f>'RawData (GH)'!A1693</f>
        <v>Walimex Pro 12mm 2.8 Fisheye DSLR für Canon EF-M schwarz</v>
      </c>
      <c r="B1693" s="5">
        <f>getFocalLengthStart('RawData (GH)'!B1693)</f>
        <v>12</v>
      </c>
      <c r="C1693" s="5">
        <f>getFocalLengthEnd('RawData (GH)'!B1693)</f>
        <v>12</v>
      </c>
      <c r="D1693" s="9">
        <f>getApertureStart('RawData (GH)'!C1693)</f>
        <v>2.8</v>
      </c>
      <c r="E1693" s="9">
        <f>getApertureEnd('RawData (GH)'!C1693)</f>
        <v>2.8</v>
      </c>
      <c r="F1693" s="2">
        <f>getFiltersizeAsDouble('RawData (GH)'!D1693)</f>
        <v>0</v>
      </c>
      <c r="G1693" s="35">
        <f>getMagnification('RawData (GH)'!E1693)</f>
        <v>0</v>
      </c>
      <c r="H1693" s="62">
        <f>getMinimalFocus('RawData (GH)'!F1693)</f>
        <v>0</v>
      </c>
      <c r="I1693" t="str">
        <f>getMount('RawData (GH)'!G1693)</f>
        <v>Canon EF-M</v>
      </c>
      <c r="J1693" t="str">
        <f>getSensorCompatibility('RawData (GH)'!H1693)</f>
        <v>APS-C/ Kleinbild</v>
      </c>
      <c r="K1693" s="45">
        <f>getWeightAsDouble('RawData (GH)'!I1693)</f>
        <v>576</v>
      </c>
      <c r="L1693" s="34">
        <f>getSizeDiameter('RawData (GH)'!J1693)</f>
        <v>86</v>
      </c>
      <c r="M1693" s="34">
        <f>getSizeLength('RawData (GH)'!J1693)</f>
        <v>108</v>
      </c>
    </row>
    <row r="1694" spans="1:13" x14ac:dyDescent="0.25">
      <c r="A1694" t="str">
        <f>'RawData (GH)'!A1694</f>
        <v>Walimex Pro 12mm 2.8 Fisheye DSLR für Four-Thirds schwarz</v>
      </c>
      <c r="B1694" s="5">
        <f>getFocalLengthStart('RawData (GH)'!B1694)</f>
        <v>12</v>
      </c>
      <c r="C1694" s="5">
        <f>getFocalLengthEnd('RawData (GH)'!B1694)</f>
        <v>12</v>
      </c>
      <c r="D1694" s="9">
        <f>getApertureStart('RawData (GH)'!C1694)</f>
        <v>2.8</v>
      </c>
      <c r="E1694" s="9">
        <f>getApertureEnd('RawData (GH)'!C1694)</f>
        <v>2.8</v>
      </c>
      <c r="F1694" s="2">
        <f>getFiltersizeAsDouble('RawData (GH)'!D1694)</f>
        <v>0</v>
      </c>
      <c r="G1694" s="35">
        <f>getMagnification('RawData (GH)'!E1694)</f>
        <v>0</v>
      </c>
      <c r="H1694" s="62">
        <f>getMinimalFocus('RawData (GH)'!F1694)</f>
        <v>0</v>
      </c>
      <c r="I1694" t="str">
        <f>getMount('RawData (GH)'!G1694)</f>
        <v>Four-Thirds</v>
      </c>
      <c r="J1694" t="str">
        <f>getSensorCompatibility('RawData (GH)'!H1694)</f>
        <v>APS-C/ Kleinbild</v>
      </c>
      <c r="K1694" s="45">
        <f>getWeightAsDouble('RawData (GH)'!I1694)</f>
        <v>565</v>
      </c>
      <c r="L1694" s="34">
        <f>getSizeDiameter('RawData (GH)'!J1694)</f>
        <v>72</v>
      </c>
      <c r="M1694" s="34">
        <f>getSizeLength('RawData (GH)'!J1694)</f>
        <v>98</v>
      </c>
    </row>
    <row r="1695" spans="1:13" x14ac:dyDescent="0.25">
      <c r="A1695" t="str">
        <f>'RawData (GH)'!A1695</f>
        <v>Walimex Pro 12mm 2.8 Fisheye DSLR für Micro-Four-Thirds schwarz</v>
      </c>
      <c r="B1695" s="5">
        <f>getFocalLengthStart('RawData (GH)'!B1695)</f>
        <v>12</v>
      </c>
      <c r="C1695" s="5">
        <f>getFocalLengthEnd('RawData (GH)'!B1695)</f>
        <v>12</v>
      </c>
      <c r="D1695" s="9">
        <f>getApertureStart('RawData (GH)'!C1695)</f>
        <v>2.8</v>
      </c>
      <c r="E1695" s="9">
        <f>getApertureEnd('RawData (GH)'!C1695)</f>
        <v>2.8</v>
      </c>
      <c r="F1695" s="2">
        <f>getFiltersizeAsDouble('RawData (GH)'!D1695)</f>
        <v>0</v>
      </c>
      <c r="G1695" s="35">
        <f>getMagnification('RawData (GH)'!E1695)</f>
        <v>0</v>
      </c>
      <c r="H1695" s="62">
        <f>getMinimalFocus('RawData (GH)'!F1695)</f>
        <v>0</v>
      </c>
      <c r="I1695" t="str">
        <f>getMount('RawData (GH)'!G1695)</f>
        <v>Micro-Four-Thirds</v>
      </c>
      <c r="J1695" t="str">
        <f>getSensorCompatibility('RawData (GH)'!H1695)</f>
        <v>APS-C/ Kleinbild</v>
      </c>
      <c r="K1695" s="45">
        <f>getWeightAsDouble('RawData (GH)'!I1695)</f>
        <v>565</v>
      </c>
      <c r="L1695" s="34">
        <f>getSizeDiameter('RawData (GH)'!J1695)</f>
        <v>72</v>
      </c>
      <c r="M1695" s="34">
        <f>getSizeLength('RawData (GH)'!J1695)</f>
        <v>98</v>
      </c>
    </row>
    <row r="1696" spans="1:13" x14ac:dyDescent="0.25">
      <c r="A1696" t="str">
        <f>'RawData (GH)'!A1696</f>
        <v>Walimex Pro 12mm 2.8 Fisheye DSLR für Nikon F schwarz</v>
      </c>
      <c r="B1696" s="5">
        <f>getFocalLengthStart('RawData (GH)'!B1696)</f>
        <v>12</v>
      </c>
      <c r="C1696" s="5">
        <f>getFocalLengthEnd('RawData (GH)'!B1696)</f>
        <v>12</v>
      </c>
      <c r="D1696" s="9">
        <f>getApertureStart('RawData (GH)'!C1696)</f>
        <v>2.8</v>
      </c>
      <c r="E1696" s="9">
        <f>getApertureEnd('RawData (GH)'!C1696)</f>
        <v>2.8</v>
      </c>
      <c r="F1696" s="2">
        <f>getFiltersizeAsDouble('RawData (GH)'!D1696)</f>
        <v>0</v>
      </c>
      <c r="G1696" s="35">
        <f>getMagnification('RawData (GH)'!E1696)</f>
        <v>0</v>
      </c>
      <c r="H1696" s="62">
        <f>getMinimalFocus('RawData (GH)'!F1696)</f>
        <v>0</v>
      </c>
      <c r="I1696" t="str">
        <f>getMount('RawData (GH)'!G1696)</f>
        <v>Nikon F</v>
      </c>
      <c r="J1696" t="str">
        <f>getSensorCompatibility('RawData (GH)'!H1696)</f>
        <v>APS-C/ Kleinbild</v>
      </c>
      <c r="K1696" s="45">
        <f>getWeightAsDouble('RawData (GH)'!I1696)</f>
        <v>565</v>
      </c>
      <c r="L1696" s="34">
        <f>getSizeDiameter('RawData (GH)'!J1696)</f>
        <v>72</v>
      </c>
      <c r="M1696" s="34">
        <f>getSizeLength('RawData (GH)'!J1696)</f>
        <v>98</v>
      </c>
    </row>
    <row r="1697" spans="1:13" x14ac:dyDescent="0.25">
      <c r="A1697" t="str">
        <f>'RawData (GH)'!A1697</f>
        <v>Walimex Pro 12mm 2.8 Fisheye DSLR für Pentax K schwarz</v>
      </c>
      <c r="B1697" s="5">
        <f>getFocalLengthStart('RawData (GH)'!B1697)</f>
        <v>12</v>
      </c>
      <c r="C1697" s="5">
        <f>getFocalLengthEnd('RawData (GH)'!B1697)</f>
        <v>12</v>
      </c>
      <c r="D1697" s="9">
        <f>getApertureStart('RawData (GH)'!C1697)</f>
        <v>2.8</v>
      </c>
      <c r="E1697" s="9">
        <f>getApertureEnd('RawData (GH)'!C1697)</f>
        <v>2.8</v>
      </c>
      <c r="F1697" s="2">
        <f>getFiltersizeAsDouble('RawData (GH)'!D1697)</f>
        <v>0</v>
      </c>
      <c r="G1697" s="35">
        <f>getMagnification('RawData (GH)'!E1697)</f>
        <v>0</v>
      </c>
      <c r="H1697" s="62">
        <f>getMinimalFocus('RawData (GH)'!F1697)</f>
        <v>0</v>
      </c>
      <c r="I1697" t="str">
        <f>getMount('RawData (GH)'!G1697)</f>
        <v>Pentax K</v>
      </c>
      <c r="J1697" t="str">
        <f>getSensorCompatibility('RawData (GH)'!H1697)</f>
        <v>APS-C/ Kleinbild</v>
      </c>
      <c r="K1697" s="45">
        <f>getWeightAsDouble('RawData (GH)'!I1697)</f>
        <v>565</v>
      </c>
      <c r="L1697" s="34">
        <f>getSizeDiameter('RawData (GH)'!J1697)</f>
        <v>72</v>
      </c>
      <c r="M1697" s="34">
        <f>getSizeLength('RawData (GH)'!J1697)</f>
        <v>98</v>
      </c>
    </row>
    <row r="1698" spans="1:13" x14ac:dyDescent="0.25">
      <c r="A1698" t="str">
        <f>'RawData (GH)'!A1698</f>
        <v>Walimex Pro 12mm 2.8 Fisheye DSLR für Samsung NX schwarz</v>
      </c>
      <c r="B1698" s="5">
        <f>getFocalLengthStart('RawData (GH)'!B1698)</f>
        <v>12</v>
      </c>
      <c r="C1698" s="5">
        <f>getFocalLengthEnd('RawData (GH)'!B1698)</f>
        <v>12</v>
      </c>
      <c r="D1698" s="9">
        <f>getApertureStart('RawData (GH)'!C1698)</f>
        <v>2.8</v>
      </c>
      <c r="E1698" s="9">
        <f>getApertureEnd('RawData (GH)'!C1698)</f>
        <v>2.8</v>
      </c>
      <c r="F1698" s="2">
        <f>getFiltersizeAsDouble('RawData (GH)'!D1698)</f>
        <v>0</v>
      </c>
      <c r="G1698" s="35">
        <f>getMagnification('RawData (GH)'!E1698)</f>
        <v>0</v>
      </c>
      <c r="H1698" s="62">
        <f>getMinimalFocus('RawData (GH)'!F1698)</f>
        <v>0</v>
      </c>
      <c r="I1698" t="str">
        <f>getMount('RawData (GH)'!G1698)</f>
        <v>Samsung NX</v>
      </c>
      <c r="J1698" t="str">
        <f>getSensorCompatibility('RawData (GH)'!H1698)</f>
        <v>APS-C/ Kleinbild</v>
      </c>
      <c r="K1698" s="45">
        <f>getWeightAsDouble('RawData (GH)'!I1698)</f>
        <v>565</v>
      </c>
      <c r="L1698" s="34">
        <f>getSizeDiameter('RawData (GH)'!J1698)</f>
        <v>72</v>
      </c>
      <c r="M1698" s="34">
        <f>getSizeLength('RawData (GH)'!J1698)</f>
        <v>98</v>
      </c>
    </row>
    <row r="1699" spans="1:13" x14ac:dyDescent="0.25">
      <c r="A1699" t="str">
        <f>'RawData (GH)'!A1699</f>
        <v>Walimex Pro 12mm 2.8 Fisheye DSLR für Sony A schwarz</v>
      </c>
      <c r="B1699" s="5">
        <f>getFocalLengthStart('RawData (GH)'!B1699)</f>
        <v>12</v>
      </c>
      <c r="C1699" s="5">
        <f>getFocalLengthEnd('RawData (GH)'!B1699)</f>
        <v>12</v>
      </c>
      <c r="D1699" s="9">
        <f>getApertureStart('RawData (GH)'!C1699)</f>
        <v>2.8</v>
      </c>
      <c r="E1699" s="9">
        <f>getApertureEnd('RawData (GH)'!C1699)</f>
        <v>2.8</v>
      </c>
      <c r="F1699" s="2">
        <f>getFiltersizeAsDouble('RawData (GH)'!D1699)</f>
        <v>0</v>
      </c>
      <c r="G1699" s="35">
        <f>getMagnification('RawData (GH)'!E1699)</f>
        <v>0</v>
      </c>
      <c r="H1699" s="62">
        <f>getMinimalFocus('RawData (GH)'!F1699)</f>
        <v>0</v>
      </c>
      <c r="I1699" t="str">
        <f>getMount('RawData (GH)'!G1699)</f>
        <v>Sony A</v>
      </c>
      <c r="J1699" t="str">
        <f>getSensorCompatibility('RawData (GH)'!H1699)</f>
        <v>APS-C/ Kleinbild</v>
      </c>
      <c r="K1699" s="45">
        <f>getWeightAsDouble('RawData (GH)'!I1699)</f>
        <v>565</v>
      </c>
      <c r="L1699" s="34">
        <f>getSizeDiameter('RawData (GH)'!J1699)</f>
        <v>72</v>
      </c>
      <c r="M1699" s="34">
        <f>getSizeLength('RawData (GH)'!J1699)</f>
        <v>98</v>
      </c>
    </row>
    <row r="1700" spans="1:13" x14ac:dyDescent="0.25">
      <c r="A1700" t="str">
        <f>'RawData (GH)'!A1700</f>
        <v>Walimex Pro 12mm 3.1 Fisheye VDSLR für Canon EF schwarz</v>
      </c>
      <c r="B1700" s="5">
        <f>getFocalLengthStart('RawData (GH)'!B1700)</f>
        <v>12</v>
      </c>
      <c r="C1700" s="5">
        <f>getFocalLengthEnd('RawData (GH)'!B1700)</f>
        <v>12</v>
      </c>
      <c r="D1700" s="9">
        <f>getApertureStart('RawData (GH)'!C1700)</f>
        <v>3.1</v>
      </c>
      <c r="E1700" s="9">
        <f>getApertureEnd('RawData (GH)'!C1700)</f>
        <v>3.1</v>
      </c>
      <c r="F1700" s="2">
        <f>getFiltersizeAsDouble('RawData (GH)'!D1700)</f>
        <v>0</v>
      </c>
      <c r="G1700" s="35">
        <f>getMagnification('RawData (GH)'!E1700)</f>
        <v>0</v>
      </c>
      <c r="H1700" s="62">
        <f>getMinimalFocus('RawData (GH)'!F1700)</f>
        <v>0</v>
      </c>
      <c r="I1700" t="str">
        <f>getMount('RawData (GH)'!G1700)</f>
        <v>Canon EF</v>
      </c>
      <c r="J1700" t="str">
        <f>getSensorCompatibility('RawData (GH)'!H1700)</f>
        <v>APS-C</v>
      </c>
      <c r="K1700" s="45">
        <f>getWeightAsDouble('RawData (GH)'!I1700)</f>
        <v>565</v>
      </c>
      <c r="L1700" s="34">
        <f>getSizeDiameter('RawData (GH)'!J1700)</f>
        <v>72</v>
      </c>
      <c r="M1700" s="34">
        <f>getSizeLength('RawData (GH)'!J1700)</f>
        <v>98</v>
      </c>
    </row>
    <row r="1701" spans="1:13" x14ac:dyDescent="0.25">
      <c r="A1701" t="str">
        <f>'RawData (GH)'!A1701</f>
        <v>Walimex Pro 12mm 3.1 Fisheye VDSLR für Nikon F schwarz</v>
      </c>
      <c r="B1701" s="5">
        <f>getFocalLengthStart('RawData (GH)'!B1701)</f>
        <v>12</v>
      </c>
      <c r="C1701" s="5">
        <f>getFocalLengthEnd('RawData (GH)'!B1701)</f>
        <v>12</v>
      </c>
      <c r="D1701" s="9">
        <f>getApertureStart('RawData (GH)'!C1701)</f>
        <v>3.1</v>
      </c>
      <c r="E1701" s="9">
        <f>getApertureEnd('RawData (GH)'!C1701)</f>
        <v>3.1</v>
      </c>
      <c r="F1701" s="2">
        <f>getFiltersizeAsDouble('RawData (GH)'!D1701)</f>
        <v>0</v>
      </c>
      <c r="G1701" s="35">
        <f>getMagnification('RawData (GH)'!E1701)</f>
        <v>0</v>
      </c>
      <c r="H1701" s="62">
        <f>getMinimalFocus('RawData (GH)'!F1701)</f>
        <v>0</v>
      </c>
      <c r="I1701" t="str">
        <f>getMount('RawData (GH)'!G1701)</f>
        <v>Nikon F</v>
      </c>
      <c r="J1701" t="str">
        <f>getSensorCompatibility('RawData (GH)'!H1701)</f>
        <v>APS-C</v>
      </c>
      <c r="K1701" s="45">
        <f>getWeightAsDouble('RawData (GH)'!I1701)</f>
        <v>565</v>
      </c>
      <c r="L1701" s="34">
        <f>getSizeDiameter('RawData (GH)'!J1701)</f>
        <v>72</v>
      </c>
      <c r="M1701" s="34">
        <f>getSizeLength('RawData (GH)'!J1701)</f>
        <v>98</v>
      </c>
    </row>
    <row r="1702" spans="1:13" x14ac:dyDescent="0.25">
      <c r="A1702" t="str">
        <f>'RawData (GH)'!A1702</f>
        <v>Walimex Pro 12mm 3.1 Fisheye VDSLR für Samsung NX schwarz</v>
      </c>
      <c r="B1702" s="5">
        <f>getFocalLengthStart('RawData (GH)'!B1702)</f>
        <v>12</v>
      </c>
      <c r="C1702" s="5">
        <f>getFocalLengthEnd('RawData (GH)'!B1702)</f>
        <v>12</v>
      </c>
      <c r="D1702" s="9">
        <f>getApertureStart('RawData (GH)'!C1702)</f>
        <v>3.1</v>
      </c>
      <c r="E1702" s="9">
        <f>getApertureEnd('RawData (GH)'!C1702)</f>
        <v>3.1</v>
      </c>
      <c r="F1702" s="2">
        <f>getFiltersizeAsDouble('RawData (GH)'!D1702)</f>
        <v>0</v>
      </c>
      <c r="G1702" s="35">
        <f>getMagnification('RawData (GH)'!E1702)</f>
        <v>0</v>
      </c>
      <c r="H1702" s="62">
        <f>getMinimalFocus('RawData (GH)'!F1702)</f>
        <v>0</v>
      </c>
      <c r="I1702" t="str">
        <f>getMount('RawData (GH)'!G1702)</f>
        <v>Samsung NX</v>
      </c>
      <c r="J1702" t="str">
        <f>getSensorCompatibility('RawData (GH)'!H1702)</f>
        <v>APS-C</v>
      </c>
      <c r="K1702" s="45">
        <f>getWeightAsDouble('RawData (GH)'!I1702)</f>
        <v>565</v>
      </c>
      <c r="L1702" s="34">
        <f>getSizeDiameter('RawData (GH)'!J1702)</f>
        <v>72</v>
      </c>
      <c r="M1702" s="34">
        <f>getSizeLength('RawData (GH)'!J1702)</f>
        <v>98</v>
      </c>
    </row>
    <row r="1703" spans="1:13" x14ac:dyDescent="0.25">
      <c r="A1703" t="str">
        <f>'RawData (GH)'!A1703</f>
        <v>Walimex Pro 135mm 2.0 AE für Nikon F schwarz</v>
      </c>
      <c r="B1703" s="5">
        <f>getFocalLengthStart('RawData (GH)'!B1703)</f>
        <v>135</v>
      </c>
      <c r="C1703" s="5">
        <f>getFocalLengthEnd('RawData (GH)'!B1703)</f>
        <v>135</v>
      </c>
      <c r="D1703" s="9">
        <f>getApertureStart('RawData (GH)'!C1703)</f>
        <v>2</v>
      </c>
      <c r="E1703" s="9">
        <f>getApertureEnd('RawData (GH)'!C1703)</f>
        <v>2</v>
      </c>
      <c r="F1703" s="2">
        <f>getFiltersizeAsDouble('RawData (GH)'!D1703)</f>
        <v>77</v>
      </c>
      <c r="G1703" s="35">
        <f>getMagnification('RawData (GH)'!E1703)</f>
        <v>0</v>
      </c>
      <c r="H1703" s="62">
        <f>getMinimalFocus('RawData (GH)'!F1703)</f>
        <v>0</v>
      </c>
      <c r="I1703" t="str">
        <f>getMount('RawData (GH)'!G1703)</f>
        <v>Nikon F</v>
      </c>
      <c r="J1703" t="str">
        <f>getSensorCompatibility('RawData (GH)'!H1703)</f>
        <v>APS-C/ Kleinbild</v>
      </c>
      <c r="K1703" s="45">
        <f>getWeightAsDouble('RawData (GH)'!I1703)</f>
        <v>880</v>
      </c>
      <c r="L1703" s="34">
        <f>getSizeDiameter('RawData (GH)'!J1703)</f>
        <v>82</v>
      </c>
      <c r="M1703" s="34">
        <f>getSizeLength('RawData (GH)'!J1703)</f>
        <v>120</v>
      </c>
    </row>
    <row r="1704" spans="1:13" x14ac:dyDescent="0.25">
      <c r="A1704" t="str">
        <f>'RawData (GH)'!A1704</f>
        <v>Walimex Pro 135mm 2.0 für Canon EF schwarz</v>
      </c>
      <c r="B1704" s="5">
        <f>getFocalLengthStart('RawData (GH)'!B1704)</f>
        <v>135</v>
      </c>
      <c r="C1704" s="5">
        <f>getFocalLengthEnd('RawData (GH)'!B1704)</f>
        <v>135</v>
      </c>
      <c r="D1704" s="9">
        <f>getApertureStart('RawData (GH)'!C1704)</f>
        <v>2</v>
      </c>
      <c r="E1704" s="9">
        <f>getApertureEnd('RawData (GH)'!C1704)</f>
        <v>2</v>
      </c>
      <c r="F1704" s="2">
        <f>getFiltersizeAsDouble('RawData (GH)'!D1704)</f>
        <v>77</v>
      </c>
      <c r="G1704" s="35">
        <f>getMagnification('RawData (GH)'!E1704)</f>
        <v>0</v>
      </c>
      <c r="H1704" s="62">
        <f>getMinimalFocus('RawData (GH)'!F1704)</f>
        <v>0</v>
      </c>
      <c r="I1704" t="str">
        <f>getMount('RawData (GH)'!G1704)</f>
        <v>Canon EF</v>
      </c>
      <c r="J1704" t="str">
        <f>getSensorCompatibility('RawData (GH)'!H1704)</f>
        <v>APS-C/ Kleinbild</v>
      </c>
      <c r="K1704" s="45">
        <f>getWeightAsDouble('RawData (GH)'!I1704)</f>
        <v>915</v>
      </c>
      <c r="L1704" s="34">
        <f>getSizeDiameter('RawData (GH)'!J1704)</f>
        <v>82</v>
      </c>
      <c r="M1704" s="34">
        <f>getSizeLength('RawData (GH)'!J1704)</f>
        <v>120</v>
      </c>
    </row>
    <row r="1705" spans="1:13" x14ac:dyDescent="0.25">
      <c r="A1705" t="str">
        <f>'RawData (GH)'!A1705</f>
        <v>Walimex Pro 135mm 2.0 für Canon EF-M schwarz</v>
      </c>
      <c r="B1705" s="5">
        <f>getFocalLengthStart('RawData (GH)'!B1705)</f>
        <v>135</v>
      </c>
      <c r="C1705" s="5">
        <f>getFocalLengthEnd('RawData (GH)'!B1705)</f>
        <v>135</v>
      </c>
      <c r="D1705" s="9">
        <f>getApertureStart('RawData (GH)'!C1705)</f>
        <v>2</v>
      </c>
      <c r="E1705" s="9">
        <f>getApertureEnd('RawData (GH)'!C1705)</f>
        <v>2</v>
      </c>
      <c r="F1705" s="2">
        <f>getFiltersizeAsDouble('RawData (GH)'!D1705)</f>
        <v>77</v>
      </c>
      <c r="G1705" s="35">
        <f>getMagnification('RawData (GH)'!E1705)</f>
        <v>0</v>
      </c>
      <c r="H1705" s="62">
        <f>getMinimalFocus('RawData (GH)'!F1705)</f>
        <v>0</v>
      </c>
      <c r="I1705" t="str">
        <f>getMount('RawData (GH)'!G1705)</f>
        <v>Canon EF-M</v>
      </c>
      <c r="J1705" t="str">
        <f>getSensorCompatibility('RawData (GH)'!H1705)</f>
        <v>APS-C/ Kleinbild</v>
      </c>
      <c r="K1705" s="45">
        <f>getWeightAsDouble('RawData (GH)'!I1705)</f>
        <v>930</v>
      </c>
      <c r="L1705" s="34">
        <f>getSizeDiameter('RawData (GH)'!J1705)</f>
        <v>82</v>
      </c>
      <c r="M1705" s="34">
        <f>getSizeLength('RawData (GH)'!J1705)</f>
        <v>120</v>
      </c>
    </row>
    <row r="1706" spans="1:13" x14ac:dyDescent="0.25">
      <c r="A1706" t="str">
        <f>'RawData (GH)'!A1706</f>
        <v>Walimex Pro 135mm 2.0 für Micro-Four-Thirds schwarz</v>
      </c>
      <c r="B1706" s="5">
        <f>getFocalLengthStart('RawData (GH)'!B1706)</f>
        <v>135</v>
      </c>
      <c r="C1706" s="5">
        <f>getFocalLengthEnd('RawData (GH)'!B1706)</f>
        <v>135</v>
      </c>
      <c r="D1706" s="9">
        <f>getApertureStart('RawData (GH)'!C1706)</f>
        <v>2</v>
      </c>
      <c r="E1706" s="9">
        <f>getApertureEnd('RawData (GH)'!C1706)</f>
        <v>2</v>
      </c>
      <c r="F1706" s="2">
        <f>getFiltersizeAsDouble('RawData (GH)'!D1706)</f>
        <v>77</v>
      </c>
      <c r="G1706" s="35">
        <f>getMagnification('RawData (GH)'!E1706)</f>
        <v>0</v>
      </c>
      <c r="H1706" s="62">
        <f>getMinimalFocus('RawData (GH)'!F1706)</f>
        <v>0</v>
      </c>
      <c r="I1706" t="str">
        <f>getMount('RawData (GH)'!G1706)</f>
        <v>Micro-Four-Thirds</v>
      </c>
      <c r="J1706" t="str">
        <f>getSensorCompatibility('RawData (GH)'!H1706)</f>
        <v>APS-C/ Kleinbild</v>
      </c>
      <c r="K1706" s="45">
        <f>getWeightAsDouble('RawData (GH)'!I1706)</f>
        <v>928</v>
      </c>
      <c r="L1706" s="34">
        <f>getSizeDiameter('RawData (GH)'!J1706)</f>
        <v>82</v>
      </c>
      <c r="M1706" s="34">
        <f>getSizeLength('RawData (GH)'!J1706)</f>
        <v>120</v>
      </c>
    </row>
    <row r="1707" spans="1:13" x14ac:dyDescent="0.25">
      <c r="A1707" t="str">
        <f>'RawData (GH)'!A1707</f>
        <v>Walimex Pro 135mm 2.0 für Pentax K schwarz</v>
      </c>
      <c r="B1707" s="5">
        <f>getFocalLengthStart('RawData (GH)'!B1707)</f>
        <v>135</v>
      </c>
      <c r="C1707" s="5">
        <f>getFocalLengthEnd('RawData (GH)'!B1707)</f>
        <v>135</v>
      </c>
      <c r="D1707" s="9">
        <f>getApertureStart('RawData (GH)'!C1707)</f>
        <v>2</v>
      </c>
      <c r="E1707" s="9">
        <f>getApertureEnd('RawData (GH)'!C1707)</f>
        <v>2</v>
      </c>
      <c r="F1707" s="2">
        <f>getFiltersizeAsDouble('RawData (GH)'!D1707)</f>
        <v>77</v>
      </c>
      <c r="G1707" s="35">
        <f>getMagnification('RawData (GH)'!E1707)</f>
        <v>0</v>
      </c>
      <c r="H1707" s="62">
        <f>getMinimalFocus('RawData (GH)'!F1707)</f>
        <v>0</v>
      </c>
      <c r="I1707" t="str">
        <f>getMount('RawData (GH)'!G1707)</f>
        <v>Pentax K</v>
      </c>
      <c r="J1707" t="str">
        <f>getSensorCompatibility('RawData (GH)'!H1707)</f>
        <v>APS-C/ Kleinbild</v>
      </c>
      <c r="K1707" s="45">
        <f>getWeightAsDouble('RawData (GH)'!I1707)</f>
        <v>884</v>
      </c>
      <c r="L1707" s="34">
        <f>getSizeDiameter('RawData (GH)'!J1707)</f>
        <v>82</v>
      </c>
      <c r="M1707" s="34">
        <f>getSizeLength('RawData (GH)'!J1707)</f>
        <v>120</v>
      </c>
    </row>
    <row r="1708" spans="1:13" x14ac:dyDescent="0.25">
      <c r="A1708" t="str">
        <f>'RawData (GH)'!A1708</f>
        <v>Walimex Pro 135mm 2.0 für Sony A schwarz</v>
      </c>
      <c r="B1708" s="5">
        <f>getFocalLengthStart('RawData (GH)'!B1708)</f>
        <v>135</v>
      </c>
      <c r="C1708" s="5">
        <f>getFocalLengthEnd('RawData (GH)'!B1708)</f>
        <v>135</v>
      </c>
      <c r="D1708" s="9">
        <f>getApertureStart('RawData (GH)'!C1708)</f>
        <v>2</v>
      </c>
      <c r="E1708" s="9">
        <f>getApertureEnd('RawData (GH)'!C1708)</f>
        <v>2</v>
      </c>
      <c r="F1708" s="2">
        <f>getFiltersizeAsDouble('RawData (GH)'!D1708)</f>
        <v>77</v>
      </c>
      <c r="G1708" s="35">
        <f>getMagnification('RawData (GH)'!E1708)</f>
        <v>0</v>
      </c>
      <c r="H1708" s="62">
        <f>getMinimalFocus('RawData (GH)'!F1708)</f>
        <v>0</v>
      </c>
      <c r="I1708" t="str">
        <f>getMount('RawData (GH)'!G1708)</f>
        <v>Sony A</v>
      </c>
      <c r="J1708" t="str">
        <f>getSensorCompatibility('RawData (GH)'!H1708)</f>
        <v>APS-C/ Kleinbild</v>
      </c>
      <c r="K1708" s="45">
        <f>getWeightAsDouble('RawData (GH)'!I1708)</f>
        <v>884</v>
      </c>
      <c r="L1708" s="34">
        <f>getSizeDiameter('RawData (GH)'!J1708)</f>
        <v>82</v>
      </c>
      <c r="M1708" s="34">
        <f>getSizeLength('RawData (GH)'!J1708)</f>
        <v>120</v>
      </c>
    </row>
    <row r="1709" spans="1:13" x14ac:dyDescent="0.25">
      <c r="A1709" t="str">
        <f>'RawData (GH)'!A1709</f>
        <v>Walimex Pro 135mm 2.0 für Sony E schwarz</v>
      </c>
      <c r="B1709" s="5">
        <f>getFocalLengthStart('RawData (GH)'!B1709)</f>
        <v>135</v>
      </c>
      <c r="C1709" s="5">
        <f>getFocalLengthEnd('RawData (GH)'!B1709)</f>
        <v>135</v>
      </c>
      <c r="D1709" s="9">
        <f>getApertureStart('RawData (GH)'!C1709)</f>
        <v>2</v>
      </c>
      <c r="E1709" s="9">
        <f>getApertureEnd('RawData (GH)'!C1709)</f>
        <v>2</v>
      </c>
      <c r="F1709" s="2">
        <f>getFiltersizeAsDouble('RawData (GH)'!D1709)</f>
        <v>77</v>
      </c>
      <c r="G1709" s="35">
        <f>getMagnification('RawData (GH)'!E1709)</f>
        <v>0</v>
      </c>
      <c r="H1709" s="62">
        <f>getMinimalFocus('RawData (GH)'!F1709)</f>
        <v>0</v>
      </c>
      <c r="I1709" t="str">
        <f>getMount('RawData (GH)'!G1709)</f>
        <v>Sony E</v>
      </c>
      <c r="J1709" t="str">
        <f>getSensorCompatibility('RawData (GH)'!H1709)</f>
        <v>APS-C/ Kleinbild</v>
      </c>
      <c r="K1709" s="45">
        <f>getWeightAsDouble('RawData (GH)'!I1709)</f>
        <v>940</v>
      </c>
      <c r="L1709" s="34">
        <f>getSizeDiameter('RawData (GH)'!J1709)</f>
        <v>82</v>
      </c>
      <c r="M1709" s="34">
        <f>getSizeLength('RawData (GH)'!J1709)</f>
        <v>120</v>
      </c>
    </row>
    <row r="1710" spans="1:13" x14ac:dyDescent="0.25">
      <c r="A1710" t="str">
        <f>'RawData (GH)'!A1710</f>
        <v>Walimex Pro 135mm T2.2 VDSLR für Canon EF schwarz</v>
      </c>
      <c r="B1710" s="5">
        <f>getFocalLengthStart('RawData (GH)'!B1710)</f>
        <v>135</v>
      </c>
      <c r="C1710" s="5">
        <f>getFocalLengthEnd('RawData (GH)'!B1710)</f>
        <v>135</v>
      </c>
      <c r="D1710" s="9">
        <f>getApertureStart('RawData (GH)'!C1710)</f>
        <v>2.2000000000000002</v>
      </c>
      <c r="E1710" s="9">
        <f>getApertureEnd('RawData (GH)'!C1710)</f>
        <v>2.2000000000000002</v>
      </c>
      <c r="F1710" s="2">
        <f>getFiltersizeAsDouble('RawData (GH)'!D1710)</f>
        <v>77</v>
      </c>
      <c r="G1710" s="35">
        <f>getMagnification('RawData (GH)'!E1710)</f>
        <v>0</v>
      </c>
      <c r="H1710" s="62">
        <f>getMinimalFocus('RawData (GH)'!F1710)</f>
        <v>0</v>
      </c>
      <c r="I1710" t="str">
        <f>getMount('RawData (GH)'!G1710)</f>
        <v>Canon EF</v>
      </c>
      <c r="J1710" t="str">
        <f>getSensorCompatibility('RawData (GH)'!H1710)</f>
        <v>APS-C/ Kleinbild</v>
      </c>
      <c r="K1710" s="45">
        <f>getWeightAsDouble('RawData (GH)'!I1710)</f>
        <v>892</v>
      </c>
      <c r="L1710" s="34">
        <f>getSizeDiameter('RawData (GH)'!J1710)</f>
        <v>82</v>
      </c>
      <c r="M1710" s="34">
        <f>getSizeLength('RawData (GH)'!J1710)</f>
        <v>120</v>
      </c>
    </row>
    <row r="1711" spans="1:13" x14ac:dyDescent="0.25">
      <c r="A1711" t="str">
        <f>'RawData (GH)'!A1711</f>
        <v>Walimex Pro 135mm T2.2 VDSLR für Four-Thirds schwarz</v>
      </c>
      <c r="B1711" s="5">
        <f>getFocalLengthStart('RawData (GH)'!B1711)</f>
        <v>135</v>
      </c>
      <c r="C1711" s="5">
        <f>getFocalLengthEnd('RawData (GH)'!B1711)</f>
        <v>135</v>
      </c>
      <c r="D1711" s="9">
        <f>getApertureStart('RawData (GH)'!C1711)</f>
        <v>2.2000000000000002</v>
      </c>
      <c r="E1711" s="9">
        <f>getApertureEnd('RawData (GH)'!C1711)</f>
        <v>2.2000000000000002</v>
      </c>
      <c r="F1711" s="2">
        <f>getFiltersizeAsDouble('RawData (GH)'!D1711)</f>
        <v>77</v>
      </c>
      <c r="G1711" s="35">
        <f>getMagnification('RawData (GH)'!E1711)</f>
        <v>0</v>
      </c>
      <c r="H1711" s="62">
        <f>getMinimalFocus('RawData (GH)'!F1711)</f>
        <v>0</v>
      </c>
      <c r="I1711" t="str">
        <f>getMount('RawData (GH)'!G1711)</f>
        <v>Four-Thirds</v>
      </c>
      <c r="J1711" t="str">
        <f>getSensorCompatibility('RawData (GH)'!H1711)</f>
        <v>APS-C/ Kleinbild</v>
      </c>
      <c r="K1711" s="45">
        <f>getWeightAsDouble('RawData (GH)'!I1711)</f>
        <v>935</v>
      </c>
      <c r="L1711" s="34">
        <f>getSizeDiameter('RawData (GH)'!J1711)</f>
        <v>82</v>
      </c>
      <c r="M1711" s="34">
        <f>getSizeLength('RawData (GH)'!J1711)</f>
        <v>120</v>
      </c>
    </row>
    <row r="1712" spans="1:13" x14ac:dyDescent="0.25">
      <c r="A1712" t="str">
        <f>'RawData (GH)'!A1712</f>
        <v>Walimex Pro 135mm T2.2 VDSLR für Micro-Four-Thirds schwarz</v>
      </c>
      <c r="B1712" s="5">
        <f>getFocalLengthStart('RawData (GH)'!B1712)</f>
        <v>135</v>
      </c>
      <c r="C1712" s="5">
        <f>getFocalLengthEnd('RawData (GH)'!B1712)</f>
        <v>135</v>
      </c>
      <c r="D1712" s="9">
        <f>getApertureStart('RawData (GH)'!C1712)</f>
        <v>2.2000000000000002</v>
      </c>
      <c r="E1712" s="9">
        <f>getApertureEnd('RawData (GH)'!C1712)</f>
        <v>2.2000000000000002</v>
      </c>
      <c r="F1712" s="2">
        <f>getFiltersizeAsDouble('RawData (GH)'!D1712)</f>
        <v>77</v>
      </c>
      <c r="G1712" s="35">
        <f>getMagnification('RawData (GH)'!E1712)</f>
        <v>0</v>
      </c>
      <c r="H1712" s="62">
        <f>getMinimalFocus('RawData (GH)'!F1712)</f>
        <v>0</v>
      </c>
      <c r="I1712" t="str">
        <f>getMount('RawData (GH)'!G1712)</f>
        <v>Micro-Four-Thirds</v>
      </c>
      <c r="J1712" t="str">
        <f>getSensorCompatibility('RawData (GH)'!H1712)</f>
        <v>APS-C/ Kleinbild</v>
      </c>
      <c r="K1712" s="45">
        <f>getWeightAsDouble('RawData (GH)'!I1712)</f>
        <v>920</v>
      </c>
      <c r="L1712" s="34">
        <f>getSizeDiameter('RawData (GH)'!J1712)</f>
        <v>82</v>
      </c>
      <c r="M1712" s="34">
        <f>getSizeLength('RawData (GH)'!J1712)</f>
        <v>120</v>
      </c>
    </row>
    <row r="1713" spans="1:13" x14ac:dyDescent="0.25">
      <c r="A1713" t="str">
        <f>'RawData (GH)'!A1713</f>
        <v>Walimex Pro 135mm T2.2 VDSLR für Nikon F schwarz</v>
      </c>
      <c r="B1713" s="5">
        <f>getFocalLengthStart('RawData (GH)'!B1713)</f>
        <v>135</v>
      </c>
      <c r="C1713" s="5">
        <f>getFocalLengthEnd('RawData (GH)'!B1713)</f>
        <v>135</v>
      </c>
      <c r="D1713" s="9">
        <f>getApertureStart('RawData (GH)'!C1713)</f>
        <v>2.2000000000000002</v>
      </c>
      <c r="E1713" s="9">
        <f>getApertureEnd('RawData (GH)'!C1713)</f>
        <v>2.2000000000000002</v>
      </c>
      <c r="F1713" s="2">
        <f>getFiltersizeAsDouble('RawData (GH)'!D1713)</f>
        <v>77</v>
      </c>
      <c r="G1713" s="35">
        <f>getMagnification('RawData (GH)'!E1713)</f>
        <v>0</v>
      </c>
      <c r="H1713" s="62">
        <f>getMinimalFocus('RawData (GH)'!F1713)</f>
        <v>0</v>
      </c>
      <c r="I1713" t="str">
        <f>getMount('RawData (GH)'!G1713)</f>
        <v>Nikon F</v>
      </c>
      <c r="J1713" t="str">
        <f>getSensorCompatibility('RawData (GH)'!H1713)</f>
        <v>APS-C/ Kleinbild</v>
      </c>
      <c r="K1713" s="45">
        <f>getWeightAsDouble('RawData (GH)'!I1713)</f>
        <v>882</v>
      </c>
      <c r="L1713" s="34">
        <f>getSizeDiameter('RawData (GH)'!J1713)</f>
        <v>82</v>
      </c>
      <c r="M1713" s="34">
        <f>getSizeLength('RawData (GH)'!J1713)</f>
        <v>120</v>
      </c>
    </row>
    <row r="1714" spans="1:13" x14ac:dyDescent="0.25">
      <c r="A1714" t="str">
        <f>'RawData (GH)'!A1714</f>
        <v>Walimex Pro 135mm T2.2 VDSLR für Samsung NX schwarz</v>
      </c>
      <c r="B1714" s="5">
        <f>getFocalLengthStart('RawData (GH)'!B1714)</f>
        <v>135</v>
      </c>
      <c r="C1714" s="5">
        <f>getFocalLengthEnd('RawData (GH)'!B1714)</f>
        <v>135</v>
      </c>
      <c r="D1714" s="9">
        <f>getApertureStart('RawData (GH)'!C1714)</f>
        <v>2.2000000000000002</v>
      </c>
      <c r="E1714" s="9">
        <f>getApertureEnd('RawData (GH)'!C1714)</f>
        <v>2.2000000000000002</v>
      </c>
      <c r="F1714" s="2">
        <f>getFiltersizeAsDouble('RawData (GH)'!D1714)</f>
        <v>77</v>
      </c>
      <c r="G1714" s="35">
        <f>getMagnification('RawData (GH)'!E1714)</f>
        <v>0</v>
      </c>
      <c r="H1714" s="62">
        <f>getMinimalFocus('RawData (GH)'!F1714)</f>
        <v>0</v>
      </c>
      <c r="I1714" t="str">
        <f>getMount('RawData (GH)'!G1714)</f>
        <v>Samsung NX</v>
      </c>
      <c r="J1714" t="str">
        <f>getSensorCompatibility('RawData (GH)'!H1714)</f>
        <v>APS-C/ Kleinbild</v>
      </c>
      <c r="K1714" s="45">
        <f>getWeightAsDouble('RawData (GH)'!I1714)</f>
        <v>850</v>
      </c>
      <c r="L1714" s="34">
        <f>getSizeDiameter('RawData (GH)'!J1714)</f>
        <v>82</v>
      </c>
      <c r="M1714" s="34">
        <f>getSizeLength('RawData (GH)'!J1714)</f>
        <v>120</v>
      </c>
    </row>
    <row r="1715" spans="1:13" x14ac:dyDescent="0.25">
      <c r="A1715" t="str">
        <f>'RawData (GH)'!A1715</f>
        <v>Walimex Pro 135mm T2.2 VDSLR für Sony A schwarz</v>
      </c>
      <c r="B1715" s="5">
        <f>getFocalLengthStart('RawData (GH)'!B1715)</f>
        <v>135</v>
      </c>
      <c r="C1715" s="5">
        <f>getFocalLengthEnd('RawData (GH)'!B1715)</f>
        <v>135</v>
      </c>
      <c r="D1715" s="9">
        <f>getApertureStart('RawData (GH)'!C1715)</f>
        <v>2.2000000000000002</v>
      </c>
      <c r="E1715" s="9">
        <f>getApertureEnd('RawData (GH)'!C1715)</f>
        <v>2.2000000000000002</v>
      </c>
      <c r="F1715" s="2">
        <f>getFiltersizeAsDouble('RawData (GH)'!D1715)</f>
        <v>77</v>
      </c>
      <c r="G1715" s="35">
        <f>getMagnification('RawData (GH)'!E1715)</f>
        <v>0</v>
      </c>
      <c r="H1715" s="62">
        <f>getMinimalFocus('RawData (GH)'!F1715)</f>
        <v>0</v>
      </c>
      <c r="I1715" t="str">
        <f>getMount('RawData (GH)'!G1715)</f>
        <v>Sony A</v>
      </c>
      <c r="J1715" t="str">
        <f>getSensorCompatibility('RawData (GH)'!H1715)</f>
        <v>APS-C/ Kleinbild</v>
      </c>
      <c r="K1715" s="45">
        <f>getWeightAsDouble('RawData (GH)'!I1715)</f>
        <v>886</v>
      </c>
      <c r="L1715" s="34">
        <f>getSizeDiameter('RawData (GH)'!J1715)</f>
        <v>82</v>
      </c>
      <c r="M1715" s="34">
        <f>getSizeLength('RawData (GH)'!J1715)</f>
        <v>120</v>
      </c>
    </row>
    <row r="1716" spans="1:13" x14ac:dyDescent="0.25">
      <c r="A1716" t="str">
        <f>'RawData (GH)'!A1716</f>
        <v>Walimex Pro 135mm T2.2 VDSLR für Sony E schwarz</v>
      </c>
      <c r="B1716" s="5">
        <f>getFocalLengthStart('RawData (GH)'!B1716)</f>
        <v>135</v>
      </c>
      <c r="C1716" s="5">
        <f>getFocalLengthEnd('RawData (GH)'!B1716)</f>
        <v>135</v>
      </c>
      <c r="D1716" s="9">
        <f>getApertureStart('RawData (GH)'!C1716)</f>
        <v>2.2000000000000002</v>
      </c>
      <c r="E1716" s="9">
        <f>getApertureEnd('RawData (GH)'!C1716)</f>
        <v>2.2000000000000002</v>
      </c>
      <c r="F1716" s="2">
        <f>getFiltersizeAsDouble('RawData (GH)'!D1716)</f>
        <v>77</v>
      </c>
      <c r="G1716" s="35">
        <f>getMagnification('RawData (GH)'!E1716)</f>
        <v>0</v>
      </c>
      <c r="H1716" s="62">
        <f>getMinimalFocus('RawData (GH)'!F1716)</f>
        <v>0</v>
      </c>
      <c r="I1716" t="str">
        <f>getMount('RawData (GH)'!G1716)</f>
        <v>Sony E</v>
      </c>
      <c r="J1716" t="str">
        <f>getSensorCompatibility('RawData (GH)'!H1716)</f>
        <v>APS-C/ Kleinbild</v>
      </c>
      <c r="K1716" s="45">
        <f>getWeightAsDouble('RawData (GH)'!I1716)</f>
        <v>926</v>
      </c>
      <c r="L1716" s="34">
        <f>getSizeDiameter('RawData (GH)'!J1716)</f>
        <v>82</v>
      </c>
      <c r="M1716" s="34">
        <f>getSizeLength('RawData (GH)'!J1716)</f>
        <v>120</v>
      </c>
    </row>
    <row r="1717" spans="1:13" x14ac:dyDescent="0.25">
      <c r="A1717" t="str">
        <f>'RawData (GH)'!A1717</f>
        <v>Walimex Pro 14mm 2.8 für Canon EF schwarz</v>
      </c>
      <c r="B1717" s="5">
        <f>getFocalLengthStart('RawData (GH)'!B1717)</f>
        <v>14</v>
      </c>
      <c r="C1717" s="5">
        <f>getFocalLengthEnd('RawData (GH)'!B1717)</f>
        <v>14</v>
      </c>
      <c r="D1717" s="9">
        <f>getApertureStart('RawData (GH)'!C1717)</f>
        <v>2.8</v>
      </c>
      <c r="E1717" s="9">
        <f>getApertureEnd('RawData (GH)'!C1717)</f>
        <v>2.8</v>
      </c>
      <c r="F1717" s="2">
        <f>getFiltersizeAsDouble('RawData (GH)'!D1717)</f>
        <v>0</v>
      </c>
      <c r="G1717" s="35">
        <f>getMagnification('RawData (GH)'!E1717)</f>
        <v>0</v>
      </c>
      <c r="H1717" s="62">
        <f>getMinimalFocus('RawData (GH)'!F1717)</f>
        <v>0</v>
      </c>
      <c r="I1717" t="str">
        <f>getMount('RawData (GH)'!G1717)</f>
        <v>Canon EF</v>
      </c>
      <c r="J1717" t="str">
        <f>getSensorCompatibility('RawData (GH)'!H1717)</f>
        <v>APS-C/ Kleinbild</v>
      </c>
      <c r="K1717" s="45">
        <f>getWeightAsDouble('RawData (GH)'!I1717)</f>
        <v>550</v>
      </c>
      <c r="L1717" s="34">
        <f>getSizeDiameter('RawData (GH)'!J1717)</f>
        <v>86.5</v>
      </c>
      <c r="M1717" s="34">
        <f>getSizeLength('RawData (GH)'!J1717)</f>
        <v>100</v>
      </c>
    </row>
    <row r="1718" spans="1:13" x14ac:dyDescent="0.25">
      <c r="A1718" t="str">
        <f>'RawData (GH)'!A1718</f>
        <v>Walimex Pro 14mm 2.8 für Canon EF-M schwarz</v>
      </c>
      <c r="B1718" s="5">
        <f>getFocalLengthStart('RawData (GH)'!B1718)</f>
        <v>14</v>
      </c>
      <c r="C1718" s="5">
        <f>getFocalLengthEnd('RawData (GH)'!B1718)</f>
        <v>14</v>
      </c>
      <c r="D1718" s="9">
        <f>getApertureStart('RawData (GH)'!C1718)</f>
        <v>2.8</v>
      </c>
      <c r="E1718" s="9">
        <f>getApertureEnd('RawData (GH)'!C1718)</f>
        <v>2.8</v>
      </c>
      <c r="F1718" s="2">
        <f>getFiltersizeAsDouble('RawData (GH)'!D1718)</f>
        <v>0</v>
      </c>
      <c r="G1718" s="35">
        <f>getMagnification('RawData (GH)'!E1718)</f>
        <v>0</v>
      </c>
      <c r="H1718" s="62">
        <f>getMinimalFocus('RawData (GH)'!F1718)</f>
        <v>0</v>
      </c>
      <c r="I1718" t="str">
        <f>getMount('RawData (GH)'!G1718)</f>
        <v>Canon EF-M</v>
      </c>
      <c r="J1718" t="str">
        <f>getSensorCompatibility('RawData (GH)'!H1718)</f>
        <v>APS-C/ Kleinbild</v>
      </c>
      <c r="K1718" s="45">
        <f>getWeightAsDouble('RawData (GH)'!I1718)</f>
        <v>550</v>
      </c>
      <c r="L1718" s="34">
        <f>getSizeDiameter('RawData (GH)'!J1718)</f>
        <v>87</v>
      </c>
      <c r="M1718" s="34">
        <f>getSizeLength('RawData (GH)'!J1718)</f>
        <v>96.1</v>
      </c>
    </row>
    <row r="1719" spans="1:13" x14ac:dyDescent="0.25">
      <c r="A1719" t="str">
        <f>'RawData (GH)'!A1719</f>
        <v>Walimex Pro 14mm 2.8 für Four-Thirds schwarz</v>
      </c>
      <c r="B1719" s="5">
        <f>getFocalLengthStart('RawData (GH)'!B1719)</f>
        <v>14</v>
      </c>
      <c r="C1719" s="5">
        <f>getFocalLengthEnd('RawData (GH)'!B1719)</f>
        <v>14</v>
      </c>
      <c r="D1719" s="9">
        <f>getApertureStart('RawData (GH)'!C1719)</f>
        <v>2.8</v>
      </c>
      <c r="E1719" s="9">
        <f>getApertureEnd('RawData (GH)'!C1719)</f>
        <v>2.8</v>
      </c>
      <c r="F1719" s="2">
        <f>getFiltersizeAsDouble('RawData (GH)'!D1719)</f>
        <v>0</v>
      </c>
      <c r="G1719" s="35">
        <f>getMagnification('RawData (GH)'!E1719)</f>
        <v>0</v>
      </c>
      <c r="H1719" s="62">
        <f>getMinimalFocus('RawData (GH)'!F1719)</f>
        <v>0</v>
      </c>
      <c r="I1719" t="str">
        <f>getMount('RawData (GH)'!G1719)</f>
        <v>Four-Thirds</v>
      </c>
      <c r="J1719" t="str">
        <f>getSensorCompatibility('RawData (GH)'!H1719)</f>
        <v>Four-Thirds</v>
      </c>
      <c r="K1719" s="45">
        <f>getWeightAsDouble('RawData (GH)'!I1719)</f>
        <v>550</v>
      </c>
      <c r="L1719" s="34">
        <f>getSizeDiameter('RawData (GH)'!J1719)</f>
        <v>86.5</v>
      </c>
      <c r="M1719" s="34">
        <f>getSizeLength('RawData (GH)'!J1719)</f>
        <v>100</v>
      </c>
    </row>
    <row r="1720" spans="1:13" x14ac:dyDescent="0.25">
      <c r="A1720" t="str">
        <f>'RawData (GH)'!A1720</f>
        <v>Walimex Pro 14mm 2.8 für Micro-Four-Thirds schwarz</v>
      </c>
      <c r="B1720" s="5">
        <f>getFocalLengthStart('RawData (GH)'!B1720)</f>
        <v>14</v>
      </c>
      <c r="C1720" s="5">
        <f>getFocalLengthEnd('RawData (GH)'!B1720)</f>
        <v>14</v>
      </c>
      <c r="D1720" s="9">
        <f>getApertureStart('RawData (GH)'!C1720)</f>
        <v>2.8</v>
      </c>
      <c r="E1720" s="9">
        <f>getApertureEnd('RawData (GH)'!C1720)</f>
        <v>2.8</v>
      </c>
      <c r="F1720" s="2">
        <f>getFiltersizeAsDouble('RawData (GH)'!D1720)</f>
        <v>0</v>
      </c>
      <c r="G1720" s="35">
        <f>getMagnification('RawData (GH)'!E1720)</f>
        <v>0</v>
      </c>
      <c r="H1720" s="62">
        <f>getMinimalFocus('RawData (GH)'!F1720)</f>
        <v>0</v>
      </c>
      <c r="I1720" t="str">
        <f>getMount('RawData (GH)'!G1720)</f>
        <v>Micro-Four-Thirds</v>
      </c>
      <c r="J1720" t="str">
        <f>getSensorCompatibility('RawData (GH)'!H1720)</f>
        <v>Four-Thirds</v>
      </c>
      <c r="K1720" s="45">
        <f>getWeightAsDouble('RawData (GH)'!I1720)</f>
        <v>560</v>
      </c>
      <c r="L1720" s="34">
        <f>getSizeDiameter('RawData (GH)'!J1720)</f>
        <v>86.5</v>
      </c>
      <c r="M1720" s="34">
        <f>getSizeLength('RawData (GH)'!J1720)</f>
        <v>101.4</v>
      </c>
    </row>
    <row r="1721" spans="1:13" x14ac:dyDescent="0.25">
      <c r="A1721" t="str">
        <f>'RawData (GH)'!A1721</f>
        <v>Walimex Pro 14mm 2.8 für Nikon F schwarz</v>
      </c>
      <c r="B1721" s="5">
        <f>getFocalLengthStart('RawData (GH)'!B1721)</f>
        <v>14</v>
      </c>
      <c r="C1721" s="5">
        <f>getFocalLengthEnd('RawData (GH)'!B1721)</f>
        <v>14</v>
      </c>
      <c r="D1721" s="9">
        <f>getApertureStart('RawData (GH)'!C1721)</f>
        <v>2.8</v>
      </c>
      <c r="E1721" s="9">
        <f>getApertureEnd('RawData (GH)'!C1721)</f>
        <v>2.8</v>
      </c>
      <c r="F1721" s="2">
        <f>getFiltersizeAsDouble('RawData (GH)'!D1721)</f>
        <v>0</v>
      </c>
      <c r="G1721" s="35">
        <f>getMagnification('RawData (GH)'!E1721)</f>
        <v>0</v>
      </c>
      <c r="H1721" s="62">
        <f>getMinimalFocus('RawData (GH)'!F1721)</f>
        <v>0</v>
      </c>
      <c r="I1721" t="str">
        <f>getMount('RawData (GH)'!G1721)</f>
        <v>Nikon F</v>
      </c>
      <c r="J1721" t="str">
        <f>getSensorCompatibility('RawData (GH)'!H1721)</f>
        <v>APS-C/ Kleinbild</v>
      </c>
      <c r="K1721" s="45">
        <f>getWeightAsDouble('RawData (GH)'!I1721)</f>
        <v>550</v>
      </c>
      <c r="L1721" s="34">
        <f>getSizeDiameter('RawData (GH)'!J1721)</f>
        <v>86.5</v>
      </c>
      <c r="M1721" s="34">
        <f>getSizeLength('RawData (GH)'!J1721)</f>
        <v>100</v>
      </c>
    </row>
    <row r="1722" spans="1:13" x14ac:dyDescent="0.25">
      <c r="A1722" t="str">
        <f>'RawData (GH)'!A1722</f>
        <v>Walimex Pro 14mm 2.8 für Pentax K schwarz</v>
      </c>
      <c r="B1722" s="5">
        <f>getFocalLengthStart('RawData (GH)'!B1722)</f>
        <v>14</v>
      </c>
      <c r="C1722" s="5">
        <f>getFocalLengthEnd('RawData (GH)'!B1722)</f>
        <v>14</v>
      </c>
      <c r="D1722" s="9">
        <f>getApertureStart('RawData (GH)'!C1722)</f>
        <v>2.8</v>
      </c>
      <c r="E1722" s="9">
        <f>getApertureEnd('RawData (GH)'!C1722)</f>
        <v>2.8</v>
      </c>
      <c r="F1722" s="2">
        <f>getFiltersizeAsDouble('RawData (GH)'!D1722)</f>
        <v>0</v>
      </c>
      <c r="G1722" s="35">
        <f>getMagnification('RawData (GH)'!E1722)</f>
        <v>0</v>
      </c>
      <c r="H1722" s="62">
        <f>getMinimalFocus('RawData (GH)'!F1722)</f>
        <v>0</v>
      </c>
      <c r="I1722" t="str">
        <f>getMount('RawData (GH)'!G1722)</f>
        <v>Pentax K</v>
      </c>
      <c r="J1722" t="str">
        <f>getSensorCompatibility('RawData (GH)'!H1722)</f>
        <v>APS-C/ Kleinbild</v>
      </c>
      <c r="K1722" s="45">
        <f>getWeightAsDouble('RawData (GH)'!I1722)</f>
        <v>550</v>
      </c>
      <c r="L1722" s="34">
        <f>getSizeDiameter('RawData (GH)'!J1722)</f>
        <v>86.5</v>
      </c>
      <c r="M1722" s="34">
        <f>getSizeLength('RawData (GH)'!J1722)</f>
        <v>100</v>
      </c>
    </row>
    <row r="1723" spans="1:13" x14ac:dyDescent="0.25">
      <c r="A1723" t="str">
        <f>'RawData (GH)'!A1723</f>
        <v>Walimex Pro 14mm 2.8 für Samsung NX schwarz</v>
      </c>
      <c r="B1723" s="5">
        <f>getFocalLengthStart('RawData (GH)'!B1723)</f>
        <v>14</v>
      </c>
      <c r="C1723" s="5">
        <f>getFocalLengthEnd('RawData (GH)'!B1723)</f>
        <v>14</v>
      </c>
      <c r="D1723" s="9">
        <f>getApertureStart('RawData (GH)'!C1723)</f>
        <v>2.8</v>
      </c>
      <c r="E1723" s="9">
        <f>getApertureEnd('RawData (GH)'!C1723)</f>
        <v>2.8</v>
      </c>
      <c r="F1723" s="2">
        <f>getFiltersizeAsDouble('RawData (GH)'!D1723)</f>
        <v>0</v>
      </c>
      <c r="G1723" s="35">
        <f>getMagnification('RawData (GH)'!E1723)</f>
        <v>0</v>
      </c>
      <c r="H1723" s="62">
        <f>getMinimalFocus('RawData (GH)'!F1723)</f>
        <v>0</v>
      </c>
      <c r="I1723" t="str">
        <f>getMount('RawData (GH)'!G1723)</f>
        <v>Samsung NX</v>
      </c>
      <c r="J1723" t="str">
        <f>getSensorCompatibility('RawData (GH)'!H1723)</f>
        <v>APS-C</v>
      </c>
      <c r="K1723" s="45">
        <f>getWeightAsDouble('RawData (GH)'!I1723)</f>
        <v>550</v>
      </c>
      <c r="L1723" s="34">
        <f>getSizeDiameter('RawData (GH)'!J1723)</f>
        <v>86.5</v>
      </c>
      <c r="M1723" s="34">
        <f>getSizeLength('RawData (GH)'!J1723)</f>
        <v>100</v>
      </c>
    </row>
    <row r="1724" spans="1:13" x14ac:dyDescent="0.25">
      <c r="A1724" t="str">
        <f>'RawData (GH)'!A1724</f>
        <v>Walimex Pro 14mm 2.8 für Sony A schwarz</v>
      </c>
      <c r="B1724" s="5">
        <f>getFocalLengthStart('RawData (GH)'!B1724)</f>
        <v>14</v>
      </c>
      <c r="C1724" s="5">
        <f>getFocalLengthEnd('RawData (GH)'!B1724)</f>
        <v>14</v>
      </c>
      <c r="D1724" s="9">
        <f>getApertureStart('RawData (GH)'!C1724)</f>
        <v>2.8</v>
      </c>
      <c r="E1724" s="9">
        <f>getApertureEnd('RawData (GH)'!C1724)</f>
        <v>2.8</v>
      </c>
      <c r="F1724" s="2">
        <f>getFiltersizeAsDouble('RawData (GH)'!D1724)</f>
        <v>0</v>
      </c>
      <c r="G1724" s="35">
        <f>getMagnification('RawData (GH)'!E1724)</f>
        <v>0</v>
      </c>
      <c r="H1724" s="62">
        <f>getMinimalFocus('RawData (GH)'!F1724)</f>
        <v>0</v>
      </c>
      <c r="I1724" t="str">
        <f>getMount('RawData (GH)'!G1724)</f>
        <v>Sony A</v>
      </c>
      <c r="J1724" t="str">
        <f>getSensorCompatibility('RawData (GH)'!H1724)</f>
        <v>APS-C</v>
      </c>
      <c r="K1724" s="45">
        <f>getWeightAsDouble('RawData (GH)'!I1724)</f>
        <v>550</v>
      </c>
      <c r="L1724" s="34">
        <f>getSizeDiameter('RawData (GH)'!J1724)</f>
        <v>86.5</v>
      </c>
      <c r="M1724" s="34">
        <f>getSizeLength('RawData (GH)'!J1724)</f>
        <v>100</v>
      </c>
    </row>
    <row r="1725" spans="1:13" x14ac:dyDescent="0.25">
      <c r="A1725" t="str">
        <f>'RawData (GH)'!A1725</f>
        <v>Walimex Pro 14mm 2.8 für Sony E schwarz</v>
      </c>
      <c r="B1725" s="5">
        <f>getFocalLengthStart('RawData (GH)'!B1725)</f>
        <v>14</v>
      </c>
      <c r="C1725" s="5">
        <f>getFocalLengthEnd('RawData (GH)'!B1725)</f>
        <v>14</v>
      </c>
      <c r="D1725" s="9">
        <f>getApertureStart('RawData (GH)'!C1725)</f>
        <v>2.8</v>
      </c>
      <c r="E1725" s="9">
        <f>getApertureEnd('RawData (GH)'!C1725)</f>
        <v>2.8</v>
      </c>
      <c r="F1725" s="2">
        <f>getFiltersizeAsDouble('RawData (GH)'!D1725)</f>
        <v>0</v>
      </c>
      <c r="G1725" s="35">
        <f>getMagnification('RawData (GH)'!E1725)</f>
        <v>0</v>
      </c>
      <c r="H1725" s="62">
        <f>getMinimalFocus('RawData (GH)'!F1725)</f>
        <v>0</v>
      </c>
      <c r="I1725" t="str">
        <f>getMount('RawData (GH)'!G1725)</f>
        <v>Sony E</v>
      </c>
      <c r="J1725" t="str">
        <f>getSensorCompatibility('RawData (GH)'!H1725)</f>
        <v>APS-C/ Kleinbild</v>
      </c>
      <c r="K1725" s="45">
        <f>getWeightAsDouble('RawData (GH)'!I1725)</f>
        <v>550</v>
      </c>
      <c r="L1725" s="34">
        <f>getSizeDiameter('RawData (GH)'!J1725)</f>
        <v>87</v>
      </c>
      <c r="M1725" s="34">
        <f>getSizeLength('RawData (GH)'!J1725)</f>
        <v>96.1</v>
      </c>
    </row>
    <row r="1726" spans="1:13" x14ac:dyDescent="0.25">
      <c r="A1726" t="str">
        <f>'RawData (GH)'!A1726</f>
        <v>Walimex Pro 14mm 3.1 VCSC für Canon EF-M schwarz</v>
      </c>
      <c r="B1726" s="5">
        <f>getFocalLengthStart('RawData (GH)'!B1726)</f>
        <v>14</v>
      </c>
      <c r="C1726" s="5">
        <f>getFocalLengthEnd('RawData (GH)'!B1726)</f>
        <v>14</v>
      </c>
      <c r="D1726" s="9">
        <f>getApertureStart('RawData (GH)'!C1726)</f>
        <v>3.1</v>
      </c>
      <c r="E1726" s="9">
        <f>getApertureEnd('RawData (GH)'!C1726)</f>
        <v>3.1</v>
      </c>
      <c r="F1726" s="2">
        <f>getFiltersizeAsDouble('RawData (GH)'!D1726)</f>
        <v>0</v>
      </c>
      <c r="G1726" s="35">
        <f>getMagnification('RawData (GH)'!E1726)</f>
        <v>0</v>
      </c>
      <c r="H1726" s="62">
        <f>getMinimalFocus('RawData (GH)'!F1726)</f>
        <v>0</v>
      </c>
      <c r="I1726" t="str">
        <f>getMount('RawData (GH)'!G1726)</f>
        <v>Canon EF-M</v>
      </c>
      <c r="J1726" t="str">
        <f>getSensorCompatibility('RawData (GH)'!H1726)</f>
        <v>APS-C</v>
      </c>
      <c r="K1726" s="45">
        <f>getWeightAsDouble('RawData (GH)'!I1726)</f>
        <v>690</v>
      </c>
      <c r="L1726" s="34">
        <f>getSizeDiameter('RawData (GH)'!J1726)</f>
        <v>87</v>
      </c>
      <c r="M1726" s="34">
        <f>getSizeLength('RawData (GH)'!J1726)</f>
        <v>122</v>
      </c>
    </row>
    <row r="1727" spans="1:13" x14ac:dyDescent="0.25">
      <c r="A1727" t="str">
        <f>'RawData (GH)'!A1727</f>
        <v>Walimex Pro 14mm 3.1 VDSLR für Canon EF schwarz</v>
      </c>
      <c r="B1727" s="5">
        <f>getFocalLengthStart('RawData (GH)'!B1727)</f>
        <v>14</v>
      </c>
      <c r="C1727" s="5">
        <f>getFocalLengthEnd('RawData (GH)'!B1727)</f>
        <v>14</v>
      </c>
      <c r="D1727" s="9">
        <f>getApertureStart('RawData (GH)'!C1727)</f>
        <v>3.1</v>
      </c>
      <c r="E1727" s="9">
        <f>getApertureEnd('RawData (GH)'!C1727)</f>
        <v>3.1</v>
      </c>
      <c r="F1727" s="2">
        <f>getFiltersizeAsDouble('RawData (GH)'!D1727)</f>
        <v>0</v>
      </c>
      <c r="G1727" s="35">
        <f>getMagnification('RawData (GH)'!E1727)</f>
        <v>0</v>
      </c>
      <c r="H1727" s="62">
        <f>getMinimalFocus('RawData (GH)'!F1727)</f>
        <v>0</v>
      </c>
      <c r="I1727" t="str">
        <f>getMount('RawData (GH)'!G1727)</f>
        <v>Canon EF</v>
      </c>
      <c r="J1727" t="str">
        <f>getSensorCompatibility('RawData (GH)'!H1727)</f>
        <v>APS-C/ Kleinbild</v>
      </c>
      <c r="K1727" s="45">
        <f>getWeightAsDouble('RawData (GH)'!I1727)</f>
        <v>620</v>
      </c>
      <c r="L1727" s="34">
        <f>getSizeDiameter('RawData (GH)'!J1727)</f>
        <v>87</v>
      </c>
      <c r="M1727" s="34">
        <f>getSizeLength('RawData (GH)'!J1727)</f>
        <v>96.1</v>
      </c>
    </row>
    <row r="1728" spans="1:13" x14ac:dyDescent="0.25">
      <c r="A1728" t="str">
        <f>'RawData (GH)'!A1728</f>
        <v>Walimex Pro 14mm 3.1 VDSLR für Four-Thirds schwarz</v>
      </c>
      <c r="B1728" s="5">
        <f>getFocalLengthStart('RawData (GH)'!B1728)</f>
        <v>14</v>
      </c>
      <c r="C1728" s="5">
        <f>getFocalLengthEnd('RawData (GH)'!B1728)</f>
        <v>14</v>
      </c>
      <c r="D1728" s="9">
        <f>getApertureStart('RawData (GH)'!C1728)</f>
        <v>3.1</v>
      </c>
      <c r="E1728" s="9">
        <f>getApertureEnd('RawData (GH)'!C1728)</f>
        <v>3.1</v>
      </c>
      <c r="F1728" s="2">
        <f>getFiltersizeAsDouble('RawData (GH)'!D1728)</f>
        <v>0</v>
      </c>
      <c r="G1728" s="35">
        <f>getMagnification('RawData (GH)'!E1728)</f>
        <v>0</v>
      </c>
      <c r="H1728" s="62">
        <f>getMinimalFocus('RawData (GH)'!F1728)</f>
        <v>0</v>
      </c>
      <c r="I1728" t="str">
        <f>getMount('RawData (GH)'!G1728)</f>
        <v>Four-Thirds</v>
      </c>
      <c r="J1728" t="str">
        <f>getSensorCompatibility('RawData (GH)'!H1728)</f>
        <v>Four-Thirds</v>
      </c>
      <c r="K1728" s="45">
        <f>getWeightAsDouble('RawData (GH)'!I1728)</f>
        <v>638</v>
      </c>
      <c r="L1728" s="34">
        <f>getSizeDiameter('RawData (GH)'!J1728)</f>
        <v>87</v>
      </c>
      <c r="M1728" s="34">
        <f>getSizeLength('RawData (GH)'!J1728)</f>
        <v>101.4</v>
      </c>
    </row>
    <row r="1729" spans="1:13" x14ac:dyDescent="0.25">
      <c r="A1729" t="str">
        <f>'RawData (GH)'!A1729</f>
        <v>Walimex Pro 14mm 3.1 VDSLR für Fujifilm X schwarz</v>
      </c>
      <c r="B1729" s="5">
        <f>getFocalLengthStart('RawData (GH)'!B1729)</f>
        <v>14</v>
      </c>
      <c r="C1729" s="5">
        <f>getFocalLengthEnd('RawData (GH)'!B1729)</f>
        <v>14</v>
      </c>
      <c r="D1729" s="9">
        <f>getApertureStart('RawData (GH)'!C1729)</f>
        <v>3.1</v>
      </c>
      <c r="E1729" s="9">
        <f>getApertureEnd('RawData (GH)'!C1729)</f>
        <v>3.1</v>
      </c>
      <c r="F1729" s="2">
        <f>getFiltersizeAsDouble('RawData (GH)'!D1729)</f>
        <v>0</v>
      </c>
      <c r="G1729" s="35">
        <f>getMagnification('RawData (GH)'!E1729)</f>
        <v>0</v>
      </c>
      <c r="H1729" s="62">
        <f>getMinimalFocus('RawData (GH)'!F1729)</f>
        <v>0</v>
      </c>
      <c r="I1729" t="str">
        <f>getMount('RawData (GH)'!G1729)</f>
        <v>Fujifilm X</v>
      </c>
      <c r="J1729" t="str">
        <f>getSensorCompatibility('RawData (GH)'!H1729)</f>
        <v>APS-C/ Kleinbild</v>
      </c>
      <c r="K1729" s="45">
        <f>getWeightAsDouble('RawData (GH)'!I1729)</f>
        <v>620</v>
      </c>
      <c r="L1729" s="34">
        <f>getSizeDiameter('RawData (GH)'!J1729)</f>
        <v>87</v>
      </c>
      <c r="M1729" s="34">
        <f>getSizeLength('RawData (GH)'!J1729)</f>
        <v>96.1</v>
      </c>
    </row>
    <row r="1730" spans="1:13" x14ac:dyDescent="0.25">
      <c r="A1730" t="str">
        <f>'RawData (GH)'!A1730</f>
        <v>Walimex Pro 14mm 3.1 VDSLR für Micro-Four-Thirds schwarz</v>
      </c>
      <c r="B1730" s="5">
        <f>getFocalLengthStart('RawData (GH)'!B1730)</f>
        <v>14</v>
      </c>
      <c r="C1730" s="5">
        <f>getFocalLengthEnd('RawData (GH)'!B1730)</f>
        <v>14</v>
      </c>
      <c r="D1730" s="9">
        <f>getApertureStart('RawData (GH)'!C1730)</f>
        <v>3.1</v>
      </c>
      <c r="E1730" s="9">
        <f>getApertureEnd('RawData (GH)'!C1730)</f>
        <v>3.1</v>
      </c>
      <c r="F1730" s="2">
        <f>getFiltersizeAsDouble('RawData (GH)'!D1730)</f>
        <v>0</v>
      </c>
      <c r="G1730" s="35">
        <f>getMagnification('RawData (GH)'!E1730)</f>
        <v>0</v>
      </c>
      <c r="H1730" s="62">
        <f>getMinimalFocus('RawData (GH)'!F1730)</f>
        <v>0</v>
      </c>
      <c r="I1730" t="str">
        <f>getMount('RawData (GH)'!G1730)</f>
        <v>Micro-Four-Thirds</v>
      </c>
      <c r="J1730" t="str">
        <f>getSensorCompatibility('RawData (GH)'!H1730)</f>
        <v>Four-Thirds</v>
      </c>
      <c r="K1730" s="45">
        <f>getWeightAsDouble('RawData (GH)'!I1730)</f>
        <v>638</v>
      </c>
      <c r="L1730" s="34">
        <f>getSizeDiameter('RawData (GH)'!J1730)</f>
        <v>87</v>
      </c>
      <c r="M1730" s="34">
        <f>getSizeLength('RawData (GH)'!J1730)</f>
        <v>101.4</v>
      </c>
    </row>
    <row r="1731" spans="1:13" x14ac:dyDescent="0.25">
      <c r="A1731" t="str">
        <f>'RawData (GH)'!A1731</f>
        <v>Walimex Pro 14mm 3.1 VDSLR für Nikon 1 schwarz</v>
      </c>
      <c r="B1731" s="5">
        <f>getFocalLengthStart('RawData (GH)'!B1731)</f>
        <v>14</v>
      </c>
      <c r="C1731" s="5">
        <f>getFocalLengthEnd('RawData (GH)'!B1731)</f>
        <v>14</v>
      </c>
      <c r="D1731" s="9">
        <f>getApertureStart('RawData (GH)'!C1731)</f>
        <v>3.1</v>
      </c>
      <c r="E1731" s="9">
        <f>getApertureEnd('RawData (GH)'!C1731)</f>
        <v>3.1</v>
      </c>
      <c r="F1731" s="2">
        <f>getFiltersizeAsDouble('RawData (GH)'!D1731)</f>
        <v>0</v>
      </c>
      <c r="G1731" s="35">
        <f>getMagnification('RawData (GH)'!E1731)</f>
        <v>0</v>
      </c>
      <c r="H1731" s="62">
        <f>getMinimalFocus('RawData (GH)'!F1731)</f>
        <v>0</v>
      </c>
      <c r="I1731" t="str">
        <f>getMount('RawData (GH)'!G1731)</f>
        <v>Nikon 1</v>
      </c>
      <c r="J1731" t="str">
        <f>getSensorCompatibility('RawData (GH)'!H1731)</f>
        <v>APS-C/ Kleinbild</v>
      </c>
      <c r="K1731" s="45">
        <f>getWeightAsDouble('RawData (GH)'!I1731)</f>
        <v>605</v>
      </c>
      <c r="L1731" s="34">
        <f>getSizeDiameter('RawData (GH)'!J1731)</f>
        <v>87</v>
      </c>
      <c r="M1731" s="34">
        <f>getSizeLength('RawData (GH)'!J1731)</f>
        <v>93.6</v>
      </c>
    </row>
    <row r="1732" spans="1:13" x14ac:dyDescent="0.25">
      <c r="A1732" t="str">
        <f>'RawData (GH)'!A1732</f>
        <v>Walimex Pro 14mm 3.1 VDSLR für Nikon F schwarz</v>
      </c>
      <c r="B1732" s="5">
        <f>getFocalLengthStart('RawData (GH)'!B1732)</f>
        <v>14</v>
      </c>
      <c r="C1732" s="5">
        <f>getFocalLengthEnd('RawData (GH)'!B1732)</f>
        <v>14</v>
      </c>
      <c r="D1732" s="9">
        <f>getApertureStart('RawData (GH)'!C1732)</f>
        <v>3.1</v>
      </c>
      <c r="E1732" s="9">
        <f>getApertureEnd('RawData (GH)'!C1732)</f>
        <v>3.1</v>
      </c>
      <c r="F1732" s="2">
        <f>getFiltersizeAsDouble('RawData (GH)'!D1732)</f>
        <v>0</v>
      </c>
      <c r="G1732" s="35">
        <f>getMagnification('RawData (GH)'!E1732)</f>
        <v>0</v>
      </c>
      <c r="H1732" s="62">
        <f>getMinimalFocus('RawData (GH)'!F1732)</f>
        <v>0</v>
      </c>
      <c r="I1732" t="str">
        <f>getMount('RawData (GH)'!G1732)</f>
        <v>Nikon F</v>
      </c>
      <c r="J1732" t="str">
        <f>getSensorCompatibility('RawData (GH)'!H1732)</f>
        <v>APS-C/ Kleinbild</v>
      </c>
      <c r="K1732" s="45">
        <f>getWeightAsDouble('RawData (GH)'!I1732)</f>
        <v>605</v>
      </c>
      <c r="L1732" s="34">
        <f>getSizeDiameter('RawData (GH)'!J1732)</f>
        <v>87</v>
      </c>
      <c r="M1732" s="34">
        <f>getSizeLength('RawData (GH)'!J1732)</f>
        <v>93.6</v>
      </c>
    </row>
    <row r="1733" spans="1:13" x14ac:dyDescent="0.25">
      <c r="A1733" t="str">
        <f>'RawData (GH)'!A1733</f>
        <v>Walimex Pro 14mm 3.1 VDSLR für Samsung NX schwarz</v>
      </c>
      <c r="B1733" s="5">
        <f>getFocalLengthStart('RawData (GH)'!B1733)</f>
        <v>14</v>
      </c>
      <c r="C1733" s="5">
        <f>getFocalLengthEnd('RawData (GH)'!B1733)</f>
        <v>14</v>
      </c>
      <c r="D1733" s="9">
        <f>getApertureStart('RawData (GH)'!C1733)</f>
        <v>3.1</v>
      </c>
      <c r="E1733" s="9">
        <f>getApertureEnd('RawData (GH)'!C1733)</f>
        <v>3.1</v>
      </c>
      <c r="F1733" s="2">
        <f>getFiltersizeAsDouble('RawData (GH)'!D1733)</f>
        <v>0</v>
      </c>
      <c r="G1733" s="35">
        <f>getMagnification('RawData (GH)'!E1733)</f>
        <v>0</v>
      </c>
      <c r="H1733" s="62">
        <f>getMinimalFocus('RawData (GH)'!F1733)</f>
        <v>0</v>
      </c>
      <c r="I1733" t="str">
        <f>getMount('RawData (GH)'!G1733)</f>
        <v>Samsung NX</v>
      </c>
      <c r="J1733" t="str">
        <f>getSensorCompatibility('RawData (GH)'!H1733)</f>
        <v>APS-C</v>
      </c>
      <c r="K1733" s="45">
        <f>getWeightAsDouble('RawData (GH)'!I1733)</f>
        <v>624</v>
      </c>
      <c r="L1733" s="34">
        <f>getSizeDiameter('RawData (GH)'!J1733)</f>
        <v>87</v>
      </c>
      <c r="M1733" s="34">
        <f>getSizeLength('RawData (GH)'!J1733)</f>
        <v>114.6</v>
      </c>
    </row>
    <row r="1734" spans="1:13" x14ac:dyDescent="0.25">
      <c r="A1734" t="str">
        <f>'RawData (GH)'!A1734</f>
        <v>Walimex Pro 14mm 3.1 VDSLR für Sony A schwarz</v>
      </c>
      <c r="B1734" s="5">
        <f>getFocalLengthStart('RawData (GH)'!B1734)</f>
        <v>14</v>
      </c>
      <c r="C1734" s="5">
        <f>getFocalLengthEnd('RawData (GH)'!B1734)</f>
        <v>14</v>
      </c>
      <c r="D1734" s="9">
        <f>getApertureStart('RawData (GH)'!C1734)</f>
        <v>3.1</v>
      </c>
      <c r="E1734" s="9">
        <f>getApertureEnd('RawData (GH)'!C1734)</f>
        <v>3.1</v>
      </c>
      <c r="F1734" s="2">
        <f>getFiltersizeAsDouble('RawData (GH)'!D1734)</f>
        <v>0</v>
      </c>
      <c r="G1734" s="35">
        <f>getMagnification('RawData (GH)'!E1734)</f>
        <v>0</v>
      </c>
      <c r="H1734" s="62">
        <f>getMinimalFocus('RawData (GH)'!F1734)</f>
        <v>0</v>
      </c>
      <c r="I1734" t="str">
        <f>getMount('RawData (GH)'!G1734)</f>
        <v>Sony A</v>
      </c>
      <c r="J1734" t="str">
        <f>getSensorCompatibility('RawData (GH)'!H1734)</f>
        <v>APS-C</v>
      </c>
      <c r="K1734" s="45">
        <f>getWeightAsDouble('RawData (GH)'!I1734)</f>
        <v>614</v>
      </c>
      <c r="L1734" s="34">
        <f>getSizeDiameter('RawData (GH)'!J1734)</f>
        <v>87</v>
      </c>
      <c r="M1734" s="34">
        <f>getSizeLength('RawData (GH)'!J1734)</f>
        <v>95.6</v>
      </c>
    </row>
    <row r="1735" spans="1:13" x14ac:dyDescent="0.25">
      <c r="A1735" t="str">
        <f>'RawData (GH)'!A1735</f>
        <v>Walimex Pro 14mm 3.1 VDSLR für Sony E schwarz</v>
      </c>
      <c r="B1735" s="5">
        <f>getFocalLengthStart('RawData (GH)'!B1735)</f>
        <v>14</v>
      </c>
      <c r="C1735" s="5">
        <f>getFocalLengthEnd('RawData (GH)'!B1735)</f>
        <v>14</v>
      </c>
      <c r="D1735" s="9">
        <f>getApertureStart('RawData (GH)'!C1735)</f>
        <v>3.1</v>
      </c>
      <c r="E1735" s="9">
        <f>getApertureEnd('RawData (GH)'!C1735)</f>
        <v>3.1</v>
      </c>
      <c r="F1735" s="2">
        <f>getFiltersizeAsDouble('RawData (GH)'!D1735)</f>
        <v>0</v>
      </c>
      <c r="G1735" s="35">
        <f>getMagnification('RawData (GH)'!E1735)</f>
        <v>0</v>
      </c>
      <c r="H1735" s="62">
        <f>getMinimalFocus('RawData (GH)'!F1735)</f>
        <v>0</v>
      </c>
      <c r="I1735" t="str">
        <f>getMount('RawData (GH)'!G1735)</f>
        <v>Sony E</v>
      </c>
      <c r="J1735" t="str">
        <f>getSensorCompatibility('RawData (GH)'!H1735)</f>
        <v>APS-C/ Kleinbild</v>
      </c>
      <c r="K1735" s="45">
        <f>getWeightAsDouble('RawData (GH)'!I1735)</f>
        <v>643</v>
      </c>
      <c r="L1735" s="34">
        <f>getSizeDiameter('RawData (GH)'!J1735)</f>
        <v>87</v>
      </c>
      <c r="M1735" s="34">
        <f>getSizeLength('RawData (GH)'!J1735)</f>
        <v>122.1</v>
      </c>
    </row>
    <row r="1736" spans="1:13" x14ac:dyDescent="0.25">
      <c r="A1736" t="str">
        <f>'RawData (GH)'!A1736</f>
        <v>Walimex Pro 16mm 2.0 für Canon EF schwarz</v>
      </c>
      <c r="B1736" s="5">
        <f>getFocalLengthStart('RawData (GH)'!B1736)</f>
        <v>16</v>
      </c>
      <c r="C1736" s="5">
        <f>getFocalLengthEnd('RawData (GH)'!B1736)</f>
        <v>16</v>
      </c>
      <c r="D1736" s="9">
        <f>getApertureStart('RawData (GH)'!C1736)</f>
        <v>2</v>
      </c>
      <c r="E1736" s="9">
        <f>getApertureEnd('RawData (GH)'!C1736)</f>
        <v>2</v>
      </c>
      <c r="F1736" s="2">
        <f>getFiltersizeAsDouble('RawData (GH)'!D1736)</f>
        <v>77</v>
      </c>
      <c r="G1736" s="35">
        <f>getMagnification('RawData (GH)'!E1736)</f>
        <v>0</v>
      </c>
      <c r="H1736" s="62">
        <f>getMinimalFocus('RawData (GH)'!F1736)</f>
        <v>0</v>
      </c>
      <c r="I1736" t="str">
        <f>getMount('RawData (GH)'!G1736)</f>
        <v>Canon EF</v>
      </c>
      <c r="J1736" t="str">
        <f>getSensorCompatibility('RawData (GH)'!H1736)</f>
        <v>APS-C</v>
      </c>
      <c r="K1736" s="45">
        <f>getWeightAsDouble('RawData (GH)'!I1736)</f>
        <v>583</v>
      </c>
      <c r="L1736" s="34">
        <f>getSizeDiameter('RawData (GH)'!J1736)</f>
        <v>83</v>
      </c>
      <c r="M1736" s="34">
        <f>getSizeLength('RawData (GH)'!J1736)</f>
        <v>89</v>
      </c>
    </row>
    <row r="1737" spans="1:13" x14ac:dyDescent="0.25">
      <c r="A1737" t="str">
        <f>'RawData (GH)'!A1737</f>
        <v>Walimex Pro 16mm 2.0 für Fujifilm X schwarz</v>
      </c>
      <c r="B1737" s="5">
        <f>getFocalLengthStart('RawData (GH)'!B1737)</f>
        <v>16</v>
      </c>
      <c r="C1737" s="5">
        <f>getFocalLengthEnd('RawData (GH)'!B1737)</f>
        <v>16</v>
      </c>
      <c r="D1737" s="9">
        <f>getApertureStart('RawData (GH)'!C1737)</f>
        <v>2</v>
      </c>
      <c r="E1737" s="9">
        <f>getApertureEnd('RawData (GH)'!C1737)</f>
        <v>2</v>
      </c>
      <c r="F1737" s="2">
        <f>getFiltersizeAsDouble('RawData (GH)'!D1737)</f>
        <v>77</v>
      </c>
      <c r="G1737" s="35">
        <f>getMagnification('RawData (GH)'!E1737)</f>
        <v>0</v>
      </c>
      <c r="H1737" s="62">
        <f>getMinimalFocus('RawData (GH)'!F1737)</f>
        <v>0</v>
      </c>
      <c r="I1737" t="str">
        <f>getMount('RawData (GH)'!G1737)</f>
        <v>Fujifilm X</v>
      </c>
      <c r="J1737" t="str">
        <f>getSensorCompatibility('RawData (GH)'!H1737)</f>
        <v>APS-C</v>
      </c>
      <c r="K1737" s="45">
        <f>getWeightAsDouble('RawData (GH)'!I1737)</f>
        <v>615</v>
      </c>
      <c r="L1737" s="34">
        <f>getSizeDiameter('RawData (GH)'!J1737)</f>
        <v>83</v>
      </c>
      <c r="M1737" s="34">
        <f>getSizeLength('RawData (GH)'!J1737)</f>
        <v>116</v>
      </c>
    </row>
    <row r="1738" spans="1:13" x14ac:dyDescent="0.25">
      <c r="A1738" t="str">
        <f>'RawData (GH)'!A1738</f>
        <v>Walimex Pro 16mm 2.0 für Micro-Four-Thirds schwarz</v>
      </c>
      <c r="B1738" s="5">
        <f>getFocalLengthStart('RawData (GH)'!B1738)</f>
        <v>16</v>
      </c>
      <c r="C1738" s="5">
        <f>getFocalLengthEnd('RawData (GH)'!B1738)</f>
        <v>16</v>
      </c>
      <c r="D1738" s="9">
        <f>getApertureStart('RawData (GH)'!C1738)</f>
        <v>2</v>
      </c>
      <c r="E1738" s="9">
        <f>getApertureEnd('RawData (GH)'!C1738)</f>
        <v>2</v>
      </c>
      <c r="F1738" s="2">
        <f>getFiltersizeAsDouble('RawData (GH)'!D1738)</f>
        <v>77</v>
      </c>
      <c r="G1738" s="35">
        <f>getMagnification('RawData (GH)'!E1738)</f>
        <v>0</v>
      </c>
      <c r="H1738" s="62">
        <f>getMinimalFocus('RawData (GH)'!F1738)</f>
        <v>0</v>
      </c>
      <c r="I1738" t="str">
        <f>getMount('RawData (GH)'!G1738)</f>
        <v>Micro-Four-Thirds</v>
      </c>
      <c r="J1738" t="str">
        <f>getSensorCompatibility('RawData (GH)'!H1738)</f>
        <v>Four-Thirds</v>
      </c>
      <c r="K1738" s="45">
        <f>getWeightAsDouble('RawData (GH)'!I1738)</f>
        <v>610</v>
      </c>
      <c r="L1738" s="34">
        <f>getSizeDiameter('RawData (GH)'!J1738)</f>
        <v>83</v>
      </c>
      <c r="M1738" s="34">
        <f>getSizeLength('RawData (GH)'!J1738)</f>
        <v>114</v>
      </c>
    </row>
    <row r="1739" spans="1:13" x14ac:dyDescent="0.25">
      <c r="A1739" t="str">
        <f>'RawData (GH)'!A1739</f>
        <v>Walimex Pro 16mm 2.0 für Nikon F schwarz</v>
      </c>
      <c r="B1739" s="5">
        <f>getFocalLengthStart('RawData (GH)'!B1739)</f>
        <v>16</v>
      </c>
      <c r="C1739" s="5">
        <f>getFocalLengthEnd('RawData (GH)'!B1739)</f>
        <v>16</v>
      </c>
      <c r="D1739" s="9">
        <f>getApertureStart('RawData (GH)'!C1739)</f>
        <v>2</v>
      </c>
      <c r="E1739" s="9">
        <f>getApertureEnd('RawData (GH)'!C1739)</f>
        <v>2</v>
      </c>
      <c r="F1739" s="2">
        <f>getFiltersizeAsDouble('RawData (GH)'!D1739)</f>
        <v>77</v>
      </c>
      <c r="G1739" s="35">
        <f>getMagnification('RawData (GH)'!E1739)</f>
        <v>0</v>
      </c>
      <c r="H1739" s="62">
        <f>getMinimalFocus('RawData (GH)'!F1739)</f>
        <v>0</v>
      </c>
      <c r="I1739" t="str">
        <f>getMount('RawData (GH)'!G1739)</f>
        <v>Nikon F</v>
      </c>
      <c r="J1739" t="str">
        <f>getSensorCompatibility('RawData (GH)'!H1739)</f>
        <v>APS-C</v>
      </c>
      <c r="K1739" s="45">
        <f>getWeightAsDouble('RawData (GH)'!I1739)</f>
        <v>571</v>
      </c>
      <c r="L1739" s="34">
        <f>getSizeDiameter('RawData (GH)'!J1739)</f>
        <v>83</v>
      </c>
      <c r="M1739" s="34">
        <f>getSizeLength('RawData (GH)'!J1739)</f>
        <v>87</v>
      </c>
    </row>
    <row r="1740" spans="1:13" x14ac:dyDescent="0.25">
      <c r="A1740" t="str">
        <f>'RawData (GH)'!A1740</f>
        <v>Walimex Pro 16mm 2.0 für Pentax K schwarz</v>
      </c>
      <c r="B1740" s="5">
        <f>getFocalLengthStart('RawData (GH)'!B1740)</f>
        <v>16</v>
      </c>
      <c r="C1740" s="5">
        <f>getFocalLengthEnd('RawData (GH)'!B1740)</f>
        <v>16</v>
      </c>
      <c r="D1740" s="9">
        <f>getApertureStart('RawData (GH)'!C1740)</f>
        <v>2</v>
      </c>
      <c r="E1740" s="9">
        <f>getApertureEnd('RawData (GH)'!C1740)</f>
        <v>2</v>
      </c>
      <c r="F1740" s="2">
        <f>getFiltersizeAsDouble('RawData (GH)'!D1740)</f>
        <v>77</v>
      </c>
      <c r="G1740" s="35">
        <f>getMagnification('RawData (GH)'!E1740)</f>
        <v>0</v>
      </c>
      <c r="H1740" s="62">
        <f>getMinimalFocus('RawData (GH)'!F1740)</f>
        <v>0</v>
      </c>
      <c r="I1740" t="str">
        <f>getMount('RawData (GH)'!G1740)</f>
        <v>Pentax K</v>
      </c>
      <c r="J1740" t="str">
        <f>getSensorCompatibility('RawData (GH)'!H1740)</f>
        <v>APS-C</v>
      </c>
      <c r="K1740" s="45">
        <f>getWeightAsDouble('RawData (GH)'!I1740)</f>
        <v>574</v>
      </c>
      <c r="L1740" s="34">
        <f>getSizeDiameter('RawData (GH)'!J1740)</f>
        <v>83</v>
      </c>
      <c r="M1740" s="34">
        <f>getSizeLength('RawData (GH)'!J1740)</f>
        <v>88</v>
      </c>
    </row>
    <row r="1741" spans="1:13" x14ac:dyDescent="0.25">
      <c r="A1741" t="str">
        <f>'RawData (GH)'!A1741</f>
        <v>Walimex Pro 16mm 2.0 für Samsung NX schwarz</v>
      </c>
      <c r="B1741" s="5">
        <f>getFocalLengthStart('RawData (GH)'!B1741)</f>
        <v>16</v>
      </c>
      <c r="C1741" s="5">
        <f>getFocalLengthEnd('RawData (GH)'!B1741)</f>
        <v>16</v>
      </c>
      <c r="D1741" s="9">
        <f>getApertureStart('RawData (GH)'!C1741)</f>
        <v>2</v>
      </c>
      <c r="E1741" s="9">
        <f>getApertureEnd('RawData (GH)'!C1741)</f>
        <v>2</v>
      </c>
      <c r="F1741" s="2">
        <f>getFiltersizeAsDouble('RawData (GH)'!D1741)</f>
        <v>77</v>
      </c>
      <c r="G1741" s="35">
        <f>getMagnification('RawData (GH)'!E1741)</f>
        <v>0</v>
      </c>
      <c r="H1741" s="62">
        <f>getMinimalFocus('RawData (GH)'!F1741)</f>
        <v>0</v>
      </c>
      <c r="I1741" t="str">
        <f>getMount('RawData (GH)'!G1741)</f>
        <v>Samsung NX</v>
      </c>
      <c r="J1741" t="str">
        <f>getSensorCompatibility('RawData (GH)'!H1741)</f>
        <v>APS-C</v>
      </c>
      <c r="K1741" s="45">
        <f>getWeightAsDouble('RawData (GH)'!I1741)</f>
        <v>605</v>
      </c>
      <c r="L1741" s="34">
        <f>getSizeDiameter('RawData (GH)'!J1741)</f>
        <v>83</v>
      </c>
      <c r="M1741" s="34">
        <f>getSizeLength('RawData (GH)'!J1741)</f>
        <v>108</v>
      </c>
    </row>
    <row r="1742" spans="1:13" x14ac:dyDescent="0.25">
      <c r="A1742" t="str">
        <f>'RawData (GH)'!A1742</f>
        <v>Walimex Pro 16mm 2.0 für Sony E schwarz</v>
      </c>
      <c r="B1742" s="5">
        <f>getFocalLengthStart('RawData (GH)'!B1742)</f>
        <v>16</v>
      </c>
      <c r="C1742" s="5">
        <f>getFocalLengthEnd('RawData (GH)'!B1742)</f>
        <v>16</v>
      </c>
      <c r="D1742" s="9">
        <f>getApertureStart('RawData (GH)'!C1742)</f>
        <v>2</v>
      </c>
      <c r="E1742" s="9">
        <f>getApertureEnd('RawData (GH)'!C1742)</f>
        <v>2</v>
      </c>
      <c r="F1742" s="2">
        <f>getFiltersizeAsDouble('RawData (GH)'!D1742)</f>
        <v>77</v>
      </c>
      <c r="G1742" s="35">
        <f>getMagnification('RawData (GH)'!E1742)</f>
        <v>0</v>
      </c>
      <c r="H1742" s="62">
        <f>getMinimalFocus('RawData (GH)'!F1742)</f>
        <v>0</v>
      </c>
      <c r="I1742" t="str">
        <f>getMount('RawData (GH)'!G1742)</f>
        <v>Sony E</v>
      </c>
      <c r="J1742" t="str">
        <f>getSensorCompatibility('RawData (GH)'!H1742)</f>
        <v>APS-C</v>
      </c>
      <c r="K1742" s="45">
        <f>getWeightAsDouble('RawData (GH)'!I1742)</f>
        <v>575</v>
      </c>
      <c r="L1742" s="34">
        <f>getSizeDiameter('RawData (GH)'!J1742)</f>
        <v>83</v>
      </c>
      <c r="M1742" s="34">
        <f>getSizeLength('RawData (GH)'!J1742)</f>
        <v>89</v>
      </c>
    </row>
    <row r="1743" spans="1:13" x14ac:dyDescent="0.25">
      <c r="A1743" t="str">
        <f>'RawData (GH)'!A1743</f>
        <v>Walimex Pro 16mm 2.2 VDSLR für Canon EF schwarz</v>
      </c>
      <c r="B1743" s="5">
        <f>getFocalLengthStart('RawData (GH)'!B1743)</f>
        <v>16</v>
      </c>
      <c r="C1743" s="5">
        <f>getFocalLengthEnd('RawData (GH)'!B1743)</f>
        <v>16</v>
      </c>
      <c r="D1743" s="9">
        <f>getApertureStart('RawData (GH)'!C1743)</f>
        <v>2.2000000000000002</v>
      </c>
      <c r="E1743" s="9">
        <f>getApertureEnd('RawData (GH)'!C1743)</f>
        <v>2.2000000000000002</v>
      </c>
      <c r="F1743" s="2">
        <f>getFiltersizeAsDouble('RawData (GH)'!D1743)</f>
        <v>77</v>
      </c>
      <c r="G1743" s="35">
        <f>getMagnification('RawData (GH)'!E1743)</f>
        <v>0</v>
      </c>
      <c r="H1743" s="62">
        <f>getMinimalFocus('RawData (GH)'!F1743)</f>
        <v>0</v>
      </c>
      <c r="I1743" t="str">
        <f>getMount('RawData (GH)'!G1743)</f>
        <v>Canon EF</v>
      </c>
      <c r="J1743" t="str">
        <f>getSensorCompatibility('RawData (GH)'!H1743)</f>
        <v>APS-C</v>
      </c>
      <c r="K1743" s="45">
        <f>getWeightAsDouble('RawData (GH)'!I1743)</f>
        <v>590</v>
      </c>
      <c r="L1743" s="34">
        <f>getSizeDiameter('RawData (GH)'!J1743)</f>
        <v>83</v>
      </c>
      <c r="M1743" s="34">
        <f>getSizeLength('RawData (GH)'!J1743)</f>
        <v>89.4</v>
      </c>
    </row>
    <row r="1744" spans="1:13" x14ac:dyDescent="0.25">
      <c r="A1744" t="str">
        <f>'RawData (GH)'!A1744</f>
        <v>Walimex Pro 16mm 2.2 VDSLR für Canon EF-M schwarz</v>
      </c>
      <c r="B1744" s="5">
        <f>getFocalLengthStart('RawData (GH)'!B1744)</f>
        <v>16</v>
      </c>
      <c r="C1744" s="5">
        <f>getFocalLengthEnd('RawData (GH)'!B1744)</f>
        <v>16</v>
      </c>
      <c r="D1744" s="9">
        <f>getApertureStart('RawData (GH)'!C1744)</f>
        <v>2.2000000000000002</v>
      </c>
      <c r="E1744" s="9">
        <f>getApertureEnd('RawData (GH)'!C1744)</f>
        <v>2.2000000000000002</v>
      </c>
      <c r="F1744" s="2">
        <f>getFiltersizeAsDouble('RawData (GH)'!D1744)</f>
        <v>77</v>
      </c>
      <c r="G1744" s="35">
        <f>getMagnification('RawData (GH)'!E1744)</f>
        <v>0</v>
      </c>
      <c r="H1744" s="62">
        <f>getMinimalFocus('RawData (GH)'!F1744)</f>
        <v>0</v>
      </c>
      <c r="I1744" t="str">
        <f>getMount('RawData (GH)'!G1744)</f>
        <v>Canon EF-M</v>
      </c>
      <c r="J1744" t="str">
        <f>getSensorCompatibility('RawData (GH)'!H1744)</f>
        <v>APS-C</v>
      </c>
      <c r="K1744" s="45">
        <f>getWeightAsDouble('RawData (GH)'!I1744)</f>
        <v>620</v>
      </c>
      <c r="L1744" s="34">
        <f>getSizeDiameter('RawData (GH)'!J1744)</f>
        <v>83</v>
      </c>
      <c r="M1744" s="34">
        <f>getSizeLength('RawData (GH)'!J1744)</f>
        <v>115.3</v>
      </c>
    </row>
    <row r="1745" spans="1:13" x14ac:dyDescent="0.25">
      <c r="A1745" t="str">
        <f>'RawData (GH)'!A1745</f>
        <v>Walimex Pro 16mm 2.2 VDSLR für Four-Thirds schwarz</v>
      </c>
      <c r="B1745" s="5">
        <f>getFocalLengthStart('RawData (GH)'!B1745)</f>
        <v>16</v>
      </c>
      <c r="C1745" s="5">
        <f>getFocalLengthEnd('RawData (GH)'!B1745)</f>
        <v>16</v>
      </c>
      <c r="D1745" s="9">
        <f>getApertureStart('RawData (GH)'!C1745)</f>
        <v>2.2000000000000002</v>
      </c>
      <c r="E1745" s="9">
        <f>getApertureEnd('RawData (GH)'!C1745)</f>
        <v>2.2000000000000002</v>
      </c>
      <c r="F1745" s="2">
        <f>getFiltersizeAsDouble('RawData (GH)'!D1745)</f>
        <v>77</v>
      </c>
      <c r="G1745" s="35">
        <f>getMagnification('RawData (GH)'!E1745)</f>
        <v>0</v>
      </c>
      <c r="H1745" s="62">
        <f>getMinimalFocus('RawData (GH)'!F1745)</f>
        <v>0</v>
      </c>
      <c r="I1745" t="str">
        <f>getMount('RawData (GH)'!G1745)</f>
        <v>Four-Thirds</v>
      </c>
      <c r="J1745" t="str">
        <f>getSensorCompatibility('RawData (GH)'!H1745)</f>
        <v>APS-C</v>
      </c>
      <c r="K1745" s="45">
        <f>getWeightAsDouble('RawData (GH)'!I1745)</f>
        <v>610</v>
      </c>
      <c r="L1745" s="34">
        <f>getSizeDiameter('RawData (GH)'!J1745)</f>
        <v>83</v>
      </c>
      <c r="M1745" s="34">
        <f>getSizeLength('RawData (GH)'!J1745)</f>
        <v>94.7</v>
      </c>
    </row>
    <row r="1746" spans="1:13" x14ac:dyDescent="0.25">
      <c r="A1746" t="str">
        <f>'RawData (GH)'!A1746</f>
        <v>Walimex Pro 16mm 2.2 VDSLR für Fujifilm X schwarz</v>
      </c>
      <c r="B1746" s="5">
        <f>getFocalLengthStart('RawData (GH)'!B1746)</f>
        <v>16</v>
      </c>
      <c r="C1746" s="5">
        <f>getFocalLengthEnd('RawData (GH)'!B1746)</f>
        <v>16</v>
      </c>
      <c r="D1746" s="9">
        <f>getApertureStart('RawData (GH)'!C1746)</f>
        <v>2.2000000000000002</v>
      </c>
      <c r="E1746" s="9">
        <f>getApertureEnd('RawData (GH)'!C1746)</f>
        <v>2.2000000000000002</v>
      </c>
      <c r="F1746" s="2">
        <f>getFiltersizeAsDouble('RawData (GH)'!D1746)</f>
        <v>77</v>
      </c>
      <c r="G1746" s="35">
        <f>getMagnification('RawData (GH)'!E1746)</f>
        <v>0</v>
      </c>
      <c r="H1746" s="62">
        <f>getMinimalFocus('RawData (GH)'!F1746)</f>
        <v>0</v>
      </c>
      <c r="I1746" t="str">
        <f>getMount('RawData (GH)'!G1746)</f>
        <v>Fujifilm X</v>
      </c>
      <c r="J1746" t="str">
        <f>getSensorCompatibility('RawData (GH)'!H1746)</f>
        <v>APS-C</v>
      </c>
      <c r="K1746" s="45">
        <f>getWeightAsDouble('RawData (GH)'!I1746)</f>
        <v>625</v>
      </c>
      <c r="L1746" s="34">
        <f>getSizeDiameter('RawData (GH)'!J1746)</f>
        <v>83</v>
      </c>
      <c r="M1746" s="34">
        <f>getSizeLength('RawData (GH)'!J1746)</f>
        <v>115.7</v>
      </c>
    </row>
    <row r="1747" spans="1:13" x14ac:dyDescent="0.25">
      <c r="A1747" t="str">
        <f>'RawData (GH)'!A1747</f>
        <v>Walimex Pro 16mm 2.2 VDSLR für Micro-Four-Thirds schwarz</v>
      </c>
      <c r="B1747" s="5">
        <f>getFocalLengthStart('RawData (GH)'!B1747)</f>
        <v>16</v>
      </c>
      <c r="C1747" s="5">
        <f>getFocalLengthEnd('RawData (GH)'!B1747)</f>
        <v>16</v>
      </c>
      <c r="D1747" s="9">
        <f>getApertureStart('RawData (GH)'!C1747)</f>
        <v>2.2000000000000002</v>
      </c>
      <c r="E1747" s="9">
        <f>getApertureEnd('RawData (GH)'!C1747)</f>
        <v>2.2000000000000002</v>
      </c>
      <c r="F1747" s="2">
        <f>getFiltersizeAsDouble('RawData (GH)'!D1747)</f>
        <v>77</v>
      </c>
      <c r="G1747" s="35">
        <f>getMagnification('RawData (GH)'!E1747)</f>
        <v>0</v>
      </c>
      <c r="H1747" s="62">
        <f>getMinimalFocus('RawData (GH)'!F1747)</f>
        <v>0</v>
      </c>
      <c r="I1747" t="str">
        <f>getMount('RawData (GH)'!G1747)</f>
        <v>Micro-Four-Thirds</v>
      </c>
      <c r="J1747" t="str">
        <f>getSensorCompatibility('RawData (GH)'!H1747)</f>
        <v>Four-Thirds</v>
      </c>
      <c r="K1747" s="45">
        <f>getWeightAsDouble('RawData (GH)'!I1747)</f>
        <v>620</v>
      </c>
      <c r="L1747" s="34">
        <f>getSizeDiameter('RawData (GH)'!J1747)</f>
        <v>83</v>
      </c>
      <c r="M1747" s="34">
        <f>getSizeLength('RawData (GH)'!J1747)</f>
        <v>114.2</v>
      </c>
    </row>
    <row r="1748" spans="1:13" x14ac:dyDescent="0.25">
      <c r="A1748" t="str">
        <f>'RawData (GH)'!A1748</f>
        <v>Walimex Pro 16mm 2.2 VDSLR für Nikon F schwarz</v>
      </c>
      <c r="B1748" s="5">
        <f>getFocalLengthStart('RawData (GH)'!B1748)</f>
        <v>16</v>
      </c>
      <c r="C1748" s="5">
        <f>getFocalLengthEnd('RawData (GH)'!B1748)</f>
        <v>16</v>
      </c>
      <c r="D1748" s="9">
        <f>getApertureStart('RawData (GH)'!C1748)</f>
        <v>2.2000000000000002</v>
      </c>
      <c r="E1748" s="9">
        <f>getApertureEnd('RawData (GH)'!C1748)</f>
        <v>2.2000000000000002</v>
      </c>
      <c r="F1748" s="2">
        <f>getFiltersizeAsDouble('RawData (GH)'!D1748)</f>
        <v>77</v>
      </c>
      <c r="G1748" s="35">
        <f>getMagnification('RawData (GH)'!E1748)</f>
        <v>0</v>
      </c>
      <c r="H1748" s="62">
        <f>getMinimalFocus('RawData (GH)'!F1748)</f>
        <v>0</v>
      </c>
      <c r="I1748" t="str">
        <f>getMount('RawData (GH)'!G1748)</f>
        <v>Nikon F</v>
      </c>
      <c r="J1748" t="str">
        <f>getSensorCompatibility('RawData (GH)'!H1748)</f>
        <v>APS-C</v>
      </c>
      <c r="K1748" s="45">
        <f>getWeightAsDouble('RawData (GH)'!I1748)</f>
        <v>580</v>
      </c>
      <c r="L1748" s="34">
        <f>getSizeDiameter('RawData (GH)'!J1748)</f>
        <v>83</v>
      </c>
      <c r="M1748" s="34">
        <f>getSizeLength('RawData (GH)'!J1748)</f>
        <v>86.9</v>
      </c>
    </row>
    <row r="1749" spans="1:13" x14ac:dyDescent="0.25">
      <c r="A1749" t="str">
        <f>'RawData (GH)'!A1749</f>
        <v>Walimex Pro 16mm 2.2 VDSLR für Pentax K schwarz</v>
      </c>
      <c r="B1749" s="5">
        <f>getFocalLengthStart('RawData (GH)'!B1749)</f>
        <v>16</v>
      </c>
      <c r="C1749" s="5">
        <f>getFocalLengthEnd('RawData (GH)'!B1749)</f>
        <v>16</v>
      </c>
      <c r="D1749" s="9">
        <f>getApertureStart('RawData (GH)'!C1749)</f>
        <v>2.2000000000000002</v>
      </c>
      <c r="E1749" s="9">
        <f>getApertureEnd('RawData (GH)'!C1749)</f>
        <v>2.2000000000000002</v>
      </c>
      <c r="F1749" s="2">
        <f>getFiltersizeAsDouble('RawData (GH)'!D1749)</f>
        <v>77</v>
      </c>
      <c r="G1749" s="35">
        <f>getMagnification('RawData (GH)'!E1749)</f>
        <v>0</v>
      </c>
      <c r="H1749" s="62">
        <f>getMinimalFocus('RawData (GH)'!F1749)</f>
        <v>0</v>
      </c>
      <c r="I1749" t="str">
        <f>getMount('RawData (GH)'!G1749)</f>
        <v>Pentax K</v>
      </c>
      <c r="J1749" t="str">
        <f>getSensorCompatibility('RawData (GH)'!H1749)</f>
        <v>APS-C</v>
      </c>
      <c r="K1749" s="45">
        <f>getWeightAsDouble('RawData (GH)'!I1749)</f>
        <v>580</v>
      </c>
      <c r="L1749" s="34">
        <f>getSizeDiameter('RawData (GH)'!J1749)</f>
        <v>83</v>
      </c>
      <c r="M1749" s="34">
        <f>getSizeLength('RawData (GH)'!J1749)</f>
        <v>87.9</v>
      </c>
    </row>
    <row r="1750" spans="1:13" x14ac:dyDescent="0.25">
      <c r="A1750" t="str">
        <f>'RawData (GH)'!A1750</f>
        <v>Walimex Pro 16mm 2.2 VDSLR für Samsung NX schwarz</v>
      </c>
      <c r="B1750" s="5">
        <f>getFocalLengthStart('RawData (GH)'!B1750)</f>
        <v>16</v>
      </c>
      <c r="C1750" s="5">
        <f>getFocalLengthEnd('RawData (GH)'!B1750)</f>
        <v>16</v>
      </c>
      <c r="D1750" s="9">
        <f>getApertureStart('RawData (GH)'!C1750)</f>
        <v>2.2000000000000002</v>
      </c>
      <c r="E1750" s="9">
        <f>getApertureEnd('RawData (GH)'!C1750)</f>
        <v>2.2000000000000002</v>
      </c>
      <c r="F1750" s="2">
        <f>getFiltersizeAsDouble('RawData (GH)'!D1750)</f>
        <v>77</v>
      </c>
      <c r="G1750" s="35">
        <f>getMagnification('RawData (GH)'!E1750)</f>
        <v>0</v>
      </c>
      <c r="H1750" s="62">
        <f>getMinimalFocus('RawData (GH)'!F1750)</f>
        <v>0</v>
      </c>
      <c r="I1750" t="str">
        <f>getMount('RawData (GH)'!G1750)</f>
        <v>Samsung NX</v>
      </c>
      <c r="J1750" t="str">
        <f>getSensorCompatibility('RawData (GH)'!H1750)</f>
        <v>APS-C</v>
      </c>
      <c r="K1750" s="45">
        <f>getWeightAsDouble('RawData (GH)'!I1750)</f>
        <v>615</v>
      </c>
      <c r="L1750" s="34">
        <f>getSizeDiameter('RawData (GH)'!J1750)</f>
        <v>83</v>
      </c>
      <c r="M1750" s="34">
        <f>getSizeLength('RawData (GH)'!J1750)</f>
        <v>107.9</v>
      </c>
    </row>
    <row r="1751" spans="1:13" x14ac:dyDescent="0.25">
      <c r="A1751" t="str">
        <f>'RawData (GH)'!A1751</f>
        <v>Walimex Pro 16mm 2.2 VDSLR für Sony A schwarz</v>
      </c>
      <c r="B1751" s="5">
        <f>getFocalLengthStart('RawData (GH)'!B1751)</f>
        <v>16</v>
      </c>
      <c r="C1751" s="5">
        <f>getFocalLengthEnd('RawData (GH)'!B1751)</f>
        <v>16</v>
      </c>
      <c r="D1751" s="9">
        <f>getApertureStart('RawData (GH)'!C1751)</f>
        <v>2.2000000000000002</v>
      </c>
      <c r="E1751" s="9">
        <f>getApertureEnd('RawData (GH)'!C1751)</f>
        <v>2.2000000000000002</v>
      </c>
      <c r="F1751" s="2">
        <f>getFiltersizeAsDouble('RawData (GH)'!D1751)</f>
        <v>77</v>
      </c>
      <c r="G1751" s="35">
        <f>getMagnification('RawData (GH)'!E1751)</f>
        <v>0</v>
      </c>
      <c r="H1751" s="62">
        <f>getMinimalFocus('RawData (GH)'!F1751)</f>
        <v>0</v>
      </c>
      <c r="I1751" t="str">
        <f>getMount('RawData (GH)'!G1751)</f>
        <v>Sony A</v>
      </c>
      <c r="J1751" t="str">
        <f>getSensorCompatibility('RawData (GH)'!H1751)</f>
        <v>APS-C</v>
      </c>
      <c r="K1751" s="45">
        <f>getWeightAsDouble('RawData (GH)'!I1751)</f>
        <v>585</v>
      </c>
      <c r="L1751" s="34">
        <f>getSizeDiameter('RawData (GH)'!J1751)</f>
        <v>83</v>
      </c>
      <c r="M1751" s="34">
        <f>getSizeLength('RawData (GH)'!J1751)</f>
        <v>88.9</v>
      </c>
    </row>
    <row r="1752" spans="1:13" x14ac:dyDescent="0.25">
      <c r="A1752" t="str">
        <f>'RawData (GH)'!A1752</f>
        <v>Walimex Pro 16mm 2.2 VDSLR für Sony E schwarz</v>
      </c>
      <c r="B1752" s="5">
        <f>getFocalLengthStart('RawData (GH)'!B1752)</f>
        <v>16</v>
      </c>
      <c r="C1752" s="5">
        <f>getFocalLengthEnd('RawData (GH)'!B1752)</f>
        <v>16</v>
      </c>
      <c r="D1752" s="9">
        <f>getApertureStart('RawData (GH)'!C1752)</f>
        <v>2.2000000000000002</v>
      </c>
      <c r="E1752" s="9">
        <f>getApertureEnd('RawData (GH)'!C1752)</f>
        <v>2.2000000000000002</v>
      </c>
      <c r="F1752" s="2">
        <f>getFiltersizeAsDouble('RawData (GH)'!D1752)</f>
        <v>77</v>
      </c>
      <c r="G1752" s="35">
        <f>getMagnification('RawData (GH)'!E1752)</f>
        <v>0</v>
      </c>
      <c r="H1752" s="62">
        <f>getMinimalFocus('RawData (GH)'!F1752)</f>
        <v>0</v>
      </c>
      <c r="I1752" t="str">
        <f>getMount('RawData (GH)'!G1752)</f>
        <v>Sony E</v>
      </c>
      <c r="J1752" t="str">
        <f>getSensorCompatibility('RawData (GH)'!H1752)</f>
        <v>APS-C</v>
      </c>
      <c r="K1752" s="45">
        <f>getWeightAsDouble('RawData (GH)'!I1752)</f>
        <v>620</v>
      </c>
      <c r="L1752" s="34">
        <f>getSizeDiameter('RawData (GH)'!J1752)</f>
        <v>83</v>
      </c>
      <c r="M1752" s="34">
        <f>getSizeLength('RawData (GH)'!J1752)</f>
        <v>115.4</v>
      </c>
    </row>
    <row r="1753" spans="1:13" x14ac:dyDescent="0.25">
      <c r="A1753" t="str">
        <f>'RawData (GH)'!A1753</f>
        <v>Walimex Pro 24mm 1.4 CSC für Canon EF-M schwarz</v>
      </c>
      <c r="B1753" s="5">
        <f>getFocalLengthStart('RawData (GH)'!B1753)</f>
        <v>24</v>
      </c>
      <c r="C1753" s="5">
        <f>getFocalLengthEnd('RawData (GH)'!B1753)</f>
        <v>24</v>
      </c>
      <c r="D1753" s="9">
        <f>getApertureStart('RawData (GH)'!C1753)</f>
        <v>1.4</v>
      </c>
      <c r="E1753" s="9">
        <f>getApertureEnd('RawData (GH)'!C1753)</f>
        <v>1.4</v>
      </c>
      <c r="F1753" s="2">
        <f>getFiltersizeAsDouble('RawData (GH)'!D1753)</f>
        <v>77</v>
      </c>
      <c r="G1753" s="35">
        <f>getMagnification('RawData (GH)'!E1753)</f>
        <v>0</v>
      </c>
      <c r="H1753" s="62">
        <f>getMinimalFocus('RawData (GH)'!F1753)</f>
        <v>0</v>
      </c>
      <c r="I1753" t="str">
        <f>getMount('RawData (GH)'!G1753)</f>
        <v>Canon EF-M</v>
      </c>
      <c r="J1753" t="str">
        <f>getSensorCompatibility('RawData (GH)'!H1753)</f>
        <v>APS-C/ Kleinbild</v>
      </c>
      <c r="K1753" s="45">
        <f>getWeightAsDouble('RawData (GH)'!I1753)</f>
        <v>590</v>
      </c>
      <c r="L1753" s="34">
        <f>getSizeDiameter('RawData (GH)'!J1753)</f>
        <v>83</v>
      </c>
      <c r="M1753" s="34">
        <f>getSizeLength('RawData (GH)'!J1753)</f>
        <v>123.4</v>
      </c>
    </row>
    <row r="1754" spans="1:13" x14ac:dyDescent="0.25">
      <c r="A1754" t="str">
        <f>'RawData (GH)'!A1754</f>
        <v>Walimex Pro 24mm 1.4 CSC für Fujifilm X schwarz</v>
      </c>
      <c r="B1754" s="5">
        <f>getFocalLengthStart('RawData (GH)'!B1754)</f>
        <v>24</v>
      </c>
      <c r="C1754" s="5">
        <f>getFocalLengthEnd('RawData (GH)'!B1754)</f>
        <v>24</v>
      </c>
      <c r="D1754" s="9">
        <f>getApertureStart('RawData (GH)'!C1754)</f>
        <v>1.4</v>
      </c>
      <c r="E1754" s="9">
        <f>getApertureEnd('RawData (GH)'!C1754)</f>
        <v>1.4</v>
      </c>
      <c r="F1754" s="2">
        <f>getFiltersizeAsDouble('RawData (GH)'!D1754)</f>
        <v>77</v>
      </c>
      <c r="G1754" s="35">
        <f>getMagnification('RawData (GH)'!E1754)</f>
        <v>0</v>
      </c>
      <c r="H1754" s="62">
        <f>getMinimalFocus('RawData (GH)'!F1754)</f>
        <v>0</v>
      </c>
      <c r="I1754" t="str">
        <f>getMount('RawData (GH)'!G1754)</f>
        <v>Fujifilm X</v>
      </c>
      <c r="J1754" t="str">
        <f>getSensorCompatibility('RawData (GH)'!H1754)</f>
        <v>APS-C/ Kleinbild</v>
      </c>
      <c r="K1754" s="45">
        <f>getWeightAsDouble('RawData (GH)'!I1754)</f>
        <v>630</v>
      </c>
      <c r="L1754" s="34">
        <f>getSizeDiameter('RawData (GH)'!J1754)</f>
        <v>83</v>
      </c>
      <c r="M1754" s="34">
        <f>getSizeLength('RawData (GH)'!J1754)</f>
        <v>123.8</v>
      </c>
    </row>
    <row r="1755" spans="1:13" x14ac:dyDescent="0.25">
      <c r="A1755" t="str">
        <f>'RawData (GH)'!A1755</f>
        <v>Walimex Pro 24mm 1.4 für Canon EF schwarz</v>
      </c>
      <c r="B1755" s="5">
        <f>getFocalLengthStart('RawData (GH)'!B1755)</f>
        <v>24</v>
      </c>
      <c r="C1755" s="5">
        <f>getFocalLengthEnd('RawData (GH)'!B1755)</f>
        <v>24</v>
      </c>
      <c r="D1755" s="9">
        <f>getApertureStart('RawData (GH)'!C1755)</f>
        <v>1.4</v>
      </c>
      <c r="E1755" s="9">
        <f>getApertureEnd('RawData (GH)'!C1755)</f>
        <v>1.4</v>
      </c>
      <c r="F1755" s="2">
        <f>getFiltersizeAsDouble('RawData (GH)'!D1755)</f>
        <v>77</v>
      </c>
      <c r="G1755" s="35">
        <f>getMagnification('RawData (GH)'!E1755)</f>
        <v>0</v>
      </c>
      <c r="H1755" s="62">
        <f>getMinimalFocus('RawData (GH)'!F1755)</f>
        <v>0</v>
      </c>
      <c r="I1755" t="str">
        <f>getMount('RawData (GH)'!G1755)</f>
        <v>Canon EF</v>
      </c>
      <c r="J1755" t="str">
        <f>getSensorCompatibility('RawData (GH)'!H1755)</f>
        <v>APS-C/ Kleinbild</v>
      </c>
      <c r="K1755" s="45">
        <f>getWeightAsDouble('RawData (GH)'!I1755)</f>
        <v>610</v>
      </c>
      <c r="L1755" s="34">
        <f>getSizeDiameter('RawData (GH)'!J1755)</f>
        <v>83</v>
      </c>
      <c r="M1755" s="34">
        <f>getSizeLength('RawData (GH)'!J1755)</f>
        <v>97.5</v>
      </c>
    </row>
    <row r="1756" spans="1:13" x14ac:dyDescent="0.25">
      <c r="A1756" t="str">
        <f>'RawData (GH)'!A1756</f>
        <v>Walimex Pro 24mm 1.4 für Four-Thirds schwarz</v>
      </c>
      <c r="B1756" s="5">
        <f>getFocalLengthStart('RawData (GH)'!B1756)</f>
        <v>24</v>
      </c>
      <c r="C1756" s="5">
        <f>getFocalLengthEnd('RawData (GH)'!B1756)</f>
        <v>24</v>
      </c>
      <c r="D1756" s="9">
        <f>getApertureStart('RawData (GH)'!C1756)</f>
        <v>1.4</v>
      </c>
      <c r="E1756" s="9">
        <f>getApertureEnd('RawData (GH)'!C1756)</f>
        <v>1.4</v>
      </c>
      <c r="F1756" s="2">
        <f>getFiltersizeAsDouble('RawData (GH)'!D1756)</f>
        <v>77</v>
      </c>
      <c r="G1756" s="35">
        <f>getMagnification('RawData (GH)'!E1756)</f>
        <v>0</v>
      </c>
      <c r="H1756" s="62">
        <f>getMinimalFocus('RawData (GH)'!F1756)</f>
        <v>0</v>
      </c>
      <c r="I1756" t="str">
        <f>getMount('RawData (GH)'!G1756)</f>
        <v>Four-Thirds</v>
      </c>
      <c r="J1756" t="str">
        <f>getSensorCompatibility('RawData (GH)'!H1756)</f>
        <v>Four-Thirds</v>
      </c>
      <c r="K1756" s="45">
        <f>getWeightAsDouble('RawData (GH)'!I1756)</f>
        <v>624</v>
      </c>
      <c r="L1756" s="34">
        <f>getSizeDiameter('RawData (GH)'!J1756)</f>
        <v>83</v>
      </c>
      <c r="M1756" s="34">
        <f>getSizeLength('RawData (GH)'!J1756)</f>
        <v>103</v>
      </c>
    </row>
    <row r="1757" spans="1:13" x14ac:dyDescent="0.25">
      <c r="A1757" t="str">
        <f>'RawData (GH)'!A1757</f>
        <v>Walimex Pro 24mm 1.4 für Micro-Four-Thirds schwarz</v>
      </c>
      <c r="B1757" s="5">
        <f>getFocalLengthStart('RawData (GH)'!B1757)</f>
        <v>24</v>
      </c>
      <c r="C1757" s="5">
        <f>getFocalLengthEnd('RawData (GH)'!B1757)</f>
        <v>24</v>
      </c>
      <c r="D1757" s="9">
        <f>getApertureStart('RawData (GH)'!C1757)</f>
        <v>1.4</v>
      </c>
      <c r="E1757" s="9">
        <f>getApertureEnd('RawData (GH)'!C1757)</f>
        <v>1.4</v>
      </c>
      <c r="F1757" s="2">
        <f>getFiltersizeAsDouble('RawData (GH)'!D1757)</f>
        <v>77</v>
      </c>
      <c r="G1757" s="35">
        <f>getMagnification('RawData (GH)'!E1757)</f>
        <v>0</v>
      </c>
      <c r="H1757" s="62">
        <f>getMinimalFocus('RawData (GH)'!F1757)</f>
        <v>0</v>
      </c>
      <c r="I1757" t="str">
        <f>getMount('RawData (GH)'!G1757)</f>
        <v>Micro-Four-Thirds</v>
      </c>
      <c r="J1757" t="str">
        <f>getSensorCompatibility('RawData (GH)'!H1757)</f>
        <v>Four-Thirds</v>
      </c>
      <c r="K1757" s="45">
        <f>getWeightAsDouble('RawData (GH)'!I1757)</f>
        <v>610</v>
      </c>
      <c r="L1757" s="34">
        <f>getSizeDiameter('RawData (GH)'!J1757)</f>
        <v>83</v>
      </c>
      <c r="M1757" s="34">
        <f>getSizeLength('RawData (GH)'!J1757)</f>
        <v>103</v>
      </c>
    </row>
    <row r="1758" spans="1:13" x14ac:dyDescent="0.25">
      <c r="A1758" t="str">
        <f>'RawData (GH)'!A1758</f>
        <v>Walimex Pro 24mm 1.4 für Nikon 1 schwarz</v>
      </c>
      <c r="B1758" s="5">
        <f>getFocalLengthStart('RawData (GH)'!B1758)</f>
        <v>24</v>
      </c>
      <c r="C1758" s="5">
        <f>getFocalLengthEnd('RawData (GH)'!B1758)</f>
        <v>24</v>
      </c>
      <c r="D1758" s="9">
        <f>getApertureStart('RawData (GH)'!C1758)</f>
        <v>1.4</v>
      </c>
      <c r="E1758" s="9">
        <f>getApertureEnd('RawData (GH)'!C1758)</f>
        <v>1.4</v>
      </c>
      <c r="F1758" s="2">
        <f>getFiltersizeAsDouble('RawData (GH)'!D1758)</f>
        <v>77</v>
      </c>
      <c r="G1758" s="35">
        <f>getMagnification('RawData (GH)'!E1758)</f>
        <v>0</v>
      </c>
      <c r="H1758" s="62">
        <f>getMinimalFocus('RawData (GH)'!F1758)</f>
        <v>0</v>
      </c>
      <c r="I1758" t="str">
        <f>getMount('RawData (GH)'!G1758)</f>
        <v>Nikon 1</v>
      </c>
      <c r="J1758" t="str">
        <f>getSensorCompatibility('RawData (GH)'!H1758)</f>
        <v>APS-C/ Kleinbild</v>
      </c>
      <c r="K1758" s="45">
        <f>getWeightAsDouble('RawData (GH)'!I1758)</f>
        <v>610</v>
      </c>
      <c r="L1758" s="34">
        <f>getSizeDiameter('RawData (GH)'!J1758)</f>
        <v>83</v>
      </c>
      <c r="M1758" s="34">
        <f>getSizeLength('RawData (GH)'!J1758)</f>
        <v>95</v>
      </c>
    </row>
    <row r="1759" spans="1:13" x14ac:dyDescent="0.25">
      <c r="A1759" t="str">
        <f>'RawData (GH)'!A1759</f>
        <v>Walimex Pro 24mm 1.4 für Nikon F schwarz</v>
      </c>
      <c r="B1759" s="5">
        <f>getFocalLengthStart('RawData (GH)'!B1759)</f>
        <v>24</v>
      </c>
      <c r="C1759" s="5">
        <f>getFocalLengthEnd('RawData (GH)'!B1759)</f>
        <v>24</v>
      </c>
      <c r="D1759" s="9">
        <f>getApertureStart('RawData (GH)'!C1759)</f>
        <v>1.4</v>
      </c>
      <c r="E1759" s="9">
        <f>getApertureEnd('RawData (GH)'!C1759)</f>
        <v>1.4</v>
      </c>
      <c r="F1759" s="2">
        <f>getFiltersizeAsDouble('RawData (GH)'!D1759)</f>
        <v>77</v>
      </c>
      <c r="G1759" s="35">
        <f>getMagnification('RawData (GH)'!E1759)</f>
        <v>0</v>
      </c>
      <c r="H1759" s="62">
        <f>getMinimalFocus('RawData (GH)'!F1759)</f>
        <v>0</v>
      </c>
      <c r="I1759" t="str">
        <f>getMount('RawData (GH)'!G1759)</f>
        <v>Nikon F</v>
      </c>
      <c r="J1759" t="str">
        <f>getSensorCompatibility('RawData (GH)'!H1759)</f>
        <v>APS-C/ Kleinbild</v>
      </c>
      <c r="K1759" s="45">
        <f>getWeightAsDouble('RawData (GH)'!I1759)</f>
        <v>610</v>
      </c>
      <c r="L1759" s="34">
        <f>getSizeDiameter('RawData (GH)'!J1759)</f>
        <v>83</v>
      </c>
      <c r="M1759" s="34">
        <f>getSizeLength('RawData (GH)'!J1759)</f>
        <v>95</v>
      </c>
    </row>
    <row r="1760" spans="1:13" x14ac:dyDescent="0.25">
      <c r="A1760" t="str">
        <f>'RawData (GH)'!A1760</f>
        <v>Walimex Pro 24mm 1.4 für Pentax K schwarz</v>
      </c>
      <c r="B1760" s="5">
        <f>getFocalLengthStart('RawData (GH)'!B1760)</f>
        <v>24</v>
      </c>
      <c r="C1760" s="5">
        <f>getFocalLengthEnd('RawData (GH)'!B1760)</f>
        <v>24</v>
      </c>
      <c r="D1760" s="9">
        <f>getApertureStart('RawData (GH)'!C1760)</f>
        <v>1.4</v>
      </c>
      <c r="E1760" s="9">
        <f>getApertureEnd('RawData (GH)'!C1760)</f>
        <v>1.4</v>
      </c>
      <c r="F1760" s="2">
        <f>getFiltersizeAsDouble('RawData (GH)'!D1760)</f>
        <v>77</v>
      </c>
      <c r="G1760" s="35">
        <f>getMagnification('RawData (GH)'!E1760)</f>
        <v>0</v>
      </c>
      <c r="H1760" s="62">
        <f>getMinimalFocus('RawData (GH)'!F1760)</f>
        <v>0</v>
      </c>
      <c r="I1760" t="str">
        <f>getMount('RawData (GH)'!G1760)</f>
        <v>Pentax K</v>
      </c>
      <c r="J1760" t="str">
        <f>getSensorCompatibility('RawData (GH)'!H1760)</f>
        <v>APS-C/ Kleinbild</v>
      </c>
      <c r="K1760" s="45">
        <f>getWeightAsDouble('RawData (GH)'!I1760)</f>
        <v>614</v>
      </c>
      <c r="L1760" s="34">
        <f>getSizeDiameter('RawData (GH)'!J1760)</f>
        <v>83</v>
      </c>
      <c r="M1760" s="34">
        <f>getSizeLength('RawData (GH)'!J1760)</f>
        <v>96</v>
      </c>
    </row>
    <row r="1761" spans="1:13" x14ac:dyDescent="0.25">
      <c r="A1761" t="str">
        <f>'RawData (GH)'!A1761</f>
        <v>Walimex Pro 24mm 1.4 für Samsung NX schwarz</v>
      </c>
      <c r="B1761" s="5">
        <f>getFocalLengthStart('RawData (GH)'!B1761)</f>
        <v>24</v>
      </c>
      <c r="C1761" s="5">
        <f>getFocalLengthEnd('RawData (GH)'!B1761)</f>
        <v>24</v>
      </c>
      <c r="D1761" s="9">
        <f>getApertureStart('RawData (GH)'!C1761)</f>
        <v>1.4</v>
      </c>
      <c r="E1761" s="9">
        <f>getApertureEnd('RawData (GH)'!C1761)</f>
        <v>1.4</v>
      </c>
      <c r="F1761" s="2">
        <f>getFiltersizeAsDouble('RawData (GH)'!D1761)</f>
        <v>77</v>
      </c>
      <c r="G1761" s="35">
        <f>getMagnification('RawData (GH)'!E1761)</f>
        <v>0</v>
      </c>
      <c r="H1761" s="62">
        <f>getMinimalFocus('RawData (GH)'!F1761)</f>
        <v>0</v>
      </c>
      <c r="I1761" t="str">
        <f>getMount('RawData (GH)'!G1761)</f>
        <v>Samsung NX</v>
      </c>
      <c r="J1761" t="str">
        <f>getSensorCompatibility('RawData (GH)'!H1761)</f>
        <v>APS-C</v>
      </c>
      <c r="K1761" s="45">
        <f>getWeightAsDouble('RawData (GH)'!I1761)</f>
        <v>630</v>
      </c>
      <c r="L1761" s="34">
        <f>getSizeDiameter('RawData (GH)'!J1761)</f>
        <v>83</v>
      </c>
      <c r="M1761" s="34">
        <f>getSizeLength('RawData (GH)'!J1761)</f>
        <v>116</v>
      </c>
    </row>
    <row r="1762" spans="1:13" x14ac:dyDescent="0.25">
      <c r="A1762" t="str">
        <f>'RawData (GH)'!A1762</f>
        <v>Walimex Pro 24mm 1.4 für Sony A schwarz</v>
      </c>
      <c r="B1762" s="5">
        <f>getFocalLengthStart('RawData (GH)'!B1762)</f>
        <v>24</v>
      </c>
      <c r="C1762" s="5">
        <f>getFocalLengthEnd('RawData (GH)'!B1762)</f>
        <v>24</v>
      </c>
      <c r="D1762" s="9">
        <f>getApertureStart('RawData (GH)'!C1762)</f>
        <v>1.4</v>
      </c>
      <c r="E1762" s="9">
        <f>getApertureEnd('RawData (GH)'!C1762)</f>
        <v>1.4</v>
      </c>
      <c r="F1762" s="2">
        <f>getFiltersizeAsDouble('RawData (GH)'!D1762)</f>
        <v>77</v>
      </c>
      <c r="G1762" s="35">
        <f>getMagnification('RawData (GH)'!E1762)</f>
        <v>0</v>
      </c>
      <c r="H1762" s="62">
        <f>getMinimalFocus('RawData (GH)'!F1762)</f>
        <v>0</v>
      </c>
      <c r="I1762" t="str">
        <f>getMount('RawData (GH)'!G1762)</f>
        <v>Sony A</v>
      </c>
      <c r="J1762" t="str">
        <f>getSensorCompatibility('RawData (GH)'!H1762)</f>
        <v>APS-C</v>
      </c>
      <c r="K1762" s="45">
        <f>getWeightAsDouble('RawData (GH)'!I1762)</f>
        <v>606</v>
      </c>
      <c r="L1762" s="34">
        <f>getSizeDiameter('RawData (GH)'!J1762)</f>
        <v>83</v>
      </c>
      <c r="M1762" s="34">
        <f>getSizeLength('RawData (GH)'!J1762)</f>
        <v>97</v>
      </c>
    </row>
    <row r="1763" spans="1:13" x14ac:dyDescent="0.25">
      <c r="A1763" t="str">
        <f>'RawData (GH)'!A1763</f>
        <v>Walimex Pro 24mm 1.4 für Sony E schwarz</v>
      </c>
      <c r="B1763" s="5">
        <f>getFocalLengthStart('RawData (GH)'!B1763)</f>
        <v>24</v>
      </c>
      <c r="C1763" s="5">
        <f>getFocalLengthEnd('RawData (GH)'!B1763)</f>
        <v>24</v>
      </c>
      <c r="D1763" s="9">
        <f>getApertureStart('RawData (GH)'!C1763)</f>
        <v>1.4</v>
      </c>
      <c r="E1763" s="9">
        <f>getApertureEnd('RawData (GH)'!C1763)</f>
        <v>1.4</v>
      </c>
      <c r="F1763" s="2">
        <f>getFiltersizeAsDouble('RawData (GH)'!D1763)</f>
        <v>77</v>
      </c>
      <c r="G1763" s="35">
        <f>getMagnification('RawData (GH)'!E1763)</f>
        <v>0</v>
      </c>
      <c r="H1763" s="62">
        <f>getMinimalFocus('RawData (GH)'!F1763)</f>
        <v>0</v>
      </c>
      <c r="I1763" t="str">
        <f>getMount('RawData (GH)'!G1763)</f>
        <v>Sony E</v>
      </c>
      <c r="J1763" t="str">
        <f>getSensorCompatibility('RawData (GH)'!H1763)</f>
        <v>APS-C</v>
      </c>
      <c r="K1763" s="45">
        <f>getWeightAsDouble('RawData (GH)'!I1763)</f>
        <v>610</v>
      </c>
      <c r="L1763" s="34">
        <f>getSizeDiameter('RawData (GH)'!J1763)</f>
        <v>83</v>
      </c>
      <c r="M1763" s="34">
        <f>getSizeLength('RawData (GH)'!J1763)</f>
        <v>97.5</v>
      </c>
    </row>
    <row r="1764" spans="1:13" x14ac:dyDescent="0.25">
      <c r="A1764" t="str">
        <f>'RawData (GH)'!A1764</f>
        <v>Walimex Pro 24mm 1.5 VCSC für Canon EF-M schwarz</v>
      </c>
      <c r="B1764" s="5">
        <f>getFocalLengthStart('RawData (GH)'!B1764)</f>
        <v>24</v>
      </c>
      <c r="C1764" s="5">
        <f>getFocalLengthEnd('RawData (GH)'!B1764)</f>
        <v>24</v>
      </c>
      <c r="D1764" s="9">
        <f>getApertureStart('RawData (GH)'!C1764)</f>
        <v>1.5</v>
      </c>
      <c r="E1764" s="9">
        <f>getApertureEnd('RawData (GH)'!C1764)</f>
        <v>1.5</v>
      </c>
      <c r="F1764" s="2">
        <f>getFiltersizeAsDouble('RawData (GH)'!D1764)</f>
        <v>77</v>
      </c>
      <c r="G1764" s="35">
        <f>getMagnification('RawData (GH)'!E1764)</f>
        <v>0</v>
      </c>
      <c r="H1764" s="62">
        <f>getMinimalFocus('RawData (GH)'!F1764)</f>
        <v>0</v>
      </c>
      <c r="I1764" t="str">
        <f>getMount('RawData (GH)'!G1764)</f>
        <v>Canon EF-M</v>
      </c>
      <c r="J1764" t="str">
        <f>getSensorCompatibility('RawData (GH)'!H1764)</f>
        <v>APS-C</v>
      </c>
      <c r="K1764" s="45">
        <f>getWeightAsDouble('RawData (GH)'!I1764)</f>
        <v>630</v>
      </c>
      <c r="L1764" s="34">
        <f>getSizeDiameter('RawData (GH)'!J1764)</f>
        <v>83</v>
      </c>
      <c r="M1764" s="34">
        <f>getSizeLength('RawData (GH)'!J1764)</f>
        <v>123.4</v>
      </c>
    </row>
    <row r="1765" spans="1:13" x14ac:dyDescent="0.25">
      <c r="A1765" t="str">
        <f>'RawData (GH)'!A1765</f>
        <v>Walimex Pro 24mm 1.5 VCSC für Fujifilm X schwarz</v>
      </c>
      <c r="B1765" s="5">
        <f>getFocalLengthStart('RawData (GH)'!B1765)</f>
        <v>24</v>
      </c>
      <c r="C1765" s="5">
        <f>getFocalLengthEnd('RawData (GH)'!B1765)</f>
        <v>24</v>
      </c>
      <c r="D1765" s="9">
        <f>getApertureStart('RawData (GH)'!C1765)</f>
        <v>1.5</v>
      </c>
      <c r="E1765" s="9">
        <f>getApertureEnd('RawData (GH)'!C1765)</f>
        <v>1.5</v>
      </c>
      <c r="F1765" s="2">
        <f>getFiltersizeAsDouble('RawData (GH)'!D1765)</f>
        <v>77</v>
      </c>
      <c r="G1765" s="35">
        <f>getMagnification('RawData (GH)'!E1765)</f>
        <v>0</v>
      </c>
      <c r="H1765" s="62">
        <f>getMinimalFocus('RawData (GH)'!F1765)</f>
        <v>0</v>
      </c>
      <c r="I1765" t="str">
        <f>getMount('RawData (GH)'!G1765)</f>
        <v>Fujifilm X</v>
      </c>
      <c r="J1765" t="str">
        <f>getSensorCompatibility('RawData (GH)'!H1765)</f>
        <v>APS-C</v>
      </c>
      <c r="K1765" s="45">
        <f>getWeightAsDouble('RawData (GH)'!I1765)</f>
        <v>640</v>
      </c>
      <c r="L1765" s="34">
        <f>getSizeDiameter('RawData (GH)'!J1765)</f>
        <v>83</v>
      </c>
      <c r="M1765" s="34">
        <f>getSizeLength('RawData (GH)'!J1765)</f>
        <v>123.4</v>
      </c>
    </row>
    <row r="1766" spans="1:13" x14ac:dyDescent="0.25">
      <c r="A1766" t="str">
        <f>'RawData (GH)'!A1766</f>
        <v>Walimex Pro 24mm 1.5 VCSC für Pentax Q schwarz</v>
      </c>
      <c r="B1766" s="5">
        <f>getFocalLengthStart('RawData (GH)'!B1766)</f>
        <v>24</v>
      </c>
      <c r="C1766" s="5">
        <f>getFocalLengthEnd('RawData (GH)'!B1766)</f>
        <v>24</v>
      </c>
      <c r="D1766" s="9">
        <f>getApertureStart('RawData (GH)'!C1766)</f>
        <v>1.5</v>
      </c>
      <c r="E1766" s="9">
        <f>getApertureEnd('RawData (GH)'!C1766)</f>
        <v>1.5</v>
      </c>
      <c r="F1766" s="2">
        <f>getFiltersizeAsDouble('RawData (GH)'!D1766)</f>
        <v>77</v>
      </c>
      <c r="G1766" s="35">
        <f>getMagnification('RawData (GH)'!E1766)</f>
        <v>0</v>
      </c>
      <c r="H1766" s="62">
        <f>getMinimalFocus('RawData (GH)'!F1766)</f>
        <v>0</v>
      </c>
      <c r="I1766" t="str">
        <f>getMount('RawData (GH)'!G1766)</f>
        <v>Pentax Q</v>
      </c>
      <c r="J1766" t="str">
        <f>getSensorCompatibility('RawData (GH)'!H1766)</f>
        <v>APS-C</v>
      </c>
      <c r="K1766" s="45">
        <f>getWeightAsDouble('RawData (GH)'!I1766)</f>
        <v>615</v>
      </c>
      <c r="L1766" s="34">
        <f>getSizeDiameter('RawData (GH)'!J1766)</f>
        <v>83</v>
      </c>
      <c r="M1766" s="34">
        <f>getSizeLength('RawData (GH)'!J1766)</f>
        <v>97.5</v>
      </c>
    </row>
    <row r="1767" spans="1:13" x14ac:dyDescent="0.25">
      <c r="A1767" t="str">
        <f>'RawData (GH)'!A1767</f>
        <v>Walimex Pro 24mm 1.5 VDSLR für Canon EF schwarz</v>
      </c>
      <c r="B1767" s="5">
        <f>getFocalLengthStart('RawData (GH)'!B1767)</f>
        <v>24</v>
      </c>
      <c r="C1767" s="5">
        <f>getFocalLengthEnd('RawData (GH)'!B1767)</f>
        <v>24</v>
      </c>
      <c r="D1767" s="9">
        <f>getApertureStart('RawData (GH)'!C1767)</f>
        <v>1.5</v>
      </c>
      <c r="E1767" s="9">
        <f>getApertureEnd('RawData (GH)'!C1767)</f>
        <v>1.5</v>
      </c>
      <c r="F1767" s="2">
        <f>getFiltersizeAsDouble('RawData (GH)'!D1767)</f>
        <v>77</v>
      </c>
      <c r="G1767" s="35">
        <f>getMagnification('RawData (GH)'!E1767)</f>
        <v>0</v>
      </c>
      <c r="H1767" s="62">
        <f>getMinimalFocus('RawData (GH)'!F1767)</f>
        <v>0</v>
      </c>
      <c r="I1767" t="str">
        <f>getMount('RawData (GH)'!G1767)</f>
        <v>Canon EF</v>
      </c>
      <c r="J1767" t="str">
        <f>getSensorCompatibility('RawData (GH)'!H1767)</f>
        <v>APS-C/ Kleinbild</v>
      </c>
      <c r="K1767" s="45">
        <f>getWeightAsDouble('RawData (GH)'!I1767)</f>
        <v>615</v>
      </c>
      <c r="L1767" s="34">
        <f>getSizeDiameter('RawData (GH)'!J1767)</f>
        <v>83</v>
      </c>
      <c r="M1767" s="34">
        <f>getSizeLength('RawData (GH)'!J1767)</f>
        <v>97.5</v>
      </c>
    </row>
    <row r="1768" spans="1:13" x14ac:dyDescent="0.25">
      <c r="A1768" t="str">
        <f>'RawData (GH)'!A1768</f>
        <v>Walimex Pro 24mm 1.5 VDSLR für Four-Thirds schwarz</v>
      </c>
      <c r="B1768" s="5">
        <f>getFocalLengthStart('RawData (GH)'!B1768)</f>
        <v>24</v>
      </c>
      <c r="C1768" s="5">
        <f>getFocalLengthEnd('RawData (GH)'!B1768)</f>
        <v>24</v>
      </c>
      <c r="D1768" s="9">
        <f>getApertureStart('RawData (GH)'!C1768)</f>
        <v>1.5</v>
      </c>
      <c r="E1768" s="9">
        <f>getApertureEnd('RawData (GH)'!C1768)</f>
        <v>1.5</v>
      </c>
      <c r="F1768" s="2">
        <f>getFiltersizeAsDouble('RawData (GH)'!D1768)</f>
        <v>77</v>
      </c>
      <c r="G1768" s="35">
        <f>getMagnification('RawData (GH)'!E1768)</f>
        <v>0</v>
      </c>
      <c r="H1768" s="62">
        <f>getMinimalFocus('RawData (GH)'!F1768)</f>
        <v>0</v>
      </c>
      <c r="I1768" t="str">
        <f>getMount('RawData (GH)'!G1768)</f>
        <v>Four-Thirds</v>
      </c>
      <c r="J1768" t="str">
        <f>getSensorCompatibility('RawData (GH)'!H1768)</f>
        <v>Four-Thirds</v>
      </c>
      <c r="K1768" s="45">
        <f>getWeightAsDouble('RawData (GH)'!I1768)</f>
        <v>633</v>
      </c>
      <c r="L1768" s="34">
        <f>getSizeDiameter('RawData (GH)'!J1768)</f>
        <v>83</v>
      </c>
      <c r="M1768" s="34">
        <f>getSizeLength('RawData (GH)'!J1768)</f>
        <v>102.8</v>
      </c>
    </row>
    <row r="1769" spans="1:13" x14ac:dyDescent="0.25">
      <c r="A1769" t="str">
        <f>'RawData (GH)'!A1769</f>
        <v>Walimex Pro 24mm 1.5 VDSLR für Micro-Four-Thirds schwarz</v>
      </c>
      <c r="B1769" s="5">
        <f>getFocalLengthStart('RawData (GH)'!B1769)</f>
        <v>24</v>
      </c>
      <c r="C1769" s="5">
        <f>getFocalLengthEnd('RawData (GH)'!B1769)</f>
        <v>24</v>
      </c>
      <c r="D1769" s="9">
        <f>getApertureStart('RawData (GH)'!C1769)</f>
        <v>1.5</v>
      </c>
      <c r="E1769" s="9">
        <f>getApertureEnd('RawData (GH)'!C1769)</f>
        <v>1.5</v>
      </c>
      <c r="F1769" s="2">
        <f>getFiltersizeAsDouble('RawData (GH)'!D1769)</f>
        <v>77</v>
      </c>
      <c r="G1769" s="35">
        <f>getMagnification('RawData (GH)'!E1769)</f>
        <v>0</v>
      </c>
      <c r="H1769" s="62">
        <f>getMinimalFocus('RawData (GH)'!F1769)</f>
        <v>0</v>
      </c>
      <c r="I1769" t="str">
        <f>getMount('RawData (GH)'!G1769)</f>
        <v>Micro-Four-Thirds</v>
      </c>
      <c r="J1769" t="str">
        <f>getSensorCompatibility('RawData (GH)'!H1769)</f>
        <v>Four-Thirds</v>
      </c>
      <c r="K1769" s="45">
        <f>getWeightAsDouble('RawData (GH)'!I1769)</f>
        <v>633</v>
      </c>
      <c r="L1769" s="34">
        <f>getSizeDiameter('RawData (GH)'!J1769)</f>
        <v>83</v>
      </c>
      <c r="M1769" s="34">
        <f>getSizeLength('RawData (GH)'!J1769)</f>
        <v>102.8</v>
      </c>
    </row>
    <row r="1770" spans="1:13" x14ac:dyDescent="0.25">
      <c r="A1770" t="str">
        <f>'RawData (GH)'!A1770</f>
        <v>Walimex Pro 24mm 1.5 VDSLR für Nikon 1 schwarz</v>
      </c>
      <c r="B1770" s="5">
        <f>getFocalLengthStart('RawData (GH)'!B1770)</f>
        <v>24</v>
      </c>
      <c r="C1770" s="5">
        <f>getFocalLengthEnd('RawData (GH)'!B1770)</f>
        <v>24</v>
      </c>
      <c r="D1770" s="9">
        <f>getApertureStart('RawData (GH)'!C1770)</f>
        <v>1.5</v>
      </c>
      <c r="E1770" s="9">
        <f>getApertureEnd('RawData (GH)'!C1770)</f>
        <v>1.5</v>
      </c>
      <c r="F1770" s="2">
        <f>getFiltersizeAsDouble('RawData (GH)'!D1770)</f>
        <v>77</v>
      </c>
      <c r="G1770" s="35">
        <f>getMagnification('RawData (GH)'!E1770)</f>
        <v>0</v>
      </c>
      <c r="H1770" s="62">
        <f>getMinimalFocus('RawData (GH)'!F1770)</f>
        <v>0</v>
      </c>
      <c r="I1770" t="str">
        <f>getMount('RawData (GH)'!G1770)</f>
        <v>Nikon 1</v>
      </c>
      <c r="J1770" t="str">
        <f>getSensorCompatibility('RawData (GH)'!H1770)</f>
        <v>APS-C/ Kleinbild</v>
      </c>
      <c r="K1770" s="45">
        <f>getWeightAsDouble('RawData (GH)'!I1770)</f>
        <v>600</v>
      </c>
      <c r="L1770" s="34">
        <f>getSizeDiameter('RawData (GH)'!J1770)</f>
        <v>83</v>
      </c>
      <c r="M1770" s="34">
        <f>getSizeLength('RawData (GH)'!J1770)</f>
        <v>95</v>
      </c>
    </row>
    <row r="1771" spans="1:13" x14ac:dyDescent="0.25">
      <c r="A1771" t="str">
        <f>'RawData (GH)'!A1771</f>
        <v>Walimex Pro 24mm 1.5 VDSLR für Nikon F schwarz</v>
      </c>
      <c r="B1771" s="5">
        <f>getFocalLengthStart('RawData (GH)'!B1771)</f>
        <v>24</v>
      </c>
      <c r="C1771" s="5">
        <f>getFocalLengthEnd('RawData (GH)'!B1771)</f>
        <v>24</v>
      </c>
      <c r="D1771" s="9">
        <f>getApertureStart('RawData (GH)'!C1771)</f>
        <v>1.5</v>
      </c>
      <c r="E1771" s="9">
        <f>getApertureEnd('RawData (GH)'!C1771)</f>
        <v>1.5</v>
      </c>
      <c r="F1771" s="2">
        <f>getFiltersizeAsDouble('RawData (GH)'!D1771)</f>
        <v>77</v>
      </c>
      <c r="G1771" s="35">
        <f>getMagnification('RawData (GH)'!E1771)</f>
        <v>0</v>
      </c>
      <c r="H1771" s="62">
        <f>getMinimalFocus('RawData (GH)'!F1771)</f>
        <v>0</v>
      </c>
      <c r="I1771" t="str">
        <f>getMount('RawData (GH)'!G1771)</f>
        <v>Nikon F</v>
      </c>
      <c r="J1771" t="str">
        <f>getSensorCompatibility('RawData (GH)'!H1771)</f>
        <v>APS-C/ Kleinbild</v>
      </c>
      <c r="K1771" s="45">
        <f>getWeightAsDouble('RawData (GH)'!I1771)</f>
        <v>600</v>
      </c>
      <c r="L1771" s="34">
        <f>getSizeDiameter('RawData (GH)'!J1771)</f>
        <v>83</v>
      </c>
      <c r="M1771" s="34">
        <f>getSizeLength('RawData (GH)'!J1771)</f>
        <v>95</v>
      </c>
    </row>
    <row r="1772" spans="1:13" x14ac:dyDescent="0.25">
      <c r="A1772" t="str">
        <f>'RawData (GH)'!A1772</f>
        <v>Walimex Pro 24mm 1.5 VDSLR für Pentax K schwarz</v>
      </c>
      <c r="B1772" s="5">
        <f>getFocalLengthStart('RawData (GH)'!B1772)</f>
        <v>24</v>
      </c>
      <c r="C1772" s="5">
        <f>getFocalLengthEnd('RawData (GH)'!B1772)</f>
        <v>24</v>
      </c>
      <c r="D1772" s="9">
        <f>getApertureStart('RawData (GH)'!C1772)</f>
        <v>1.5</v>
      </c>
      <c r="E1772" s="9">
        <f>getApertureEnd('RawData (GH)'!C1772)</f>
        <v>1.5</v>
      </c>
      <c r="F1772" s="2">
        <f>getFiltersizeAsDouble('RawData (GH)'!D1772)</f>
        <v>77</v>
      </c>
      <c r="G1772" s="35">
        <f>getMagnification('RawData (GH)'!E1772)</f>
        <v>0</v>
      </c>
      <c r="H1772" s="62">
        <f>getMinimalFocus('RawData (GH)'!F1772)</f>
        <v>0</v>
      </c>
      <c r="I1772" t="str">
        <f>getMount('RawData (GH)'!G1772)</f>
        <v>Pentax K</v>
      </c>
      <c r="J1772" t="str">
        <f>getSensorCompatibility('RawData (GH)'!H1772)</f>
        <v>APS-C</v>
      </c>
      <c r="K1772" s="45">
        <f>getWeightAsDouble('RawData (GH)'!I1772)</f>
        <v>600</v>
      </c>
      <c r="L1772" s="34">
        <f>getSizeDiameter('RawData (GH)'!J1772)</f>
        <v>83</v>
      </c>
      <c r="M1772" s="34">
        <f>getSizeLength('RawData (GH)'!J1772)</f>
        <v>96</v>
      </c>
    </row>
    <row r="1773" spans="1:13" x14ac:dyDescent="0.25">
      <c r="A1773" t="str">
        <f>'RawData (GH)'!A1773</f>
        <v>Walimex Pro 24mm 1.5 VDSLR für Samsung NX schwarz</v>
      </c>
      <c r="B1773" s="5">
        <f>getFocalLengthStart('RawData (GH)'!B1773)</f>
        <v>24</v>
      </c>
      <c r="C1773" s="5">
        <f>getFocalLengthEnd('RawData (GH)'!B1773)</f>
        <v>24</v>
      </c>
      <c r="D1773" s="9">
        <f>getApertureStart('RawData (GH)'!C1773)</f>
        <v>1.5</v>
      </c>
      <c r="E1773" s="9">
        <f>getApertureEnd('RawData (GH)'!C1773)</f>
        <v>1.5</v>
      </c>
      <c r="F1773" s="2">
        <f>getFiltersizeAsDouble('RawData (GH)'!D1773)</f>
        <v>77</v>
      </c>
      <c r="G1773" s="35">
        <f>getMagnification('RawData (GH)'!E1773)</f>
        <v>0</v>
      </c>
      <c r="H1773" s="62">
        <f>getMinimalFocus('RawData (GH)'!F1773)</f>
        <v>0</v>
      </c>
      <c r="I1773" t="str">
        <f>getMount('RawData (GH)'!G1773)</f>
        <v>Samsung NX</v>
      </c>
      <c r="J1773" t="str">
        <f>getSensorCompatibility('RawData (GH)'!H1773)</f>
        <v>APS-C</v>
      </c>
      <c r="K1773" s="45">
        <f>getWeightAsDouble('RawData (GH)'!I1773)</f>
        <v>637</v>
      </c>
      <c r="L1773" s="34">
        <f>getSizeDiameter('RawData (GH)'!J1773)</f>
        <v>83</v>
      </c>
      <c r="M1773" s="34">
        <f>getSizeLength('RawData (GH)'!J1773)</f>
        <v>116</v>
      </c>
    </row>
    <row r="1774" spans="1:13" x14ac:dyDescent="0.25">
      <c r="A1774" t="str">
        <f>'RawData (GH)'!A1774</f>
        <v>Walimex Pro 24mm 1.5 VDSLR für Sony A schwarz</v>
      </c>
      <c r="B1774" s="5">
        <f>getFocalLengthStart('RawData (GH)'!B1774)</f>
        <v>24</v>
      </c>
      <c r="C1774" s="5">
        <f>getFocalLengthEnd('RawData (GH)'!B1774)</f>
        <v>24</v>
      </c>
      <c r="D1774" s="9">
        <f>getApertureStart('RawData (GH)'!C1774)</f>
        <v>1.5</v>
      </c>
      <c r="E1774" s="9">
        <f>getApertureEnd('RawData (GH)'!C1774)</f>
        <v>1.5</v>
      </c>
      <c r="F1774" s="2">
        <f>getFiltersizeAsDouble('RawData (GH)'!D1774)</f>
        <v>77</v>
      </c>
      <c r="G1774" s="35">
        <f>getMagnification('RawData (GH)'!E1774)</f>
        <v>0</v>
      </c>
      <c r="H1774" s="62">
        <f>getMinimalFocus('RawData (GH)'!F1774)</f>
        <v>0</v>
      </c>
      <c r="I1774" t="str">
        <f>getMount('RawData (GH)'!G1774)</f>
        <v>Sony A</v>
      </c>
      <c r="J1774" t="str">
        <f>getSensorCompatibility('RawData (GH)'!H1774)</f>
        <v>APS-C</v>
      </c>
      <c r="K1774" s="45">
        <f>getWeightAsDouble('RawData (GH)'!I1774)</f>
        <v>609</v>
      </c>
      <c r="L1774" s="34">
        <f>getSizeDiameter('RawData (GH)'!J1774)</f>
        <v>83</v>
      </c>
      <c r="M1774" s="34">
        <f>getSizeLength('RawData (GH)'!J1774)</f>
        <v>97</v>
      </c>
    </row>
    <row r="1775" spans="1:13" x14ac:dyDescent="0.25">
      <c r="A1775" t="str">
        <f>'RawData (GH)'!A1775</f>
        <v>Walimex Pro 24mm 1.5 VDSLR für Sony E schwarz</v>
      </c>
      <c r="B1775" s="5">
        <f>getFocalLengthStart('RawData (GH)'!B1775)</f>
        <v>24</v>
      </c>
      <c r="C1775" s="5">
        <f>getFocalLengthEnd('RawData (GH)'!B1775)</f>
        <v>24</v>
      </c>
      <c r="D1775" s="9">
        <f>getApertureStart('RawData (GH)'!C1775)</f>
        <v>1.5</v>
      </c>
      <c r="E1775" s="9">
        <f>getApertureEnd('RawData (GH)'!C1775)</f>
        <v>1.5</v>
      </c>
      <c r="F1775" s="2">
        <f>getFiltersizeAsDouble('RawData (GH)'!D1775)</f>
        <v>77</v>
      </c>
      <c r="G1775" s="35">
        <f>getMagnification('RawData (GH)'!E1775)</f>
        <v>0</v>
      </c>
      <c r="H1775" s="62">
        <f>getMinimalFocus('RawData (GH)'!F1775)</f>
        <v>0</v>
      </c>
      <c r="I1775" t="str">
        <f>getMount('RawData (GH)'!G1775)</f>
        <v>Sony E</v>
      </c>
      <c r="J1775" t="str">
        <f>getSensorCompatibility('RawData (GH)'!H1775)</f>
        <v>APS-C</v>
      </c>
      <c r="K1775" s="45">
        <f>getWeightAsDouble('RawData (GH)'!I1775)</f>
        <v>638</v>
      </c>
      <c r="L1775" s="34">
        <f>getSizeDiameter('RawData (GH)'!J1775)</f>
        <v>83</v>
      </c>
      <c r="M1775" s="34">
        <f>getSizeLength('RawData (GH)'!J1775)</f>
        <v>123.5</v>
      </c>
    </row>
    <row r="1776" spans="1:13" x14ac:dyDescent="0.25">
      <c r="A1776" t="str">
        <f>'RawData (GH)'!A1776</f>
        <v>Walimex Pro 300mm 6.3 DSLR Reflex für Canon EF schwarz</v>
      </c>
      <c r="B1776" s="5">
        <f>getFocalLengthStart('RawData (GH)'!B1776)</f>
        <v>300</v>
      </c>
      <c r="C1776" s="5">
        <f>getFocalLengthEnd('RawData (GH)'!B1776)</f>
        <v>300</v>
      </c>
      <c r="D1776" s="9">
        <f>getApertureStart('RawData (GH)'!C1776)</f>
        <v>6.3</v>
      </c>
      <c r="E1776" s="9">
        <f>getApertureEnd('RawData (GH)'!C1776)</f>
        <v>6.3</v>
      </c>
      <c r="F1776" s="2">
        <f>getFiltersizeAsDouble('RawData (GH)'!D1776)</f>
        <v>0</v>
      </c>
      <c r="G1776" s="35">
        <f>getMagnification('RawData (GH)'!E1776)</f>
        <v>0</v>
      </c>
      <c r="H1776" s="62">
        <f>getMinimalFocus('RawData (GH)'!F1776)</f>
        <v>0</v>
      </c>
      <c r="I1776" t="str">
        <f>getMount('RawData (GH)'!G1776)</f>
        <v>Canon EF</v>
      </c>
      <c r="J1776" t="str">
        <f>getSensorCompatibility('RawData (GH)'!H1776)</f>
        <v>APS-C</v>
      </c>
      <c r="K1776" s="45">
        <f>getWeightAsDouble('RawData (GH)'!I1776)</f>
        <v>270</v>
      </c>
      <c r="L1776" s="34">
        <f>getSizeDiameter('RawData (GH)'!J1776)</f>
        <v>64.5</v>
      </c>
      <c r="M1776" s="34">
        <f>getSizeLength('RawData (GH)'!J1776)</f>
        <v>76.099999999999994</v>
      </c>
    </row>
    <row r="1777" spans="1:13" x14ac:dyDescent="0.25">
      <c r="A1777" t="str">
        <f>'RawData (GH)'!A1777</f>
        <v>Walimex Pro 300mm 6.3 DSLR Reflex für Nikon F schwarz</v>
      </c>
      <c r="B1777" s="5">
        <f>getFocalLengthStart('RawData (GH)'!B1777)</f>
        <v>300</v>
      </c>
      <c r="C1777" s="5">
        <f>getFocalLengthEnd('RawData (GH)'!B1777)</f>
        <v>300</v>
      </c>
      <c r="D1777" s="9">
        <f>getApertureStart('RawData (GH)'!C1777)</f>
        <v>6.3</v>
      </c>
      <c r="E1777" s="9">
        <f>getApertureEnd('RawData (GH)'!C1777)</f>
        <v>6.3</v>
      </c>
      <c r="F1777" s="2">
        <f>getFiltersizeAsDouble('RawData (GH)'!D1777)</f>
        <v>0</v>
      </c>
      <c r="G1777" s="35">
        <f>getMagnification('RawData (GH)'!E1777)</f>
        <v>0</v>
      </c>
      <c r="H1777" s="62">
        <f>getMinimalFocus('RawData (GH)'!F1777)</f>
        <v>0</v>
      </c>
      <c r="I1777" t="str">
        <f>getMount('RawData (GH)'!G1777)</f>
        <v>Nikon F</v>
      </c>
      <c r="J1777" t="str">
        <f>getSensorCompatibility('RawData (GH)'!H1777)</f>
        <v>APS-C</v>
      </c>
      <c r="K1777" s="45">
        <f>getWeightAsDouble('RawData (GH)'!I1777)</f>
        <v>270</v>
      </c>
      <c r="L1777" s="34">
        <f>getSizeDiameter('RawData (GH)'!J1777)</f>
        <v>64.5</v>
      </c>
      <c r="M1777" s="34">
        <f>getSizeLength('RawData (GH)'!J1777)</f>
        <v>76.099999999999994</v>
      </c>
    </row>
    <row r="1778" spans="1:13" x14ac:dyDescent="0.25">
      <c r="A1778" t="str">
        <f>'RawData (GH)'!A1778</f>
        <v>Walimex Pro 300mm 6.3 DSLR Reflex für Sony A schwarz</v>
      </c>
      <c r="B1778" s="5">
        <f>getFocalLengthStart('RawData (GH)'!B1778)</f>
        <v>300</v>
      </c>
      <c r="C1778" s="5">
        <f>getFocalLengthEnd('RawData (GH)'!B1778)</f>
        <v>300</v>
      </c>
      <c r="D1778" s="9">
        <f>getApertureStart('RawData (GH)'!C1778)</f>
        <v>6.3</v>
      </c>
      <c r="E1778" s="9">
        <f>getApertureEnd('RawData (GH)'!C1778)</f>
        <v>6.3</v>
      </c>
      <c r="F1778" s="2">
        <f>getFiltersizeAsDouble('RawData (GH)'!D1778)</f>
        <v>0</v>
      </c>
      <c r="G1778" s="35">
        <f>getMagnification('RawData (GH)'!E1778)</f>
        <v>0</v>
      </c>
      <c r="H1778" s="62">
        <f>getMinimalFocus('RawData (GH)'!F1778)</f>
        <v>0</v>
      </c>
      <c r="I1778" t="str">
        <f>getMount('RawData (GH)'!G1778)</f>
        <v>Sony A</v>
      </c>
      <c r="J1778" t="str">
        <f>getSensorCompatibility('RawData (GH)'!H1778)</f>
        <v>APS-C</v>
      </c>
      <c r="K1778" s="45">
        <f>getWeightAsDouble('RawData (GH)'!I1778)</f>
        <v>270</v>
      </c>
      <c r="L1778" s="34">
        <f>getSizeDiameter('RawData (GH)'!J1778)</f>
        <v>64.5</v>
      </c>
      <c r="M1778" s="34">
        <f>getSizeLength('RawData (GH)'!J1778)</f>
        <v>76.099999999999994</v>
      </c>
    </row>
    <row r="1779" spans="1:13" x14ac:dyDescent="0.25">
      <c r="A1779" t="str">
        <f>'RawData (GH)'!A1779</f>
        <v>Walimex Pro 300mm 6.3 ED UMC CS Reflex für Canon EF-M schwarz</v>
      </c>
      <c r="B1779" s="5">
        <f>getFocalLengthStart('RawData (GH)'!B1779)</f>
        <v>300</v>
      </c>
      <c r="C1779" s="5">
        <f>getFocalLengthEnd('RawData (GH)'!B1779)</f>
        <v>300</v>
      </c>
      <c r="D1779" s="9">
        <f>getApertureStart('RawData (GH)'!C1779)</f>
        <v>6.3</v>
      </c>
      <c r="E1779" s="9">
        <f>getApertureEnd('RawData (GH)'!C1779)</f>
        <v>6.3</v>
      </c>
      <c r="F1779" s="2">
        <f>getFiltersizeAsDouble('RawData (GH)'!D1779)</f>
        <v>0</v>
      </c>
      <c r="G1779" s="35">
        <f>getMagnification('RawData (GH)'!E1779)</f>
        <v>0</v>
      </c>
      <c r="H1779" s="62">
        <f>getMinimalFocus('RawData (GH)'!F1779)</f>
        <v>0</v>
      </c>
      <c r="I1779" t="str">
        <f>getMount('RawData (GH)'!G1779)</f>
        <v>Canon EF-M</v>
      </c>
      <c r="J1779" t="str">
        <f>getSensorCompatibility('RawData (GH)'!H1779)</f>
        <v>APS-C</v>
      </c>
      <c r="K1779" s="45">
        <f>getWeightAsDouble('RawData (GH)'!I1779)</f>
        <v>318</v>
      </c>
      <c r="L1779" s="34">
        <f>getSizeDiameter('RawData (GH)'!J1779)</f>
        <v>64.5</v>
      </c>
      <c r="M1779" s="34">
        <f>getSizeLength('RawData (GH)'!J1779)</f>
        <v>74</v>
      </c>
    </row>
    <row r="1780" spans="1:13" x14ac:dyDescent="0.25">
      <c r="A1780" t="str">
        <f>'RawData (GH)'!A1780</f>
        <v>Walimex Pro 300mm 6.3 ED UMC CS Reflex für Canon EF-M silber</v>
      </c>
      <c r="B1780" s="5">
        <f>getFocalLengthStart('RawData (GH)'!B1780)</f>
        <v>300</v>
      </c>
      <c r="C1780" s="5">
        <f>getFocalLengthEnd('RawData (GH)'!B1780)</f>
        <v>300</v>
      </c>
      <c r="D1780" s="9">
        <f>getApertureStart('RawData (GH)'!C1780)</f>
        <v>6.3</v>
      </c>
      <c r="E1780" s="9">
        <f>getApertureEnd('RawData (GH)'!C1780)</f>
        <v>6.3</v>
      </c>
      <c r="F1780" s="2">
        <f>getFiltersizeAsDouble('RawData (GH)'!D1780)</f>
        <v>0</v>
      </c>
      <c r="G1780" s="35">
        <f>getMagnification('RawData (GH)'!E1780)</f>
        <v>0</v>
      </c>
      <c r="H1780" s="62">
        <f>getMinimalFocus('RawData (GH)'!F1780)</f>
        <v>0</v>
      </c>
      <c r="I1780" t="str">
        <f>getMount('RawData (GH)'!G1780)</f>
        <v>Canon EF-M</v>
      </c>
      <c r="J1780" t="str">
        <f>getSensorCompatibility('RawData (GH)'!H1780)</f>
        <v>APS-C</v>
      </c>
      <c r="K1780" s="45">
        <f>getWeightAsDouble('RawData (GH)'!I1780)</f>
        <v>318</v>
      </c>
      <c r="L1780" s="34">
        <f>getSizeDiameter('RawData (GH)'!J1780)</f>
        <v>64.5</v>
      </c>
      <c r="M1780" s="34">
        <f>getSizeLength('RawData (GH)'!J1780)</f>
        <v>74</v>
      </c>
    </row>
    <row r="1781" spans="1:13" x14ac:dyDescent="0.25">
      <c r="A1781" t="str">
        <f>'RawData (GH)'!A1781</f>
        <v>Walimex Pro 300mm 6.3 ED UMC CS Reflex für Fujifilm X schwarz</v>
      </c>
      <c r="B1781" s="5">
        <f>getFocalLengthStart('RawData (GH)'!B1781)</f>
        <v>300</v>
      </c>
      <c r="C1781" s="5">
        <f>getFocalLengthEnd('RawData (GH)'!B1781)</f>
        <v>300</v>
      </c>
      <c r="D1781" s="9">
        <f>getApertureStart('RawData (GH)'!C1781)</f>
        <v>6.3</v>
      </c>
      <c r="E1781" s="9">
        <f>getApertureEnd('RawData (GH)'!C1781)</f>
        <v>6.3</v>
      </c>
      <c r="F1781" s="2">
        <f>getFiltersizeAsDouble('RawData (GH)'!D1781)</f>
        <v>0</v>
      </c>
      <c r="G1781" s="35">
        <f>getMagnification('RawData (GH)'!E1781)</f>
        <v>0</v>
      </c>
      <c r="H1781" s="62">
        <f>getMinimalFocus('RawData (GH)'!F1781)</f>
        <v>0</v>
      </c>
      <c r="I1781" t="str">
        <f>getMount('RawData (GH)'!G1781)</f>
        <v>Fujifilm X</v>
      </c>
      <c r="J1781" t="str">
        <f>getSensorCompatibility('RawData (GH)'!H1781)</f>
        <v>APS-C</v>
      </c>
      <c r="K1781" s="45">
        <f>getWeightAsDouble('RawData (GH)'!I1781)</f>
        <v>316</v>
      </c>
      <c r="L1781" s="34">
        <f>getSizeDiameter('RawData (GH)'!J1781)</f>
        <v>64.5</v>
      </c>
      <c r="M1781" s="34">
        <f>getSizeLength('RawData (GH)'!J1781)</f>
        <v>74</v>
      </c>
    </row>
    <row r="1782" spans="1:13" x14ac:dyDescent="0.25">
      <c r="A1782" t="str">
        <f>'RawData (GH)'!A1782</f>
        <v>Walimex Pro 300mm 6.3 ED UMC CS Reflex für Fujifilm X silber</v>
      </c>
      <c r="B1782" s="5">
        <f>getFocalLengthStart('RawData (GH)'!B1782)</f>
        <v>300</v>
      </c>
      <c r="C1782" s="5">
        <f>getFocalLengthEnd('RawData (GH)'!B1782)</f>
        <v>300</v>
      </c>
      <c r="D1782" s="9">
        <f>getApertureStart('RawData (GH)'!C1782)</f>
        <v>6.3</v>
      </c>
      <c r="E1782" s="9">
        <f>getApertureEnd('RawData (GH)'!C1782)</f>
        <v>6.3</v>
      </c>
      <c r="F1782" s="2">
        <f>getFiltersizeAsDouble('RawData (GH)'!D1782)</f>
        <v>0</v>
      </c>
      <c r="G1782" s="35">
        <f>getMagnification('RawData (GH)'!E1782)</f>
        <v>0</v>
      </c>
      <c r="H1782" s="62">
        <f>getMinimalFocus('RawData (GH)'!F1782)</f>
        <v>0</v>
      </c>
      <c r="I1782" t="str">
        <f>getMount('RawData (GH)'!G1782)</f>
        <v>Fujifilm X</v>
      </c>
      <c r="J1782" t="str">
        <f>getSensorCompatibility('RawData (GH)'!H1782)</f>
        <v>APS-C</v>
      </c>
      <c r="K1782" s="45">
        <f>getWeightAsDouble('RawData (GH)'!I1782)</f>
        <v>316</v>
      </c>
      <c r="L1782" s="34">
        <f>getSizeDiameter('RawData (GH)'!J1782)</f>
        <v>64.5</v>
      </c>
      <c r="M1782" s="34">
        <f>getSizeLength('RawData (GH)'!J1782)</f>
        <v>74</v>
      </c>
    </row>
    <row r="1783" spans="1:13" x14ac:dyDescent="0.25">
      <c r="A1783" t="str">
        <f>'RawData (GH)'!A1783</f>
        <v>Walimex Pro 300mm 6.3 ED UMC CS Reflex für Micro-Four-Thirds schwarz</v>
      </c>
      <c r="B1783" s="5">
        <f>getFocalLengthStart('RawData (GH)'!B1783)</f>
        <v>300</v>
      </c>
      <c r="C1783" s="5">
        <f>getFocalLengthEnd('RawData (GH)'!B1783)</f>
        <v>300</v>
      </c>
      <c r="D1783" s="9">
        <f>getApertureStart('RawData (GH)'!C1783)</f>
        <v>6.3</v>
      </c>
      <c r="E1783" s="9">
        <f>getApertureEnd('RawData (GH)'!C1783)</f>
        <v>6.3</v>
      </c>
      <c r="F1783" s="2">
        <f>getFiltersizeAsDouble('RawData (GH)'!D1783)</f>
        <v>0</v>
      </c>
      <c r="G1783" s="35">
        <f>getMagnification('RawData (GH)'!E1783)</f>
        <v>0</v>
      </c>
      <c r="H1783" s="62">
        <f>getMinimalFocus('RawData (GH)'!F1783)</f>
        <v>0</v>
      </c>
      <c r="I1783" t="str">
        <f>getMount('RawData (GH)'!G1783)</f>
        <v>Micro-Four-Thirds</v>
      </c>
      <c r="J1783" t="str">
        <f>getSensorCompatibility('RawData (GH)'!H1783)</f>
        <v>Four-Thirds</v>
      </c>
      <c r="K1783" s="45">
        <f>getWeightAsDouble('RawData (GH)'!I1783)</f>
        <v>311</v>
      </c>
      <c r="L1783" s="34">
        <f>getSizeDiameter('RawData (GH)'!J1783)</f>
        <v>64.5</v>
      </c>
      <c r="M1783" s="34">
        <f>getSizeLength('RawData (GH)'!J1783)</f>
        <v>73</v>
      </c>
    </row>
    <row r="1784" spans="1:13" x14ac:dyDescent="0.25">
      <c r="A1784" t="str">
        <f>'RawData (GH)'!A1784</f>
        <v>Walimex Pro 300mm 6.3 ED UMC CS Reflex für Micro-Four-Thirds silber</v>
      </c>
      <c r="B1784" s="5">
        <f>getFocalLengthStart('RawData (GH)'!B1784)</f>
        <v>300</v>
      </c>
      <c r="C1784" s="5">
        <f>getFocalLengthEnd('RawData (GH)'!B1784)</f>
        <v>300</v>
      </c>
      <c r="D1784" s="9">
        <f>getApertureStart('RawData (GH)'!C1784)</f>
        <v>6.3</v>
      </c>
      <c r="E1784" s="9">
        <f>getApertureEnd('RawData (GH)'!C1784)</f>
        <v>6.3</v>
      </c>
      <c r="F1784" s="2">
        <f>getFiltersizeAsDouble('RawData (GH)'!D1784)</f>
        <v>0</v>
      </c>
      <c r="G1784" s="35">
        <f>getMagnification('RawData (GH)'!E1784)</f>
        <v>0</v>
      </c>
      <c r="H1784" s="62">
        <f>getMinimalFocus('RawData (GH)'!F1784)</f>
        <v>0</v>
      </c>
      <c r="I1784" t="str">
        <f>getMount('RawData (GH)'!G1784)</f>
        <v>Micro-Four-Thirds</v>
      </c>
      <c r="J1784" t="str">
        <f>getSensorCompatibility('RawData (GH)'!H1784)</f>
        <v>Four-Thirds</v>
      </c>
      <c r="K1784" s="45">
        <f>getWeightAsDouble('RawData (GH)'!I1784)</f>
        <v>311</v>
      </c>
      <c r="L1784" s="34">
        <f>getSizeDiameter('RawData (GH)'!J1784)</f>
        <v>64.5</v>
      </c>
      <c r="M1784" s="34">
        <f>getSizeLength('RawData (GH)'!J1784)</f>
        <v>73</v>
      </c>
    </row>
    <row r="1785" spans="1:13" x14ac:dyDescent="0.25">
      <c r="A1785" t="str">
        <f>'RawData (GH)'!A1785</f>
        <v>Walimex Pro 300mm 6.3 ED UMC CS Reflex für Sony E schwarz</v>
      </c>
      <c r="B1785" s="5">
        <f>getFocalLengthStart('RawData (GH)'!B1785)</f>
        <v>300</v>
      </c>
      <c r="C1785" s="5">
        <f>getFocalLengthEnd('RawData (GH)'!B1785)</f>
        <v>300</v>
      </c>
      <c r="D1785" s="9">
        <f>getApertureStart('RawData (GH)'!C1785)</f>
        <v>6.3</v>
      </c>
      <c r="E1785" s="9">
        <f>getApertureEnd('RawData (GH)'!C1785)</f>
        <v>6.3</v>
      </c>
      <c r="F1785" s="2">
        <f>getFiltersizeAsDouble('RawData (GH)'!D1785)</f>
        <v>0</v>
      </c>
      <c r="G1785" s="35">
        <f>getMagnification('RawData (GH)'!E1785)</f>
        <v>0</v>
      </c>
      <c r="H1785" s="62">
        <f>getMinimalFocus('RawData (GH)'!F1785)</f>
        <v>0</v>
      </c>
      <c r="I1785" t="str">
        <f>getMount('RawData (GH)'!G1785)</f>
        <v>Sony E</v>
      </c>
      <c r="J1785" t="str">
        <f>getSensorCompatibility('RawData (GH)'!H1785)</f>
        <v>APS-C</v>
      </c>
      <c r="K1785" s="45">
        <f>getWeightAsDouble('RawData (GH)'!I1785)</f>
        <v>318</v>
      </c>
      <c r="L1785" s="34">
        <f>getSizeDiameter('RawData (GH)'!J1785)</f>
        <v>64.5</v>
      </c>
      <c r="M1785" s="34">
        <f>getSizeLength('RawData (GH)'!J1785)</f>
        <v>74</v>
      </c>
    </row>
    <row r="1786" spans="1:13" x14ac:dyDescent="0.25">
      <c r="A1786" t="str">
        <f>'RawData (GH)'!A1786</f>
        <v>Walimex Pro 300mm 6.3 ED UMC CS Reflex für Sony E silber</v>
      </c>
      <c r="B1786" s="5">
        <f>getFocalLengthStart('RawData (GH)'!B1786)</f>
        <v>300</v>
      </c>
      <c r="C1786" s="5">
        <f>getFocalLengthEnd('RawData (GH)'!B1786)</f>
        <v>300</v>
      </c>
      <c r="D1786" s="9">
        <f>getApertureStart('RawData (GH)'!C1786)</f>
        <v>6.3</v>
      </c>
      <c r="E1786" s="9">
        <f>getApertureEnd('RawData (GH)'!C1786)</f>
        <v>6.3</v>
      </c>
      <c r="F1786" s="2">
        <f>getFiltersizeAsDouble('RawData (GH)'!D1786)</f>
        <v>0</v>
      </c>
      <c r="G1786" s="35">
        <f>getMagnification('RawData (GH)'!E1786)</f>
        <v>0</v>
      </c>
      <c r="H1786" s="62">
        <f>getMinimalFocus('RawData (GH)'!F1786)</f>
        <v>0</v>
      </c>
      <c r="I1786" t="str">
        <f>getMount('RawData (GH)'!G1786)</f>
        <v>Sony E</v>
      </c>
      <c r="J1786" t="str">
        <f>getSensorCompatibility('RawData (GH)'!H1786)</f>
        <v>APS-C</v>
      </c>
      <c r="K1786" s="45">
        <f>getWeightAsDouble('RawData (GH)'!I1786)</f>
        <v>318</v>
      </c>
      <c r="L1786" s="34">
        <f>getSizeDiameter('RawData (GH)'!J1786)</f>
        <v>64.5</v>
      </c>
      <c r="M1786" s="34">
        <f>getSizeLength('RawData (GH)'!J1786)</f>
        <v>74</v>
      </c>
    </row>
    <row r="1787" spans="1:13" x14ac:dyDescent="0.25">
      <c r="A1787" t="str">
        <f>'RawData (GH)'!A1787</f>
        <v>Walimex Pro 35mm 1.4 CSC für Canon EF-M schwarz</v>
      </c>
      <c r="B1787" s="5">
        <f>getFocalLengthStart('RawData (GH)'!B1787)</f>
        <v>35</v>
      </c>
      <c r="C1787" s="5">
        <f>getFocalLengthEnd('RawData (GH)'!B1787)</f>
        <v>35</v>
      </c>
      <c r="D1787" s="9">
        <f>getApertureStart('RawData (GH)'!C1787)</f>
        <v>1.4</v>
      </c>
      <c r="E1787" s="9">
        <f>getApertureEnd('RawData (GH)'!C1787)</f>
        <v>1.4</v>
      </c>
      <c r="F1787" s="2">
        <f>getFiltersizeAsDouble('RawData (GH)'!D1787)</f>
        <v>77</v>
      </c>
      <c r="G1787" s="35">
        <f>getMagnification('RawData (GH)'!E1787)</f>
        <v>0</v>
      </c>
      <c r="H1787" s="62">
        <f>getMinimalFocus('RawData (GH)'!F1787)</f>
        <v>0</v>
      </c>
      <c r="I1787" t="str">
        <f>getMount('RawData (GH)'!G1787)</f>
        <v>Canon EF-M</v>
      </c>
      <c r="J1787" t="str">
        <f>getSensorCompatibility('RawData (GH)'!H1787)</f>
        <v>APS-C</v>
      </c>
      <c r="K1787" s="45">
        <f>getWeightAsDouble('RawData (GH)'!I1787)</f>
        <v>716</v>
      </c>
      <c r="L1787" s="34">
        <f>getSizeDiameter('RawData (GH)'!J1787)</f>
        <v>83</v>
      </c>
      <c r="M1787" s="34">
        <f>getSizeLength('RawData (GH)'!J1787)</f>
        <v>110</v>
      </c>
    </row>
    <row r="1788" spans="1:13" x14ac:dyDescent="0.25">
      <c r="A1788" t="str">
        <f>'RawData (GH)'!A1788</f>
        <v>Walimex Pro 35mm 1.4 DSLR für Canon EF schwarz</v>
      </c>
      <c r="B1788" s="5">
        <f>getFocalLengthStart('RawData (GH)'!B1788)</f>
        <v>35</v>
      </c>
      <c r="C1788" s="5">
        <f>getFocalLengthEnd('RawData (GH)'!B1788)</f>
        <v>35</v>
      </c>
      <c r="D1788" s="9">
        <f>getApertureStart('RawData (GH)'!C1788)</f>
        <v>1.4</v>
      </c>
      <c r="E1788" s="9">
        <f>getApertureEnd('RawData (GH)'!C1788)</f>
        <v>1.4</v>
      </c>
      <c r="F1788" s="2">
        <f>getFiltersizeAsDouble('RawData (GH)'!D1788)</f>
        <v>77</v>
      </c>
      <c r="G1788" s="35">
        <f>getMagnification('RawData (GH)'!E1788)</f>
        <v>0</v>
      </c>
      <c r="H1788" s="62">
        <f>getMinimalFocus('RawData (GH)'!F1788)</f>
        <v>0</v>
      </c>
      <c r="I1788" t="str">
        <f>getMount('RawData (GH)'!G1788)</f>
        <v>Canon EF</v>
      </c>
      <c r="J1788" t="str">
        <f>getSensorCompatibility('RawData (GH)'!H1788)</f>
        <v>Unknown</v>
      </c>
      <c r="K1788" s="45">
        <f>getWeightAsDouble('RawData (GH)'!I1788)</f>
        <v>760</v>
      </c>
      <c r="L1788" s="34">
        <f>getSizeDiameter('RawData (GH)'!J1788)</f>
        <v>83</v>
      </c>
      <c r="M1788" s="34">
        <f>getSizeLength('RawData (GH)'!J1788)</f>
        <v>109</v>
      </c>
    </row>
    <row r="1789" spans="1:13" x14ac:dyDescent="0.25">
      <c r="A1789" t="str">
        <f>'RawData (GH)'!A1789</f>
        <v>Walimex Pro 35mm 1.4 für Canon EF schwarz</v>
      </c>
      <c r="B1789" s="5">
        <f>getFocalLengthStart('RawData (GH)'!B1789)</f>
        <v>35</v>
      </c>
      <c r="C1789" s="5">
        <f>getFocalLengthEnd('RawData (GH)'!B1789)</f>
        <v>35</v>
      </c>
      <c r="D1789" s="9">
        <f>getApertureStart('RawData (GH)'!C1789)</f>
        <v>1.4</v>
      </c>
      <c r="E1789" s="9">
        <f>getApertureEnd('RawData (GH)'!C1789)</f>
        <v>1.4</v>
      </c>
      <c r="F1789" s="2">
        <f>getFiltersizeAsDouble('RawData (GH)'!D1789)</f>
        <v>77</v>
      </c>
      <c r="G1789" s="35">
        <f>getMagnification('RawData (GH)'!E1789)</f>
        <v>0</v>
      </c>
      <c r="H1789" s="62">
        <f>getMinimalFocus('RawData (GH)'!F1789)</f>
        <v>0</v>
      </c>
      <c r="I1789" t="str">
        <f>getMount('RawData (GH)'!G1789)</f>
        <v>Canon EF</v>
      </c>
      <c r="J1789" t="str">
        <f>getSensorCompatibility('RawData (GH)'!H1789)</f>
        <v>APS-C/ Kleinbild</v>
      </c>
      <c r="K1789" s="45">
        <f>getWeightAsDouble('RawData (GH)'!I1789)</f>
        <v>734</v>
      </c>
      <c r="L1789" s="34">
        <f>getSizeDiameter('RawData (GH)'!J1789)</f>
        <v>83</v>
      </c>
      <c r="M1789" s="34">
        <f>getSizeLength('RawData (GH)'!J1789)</f>
        <v>111.5</v>
      </c>
    </row>
    <row r="1790" spans="1:13" x14ac:dyDescent="0.25">
      <c r="A1790" t="str">
        <f>'RawData (GH)'!A1790</f>
        <v>Walimex Pro 35mm 1.4 für Four-Thirds schwarz</v>
      </c>
      <c r="B1790" s="5">
        <f>getFocalLengthStart('RawData (GH)'!B1790)</f>
        <v>35</v>
      </c>
      <c r="C1790" s="5">
        <f>getFocalLengthEnd('RawData (GH)'!B1790)</f>
        <v>35</v>
      </c>
      <c r="D1790" s="9">
        <f>getApertureStart('RawData (GH)'!C1790)</f>
        <v>1.4</v>
      </c>
      <c r="E1790" s="9">
        <f>getApertureEnd('RawData (GH)'!C1790)</f>
        <v>1.4</v>
      </c>
      <c r="F1790" s="2">
        <f>getFiltersizeAsDouble('RawData (GH)'!D1790)</f>
        <v>77</v>
      </c>
      <c r="G1790" s="35">
        <f>getMagnification('RawData (GH)'!E1790)</f>
        <v>0</v>
      </c>
      <c r="H1790" s="62">
        <f>getMinimalFocus('RawData (GH)'!F1790)</f>
        <v>0</v>
      </c>
      <c r="I1790" t="str">
        <f>getMount('RawData (GH)'!G1790)</f>
        <v>Four-Thirds</v>
      </c>
      <c r="J1790" t="str">
        <f>getSensorCompatibility('RawData (GH)'!H1790)</f>
        <v>Four-Thirds</v>
      </c>
      <c r="K1790" s="45">
        <f>getWeightAsDouble('RawData (GH)'!I1790)</f>
        <v>734</v>
      </c>
      <c r="L1790" s="34">
        <f>getSizeDiameter('RawData (GH)'!J1790)</f>
        <v>83</v>
      </c>
      <c r="M1790" s="34">
        <f>getSizeLength('RawData (GH)'!J1790)</f>
        <v>111.5</v>
      </c>
    </row>
    <row r="1791" spans="1:13" x14ac:dyDescent="0.25">
      <c r="A1791" t="str">
        <f>'RawData (GH)'!A1791</f>
        <v>Walimex Pro 35mm 1.4 für Fujifilm X schwarz</v>
      </c>
      <c r="B1791" s="5">
        <f>getFocalLengthStart('RawData (GH)'!B1791)</f>
        <v>35</v>
      </c>
      <c r="C1791" s="5">
        <f>getFocalLengthEnd('RawData (GH)'!B1791)</f>
        <v>35</v>
      </c>
      <c r="D1791" s="9">
        <f>getApertureStart('RawData (GH)'!C1791)</f>
        <v>1.4</v>
      </c>
      <c r="E1791" s="9">
        <f>getApertureEnd('RawData (GH)'!C1791)</f>
        <v>1.4</v>
      </c>
      <c r="F1791" s="2">
        <f>getFiltersizeAsDouble('RawData (GH)'!D1791)</f>
        <v>77</v>
      </c>
      <c r="G1791" s="35">
        <f>getMagnification('RawData (GH)'!E1791)</f>
        <v>0</v>
      </c>
      <c r="H1791" s="62">
        <f>getMinimalFocus('RawData (GH)'!F1791)</f>
        <v>0</v>
      </c>
      <c r="I1791" t="str">
        <f>getMount('RawData (GH)'!G1791)</f>
        <v>Fujifilm X</v>
      </c>
      <c r="J1791" t="str">
        <f>getSensorCompatibility('RawData (GH)'!H1791)</f>
        <v>APS-C/ Kleinbild</v>
      </c>
      <c r="K1791" s="45">
        <f>getWeightAsDouble('RawData (GH)'!I1791)</f>
        <v>734</v>
      </c>
      <c r="L1791" s="34">
        <f>getSizeDiameter('RawData (GH)'!J1791)</f>
        <v>83</v>
      </c>
      <c r="M1791" s="34">
        <f>getSizeLength('RawData (GH)'!J1791)</f>
        <v>111.5</v>
      </c>
    </row>
    <row r="1792" spans="1:13" x14ac:dyDescent="0.25">
      <c r="A1792" t="str">
        <f>'RawData (GH)'!A1792</f>
        <v>Walimex Pro 35mm 1.4 für Nikon 1 schwarz</v>
      </c>
      <c r="B1792" s="5">
        <f>getFocalLengthStart('RawData (GH)'!B1792)</f>
        <v>35</v>
      </c>
      <c r="C1792" s="5">
        <f>getFocalLengthEnd('RawData (GH)'!B1792)</f>
        <v>35</v>
      </c>
      <c r="D1792" s="9">
        <f>getApertureStart('RawData (GH)'!C1792)</f>
        <v>1.4</v>
      </c>
      <c r="E1792" s="9">
        <f>getApertureEnd('RawData (GH)'!C1792)</f>
        <v>1.4</v>
      </c>
      <c r="F1792" s="2">
        <f>getFiltersizeAsDouble('RawData (GH)'!D1792)</f>
        <v>77</v>
      </c>
      <c r="G1792" s="35">
        <f>getMagnification('RawData (GH)'!E1792)</f>
        <v>0</v>
      </c>
      <c r="H1792" s="62">
        <f>getMinimalFocus('RawData (GH)'!F1792)</f>
        <v>0</v>
      </c>
      <c r="I1792" t="str">
        <f>getMount('RawData (GH)'!G1792)</f>
        <v>Nikon 1</v>
      </c>
      <c r="J1792" t="str">
        <f>getSensorCompatibility('RawData (GH)'!H1792)</f>
        <v>APS-C/ Kleinbild</v>
      </c>
      <c r="K1792" s="45">
        <f>getWeightAsDouble('RawData (GH)'!I1792)</f>
        <v>734</v>
      </c>
      <c r="L1792" s="34">
        <f>getSizeDiameter('RawData (GH)'!J1792)</f>
        <v>83</v>
      </c>
      <c r="M1792" s="34">
        <f>getSizeLength('RawData (GH)'!J1792)</f>
        <v>111.5</v>
      </c>
    </row>
    <row r="1793" spans="1:13" x14ac:dyDescent="0.25">
      <c r="A1793" t="str">
        <f>'RawData (GH)'!A1793</f>
        <v>Walimex Pro 35mm 1.4 für Nikon F schwarz</v>
      </c>
      <c r="B1793" s="5">
        <f>getFocalLengthStart('RawData (GH)'!B1793)</f>
        <v>35</v>
      </c>
      <c r="C1793" s="5">
        <f>getFocalLengthEnd('RawData (GH)'!B1793)</f>
        <v>35</v>
      </c>
      <c r="D1793" s="9">
        <f>getApertureStart('RawData (GH)'!C1793)</f>
        <v>1.4</v>
      </c>
      <c r="E1793" s="9">
        <f>getApertureEnd('RawData (GH)'!C1793)</f>
        <v>1.4</v>
      </c>
      <c r="F1793" s="2">
        <f>getFiltersizeAsDouble('RawData (GH)'!D1793)</f>
        <v>77</v>
      </c>
      <c r="G1793" s="35">
        <f>getMagnification('RawData (GH)'!E1793)</f>
        <v>0</v>
      </c>
      <c r="H1793" s="62">
        <f>getMinimalFocus('RawData (GH)'!F1793)</f>
        <v>0</v>
      </c>
      <c r="I1793" t="str">
        <f>getMount('RawData (GH)'!G1793)</f>
        <v>Nikon F</v>
      </c>
      <c r="J1793" t="str">
        <f>getSensorCompatibility('RawData (GH)'!H1793)</f>
        <v>APS-C/ Kleinbild</v>
      </c>
      <c r="K1793" s="45">
        <f>getWeightAsDouble('RawData (GH)'!I1793)</f>
        <v>734</v>
      </c>
      <c r="L1793" s="34">
        <f>getSizeDiameter('RawData (GH)'!J1793)</f>
        <v>83</v>
      </c>
      <c r="M1793" s="34">
        <f>getSizeLength('RawData (GH)'!J1793)</f>
        <v>111.5</v>
      </c>
    </row>
    <row r="1794" spans="1:13" x14ac:dyDescent="0.25">
      <c r="A1794" t="str">
        <f>'RawData (GH)'!A1794</f>
        <v>Walimex Pro 35mm 1.4 für Pentax K schwarz</v>
      </c>
      <c r="B1794" s="5">
        <f>getFocalLengthStart('RawData (GH)'!B1794)</f>
        <v>35</v>
      </c>
      <c r="C1794" s="5">
        <f>getFocalLengthEnd('RawData (GH)'!B1794)</f>
        <v>35</v>
      </c>
      <c r="D1794" s="9">
        <f>getApertureStart('RawData (GH)'!C1794)</f>
        <v>1.4</v>
      </c>
      <c r="E1794" s="9">
        <f>getApertureEnd('RawData (GH)'!C1794)</f>
        <v>1.4</v>
      </c>
      <c r="F1794" s="2">
        <f>getFiltersizeAsDouble('RawData (GH)'!D1794)</f>
        <v>77</v>
      </c>
      <c r="G1794" s="35">
        <f>getMagnification('RawData (GH)'!E1794)</f>
        <v>0</v>
      </c>
      <c r="H1794" s="62">
        <f>getMinimalFocus('RawData (GH)'!F1794)</f>
        <v>0</v>
      </c>
      <c r="I1794" t="str">
        <f>getMount('RawData (GH)'!G1794)</f>
        <v>Pentax K</v>
      </c>
      <c r="J1794" t="str">
        <f>getSensorCompatibility('RawData (GH)'!H1794)</f>
        <v>APS-C/ Kleinbild</v>
      </c>
      <c r="K1794" s="45">
        <f>getWeightAsDouble('RawData (GH)'!I1794)</f>
        <v>734</v>
      </c>
      <c r="L1794" s="34">
        <f>getSizeDiameter('RawData (GH)'!J1794)</f>
        <v>83</v>
      </c>
      <c r="M1794" s="34">
        <f>getSizeLength('RawData (GH)'!J1794)</f>
        <v>111.5</v>
      </c>
    </row>
    <row r="1795" spans="1:13" x14ac:dyDescent="0.25">
      <c r="A1795" t="str">
        <f>'RawData (GH)'!A1795</f>
        <v>Walimex Pro 35mm 1.4 für Samsung NX schwarz</v>
      </c>
      <c r="B1795" s="5">
        <f>getFocalLengthStart('RawData (GH)'!B1795)</f>
        <v>35</v>
      </c>
      <c r="C1795" s="5">
        <f>getFocalLengthEnd('RawData (GH)'!B1795)</f>
        <v>35</v>
      </c>
      <c r="D1795" s="9">
        <f>getApertureStart('RawData (GH)'!C1795)</f>
        <v>1.4</v>
      </c>
      <c r="E1795" s="9">
        <f>getApertureEnd('RawData (GH)'!C1795)</f>
        <v>1.4</v>
      </c>
      <c r="F1795" s="2">
        <f>getFiltersizeAsDouble('RawData (GH)'!D1795)</f>
        <v>77</v>
      </c>
      <c r="G1795" s="35">
        <f>getMagnification('RawData (GH)'!E1795)</f>
        <v>0</v>
      </c>
      <c r="H1795" s="62">
        <f>getMinimalFocus('RawData (GH)'!F1795)</f>
        <v>0</v>
      </c>
      <c r="I1795" t="str">
        <f>getMount('RawData (GH)'!G1795)</f>
        <v>Samsung NX</v>
      </c>
      <c r="J1795" t="str">
        <f>getSensorCompatibility('RawData (GH)'!H1795)</f>
        <v>APS-C</v>
      </c>
      <c r="K1795" s="45">
        <f>getWeightAsDouble('RawData (GH)'!I1795)</f>
        <v>734</v>
      </c>
      <c r="L1795" s="34">
        <f>getSizeDiameter('RawData (GH)'!J1795)</f>
        <v>83</v>
      </c>
      <c r="M1795" s="34">
        <f>getSizeLength('RawData (GH)'!J1795)</f>
        <v>111.5</v>
      </c>
    </row>
    <row r="1796" spans="1:13" x14ac:dyDescent="0.25">
      <c r="A1796" t="str">
        <f>'RawData (GH)'!A1796</f>
        <v>Walimex Pro 35mm 1.4 für Sony A schwarz</v>
      </c>
      <c r="B1796" s="5">
        <f>getFocalLengthStart('RawData (GH)'!B1796)</f>
        <v>35</v>
      </c>
      <c r="C1796" s="5">
        <f>getFocalLengthEnd('RawData (GH)'!B1796)</f>
        <v>35</v>
      </c>
      <c r="D1796" s="9">
        <f>getApertureStart('RawData (GH)'!C1796)</f>
        <v>1.4</v>
      </c>
      <c r="E1796" s="9">
        <f>getApertureEnd('RawData (GH)'!C1796)</f>
        <v>1.4</v>
      </c>
      <c r="F1796" s="2">
        <f>getFiltersizeAsDouble('RawData (GH)'!D1796)</f>
        <v>77</v>
      </c>
      <c r="G1796" s="35">
        <f>getMagnification('RawData (GH)'!E1796)</f>
        <v>0</v>
      </c>
      <c r="H1796" s="62">
        <f>getMinimalFocus('RawData (GH)'!F1796)</f>
        <v>0</v>
      </c>
      <c r="I1796" t="str">
        <f>getMount('RawData (GH)'!G1796)</f>
        <v>Sony A</v>
      </c>
      <c r="J1796" t="str">
        <f>getSensorCompatibility('RawData (GH)'!H1796)</f>
        <v>APS-C</v>
      </c>
      <c r="K1796" s="45">
        <f>getWeightAsDouble('RawData (GH)'!I1796)</f>
        <v>734</v>
      </c>
      <c r="L1796" s="34">
        <f>getSizeDiameter('RawData (GH)'!J1796)</f>
        <v>83</v>
      </c>
      <c r="M1796" s="34">
        <f>getSizeLength('RawData (GH)'!J1796)</f>
        <v>111.5</v>
      </c>
    </row>
    <row r="1797" spans="1:13" x14ac:dyDescent="0.25">
      <c r="A1797" t="str">
        <f>'RawData (GH)'!A1797</f>
        <v>Walimex Pro 35mm 1.4 für Sony E schwarz</v>
      </c>
      <c r="B1797" s="5">
        <f>getFocalLengthStart('RawData (GH)'!B1797)</f>
        <v>35</v>
      </c>
      <c r="C1797" s="5">
        <f>getFocalLengthEnd('RawData (GH)'!B1797)</f>
        <v>35</v>
      </c>
      <c r="D1797" s="9">
        <f>getApertureStart('RawData (GH)'!C1797)</f>
        <v>1.4</v>
      </c>
      <c r="E1797" s="9">
        <f>getApertureEnd('RawData (GH)'!C1797)</f>
        <v>1.4</v>
      </c>
      <c r="F1797" s="2">
        <f>getFiltersizeAsDouble('RawData (GH)'!D1797)</f>
        <v>77</v>
      </c>
      <c r="G1797" s="35">
        <f>getMagnification('RawData (GH)'!E1797)</f>
        <v>0</v>
      </c>
      <c r="H1797" s="62">
        <f>getMinimalFocus('RawData (GH)'!F1797)</f>
        <v>0</v>
      </c>
      <c r="I1797" t="str">
        <f>getMount('RawData (GH)'!G1797)</f>
        <v>Sony E</v>
      </c>
      <c r="J1797" t="str">
        <f>getSensorCompatibility('RawData (GH)'!H1797)</f>
        <v>APS-C</v>
      </c>
      <c r="K1797" s="45">
        <f>getWeightAsDouble('RawData (GH)'!I1797)</f>
        <v>734</v>
      </c>
      <c r="L1797" s="34">
        <f>getSizeDiameter('RawData (GH)'!J1797)</f>
        <v>83</v>
      </c>
      <c r="M1797" s="34">
        <f>getSizeLength('RawData (GH)'!J1797)</f>
        <v>111.5</v>
      </c>
    </row>
    <row r="1798" spans="1:13" x14ac:dyDescent="0.25">
      <c r="A1798" t="str">
        <f>'RawData (GH)'!A1798</f>
        <v>Walimex Pro 35mm 1.5 VCSC für Samsung NX schwarz</v>
      </c>
      <c r="B1798" s="5">
        <f>getFocalLengthStart('RawData (GH)'!B1798)</f>
        <v>35</v>
      </c>
      <c r="C1798" s="5">
        <f>getFocalLengthEnd('RawData (GH)'!B1798)</f>
        <v>35</v>
      </c>
      <c r="D1798" s="9">
        <f>getApertureStart('RawData (GH)'!C1798)</f>
        <v>1.5</v>
      </c>
      <c r="E1798" s="9">
        <f>getApertureEnd('RawData (GH)'!C1798)</f>
        <v>1.5</v>
      </c>
      <c r="F1798" s="2">
        <f>getFiltersizeAsDouble('RawData (GH)'!D1798)</f>
        <v>77</v>
      </c>
      <c r="G1798" s="35">
        <f>getMagnification('RawData (GH)'!E1798)</f>
        <v>0</v>
      </c>
      <c r="H1798" s="62">
        <f>getMinimalFocus('RawData (GH)'!F1798)</f>
        <v>0</v>
      </c>
      <c r="I1798" t="str">
        <f>getMount('RawData (GH)'!G1798)</f>
        <v>Samsung NX</v>
      </c>
      <c r="J1798" t="str">
        <f>getSensorCompatibility('RawData (GH)'!H1798)</f>
        <v>APS-C</v>
      </c>
      <c r="K1798" s="45">
        <f>getWeightAsDouble('RawData (GH)'!I1798)</f>
        <v>722</v>
      </c>
      <c r="L1798" s="34">
        <f>getSizeDiameter('RawData (GH)'!J1798)</f>
        <v>83</v>
      </c>
      <c r="M1798" s="34">
        <f>getSizeLength('RawData (GH)'!J1798)</f>
        <v>130</v>
      </c>
    </row>
    <row r="1799" spans="1:13" x14ac:dyDescent="0.25">
      <c r="A1799" t="str">
        <f>'RawData (GH)'!A1799</f>
        <v>Walimex Pro 35mm 1.5 VDSLR für Canon EF schwarz</v>
      </c>
      <c r="B1799" s="5">
        <f>getFocalLengthStart('RawData (GH)'!B1799)</f>
        <v>35</v>
      </c>
      <c r="C1799" s="5">
        <f>getFocalLengthEnd('RawData (GH)'!B1799)</f>
        <v>35</v>
      </c>
      <c r="D1799" s="9">
        <f>getApertureStart('RawData (GH)'!C1799)</f>
        <v>1.5</v>
      </c>
      <c r="E1799" s="9">
        <f>getApertureEnd('RawData (GH)'!C1799)</f>
        <v>1.5</v>
      </c>
      <c r="F1799" s="2">
        <f>getFiltersizeAsDouble('RawData (GH)'!D1799)</f>
        <v>77</v>
      </c>
      <c r="G1799" s="35">
        <f>getMagnification('RawData (GH)'!E1799)</f>
        <v>0</v>
      </c>
      <c r="H1799" s="62">
        <f>getMinimalFocus('RawData (GH)'!F1799)</f>
        <v>0</v>
      </c>
      <c r="I1799" t="str">
        <f>getMount('RawData (GH)'!G1799)</f>
        <v>Canon EF</v>
      </c>
      <c r="J1799" t="str">
        <f>getSensorCompatibility('RawData (GH)'!H1799)</f>
        <v>APS-C/ Kleinbild</v>
      </c>
      <c r="K1799" s="45">
        <f>getWeightAsDouble('RawData (GH)'!I1799)</f>
        <v>700</v>
      </c>
      <c r="L1799" s="34">
        <f>getSizeDiameter('RawData (GH)'!J1799)</f>
        <v>83</v>
      </c>
      <c r="M1799" s="34">
        <f>getSizeLength('RawData (GH)'!J1799)</f>
        <v>111.5</v>
      </c>
    </row>
    <row r="1800" spans="1:13" x14ac:dyDescent="0.25">
      <c r="A1800" t="str">
        <f>'RawData (GH)'!A1800</f>
        <v>Walimex Pro 35mm 1.5 VDSLR für Four-Thirds schwarz</v>
      </c>
      <c r="B1800" s="5">
        <f>getFocalLengthStart('RawData (GH)'!B1800)</f>
        <v>35</v>
      </c>
      <c r="C1800" s="5">
        <f>getFocalLengthEnd('RawData (GH)'!B1800)</f>
        <v>35</v>
      </c>
      <c r="D1800" s="9">
        <f>getApertureStart('RawData (GH)'!C1800)</f>
        <v>1.5</v>
      </c>
      <c r="E1800" s="9">
        <f>getApertureEnd('RawData (GH)'!C1800)</f>
        <v>1.5</v>
      </c>
      <c r="F1800" s="2">
        <f>getFiltersizeAsDouble('RawData (GH)'!D1800)</f>
        <v>77</v>
      </c>
      <c r="G1800" s="35">
        <f>getMagnification('RawData (GH)'!E1800)</f>
        <v>0</v>
      </c>
      <c r="H1800" s="62">
        <f>getMinimalFocus('RawData (GH)'!F1800)</f>
        <v>0</v>
      </c>
      <c r="I1800" t="str">
        <f>getMount('RawData (GH)'!G1800)</f>
        <v>Four-Thirds</v>
      </c>
      <c r="J1800" t="str">
        <f>getSensorCompatibility('RawData (GH)'!H1800)</f>
        <v>Four-Thirds</v>
      </c>
      <c r="K1800" s="45">
        <f>getWeightAsDouble('RawData (GH)'!I1800)</f>
        <v>718</v>
      </c>
      <c r="L1800" s="34">
        <f>getSizeDiameter('RawData (GH)'!J1800)</f>
        <v>83</v>
      </c>
      <c r="M1800" s="34">
        <f>getSizeLength('RawData (GH)'!J1800)</f>
        <v>116.8</v>
      </c>
    </row>
    <row r="1801" spans="1:13" x14ac:dyDescent="0.25">
      <c r="A1801" t="str">
        <f>'RawData (GH)'!A1801</f>
        <v>Walimex Pro 35mm 1.5 VDSLR für Fujifilm X schwarz</v>
      </c>
      <c r="B1801" s="5">
        <f>getFocalLengthStart('RawData (GH)'!B1801)</f>
        <v>35</v>
      </c>
      <c r="C1801" s="5">
        <f>getFocalLengthEnd('RawData (GH)'!B1801)</f>
        <v>35</v>
      </c>
      <c r="D1801" s="9">
        <f>getApertureStart('RawData (GH)'!C1801)</f>
        <v>1.5</v>
      </c>
      <c r="E1801" s="9">
        <f>getApertureEnd('RawData (GH)'!C1801)</f>
        <v>1.5</v>
      </c>
      <c r="F1801" s="2">
        <f>getFiltersizeAsDouble('RawData (GH)'!D1801)</f>
        <v>77</v>
      </c>
      <c r="G1801" s="35">
        <f>getMagnification('RawData (GH)'!E1801)</f>
        <v>0</v>
      </c>
      <c r="H1801" s="62">
        <f>getMinimalFocus('RawData (GH)'!F1801)</f>
        <v>0</v>
      </c>
      <c r="I1801" t="str">
        <f>getMount('RawData (GH)'!G1801)</f>
        <v>Fujifilm X</v>
      </c>
      <c r="J1801" t="str">
        <f>getSensorCompatibility('RawData (GH)'!H1801)</f>
        <v>APS-C/ Kleinbild</v>
      </c>
      <c r="K1801" s="45">
        <f>getWeightAsDouble('RawData (GH)'!I1801)</f>
        <v>700</v>
      </c>
      <c r="L1801" s="34">
        <f>getSizeDiameter('RawData (GH)'!J1801)</f>
        <v>83</v>
      </c>
      <c r="M1801" s="34">
        <f>getSizeLength('RawData (GH)'!J1801)</f>
        <v>111.5</v>
      </c>
    </row>
    <row r="1802" spans="1:13" x14ac:dyDescent="0.25">
      <c r="A1802" t="str">
        <f>'RawData (GH)'!A1802</f>
        <v>Walimex Pro 35mm 1.5 VDSLR für Micro-Four-Thirds schwarz</v>
      </c>
      <c r="B1802" s="5">
        <f>getFocalLengthStart('RawData (GH)'!B1802)</f>
        <v>35</v>
      </c>
      <c r="C1802" s="5">
        <f>getFocalLengthEnd('RawData (GH)'!B1802)</f>
        <v>35</v>
      </c>
      <c r="D1802" s="9">
        <f>getApertureStart('RawData (GH)'!C1802)</f>
        <v>1.5</v>
      </c>
      <c r="E1802" s="9">
        <f>getApertureEnd('RawData (GH)'!C1802)</f>
        <v>1.5</v>
      </c>
      <c r="F1802" s="2">
        <f>getFiltersizeAsDouble('RawData (GH)'!D1802)</f>
        <v>77</v>
      </c>
      <c r="G1802" s="35">
        <f>getMagnification('RawData (GH)'!E1802)</f>
        <v>0</v>
      </c>
      <c r="H1802" s="62">
        <f>getMinimalFocus('RawData (GH)'!F1802)</f>
        <v>0</v>
      </c>
      <c r="I1802" t="str">
        <f>getMount('RawData (GH)'!G1802)</f>
        <v>Micro-Four-Thirds</v>
      </c>
      <c r="J1802" t="str">
        <f>getSensorCompatibility('RawData (GH)'!H1802)</f>
        <v>Four-Thirds</v>
      </c>
      <c r="K1802" s="45">
        <f>getWeightAsDouble('RawData (GH)'!I1802)</f>
        <v>718</v>
      </c>
      <c r="L1802" s="34">
        <f>getSizeDiameter('RawData (GH)'!J1802)</f>
        <v>83</v>
      </c>
      <c r="M1802" s="34">
        <f>getSizeLength('RawData (GH)'!J1802)</f>
        <v>116.8</v>
      </c>
    </row>
    <row r="1803" spans="1:13" x14ac:dyDescent="0.25">
      <c r="A1803" t="str">
        <f>'RawData (GH)'!A1803</f>
        <v>Walimex Pro 35mm 1.5 VDSLR für Nikon F schwarz</v>
      </c>
      <c r="B1803" s="5">
        <f>getFocalLengthStart('RawData (GH)'!B1803)</f>
        <v>35</v>
      </c>
      <c r="C1803" s="5">
        <f>getFocalLengthEnd('RawData (GH)'!B1803)</f>
        <v>35</v>
      </c>
      <c r="D1803" s="9">
        <f>getApertureStart('RawData (GH)'!C1803)</f>
        <v>1.5</v>
      </c>
      <c r="E1803" s="9">
        <f>getApertureEnd('RawData (GH)'!C1803)</f>
        <v>1.5</v>
      </c>
      <c r="F1803" s="2">
        <f>getFiltersizeAsDouble('RawData (GH)'!D1803)</f>
        <v>77</v>
      </c>
      <c r="G1803" s="35">
        <f>getMagnification('RawData (GH)'!E1803)</f>
        <v>0</v>
      </c>
      <c r="H1803" s="62">
        <f>getMinimalFocus('RawData (GH)'!F1803)</f>
        <v>0</v>
      </c>
      <c r="I1803" t="str">
        <f>getMount('RawData (GH)'!G1803)</f>
        <v>Nikon F</v>
      </c>
      <c r="J1803" t="str">
        <f>getSensorCompatibility('RawData (GH)'!H1803)</f>
        <v>APS-C/ Kleinbild</v>
      </c>
      <c r="K1803" s="45">
        <f>getWeightAsDouble('RawData (GH)'!I1803)</f>
        <v>685</v>
      </c>
      <c r="L1803" s="34">
        <f>getSizeDiameter('RawData (GH)'!J1803)</f>
        <v>83</v>
      </c>
      <c r="M1803" s="34">
        <f>getSizeLength('RawData (GH)'!J1803)</f>
        <v>109</v>
      </c>
    </row>
    <row r="1804" spans="1:13" x14ac:dyDescent="0.25">
      <c r="A1804" t="str">
        <f>'RawData (GH)'!A1804</f>
        <v>Walimex Pro 35mm 1.5 VDSLR für Pentax K schwarz</v>
      </c>
      <c r="B1804" s="5">
        <f>getFocalLengthStart('RawData (GH)'!B1804)</f>
        <v>35</v>
      </c>
      <c r="C1804" s="5">
        <f>getFocalLengthEnd('RawData (GH)'!B1804)</f>
        <v>35</v>
      </c>
      <c r="D1804" s="9">
        <f>getApertureStart('RawData (GH)'!C1804)</f>
        <v>1.5</v>
      </c>
      <c r="E1804" s="9">
        <f>getApertureEnd('RawData (GH)'!C1804)</f>
        <v>1.5</v>
      </c>
      <c r="F1804" s="2">
        <f>getFiltersizeAsDouble('RawData (GH)'!D1804)</f>
        <v>77</v>
      </c>
      <c r="G1804" s="35">
        <f>getMagnification('RawData (GH)'!E1804)</f>
        <v>0</v>
      </c>
      <c r="H1804" s="62">
        <f>getMinimalFocus('RawData (GH)'!F1804)</f>
        <v>0</v>
      </c>
      <c r="I1804" t="str">
        <f>getMount('RawData (GH)'!G1804)</f>
        <v>Pentax K</v>
      </c>
      <c r="J1804" t="str">
        <f>getSensorCompatibility('RawData (GH)'!H1804)</f>
        <v>APS-C/ Kleinbild</v>
      </c>
      <c r="K1804" s="45">
        <f>getWeightAsDouble('RawData (GH)'!I1804)</f>
        <v>670</v>
      </c>
      <c r="L1804" s="34">
        <f>getSizeDiameter('RawData (GH)'!J1804)</f>
        <v>83</v>
      </c>
      <c r="M1804" s="34">
        <f>getSizeLength('RawData (GH)'!J1804)</f>
        <v>110</v>
      </c>
    </row>
    <row r="1805" spans="1:13" x14ac:dyDescent="0.25">
      <c r="A1805" t="str">
        <f>'RawData (GH)'!A1805</f>
        <v>Walimex Pro 35mm 1.5 VDSLR für Sony A schwarz</v>
      </c>
      <c r="B1805" s="5">
        <f>getFocalLengthStart('RawData (GH)'!B1805)</f>
        <v>35</v>
      </c>
      <c r="C1805" s="5">
        <f>getFocalLengthEnd('RawData (GH)'!B1805)</f>
        <v>35</v>
      </c>
      <c r="D1805" s="9">
        <f>getApertureStart('RawData (GH)'!C1805)</f>
        <v>1.5</v>
      </c>
      <c r="E1805" s="9">
        <f>getApertureEnd('RawData (GH)'!C1805)</f>
        <v>1.5</v>
      </c>
      <c r="F1805" s="2">
        <f>getFiltersizeAsDouble('RawData (GH)'!D1805)</f>
        <v>77</v>
      </c>
      <c r="G1805" s="35">
        <f>getMagnification('RawData (GH)'!E1805)</f>
        <v>0</v>
      </c>
      <c r="H1805" s="62">
        <f>getMinimalFocus('RawData (GH)'!F1805)</f>
        <v>0</v>
      </c>
      <c r="I1805" t="str">
        <f>getMount('RawData (GH)'!G1805)</f>
        <v>Sony A</v>
      </c>
      <c r="J1805" t="str">
        <f>getSensorCompatibility('RawData (GH)'!H1805)</f>
        <v>APS-C</v>
      </c>
      <c r="K1805" s="45">
        <f>getWeightAsDouble('RawData (GH)'!I1805)</f>
        <v>694</v>
      </c>
      <c r="L1805" s="34">
        <f>getSizeDiameter('RawData (GH)'!J1805)</f>
        <v>83</v>
      </c>
      <c r="M1805" s="34">
        <f>getSizeLength('RawData (GH)'!J1805)</f>
        <v>111</v>
      </c>
    </row>
    <row r="1806" spans="1:13" x14ac:dyDescent="0.25">
      <c r="A1806" t="str">
        <f>'RawData (GH)'!A1806</f>
        <v>Walimex Pro 35mm 1.5 VDSLR für Sony E schwarz</v>
      </c>
      <c r="B1806" s="5">
        <f>getFocalLengthStart('RawData (GH)'!B1806)</f>
        <v>35</v>
      </c>
      <c r="C1806" s="5">
        <f>getFocalLengthEnd('RawData (GH)'!B1806)</f>
        <v>35</v>
      </c>
      <c r="D1806" s="9">
        <f>getApertureStart('RawData (GH)'!C1806)</f>
        <v>1.5</v>
      </c>
      <c r="E1806" s="9">
        <f>getApertureEnd('RawData (GH)'!C1806)</f>
        <v>1.5</v>
      </c>
      <c r="F1806" s="2">
        <f>getFiltersizeAsDouble('RawData (GH)'!D1806)</f>
        <v>77</v>
      </c>
      <c r="G1806" s="35">
        <f>getMagnification('RawData (GH)'!E1806)</f>
        <v>0</v>
      </c>
      <c r="H1806" s="62">
        <f>getMinimalFocus('RawData (GH)'!F1806)</f>
        <v>0</v>
      </c>
      <c r="I1806" t="str">
        <f>getMount('RawData (GH)'!G1806)</f>
        <v>Sony E</v>
      </c>
      <c r="J1806" t="str">
        <f>getSensorCompatibility('RawData (GH)'!H1806)</f>
        <v>APS-C</v>
      </c>
      <c r="K1806" s="45">
        <f>getWeightAsDouble('RawData (GH)'!I1806)</f>
        <v>723</v>
      </c>
      <c r="L1806" s="34">
        <f>getSizeDiameter('RawData (GH)'!J1806)</f>
        <v>83</v>
      </c>
      <c r="M1806" s="34">
        <f>getSizeLength('RawData (GH)'!J1806)</f>
        <v>137.5</v>
      </c>
    </row>
    <row r="1807" spans="1:13" x14ac:dyDescent="0.25">
      <c r="A1807" t="str">
        <f>'RawData (GH)'!A1807</f>
        <v>Walimex Pro 500mm 6.3 für Canon EF weiß</v>
      </c>
      <c r="B1807" s="5">
        <f>getFocalLengthStart('RawData (GH)'!B1807)</f>
        <v>500</v>
      </c>
      <c r="C1807" s="5">
        <f>getFocalLengthEnd('RawData (GH)'!B1807)</f>
        <v>500</v>
      </c>
      <c r="D1807" s="9">
        <f>getApertureStart('RawData (GH)'!C1807)</f>
        <v>6.3</v>
      </c>
      <c r="E1807" s="9">
        <f>getApertureEnd('RawData (GH)'!C1807)</f>
        <v>6.3</v>
      </c>
      <c r="F1807" s="2">
        <f>getFiltersizeAsDouble('RawData (GH)'!D1807)</f>
        <v>34</v>
      </c>
      <c r="G1807" s="35">
        <f>getMagnification('RawData (GH)'!E1807)</f>
        <v>0</v>
      </c>
      <c r="H1807" s="62">
        <f>getMinimalFocus('RawData (GH)'!F1807)</f>
        <v>0</v>
      </c>
      <c r="I1807" t="str">
        <f>getMount('RawData (GH)'!G1807)</f>
        <v>Canon EF</v>
      </c>
      <c r="J1807" t="str">
        <f>getSensorCompatibility('RawData (GH)'!H1807)</f>
        <v>APS-C/ Kleinbild</v>
      </c>
      <c r="K1807" s="45">
        <f>getWeightAsDouble('RawData (GH)'!I1807)</f>
        <v>705</v>
      </c>
      <c r="L1807" s="34">
        <f>getSizeDiameter('RawData (GH)'!J1807)</f>
        <v>95</v>
      </c>
      <c r="M1807" s="34">
        <f>getSizeLength('RawData (GH)'!J1807)</f>
        <v>120</v>
      </c>
    </row>
    <row r="1808" spans="1:13" x14ac:dyDescent="0.25">
      <c r="A1808" t="str">
        <f>'RawData (GH)'!A1808</f>
        <v>Walimex Pro 500mm 6.3 für Canon EF-M weiß</v>
      </c>
      <c r="B1808" s="5">
        <f>getFocalLengthStart('RawData (GH)'!B1808)</f>
        <v>500</v>
      </c>
      <c r="C1808" s="5">
        <f>getFocalLengthEnd('RawData (GH)'!B1808)</f>
        <v>500</v>
      </c>
      <c r="D1808" s="9">
        <f>getApertureStart('RawData (GH)'!C1808)</f>
        <v>6.3</v>
      </c>
      <c r="E1808" s="9">
        <f>getApertureEnd('RawData (GH)'!C1808)</f>
        <v>6.3</v>
      </c>
      <c r="F1808" s="2">
        <f>getFiltersizeAsDouble('RawData (GH)'!D1808)</f>
        <v>34</v>
      </c>
      <c r="G1808" s="35">
        <f>getMagnification('RawData (GH)'!E1808)</f>
        <v>0</v>
      </c>
      <c r="H1808" s="62">
        <f>getMinimalFocus('RawData (GH)'!F1808)</f>
        <v>0</v>
      </c>
      <c r="I1808" t="str">
        <f>getMount('RawData (GH)'!G1808)</f>
        <v>Canon EF-M</v>
      </c>
      <c r="J1808" t="str">
        <f>getSensorCompatibility('RawData (GH)'!H1808)</f>
        <v>APS-C/ Kleinbild</v>
      </c>
      <c r="K1808" s="45">
        <f>getWeightAsDouble('RawData (GH)'!I1808)</f>
        <v>705</v>
      </c>
      <c r="L1808" s="34">
        <f>getSizeDiameter('RawData (GH)'!J1808)</f>
        <v>95</v>
      </c>
      <c r="M1808" s="34">
        <f>getSizeLength('RawData (GH)'!J1808)</f>
        <v>120</v>
      </c>
    </row>
    <row r="1809" spans="1:13" x14ac:dyDescent="0.25">
      <c r="A1809" t="str">
        <f>'RawData (GH)'!A1809</f>
        <v>Walimex Pro 500mm 6.3 für Nikon F weiß</v>
      </c>
      <c r="B1809" s="5">
        <f>getFocalLengthStart('RawData (GH)'!B1809)</f>
        <v>500</v>
      </c>
      <c r="C1809" s="5">
        <f>getFocalLengthEnd('RawData (GH)'!B1809)</f>
        <v>500</v>
      </c>
      <c r="D1809" s="9">
        <f>getApertureStart('RawData (GH)'!C1809)</f>
        <v>6.3</v>
      </c>
      <c r="E1809" s="9">
        <f>getApertureEnd('RawData (GH)'!C1809)</f>
        <v>6.3</v>
      </c>
      <c r="F1809" s="2">
        <f>getFiltersizeAsDouble('RawData (GH)'!D1809)</f>
        <v>34</v>
      </c>
      <c r="G1809" s="35">
        <f>getMagnification('RawData (GH)'!E1809)</f>
        <v>0</v>
      </c>
      <c r="H1809" s="62">
        <f>getMinimalFocus('RawData (GH)'!F1809)</f>
        <v>0</v>
      </c>
      <c r="I1809" t="str">
        <f>getMount('RawData (GH)'!G1809)</f>
        <v>Nikon F</v>
      </c>
      <c r="J1809" t="str">
        <f>getSensorCompatibility('RawData (GH)'!H1809)</f>
        <v>APS-C/ Kleinbild</v>
      </c>
      <c r="K1809" s="45">
        <f>getWeightAsDouble('RawData (GH)'!I1809)</f>
        <v>705</v>
      </c>
      <c r="L1809" s="34">
        <f>getSizeDiameter('RawData (GH)'!J1809)</f>
        <v>95</v>
      </c>
      <c r="M1809" s="34">
        <f>getSizeLength('RawData (GH)'!J1809)</f>
        <v>120</v>
      </c>
    </row>
    <row r="1810" spans="1:13" x14ac:dyDescent="0.25">
      <c r="A1810" t="str">
        <f>'RawData (GH)'!A1810</f>
        <v>Walimex Pro 500mm 6.3 für Pentax K weiß</v>
      </c>
      <c r="B1810" s="5">
        <f>getFocalLengthStart('RawData (GH)'!B1810)</f>
        <v>500</v>
      </c>
      <c r="C1810" s="5">
        <f>getFocalLengthEnd('RawData (GH)'!B1810)</f>
        <v>500</v>
      </c>
      <c r="D1810" s="9">
        <f>getApertureStart('RawData (GH)'!C1810)</f>
        <v>6.3</v>
      </c>
      <c r="E1810" s="9">
        <f>getApertureEnd('RawData (GH)'!C1810)</f>
        <v>6.3</v>
      </c>
      <c r="F1810" s="2">
        <f>getFiltersizeAsDouble('RawData (GH)'!D1810)</f>
        <v>34</v>
      </c>
      <c r="G1810" s="35">
        <f>getMagnification('RawData (GH)'!E1810)</f>
        <v>0</v>
      </c>
      <c r="H1810" s="62">
        <f>getMinimalFocus('RawData (GH)'!F1810)</f>
        <v>0</v>
      </c>
      <c r="I1810" t="str">
        <f>getMount('RawData (GH)'!G1810)</f>
        <v>Pentax K</v>
      </c>
      <c r="J1810" t="str">
        <f>getSensorCompatibility('RawData (GH)'!H1810)</f>
        <v>APS-C/ Kleinbild</v>
      </c>
      <c r="K1810" s="45">
        <f>getWeightAsDouble('RawData (GH)'!I1810)</f>
        <v>705</v>
      </c>
      <c r="L1810" s="34">
        <f>getSizeDiameter('RawData (GH)'!J1810)</f>
        <v>95</v>
      </c>
      <c r="M1810" s="34">
        <f>getSizeLength('RawData (GH)'!J1810)</f>
        <v>120</v>
      </c>
    </row>
    <row r="1811" spans="1:13" x14ac:dyDescent="0.25">
      <c r="A1811" t="str">
        <f>'RawData (GH)'!A1811</f>
        <v>Walimex Pro 500mm 6.3 für Samsung NX weiß</v>
      </c>
      <c r="B1811" s="5">
        <f>getFocalLengthStart('RawData (GH)'!B1811)</f>
        <v>500</v>
      </c>
      <c r="C1811" s="5">
        <f>getFocalLengthEnd('RawData (GH)'!B1811)</f>
        <v>500</v>
      </c>
      <c r="D1811" s="9">
        <f>getApertureStart('RawData (GH)'!C1811)</f>
        <v>6.3</v>
      </c>
      <c r="E1811" s="9">
        <f>getApertureEnd('RawData (GH)'!C1811)</f>
        <v>6.3</v>
      </c>
      <c r="F1811" s="2">
        <f>getFiltersizeAsDouble('RawData (GH)'!D1811)</f>
        <v>34</v>
      </c>
      <c r="G1811" s="35">
        <f>getMagnification('RawData (GH)'!E1811)</f>
        <v>0</v>
      </c>
      <c r="H1811" s="62">
        <f>getMinimalFocus('RawData (GH)'!F1811)</f>
        <v>0</v>
      </c>
      <c r="I1811" t="str">
        <f>getMount('RawData (GH)'!G1811)</f>
        <v>Samsung NX</v>
      </c>
      <c r="J1811" t="str">
        <f>getSensorCompatibility('RawData (GH)'!H1811)</f>
        <v>APS-C</v>
      </c>
      <c r="K1811" s="45">
        <f>getWeightAsDouble('RawData (GH)'!I1811)</f>
        <v>705</v>
      </c>
      <c r="L1811" s="34">
        <f>getSizeDiameter('RawData (GH)'!J1811)</f>
        <v>95</v>
      </c>
      <c r="M1811" s="34">
        <f>getSizeLength('RawData (GH)'!J1811)</f>
        <v>120</v>
      </c>
    </row>
    <row r="1812" spans="1:13" x14ac:dyDescent="0.25">
      <c r="A1812" t="str">
        <f>'RawData (GH)'!A1812</f>
        <v>Walimex Pro 500mm 6.3 für Sony A weiß</v>
      </c>
      <c r="B1812" s="5">
        <f>getFocalLengthStart('RawData (GH)'!B1812)</f>
        <v>500</v>
      </c>
      <c r="C1812" s="5">
        <f>getFocalLengthEnd('RawData (GH)'!B1812)</f>
        <v>500</v>
      </c>
      <c r="D1812" s="9">
        <f>getApertureStart('RawData (GH)'!C1812)</f>
        <v>6.3</v>
      </c>
      <c r="E1812" s="9">
        <f>getApertureEnd('RawData (GH)'!C1812)</f>
        <v>6.3</v>
      </c>
      <c r="F1812" s="2">
        <f>getFiltersizeAsDouble('RawData (GH)'!D1812)</f>
        <v>34</v>
      </c>
      <c r="G1812" s="35">
        <f>getMagnification('RawData (GH)'!E1812)</f>
        <v>0</v>
      </c>
      <c r="H1812" s="62">
        <f>getMinimalFocus('RawData (GH)'!F1812)</f>
        <v>0</v>
      </c>
      <c r="I1812" t="str">
        <f>getMount('RawData (GH)'!G1812)</f>
        <v>Sony A</v>
      </c>
      <c r="J1812" t="str">
        <f>getSensorCompatibility('RawData (GH)'!H1812)</f>
        <v>APS-C</v>
      </c>
      <c r="K1812" s="45">
        <f>getWeightAsDouble('RawData (GH)'!I1812)</f>
        <v>705</v>
      </c>
      <c r="L1812" s="34">
        <f>getSizeDiameter('RawData (GH)'!J1812)</f>
        <v>95</v>
      </c>
      <c r="M1812" s="34">
        <f>getSizeLength('RawData (GH)'!J1812)</f>
        <v>120</v>
      </c>
    </row>
    <row r="1813" spans="1:13" x14ac:dyDescent="0.25">
      <c r="A1813" t="str">
        <f>'RawData (GH)'!A1813</f>
        <v>Walimex Pro 500mm 6.3 für Sony E weiß</v>
      </c>
      <c r="B1813" s="5">
        <f>getFocalLengthStart('RawData (GH)'!B1813)</f>
        <v>500</v>
      </c>
      <c r="C1813" s="5">
        <f>getFocalLengthEnd('RawData (GH)'!B1813)</f>
        <v>500</v>
      </c>
      <c r="D1813" s="9">
        <f>getApertureStart('RawData (GH)'!C1813)</f>
        <v>6.3</v>
      </c>
      <c r="E1813" s="9">
        <f>getApertureEnd('RawData (GH)'!C1813)</f>
        <v>6.3</v>
      </c>
      <c r="F1813" s="2">
        <f>getFiltersizeAsDouble('RawData (GH)'!D1813)</f>
        <v>34</v>
      </c>
      <c r="G1813" s="35">
        <f>getMagnification('RawData (GH)'!E1813)</f>
        <v>0</v>
      </c>
      <c r="H1813" s="62">
        <f>getMinimalFocus('RawData (GH)'!F1813)</f>
        <v>0</v>
      </c>
      <c r="I1813" t="str">
        <f>getMount('RawData (GH)'!G1813)</f>
        <v>Sony E</v>
      </c>
      <c r="J1813" t="str">
        <f>getSensorCompatibility('RawData (GH)'!H1813)</f>
        <v>APS-C</v>
      </c>
      <c r="K1813" s="45">
        <f>getWeightAsDouble('RawData (GH)'!I1813)</f>
        <v>630</v>
      </c>
      <c r="L1813" s="34">
        <f>getSizeDiameter('RawData (GH)'!J1813)</f>
        <v>95</v>
      </c>
      <c r="M1813" s="34">
        <f>getSizeLength('RawData (GH)'!J1813)</f>
        <v>110</v>
      </c>
    </row>
    <row r="1814" spans="1:13" x14ac:dyDescent="0.25">
      <c r="A1814" t="str">
        <f>'RawData (GH)'!A1814</f>
        <v>Walimex Pro 500mm 6.3 weiß</v>
      </c>
      <c r="B1814" s="5">
        <f>getFocalLengthStart('RawData (GH)'!B1814)</f>
        <v>500</v>
      </c>
      <c r="C1814" s="5">
        <f>getFocalLengthEnd('RawData (GH)'!B1814)</f>
        <v>500</v>
      </c>
      <c r="D1814" s="9">
        <f>getApertureStart('RawData (GH)'!C1814)</f>
        <v>6.3</v>
      </c>
      <c r="E1814" s="9">
        <f>getApertureEnd('RawData (GH)'!C1814)</f>
        <v>6.3</v>
      </c>
      <c r="F1814" s="2">
        <f>getFiltersizeAsDouble('RawData (GH)'!D1814)</f>
        <v>34</v>
      </c>
      <c r="G1814" s="35">
        <f>getMagnification('RawData (GH)'!E1814)</f>
        <v>0</v>
      </c>
      <c r="H1814" s="62">
        <f>getMinimalFocus('RawData (GH)'!F1814)</f>
        <v>0</v>
      </c>
      <c r="I1814" t="str">
        <f>getMount('RawData (GH)'!G1814)</f>
        <v>Unknown</v>
      </c>
      <c r="J1814" t="str">
        <f>getSensorCompatibility('RawData (GH)'!H1814)</f>
        <v>APS-C/ Kleinbild</v>
      </c>
      <c r="K1814" s="45">
        <f>getWeightAsDouble('RawData (GH)'!I1814)</f>
        <v>705</v>
      </c>
      <c r="L1814" s="34">
        <f>getSizeDiameter('RawData (GH)'!J1814)</f>
        <v>95</v>
      </c>
      <c r="M1814" s="34">
        <f>getSizeLength('RawData (GH)'!J1814)</f>
        <v>120</v>
      </c>
    </row>
    <row r="1815" spans="1:13" x14ac:dyDescent="0.25">
      <c r="A1815" t="str">
        <f>'RawData (GH)'!A1815</f>
        <v>Walimex Pro 500mm 8.0 schwarz</v>
      </c>
      <c r="B1815" s="5">
        <f>getFocalLengthStart('RawData (GH)'!B1815)</f>
        <v>500</v>
      </c>
      <c r="C1815" s="5">
        <f>getFocalLengthEnd('RawData (GH)'!B1815)</f>
        <v>500</v>
      </c>
      <c r="D1815" s="9">
        <f>getApertureStart('RawData (GH)'!C1815)</f>
        <v>8</v>
      </c>
      <c r="E1815" s="9">
        <f>getApertureEnd('RawData (GH)'!C1815)</f>
        <v>8</v>
      </c>
      <c r="F1815" s="2">
        <f>getFiltersizeAsDouble('RawData (GH)'!D1815)</f>
        <v>30.5</v>
      </c>
      <c r="G1815" s="35">
        <f>getMagnification('RawData (GH)'!E1815)</f>
        <v>0</v>
      </c>
      <c r="H1815" s="62">
        <f>getMinimalFocus('RawData (GH)'!F1815)</f>
        <v>0</v>
      </c>
      <c r="I1815" t="str">
        <f>getMount('RawData (GH)'!G1815)</f>
        <v>Unknown</v>
      </c>
      <c r="J1815" t="str">
        <f>getSensorCompatibility('RawData (GH)'!H1815)</f>
        <v>APS-C/ Kleinbild</v>
      </c>
      <c r="K1815" s="45">
        <f>getWeightAsDouble('RawData (GH)'!I1815)</f>
        <v>320</v>
      </c>
      <c r="L1815" s="34">
        <f>getSizeDiameter('RawData (GH)'!J1815)</f>
        <v>76</v>
      </c>
      <c r="M1815" s="34">
        <f>getSizeLength('RawData (GH)'!J1815)</f>
        <v>86.5</v>
      </c>
    </row>
    <row r="1816" spans="1:13" x14ac:dyDescent="0.25">
      <c r="A1816" t="str">
        <f>'RawData (GH)'!A1816</f>
        <v>Walimex Pro 50mm 1.2 CSC für Fujifilm X schwarz</v>
      </c>
      <c r="B1816" s="5">
        <f>getFocalLengthStart('RawData (GH)'!B1816)</f>
        <v>50</v>
      </c>
      <c r="C1816" s="5">
        <f>getFocalLengthEnd('RawData (GH)'!B1816)</f>
        <v>50</v>
      </c>
      <c r="D1816" s="9">
        <f>getApertureStart('RawData (GH)'!C1816)</f>
        <v>1.2</v>
      </c>
      <c r="E1816" s="9">
        <f>getApertureEnd('RawData (GH)'!C1816)</f>
        <v>1.2</v>
      </c>
      <c r="F1816" s="2">
        <f>getFiltersizeAsDouble('RawData (GH)'!D1816)</f>
        <v>62</v>
      </c>
      <c r="G1816" s="35">
        <f>getMagnification('RawData (GH)'!E1816)</f>
        <v>0</v>
      </c>
      <c r="H1816" s="62">
        <f>getMinimalFocus('RawData (GH)'!F1816)</f>
        <v>0</v>
      </c>
      <c r="I1816" t="str">
        <f>getMount('RawData (GH)'!G1816)</f>
        <v>Fujifilm X</v>
      </c>
      <c r="J1816" t="str">
        <f>getSensorCompatibility('RawData (GH)'!H1816)</f>
        <v>APS-C</v>
      </c>
      <c r="K1816" s="45">
        <f>getWeightAsDouble('RawData (GH)'!I1816)</f>
        <v>380</v>
      </c>
      <c r="L1816" s="34">
        <f>getSizeDiameter('RawData (GH)'!J1816)</f>
        <v>67.5</v>
      </c>
      <c r="M1816" s="34">
        <f>getSizeLength('RawData (GH)'!J1816)</f>
        <v>74</v>
      </c>
    </row>
    <row r="1817" spans="1:13" x14ac:dyDescent="0.25">
      <c r="A1817" t="str">
        <f>'RawData (GH)'!A1817</f>
        <v>Walimex Pro 50mm 1.2 CSC für Micro-Four-Thirds schwarz</v>
      </c>
      <c r="B1817" s="5">
        <f>getFocalLengthStart('RawData (GH)'!B1817)</f>
        <v>50</v>
      </c>
      <c r="C1817" s="5">
        <f>getFocalLengthEnd('RawData (GH)'!B1817)</f>
        <v>50</v>
      </c>
      <c r="D1817" s="9">
        <f>getApertureStart('RawData (GH)'!C1817)</f>
        <v>1.2</v>
      </c>
      <c r="E1817" s="9">
        <f>getApertureEnd('RawData (GH)'!C1817)</f>
        <v>1.2</v>
      </c>
      <c r="F1817" s="2">
        <f>getFiltersizeAsDouble('RawData (GH)'!D1817)</f>
        <v>62</v>
      </c>
      <c r="G1817" s="35">
        <f>getMagnification('RawData (GH)'!E1817)</f>
        <v>0</v>
      </c>
      <c r="H1817" s="62">
        <f>getMinimalFocus('RawData (GH)'!F1817)</f>
        <v>0</v>
      </c>
      <c r="I1817" t="str">
        <f>getMount('RawData (GH)'!G1817)</f>
        <v>Micro-Four-Thirds</v>
      </c>
      <c r="J1817" t="str">
        <f>getSensorCompatibility('RawData (GH)'!H1817)</f>
        <v>Four-Thirds</v>
      </c>
      <c r="K1817" s="45">
        <f>getWeightAsDouble('RawData (GH)'!I1817)</f>
        <v>375</v>
      </c>
      <c r="L1817" s="34">
        <f>getSizeDiameter('RawData (GH)'!J1817)</f>
        <v>67.5</v>
      </c>
      <c r="M1817" s="34">
        <f>getSizeLength('RawData (GH)'!J1817)</f>
        <v>73</v>
      </c>
    </row>
    <row r="1818" spans="1:13" x14ac:dyDescent="0.25">
      <c r="A1818" t="str">
        <f>'RawData (GH)'!A1818</f>
        <v>Walimex Pro 50mm 1.2 CSC für Sony E schwarz</v>
      </c>
      <c r="B1818" s="5">
        <f>getFocalLengthStart('RawData (GH)'!B1818)</f>
        <v>50</v>
      </c>
      <c r="C1818" s="5">
        <f>getFocalLengthEnd('RawData (GH)'!B1818)</f>
        <v>50</v>
      </c>
      <c r="D1818" s="9">
        <f>getApertureStart('RawData (GH)'!C1818)</f>
        <v>1.2</v>
      </c>
      <c r="E1818" s="9">
        <f>getApertureEnd('RawData (GH)'!C1818)</f>
        <v>1.2</v>
      </c>
      <c r="F1818" s="2">
        <f>getFiltersizeAsDouble('RawData (GH)'!D1818)</f>
        <v>62</v>
      </c>
      <c r="G1818" s="35">
        <f>getMagnification('RawData (GH)'!E1818)</f>
        <v>0</v>
      </c>
      <c r="H1818" s="62">
        <f>getMinimalFocus('RawData (GH)'!F1818)</f>
        <v>0</v>
      </c>
      <c r="I1818" t="str">
        <f>getMount('RawData (GH)'!G1818)</f>
        <v>Sony E</v>
      </c>
      <c r="J1818" t="str">
        <f>getSensorCompatibility('RawData (GH)'!H1818)</f>
        <v>APS-C</v>
      </c>
      <c r="K1818" s="45">
        <f>getWeightAsDouble('RawData (GH)'!I1818)</f>
        <v>385</v>
      </c>
      <c r="L1818" s="34">
        <f>getSizeDiameter('RawData (GH)'!J1818)</f>
        <v>67.5</v>
      </c>
      <c r="M1818" s="34">
        <f>getSizeLength('RawData (GH)'!J1818)</f>
        <v>74</v>
      </c>
    </row>
    <row r="1819" spans="1:13" x14ac:dyDescent="0.25">
      <c r="A1819" t="str">
        <f>'RawData (GH)'!A1819</f>
        <v>Walimex Pro 50mm 1.5 VCSC für Four-Thirds schwarz</v>
      </c>
      <c r="B1819" s="5">
        <f>getFocalLengthStart('RawData (GH)'!B1819)</f>
        <v>50</v>
      </c>
      <c r="C1819" s="5">
        <f>getFocalLengthEnd('RawData (GH)'!B1819)</f>
        <v>50</v>
      </c>
      <c r="D1819" s="9">
        <f>getApertureStart('RawData (GH)'!C1819)</f>
        <v>1.5</v>
      </c>
      <c r="E1819" s="9">
        <f>getApertureEnd('RawData (GH)'!C1819)</f>
        <v>1.5</v>
      </c>
      <c r="F1819" s="2">
        <f>getFiltersizeAsDouble('RawData (GH)'!D1819)</f>
        <v>77</v>
      </c>
      <c r="G1819" s="35">
        <f>getMagnification('RawData (GH)'!E1819)</f>
        <v>0</v>
      </c>
      <c r="H1819" s="62">
        <f>getMinimalFocus('RawData (GH)'!F1819)</f>
        <v>0</v>
      </c>
      <c r="I1819" t="str">
        <f>getMount('RawData (GH)'!G1819)</f>
        <v>Four-Thirds</v>
      </c>
      <c r="J1819" t="str">
        <f>getSensorCompatibility('RawData (GH)'!H1819)</f>
        <v>Four-Thirds</v>
      </c>
      <c r="K1819" s="45">
        <f>getWeightAsDouble('RawData (GH)'!I1819)</f>
        <v>580</v>
      </c>
      <c r="L1819" s="34">
        <f>getSizeDiameter('RawData (GH)'!J1819)</f>
        <v>82</v>
      </c>
      <c r="M1819" s="34">
        <f>getSizeLength('RawData (GH)'!J1819)</f>
        <v>80</v>
      </c>
    </row>
    <row r="1820" spans="1:13" x14ac:dyDescent="0.25">
      <c r="A1820" t="str">
        <f>'RawData (GH)'!A1820</f>
        <v>Walimex Pro 50mm 1.5 VCSC für Fujifilm X schwarz</v>
      </c>
      <c r="B1820" s="5">
        <f>getFocalLengthStart('RawData (GH)'!B1820)</f>
        <v>50</v>
      </c>
      <c r="C1820" s="5">
        <f>getFocalLengthEnd('RawData (GH)'!B1820)</f>
        <v>50</v>
      </c>
      <c r="D1820" s="9">
        <f>getApertureStart('RawData (GH)'!C1820)</f>
        <v>1.5</v>
      </c>
      <c r="E1820" s="9">
        <f>getApertureEnd('RawData (GH)'!C1820)</f>
        <v>1.5</v>
      </c>
      <c r="F1820" s="2">
        <f>getFiltersizeAsDouble('RawData (GH)'!D1820)</f>
        <v>77</v>
      </c>
      <c r="G1820" s="35">
        <f>getMagnification('RawData (GH)'!E1820)</f>
        <v>0</v>
      </c>
      <c r="H1820" s="62">
        <f>getMinimalFocus('RawData (GH)'!F1820)</f>
        <v>0</v>
      </c>
      <c r="I1820" t="str">
        <f>getMount('RawData (GH)'!G1820)</f>
        <v>Fujifilm X</v>
      </c>
      <c r="J1820" t="str">
        <f>getSensorCompatibility('RawData (GH)'!H1820)</f>
        <v>Four-Thirds</v>
      </c>
      <c r="K1820" s="45">
        <f>getWeightAsDouble('RawData (GH)'!I1820)</f>
        <v>640</v>
      </c>
      <c r="L1820" s="34">
        <f>getSizeDiameter('RawData (GH)'!J1820)</f>
        <v>82</v>
      </c>
      <c r="M1820" s="34">
        <f>getSizeLength('RawData (GH)'!J1820)</f>
        <v>101</v>
      </c>
    </row>
    <row r="1821" spans="1:13" x14ac:dyDescent="0.25">
      <c r="A1821" t="str">
        <f>'RawData (GH)'!A1821</f>
        <v>Walimex Pro 50mm 1.5 VCSC für Micro-Four-Thirds schwarz</v>
      </c>
      <c r="B1821" s="5">
        <f>getFocalLengthStart('RawData (GH)'!B1821)</f>
        <v>50</v>
      </c>
      <c r="C1821" s="5">
        <f>getFocalLengthEnd('RawData (GH)'!B1821)</f>
        <v>50</v>
      </c>
      <c r="D1821" s="9">
        <f>getApertureStart('RawData (GH)'!C1821)</f>
        <v>1.5</v>
      </c>
      <c r="E1821" s="9">
        <f>getApertureEnd('RawData (GH)'!C1821)</f>
        <v>1.5</v>
      </c>
      <c r="F1821" s="2">
        <f>getFiltersizeAsDouble('RawData (GH)'!D1821)</f>
        <v>77</v>
      </c>
      <c r="G1821" s="35">
        <f>getMagnification('RawData (GH)'!E1821)</f>
        <v>0</v>
      </c>
      <c r="H1821" s="62">
        <f>getMinimalFocus('RawData (GH)'!F1821)</f>
        <v>0</v>
      </c>
      <c r="I1821" t="str">
        <f>getMount('RawData (GH)'!G1821)</f>
        <v>Micro-Four-Thirds</v>
      </c>
      <c r="J1821" t="str">
        <f>getSensorCompatibility('RawData (GH)'!H1821)</f>
        <v>Four-Thirds</v>
      </c>
      <c r="K1821" s="45">
        <f>getWeightAsDouble('RawData (GH)'!I1821)</f>
        <v>590</v>
      </c>
      <c r="L1821" s="34">
        <f>getSizeDiameter('RawData (GH)'!J1821)</f>
        <v>82</v>
      </c>
      <c r="M1821" s="34">
        <f>getSizeLength('RawData (GH)'!J1821)</f>
        <v>99.5</v>
      </c>
    </row>
    <row r="1822" spans="1:13" x14ac:dyDescent="0.25">
      <c r="A1822" t="str">
        <f>'RawData (GH)'!A1822</f>
        <v>Walimex Pro 50mm 1.5 VCSC für Samsung NX schwarz</v>
      </c>
      <c r="B1822" s="5">
        <f>getFocalLengthStart('RawData (GH)'!B1822)</f>
        <v>50</v>
      </c>
      <c r="C1822" s="5">
        <f>getFocalLengthEnd('RawData (GH)'!B1822)</f>
        <v>50</v>
      </c>
      <c r="D1822" s="9">
        <f>getApertureStart('RawData (GH)'!C1822)</f>
        <v>1.5</v>
      </c>
      <c r="E1822" s="9">
        <f>getApertureEnd('RawData (GH)'!C1822)</f>
        <v>1.5</v>
      </c>
      <c r="F1822" s="2">
        <f>getFiltersizeAsDouble('RawData (GH)'!D1822)</f>
        <v>77</v>
      </c>
      <c r="G1822" s="35">
        <f>getMagnification('RawData (GH)'!E1822)</f>
        <v>0</v>
      </c>
      <c r="H1822" s="62">
        <f>getMinimalFocus('RawData (GH)'!F1822)</f>
        <v>0</v>
      </c>
      <c r="I1822" t="str">
        <f>getMount('RawData (GH)'!G1822)</f>
        <v>Samsung NX</v>
      </c>
      <c r="J1822" t="str">
        <f>getSensorCompatibility('RawData (GH)'!H1822)</f>
        <v>APS-C</v>
      </c>
      <c r="K1822" s="45">
        <f>getWeightAsDouble('RawData (GH)'!I1822)</f>
        <v>590</v>
      </c>
      <c r="L1822" s="34">
        <f>getSizeDiameter('RawData (GH)'!J1822)</f>
        <v>82</v>
      </c>
      <c r="M1822" s="34">
        <f>getSizeLength('RawData (GH)'!J1822)</f>
        <v>93.2</v>
      </c>
    </row>
    <row r="1823" spans="1:13" x14ac:dyDescent="0.25">
      <c r="A1823" t="str">
        <f>'RawData (GH)'!A1823</f>
        <v>Walimex Pro 50mm 1.5 VDSLR für Canon EF schwarz</v>
      </c>
      <c r="B1823" s="5">
        <f>getFocalLengthStart('RawData (GH)'!B1823)</f>
        <v>50</v>
      </c>
      <c r="C1823" s="5">
        <f>getFocalLengthEnd('RawData (GH)'!B1823)</f>
        <v>50</v>
      </c>
      <c r="D1823" s="9">
        <f>getApertureStart('RawData (GH)'!C1823)</f>
        <v>1.5</v>
      </c>
      <c r="E1823" s="9">
        <f>getApertureEnd('RawData (GH)'!C1823)</f>
        <v>1.5</v>
      </c>
      <c r="F1823" s="2">
        <f>getFiltersizeAsDouble('RawData (GH)'!D1823)</f>
        <v>77</v>
      </c>
      <c r="G1823" s="35">
        <f>getMagnification('RawData (GH)'!E1823)</f>
        <v>0</v>
      </c>
      <c r="H1823" s="62">
        <f>getMinimalFocus('RawData (GH)'!F1823)</f>
        <v>0</v>
      </c>
      <c r="I1823" t="str">
        <f>getMount('RawData (GH)'!G1823)</f>
        <v>Canon EF</v>
      </c>
      <c r="J1823" t="str">
        <f>getSensorCompatibility('RawData (GH)'!H1823)</f>
        <v>APS-C/ Kleinbild</v>
      </c>
      <c r="K1823" s="45">
        <f>getWeightAsDouble('RawData (GH)'!I1823)</f>
        <v>550</v>
      </c>
      <c r="L1823" s="34">
        <f>getSizeDiameter('RawData (GH)'!J1823)</f>
        <v>82</v>
      </c>
      <c r="M1823" s="34">
        <f>getSizeLength('RawData (GH)'!J1823)</f>
        <v>74.7</v>
      </c>
    </row>
    <row r="1824" spans="1:13" x14ac:dyDescent="0.25">
      <c r="A1824" t="str">
        <f>'RawData (GH)'!A1824</f>
        <v>Walimex Pro 50mm 1.5 VDSLR für Canon EF-M schwarz</v>
      </c>
      <c r="B1824" s="5">
        <f>getFocalLengthStart('RawData (GH)'!B1824)</f>
        <v>50</v>
      </c>
      <c r="C1824" s="5">
        <f>getFocalLengthEnd('RawData (GH)'!B1824)</f>
        <v>50</v>
      </c>
      <c r="D1824" s="9">
        <f>getApertureStart('RawData (GH)'!C1824)</f>
        <v>1.5</v>
      </c>
      <c r="E1824" s="9">
        <f>getApertureEnd('RawData (GH)'!C1824)</f>
        <v>1.5</v>
      </c>
      <c r="F1824" s="2">
        <f>getFiltersizeAsDouble('RawData (GH)'!D1824)</f>
        <v>77</v>
      </c>
      <c r="G1824" s="35">
        <f>getMagnification('RawData (GH)'!E1824)</f>
        <v>0</v>
      </c>
      <c r="H1824" s="62">
        <f>getMinimalFocus('RawData (GH)'!F1824)</f>
        <v>0</v>
      </c>
      <c r="I1824" t="str">
        <f>getMount('RawData (GH)'!G1824)</f>
        <v>Canon EF-M</v>
      </c>
      <c r="J1824" t="str">
        <f>getSensorCompatibility('RawData (GH)'!H1824)</f>
        <v>Unknown</v>
      </c>
      <c r="K1824" s="45">
        <f>getWeightAsDouble('RawData (GH)'!I1824)</f>
        <v>550</v>
      </c>
      <c r="L1824" s="34">
        <f>getSizeDiameter('RawData (GH)'!J1824)</f>
        <v>82</v>
      </c>
      <c r="M1824" s="34">
        <f>getSizeLength('RawData (GH)'!J1824)</f>
        <v>74.7</v>
      </c>
    </row>
    <row r="1825" spans="1:13" x14ac:dyDescent="0.25">
      <c r="A1825" t="str">
        <f>'RawData (GH)'!A1825</f>
        <v>Walimex Pro 50mm 1.5 VDSLR für Nikon F schwarz</v>
      </c>
      <c r="B1825" s="5">
        <f>getFocalLengthStart('RawData (GH)'!B1825)</f>
        <v>50</v>
      </c>
      <c r="C1825" s="5">
        <f>getFocalLengthEnd('RawData (GH)'!B1825)</f>
        <v>50</v>
      </c>
      <c r="D1825" s="9">
        <f>getApertureStart('RawData (GH)'!C1825)</f>
        <v>1.5</v>
      </c>
      <c r="E1825" s="9">
        <f>getApertureEnd('RawData (GH)'!C1825)</f>
        <v>1.5</v>
      </c>
      <c r="F1825" s="2">
        <f>getFiltersizeAsDouble('RawData (GH)'!D1825)</f>
        <v>77</v>
      </c>
      <c r="G1825" s="35">
        <f>getMagnification('RawData (GH)'!E1825)</f>
        <v>0</v>
      </c>
      <c r="H1825" s="62">
        <f>getMinimalFocus('RawData (GH)'!F1825)</f>
        <v>0</v>
      </c>
      <c r="I1825" t="str">
        <f>getMount('RawData (GH)'!G1825)</f>
        <v>Nikon F</v>
      </c>
      <c r="J1825" t="str">
        <f>getSensorCompatibility('RawData (GH)'!H1825)</f>
        <v>APS-C/ Kleinbild</v>
      </c>
      <c r="K1825" s="45">
        <f>getWeightAsDouble('RawData (GH)'!I1825)</f>
        <v>550</v>
      </c>
      <c r="L1825" s="34">
        <f>getSizeDiameter('RawData (GH)'!J1825)</f>
        <v>82</v>
      </c>
      <c r="M1825" s="34">
        <f>getSizeLength('RawData (GH)'!J1825)</f>
        <v>74.7</v>
      </c>
    </row>
    <row r="1826" spans="1:13" x14ac:dyDescent="0.25">
      <c r="A1826" t="str">
        <f>'RawData (GH)'!A1826</f>
        <v>Walimex Pro 50mm 1.5 VDSLR für Pentax K schwarz</v>
      </c>
      <c r="B1826" s="5">
        <f>getFocalLengthStart('RawData (GH)'!B1826)</f>
        <v>50</v>
      </c>
      <c r="C1826" s="5">
        <f>getFocalLengthEnd('RawData (GH)'!B1826)</f>
        <v>50</v>
      </c>
      <c r="D1826" s="9">
        <f>getApertureStart('RawData (GH)'!C1826)</f>
        <v>1.5</v>
      </c>
      <c r="E1826" s="9">
        <f>getApertureEnd('RawData (GH)'!C1826)</f>
        <v>1.5</v>
      </c>
      <c r="F1826" s="2">
        <f>getFiltersizeAsDouble('RawData (GH)'!D1826)</f>
        <v>77</v>
      </c>
      <c r="G1826" s="35">
        <f>getMagnification('RawData (GH)'!E1826)</f>
        <v>0</v>
      </c>
      <c r="H1826" s="62">
        <f>getMinimalFocus('RawData (GH)'!F1826)</f>
        <v>0</v>
      </c>
      <c r="I1826" t="str">
        <f>getMount('RawData (GH)'!G1826)</f>
        <v>Pentax K</v>
      </c>
      <c r="J1826" t="str">
        <f>getSensorCompatibility('RawData (GH)'!H1826)</f>
        <v>APS-C</v>
      </c>
      <c r="K1826" s="45">
        <f>getWeightAsDouble('RawData (GH)'!I1826)</f>
        <v>545</v>
      </c>
      <c r="L1826" s="34">
        <f>getSizeDiameter('RawData (GH)'!J1826)</f>
        <v>82</v>
      </c>
      <c r="M1826" s="34">
        <f>getSizeLength('RawData (GH)'!J1826)</f>
        <v>73.2</v>
      </c>
    </row>
    <row r="1827" spans="1:13" x14ac:dyDescent="0.25">
      <c r="A1827" t="str">
        <f>'RawData (GH)'!A1827</f>
        <v>Walimex Pro 50mm 1.5 VDSLR für Sony E schwarz</v>
      </c>
      <c r="B1827" s="5">
        <f>getFocalLengthStart('RawData (GH)'!B1827)</f>
        <v>50</v>
      </c>
      <c r="C1827" s="5">
        <f>getFocalLengthEnd('RawData (GH)'!B1827)</f>
        <v>50</v>
      </c>
      <c r="D1827" s="9">
        <f>getApertureStart('RawData (GH)'!C1827)</f>
        <v>1.5</v>
      </c>
      <c r="E1827" s="9">
        <f>getApertureEnd('RawData (GH)'!C1827)</f>
        <v>1.5</v>
      </c>
      <c r="F1827" s="2">
        <f>getFiltersizeAsDouble('RawData (GH)'!D1827)</f>
        <v>77</v>
      </c>
      <c r="G1827" s="35">
        <f>getMagnification('RawData (GH)'!E1827)</f>
        <v>0</v>
      </c>
      <c r="H1827" s="62">
        <f>getMinimalFocus('RawData (GH)'!F1827)</f>
        <v>0</v>
      </c>
      <c r="I1827" t="str">
        <f>getMount('RawData (GH)'!G1827)</f>
        <v>Sony E</v>
      </c>
      <c r="J1827" t="str">
        <f>getSensorCompatibility('RawData (GH)'!H1827)</f>
        <v>APS-C/ Kleinbild</v>
      </c>
      <c r="K1827" s="45">
        <f>getWeightAsDouble('RawData (GH)'!I1827)</f>
        <v>600</v>
      </c>
      <c r="L1827" s="34">
        <f>getSizeDiameter('RawData (GH)'!J1827)</f>
        <v>82</v>
      </c>
      <c r="M1827" s="34">
        <f>getSizeLength('RawData (GH)'!J1827)</f>
        <v>100.7</v>
      </c>
    </row>
    <row r="1828" spans="1:13" x14ac:dyDescent="0.25">
      <c r="A1828" t="str">
        <f>'RawData (GH)'!A1828</f>
        <v>Walimex Pro 650-1300mm 8.0-16.0 für Canon EF FD weiß</v>
      </c>
      <c r="B1828" s="5">
        <f>getFocalLengthStart('RawData (GH)'!B1828)</f>
        <v>650</v>
      </c>
      <c r="C1828" s="5">
        <f>getFocalLengthEnd('RawData (GH)'!B1828)</f>
        <v>1300</v>
      </c>
      <c r="D1828" s="9">
        <f>getApertureStart('RawData (GH)'!C1828)</f>
        <v>8</v>
      </c>
      <c r="E1828" s="9">
        <f>getApertureEnd('RawData (GH)'!C1828)</f>
        <v>16</v>
      </c>
      <c r="F1828" s="2">
        <f>getFiltersizeAsDouble('RawData (GH)'!D1828)</f>
        <v>95</v>
      </c>
      <c r="G1828" s="35">
        <f>getMagnification('RawData (GH)'!E1828)</f>
        <v>0</v>
      </c>
      <c r="H1828" s="62">
        <f>getMinimalFocus('RawData (GH)'!F1828)</f>
        <v>0</v>
      </c>
      <c r="I1828" t="str">
        <f>getMount('RawData (GH)'!G1828)</f>
        <v>Canon EF</v>
      </c>
      <c r="J1828" t="str">
        <f>getSensorCompatibility('RawData (GH)'!H1828)</f>
        <v>APS-C</v>
      </c>
      <c r="K1828" s="45">
        <f>getWeightAsDouble('RawData (GH)'!I1828)</f>
        <v>2000</v>
      </c>
      <c r="L1828" s="34">
        <f>getSizeDiameter('RawData (GH)'!J1828)</f>
        <v>105</v>
      </c>
      <c r="M1828" s="34">
        <f>getSizeLength('RawData (GH)'!J1828)</f>
        <v>463</v>
      </c>
    </row>
    <row r="1829" spans="1:13" x14ac:dyDescent="0.25">
      <c r="A1829" t="str">
        <f>'RawData (GH)'!A1829</f>
        <v>Walimex Pro 650-1300mm 8.0-16.0 für Canon EF weiß</v>
      </c>
      <c r="B1829" s="5">
        <f>getFocalLengthStart('RawData (GH)'!B1829)</f>
        <v>650</v>
      </c>
      <c r="C1829" s="5">
        <f>getFocalLengthEnd('RawData (GH)'!B1829)</f>
        <v>1300</v>
      </c>
      <c r="D1829" s="9">
        <f>getApertureStart('RawData (GH)'!C1829)</f>
        <v>8</v>
      </c>
      <c r="E1829" s="9">
        <f>getApertureEnd('RawData (GH)'!C1829)</f>
        <v>16</v>
      </c>
      <c r="F1829" s="2">
        <f>getFiltersizeAsDouble('RawData (GH)'!D1829)</f>
        <v>95</v>
      </c>
      <c r="G1829" s="35">
        <f>getMagnification('RawData (GH)'!E1829)</f>
        <v>0</v>
      </c>
      <c r="H1829" s="62">
        <f>getMinimalFocus('RawData (GH)'!F1829)</f>
        <v>0</v>
      </c>
      <c r="I1829" t="str">
        <f>getMount('RawData (GH)'!G1829)</f>
        <v>Canon EF</v>
      </c>
      <c r="J1829" t="str">
        <f>getSensorCompatibility('RawData (GH)'!H1829)</f>
        <v>APS-C</v>
      </c>
      <c r="K1829" s="45">
        <f>getWeightAsDouble('RawData (GH)'!I1829)</f>
        <v>2000</v>
      </c>
      <c r="L1829" s="34">
        <f>getSizeDiameter('RawData (GH)'!J1829)</f>
        <v>105</v>
      </c>
      <c r="M1829" s="34">
        <f>getSizeLength('RawData (GH)'!J1829)</f>
        <v>463</v>
      </c>
    </row>
    <row r="1830" spans="1:13" x14ac:dyDescent="0.25">
      <c r="A1830" t="str">
        <f>'RawData (GH)'!A1830</f>
        <v>Walimex Pro 650-1300mm 8.0-16.0 für Canon EF-M weiß</v>
      </c>
      <c r="B1830" s="5">
        <f>getFocalLengthStart('RawData (GH)'!B1830)</f>
        <v>650</v>
      </c>
      <c r="C1830" s="5">
        <f>getFocalLengthEnd('RawData (GH)'!B1830)</f>
        <v>1300</v>
      </c>
      <c r="D1830" s="9">
        <f>getApertureStart('RawData (GH)'!C1830)</f>
        <v>8</v>
      </c>
      <c r="E1830" s="9">
        <f>getApertureEnd('RawData (GH)'!C1830)</f>
        <v>16</v>
      </c>
      <c r="F1830" s="2">
        <f>getFiltersizeAsDouble('RawData (GH)'!D1830)</f>
        <v>95</v>
      </c>
      <c r="G1830" s="35">
        <f>getMagnification('RawData (GH)'!E1830)</f>
        <v>0</v>
      </c>
      <c r="H1830" s="62">
        <f>getMinimalFocus('RawData (GH)'!F1830)</f>
        <v>0</v>
      </c>
      <c r="I1830" t="str">
        <f>getMount('RawData (GH)'!G1830)</f>
        <v>Canon EF-M</v>
      </c>
      <c r="J1830" t="str">
        <f>getSensorCompatibility('RawData (GH)'!H1830)</f>
        <v>APS-C</v>
      </c>
      <c r="K1830" s="45">
        <f>getWeightAsDouble('RawData (GH)'!I1830)</f>
        <v>2000</v>
      </c>
      <c r="L1830" s="34">
        <f>getSizeDiameter('RawData (GH)'!J1830)</f>
        <v>105</v>
      </c>
      <c r="M1830" s="34">
        <f>getSizeLength('RawData (GH)'!J1830)</f>
        <v>463</v>
      </c>
    </row>
    <row r="1831" spans="1:13" x14ac:dyDescent="0.25">
      <c r="A1831" t="str">
        <f>'RawData (GH)'!A1831</f>
        <v>Walimex Pro 650-1300mm 8.0-16.0 für Konica Minolta MD weiß</v>
      </c>
      <c r="B1831" s="5">
        <f>getFocalLengthStart('RawData (GH)'!B1831)</f>
        <v>650</v>
      </c>
      <c r="C1831" s="5">
        <f>getFocalLengthEnd('RawData (GH)'!B1831)</f>
        <v>1300</v>
      </c>
      <c r="D1831" s="9">
        <f>getApertureStart('RawData (GH)'!C1831)</f>
        <v>8</v>
      </c>
      <c r="E1831" s="9">
        <f>getApertureEnd('RawData (GH)'!C1831)</f>
        <v>16</v>
      </c>
      <c r="F1831" s="2">
        <f>getFiltersizeAsDouble('RawData (GH)'!D1831)</f>
        <v>95</v>
      </c>
      <c r="G1831" s="35">
        <f>getMagnification('RawData (GH)'!E1831)</f>
        <v>0</v>
      </c>
      <c r="H1831" s="62">
        <f>getMinimalFocus('RawData (GH)'!F1831)</f>
        <v>0</v>
      </c>
      <c r="I1831" t="str">
        <f>getMount('RawData (GH)'!G1831)</f>
        <v>Unknown</v>
      </c>
      <c r="J1831" t="str">
        <f>getSensorCompatibility('RawData (GH)'!H1831)</f>
        <v>APS-C</v>
      </c>
      <c r="K1831" s="45">
        <f>getWeightAsDouble('RawData (GH)'!I1831)</f>
        <v>2000</v>
      </c>
      <c r="L1831" s="34">
        <f>getSizeDiameter('RawData (GH)'!J1831)</f>
        <v>105</v>
      </c>
      <c r="M1831" s="34">
        <f>getSizeLength('RawData (GH)'!J1831)</f>
        <v>463</v>
      </c>
    </row>
    <row r="1832" spans="1:13" x14ac:dyDescent="0.25">
      <c r="A1832" t="str">
        <f>'RawData (GH)'!A1832</f>
        <v>Walimex Pro 650-1300mm 8.0-16.0 für Nikon F weiß</v>
      </c>
      <c r="B1832" s="5">
        <f>getFocalLengthStart('RawData (GH)'!B1832)</f>
        <v>650</v>
      </c>
      <c r="C1832" s="5">
        <f>getFocalLengthEnd('RawData (GH)'!B1832)</f>
        <v>1300</v>
      </c>
      <c r="D1832" s="9">
        <f>getApertureStart('RawData (GH)'!C1832)</f>
        <v>8</v>
      </c>
      <c r="E1832" s="9">
        <f>getApertureEnd('RawData (GH)'!C1832)</f>
        <v>16</v>
      </c>
      <c r="F1832" s="2">
        <f>getFiltersizeAsDouble('RawData (GH)'!D1832)</f>
        <v>95</v>
      </c>
      <c r="G1832" s="35">
        <f>getMagnification('RawData (GH)'!E1832)</f>
        <v>0</v>
      </c>
      <c r="H1832" s="62">
        <f>getMinimalFocus('RawData (GH)'!F1832)</f>
        <v>0</v>
      </c>
      <c r="I1832" t="str">
        <f>getMount('RawData (GH)'!G1832)</f>
        <v>Nikon F</v>
      </c>
      <c r="J1832" t="str">
        <f>getSensorCompatibility('RawData (GH)'!H1832)</f>
        <v>APS-C</v>
      </c>
      <c r="K1832" s="45">
        <f>getWeightAsDouble('RawData (GH)'!I1832)</f>
        <v>2000</v>
      </c>
      <c r="L1832" s="34">
        <f>getSizeDiameter('RawData (GH)'!J1832)</f>
        <v>105</v>
      </c>
      <c r="M1832" s="34">
        <f>getSizeLength('RawData (GH)'!J1832)</f>
        <v>463</v>
      </c>
    </row>
    <row r="1833" spans="1:13" x14ac:dyDescent="0.25">
      <c r="A1833" t="str">
        <f>'RawData (GH)'!A1833</f>
        <v>Walimex Pro 650-1300mm 8.0-16.0 für Sony A weiß</v>
      </c>
      <c r="B1833" s="5">
        <f>getFocalLengthStart('RawData (GH)'!B1833)</f>
        <v>650</v>
      </c>
      <c r="C1833" s="5">
        <f>getFocalLengthEnd('RawData (GH)'!B1833)</f>
        <v>1300</v>
      </c>
      <c r="D1833" s="9">
        <f>getApertureStart('RawData (GH)'!C1833)</f>
        <v>8</v>
      </c>
      <c r="E1833" s="9">
        <f>getApertureEnd('RawData (GH)'!C1833)</f>
        <v>16</v>
      </c>
      <c r="F1833" s="2">
        <f>getFiltersizeAsDouble('RawData (GH)'!D1833)</f>
        <v>95</v>
      </c>
      <c r="G1833" s="35">
        <f>getMagnification('RawData (GH)'!E1833)</f>
        <v>0</v>
      </c>
      <c r="H1833" s="62">
        <f>getMinimalFocus('RawData (GH)'!F1833)</f>
        <v>0</v>
      </c>
      <c r="I1833" t="str">
        <f>getMount('RawData (GH)'!G1833)</f>
        <v>Sony A</v>
      </c>
      <c r="J1833" t="str">
        <f>getSensorCompatibility('RawData (GH)'!H1833)</f>
        <v>APS-C</v>
      </c>
      <c r="K1833" s="45">
        <f>getWeightAsDouble('RawData (GH)'!I1833)</f>
        <v>2000</v>
      </c>
      <c r="L1833" s="34">
        <f>getSizeDiameter('RawData (GH)'!J1833)</f>
        <v>105</v>
      </c>
      <c r="M1833" s="34">
        <f>getSizeLength('RawData (GH)'!J1833)</f>
        <v>463</v>
      </c>
    </row>
    <row r="1834" spans="1:13" x14ac:dyDescent="0.25">
      <c r="A1834" t="str">
        <f>'RawData (GH)'!A1834</f>
        <v>Walimex Pro 650-1300mm 8.0-16.0 für Sony E weiß</v>
      </c>
      <c r="B1834" s="5">
        <f>getFocalLengthStart('RawData (GH)'!B1834)</f>
        <v>650</v>
      </c>
      <c r="C1834" s="5">
        <f>getFocalLengthEnd('RawData (GH)'!B1834)</f>
        <v>1300</v>
      </c>
      <c r="D1834" s="9">
        <f>getApertureStart('RawData (GH)'!C1834)</f>
        <v>8</v>
      </c>
      <c r="E1834" s="9">
        <f>getApertureEnd('RawData (GH)'!C1834)</f>
        <v>16</v>
      </c>
      <c r="F1834" s="2">
        <f>getFiltersizeAsDouble('RawData (GH)'!D1834)</f>
        <v>95</v>
      </c>
      <c r="G1834" s="35">
        <f>getMagnification('RawData (GH)'!E1834)</f>
        <v>0</v>
      </c>
      <c r="H1834" s="62">
        <f>getMinimalFocus('RawData (GH)'!F1834)</f>
        <v>0</v>
      </c>
      <c r="I1834" t="str">
        <f>getMount('RawData (GH)'!G1834)</f>
        <v>Sony E</v>
      </c>
      <c r="J1834" t="str">
        <f>getSensorCompatibility('RawData (GH)'!H1834)</f>
        <v>APS-C</v>
      </c>
      <c r="K1834" s="45">
        <f>getWeightAsDouble('RawData (GH)'!I1834)</f>
        <v>2000</v>
      </c>
      <c r="L1834" s="34">
        <f>getSizeDiameter('RawData (GH)'!J1834)</f>
        <v>105</v>
      </c>
      <c r="M1834" s="34">
        <f>getSizeLength('RawData (GH)'!J1834)</f>
        <v>463</v>
      </c>
    </row>
    <row r="1835" spans="1:13" x14ac:dyDescent="0.25">
      <c r="A1835" t="str">
        <f>'RawData (GH)'!A1835</f>
        <v>Walimex Pro 650-1300mm 8.0-16.0 inkl. Stativ für Canon EF weiß</v>
      </c>
      <c r="B1835" s="5">
        <f>getFocalLengthStart('RawData (GH)'!B1835)</f>
        <v>650</v>
      </c>
      <c r="C1835" s="5">
        <f>getFocalLengthEnd('RawData (GH)'!B1835)</f>
        <v>1300</v>
      </c>
      <c r="D1835" s="9">
        <f>getApertureStart('RawData (GH)'!C1835)</f>
        <v>8</v>
      </c>
      <c r="E1835" s="9">
        <f>getApertureEnd('RawData (GH)'!C1835)</f>
        <v>16</v>
      </c>
      <c r="F1835" s="2">
        <f>getFiltersizeAsDouble('RawData (GH)'!D1835)</f>
        <v>95</v>
      </c>
      <c r="G1835" s="35">
        <f>getMagnification('RawData (GH)'!E1835)</f>
        <v>0</v>
      </c>
      <c r="H1835" s="62">
        <f>getMinimalFocus('RawData (GH)'!F1835)</f>
        <v>0</v>
      </c>
      <c r="I1835" t="str">
        <f>getMount('RawData (GH)'!G1835)</f>
        <v>Canon EF</v>
      </c>
      <c r="J1835" t="str">
        <f>getSensorCompatibility('RawData (GH)'!H1835)</f>
        <v>APS-C</v>
      </c>
      <c r="K1835" s="45">
        <f>getWeightAsDouble('RawData (GH)'!I1835)</f>
        <v>2000</v>
      </c>
      <c r="L1835" s="34">
        <f>getSizeDiameter('RawData (GH)'!J1835)</f>
        <v>105</v>
      </c>
      <c r="M1835" s="34">
        <f>getSizeLength('RawData (GH)'!J1835)</f>
        <v>463</v>
      </c>
    </row>
    <row r="1836" spans="1:13" x14ac:dyDescent="0.25">
      <c r="A1836" t="str">
        <f>'RawData (GH)'!A1836</f>
        <v>Walimex Pro 650-1300mm 8.0-16.0 weiß</v>
      </c>
      <c r="B1836" s="5">
        <f>getFocalLengthStart('RawData (GH)'!B1836)</f>
        <v>650</v>
      </c>
      <c r="C1836" s="5">
        <f>getFocalLengthEnd('RawData (GH)'!B1836)</f>
        <v>1300</v>
      </c>
      <c r="D1836" s="9">
        <f>getApertureStart('RawData (GH)'!C1836)</f>
        <v>8</v>
      </c>
      <c r="E1836" s="9">
        <f>getApertureEnd('RawData (GH)'!C1836)</f>
        <v>16</v>
      </c>
      <c r="F1836" s="2">
        <f>getFiltersizeAsDouble('RawData (GH)'!D1836)</f>
        <v>0</v>
      </c>
      <c r="G1836" s="35">
        <f>getMagnification('RawData (GH)'!E1836)</f>
        <v>0</v>
      </c>
      <c r="H1836" s="62">
        <f>getMinimalFocus('RawData (GH)'!F1836)</f>
        <v>0</v>
      </c>
      <c r="I1836" t="str">
        <f>getMount('RawData (GH)'!G1836)</f>
        <v>Unknown</v>
      </c>
      <c r="J1836" t="str">
        <f>getSensorCompatibility('RawData (GH)'!H1836)</f>
        <v>APS-C/ Kleinbild</v>
      </c>
      <c r="K1836" s="45">
        <f>getWeightAsDouble('RawData (GH)'!I1836)</f>
        <v>0</v>
      </c>
      <c r="L1836" s="34">
        <f>getSizeDiameter('RawData (GH)'!J1836)</f>
        <v>0</v>
      </c>
      <c r="M1836" s="34">
        <f>getSizeLength('RawData (GH)'!J1836)</f>
        <v>0</v>
      </c>
    </row>
    <row r="1837" spans="1:13" x14ac:dyDescent="0.25">
      <c r="A1837" t="str">
        <f>'RawData (GH)'!A1837</f>
        <v>Walimex Pro 7.5mm 3.5 Fisheye für Micro-Four-Thirds schwarz</v>
      </c>
      <c r="B1837" s="5">
        <f>getFocalLengthStart('RawData (GH)'!B1837)</f>
        <v>7.5</v>
      </c>
      <c r="C1837" s="5">
        <f>getFocalLengthEnd('RawData (GH)'!B1837)</f>
        <v>7.5</v>
      </c>
      <c r="D1837" s="9">
        <f>getApertureStart('RawData (GH)'!C1837)</f>
        <v>3.5</v>
      </c>
      <c r="E1837" s="9">
        <f>getApertureEnd('RawData (GH)'!C1837)</f>
        <v>3.5</v>
      </c>
      <c r="F1837" s="2">
        <f>getFiltersizeAsDouble('RawData (GH)'!D1837)</f>
        <v>0</v>
      </c>
      <c r="G1837" s="35">
        <f>getMagnification('RawData (GH)'!E1837)</f>
        <v>0</v>
      </c>
      <c r="H1837" s="62">
        <f>getMinimalFocus('RawData (GH)'!F1837)</f>
        <v>0</v>
      </c>
      <c r="I1837" t="str">
        <f>getMount('RawData (GH)'!G1837)</f>
        <v>Micro-Four-Thirds</v>
      </c>
      <c r="J1837" t="str">
        <f>getSensorCompatibility('RawData (GH)'!H1837)</f>
        <v>Four-Thirds</v>
      </c>
      <c r="K1837" s="45">
        <f>getWeightAsDouble('RawData (GH)'!I1837)</f>
        <v>170</v>
      </c>
      <c r="L1837" s="34">
        <f>getSizeDiameter('RawData (GH)'!J1837)</f>
        <v>60</v>
      </c>
      <c r="M1837" s="34">
        <f>getSizeLength('RawData (GH)'!J1837)</f>
        <v>50</v>
      </c>
    </row>
    <row r="1838" spans="1:13" x14ac:dyDescent="0.25">
      <c r="A1838" t="str">
        <f>'RawData (GH)'!A1838</f>
        <v>Walimex Pro 7.5mm 3.5 Fisheye für Micro-Four-Thirds silber</v>
      </c>
      <c r="B1838" s="5">
        <f>getFocalLengthStart('RawData (GH)'!B1838)</f>
        <v>7.5</v>
      </c>
      <c r="C1838" s="5">
        <f>getFocalLengthEnd('RawData (GH)'!B1838)</f>
        <v>7.5</v>
      </c>
      <c r="D1838" s="9">
        <f>getApertureStart('RawData (GH)'!C1838)</f>
        <v>3.5</v>
      </c>
      <c r="E1838" s="9">
        <f>getApertureEnd('RawData (GH)'!C1838)</f>
        <v>3.5</v>
      </c>
      <c r="F1838" s="2">
        <f>getFiltersizeAsDouble('RawData (GH)'!D1838)</f>
        <v>0</v>
      </c>
      <c r="G1838" s="35">
        <f>getMagnification('RawData (GH)'!E1838)</f>
        <v>0</v>
      </c>
      <c r="H1838" s="62">
        <f>getMinimalFocus('RawData (GH)'!F1838)</f>
        <v>0</v>
      </c>
      <c r="I1838" t="str">
        <f>getMount('RawData (GH)'!G1838)</f>
        <v>Micro-Four-Thirds</v>
      </c>
      <c r="J1838" t="str">
        <f>getSensorCompatibility('RawData (GH)'!H1838)</f>
        <v>Four-Thirds</v>
      </c>
      <c r="K1838" s="45">
        <f>getWeightAsDouble('RawData (GH)'!I1838)</f>
        <v>170</v>
      </c>
      <c r="L1838" s="34">
        <f>getSizeDiameter('RawData (GH)'!J1838)</f>
        <v>60</v>
      </c>
      <c r="M1838" s="34">
        <f>getSizeLength('RawData (GH)'!J1838)</f>
        <v>50</v>
      </c>
    </row>
    <row r="1839" spans="1:13" x14ac:dyDescent="0.25">
      <c r="A1839" t="str">
        <f>'RawData (GH)'!A1839</f>
        <v>Walimex Pro 800mm 8.0 für Canon EF weiß</v>
      </c>
      <c r="B1839" s="5">
        <f>getFocalLengthStart('RawData (GH)'!B1839)</f>
        <v>800</v>
      </c>
      <c r="C1839" s="5">
        <f>getFocalLengthEnd('RawData (GH)'!B1839)</f>
        <v>800</v>
      </c>
      <c r="D1839" s="9">
        <f>getApertureStart('RawData (GH)'!C1839)</f>
        <v>8</v>
      </c>
      <c r="E1839" s="9">
        <f>getApertureEnd('RawData (GH)'!C1839)</f>
        <v>8</v>
      </c>
      <c r="F1839" s="2">
        <f>getFiltersizeAsDouble('RawData (GH)'!D1839)</f>
        <v>35</v>
      </c>
      <c r="G1839" s="35">
        <f>getMagnification('RawData (GH)'!E1839)</f>
        <v>0</v>
      </c>
      <c r="H1839" s="62">
        <f>getMinimalFocus('RawData (GH)'!F1839)</f>
        <v>0</v>
      </c>
      <c r="I1839" t="str">
        <f>getMount('RawData (GH)'!G1839)</f>
        <v>Canon EF</v>
      </c>
      <c r="J1839" t="str">
        <f>getSensorCompatibility('RawData (GH)'!H1839)</f>
        <v>APS-C/ Kleinbild</v>
      </c>
      <c r="K1839" s="45">
        <f>getWeightAsDouble('RawData (GH)'!I1839)</f>
        <v>946</v>
      </c>
      <c r="L1839" s="34">
        <f>getSizeDiameter('RawData (GH)'!J1839)</f>
        <v>111</v>
      </c>
      <c r="M1839" s="34">
        <f>getSizeLength('RawData (GH)'!J1839)</f>
        <v>113</v>
      </c>
    </row>
    <row r="1840" spans="1:13" x14ac:dyDescent="0.25">
      <c r="A1840" t="str">
        <f>'RawData (GH)'!A1840</f>
        <v>Walimex Pro 800mm 8.0 für Canon EF-M weiß</v>
      </c>
      <c r="B1840" s="5">
        <f>getFocalLengthStart('RawData (GH)'!B1840)</f>
        <v>800</v>
      </c>
      <c r="C1840" s="5">
        <f>getFocalLengthEnd('RawData (GH)'!B1840)</f>
        <v>800</v>
      </c>
      <c r="D1840" s="9">
        <f>getApertureStart('RawData (GH)'!C1840)</f>
        <v>8</v>
      </c>
      <c r="E1840" s="9">
        <f>getApertureEnd('RawData (GH)'!C1840)</f>
        <v>8</v>
      </c>
      <c r="F1840" s="2">
        <f>getFiltersizeAsDouble('RawData (GH)'!D1840)</f>
        <v>35</v>
      </c>
      <c r="G1840" s="35">
        <f>getMagnification('RawData (GH)'!E1840)</f>
        <v>0</v>
      </c>
      <c r="H1840" s="62">
        <f>getMinimalFocus('RawData (GH)'!F1840)</f>
        <v>0</v>
      </c>
      <c r="I1840" t="str">
        <f>getMount('RawData (GH)'!G1840)</f>
        <v>Canon EF-M</v>
      </c>
      <c r="J1840" t="str">
        <f>getSensorCompatibility('RawData (GH)'!H1840)</f>
        <v>APS-C</v>
      </c>
      <c r="K1840" s="45">
        <f>getWeightAsDouble('RawData (GH)'!I1840)</f>
        <v>877</v>
      </c>
      <c r="L1840" s="34">
        <f>getSizeDiameter('RawData (GH)'!J1840)</f>
        <v>111</v>
      </c>
      <c r="M1840" s="34">
        <f>getSizeLength('RawData (GH)'!J1840)</f>
        <v>113</v>
      </c>
    </row>
    <row r="1841" spans="1:13" x14ac:dyDescent="0.25">
      <c r="A1841" t="str">
        <f>'RawData (GH)'!A1841</f>
        <v>Walimex Pro 800mm 8.0 für Four-Thirds weiß</v>
      </c>
      <c r="B1841" s="5">
        <f>getFocalLengthStart('RawData (GH)'!B1841)</f>
        <v>800</v>
      </c>
      <c r="C1841" s="5">
        <f>getFocalLengthEnd('RawData (GH)'!B1841)</f>
        <v>800</v>
      </c>
      <c r="D1841" s="9">
        <f>getApertureStart('RawData (GH)'!C1841)</f>
        <v>8</v>
      </c>
      <c r="E1841" s="9">
        <f>getApertureEnd('RawData (GH)'!C1841)</f>
        <v>8</v>
      </c>
      <c r="F1841" s="2">
        <f>getFiltersizeAsDouble('RawData (GH)'!D1841)</f>
        <v>35</v>
      </c>
      <c r="G1841" s="35">
        <f>getMagnification('RawData (GH)'!E1841)</f>
        <v>0</v>
      </c>
      <c r="H1841" s="62">
        <f>getMinimalFocus('RawData (GH)'!F1841)</f>
        <v>0</v>
      </c>
      <c r="I1841" t="str">
        <f>getMount('RawData (GH)'!G1841)</f>
        <v>Four-Thirds</v>
      </c>
      <c r="J1841" t="str">
        <f>getSensorCompatibility('RawData (GH)'!H1841)</f>
        <v>Four-Thirds</v>
      </c>
      <c r="K1841" s="45">
        <f>getWeightAsDouble('RawData (GH)'!I1841)</f>
        <v>946</v>
      </c>
      <c r="L1841" s="34">
        <f>getSizeDiameter('RawData (GH)'!J1841)</f>
        <v>111</v>
      </c>
      <c r="M1841" s="34">
        <f>getSizeLength('RawData (GH)'!J1841)</f>
        <v>113</v>
      </c>
    </row>
    <row r="1842" spans="1:13" x14ac:dyDescent="0.25">
      <c r="A1842" t="str">
        <f>'RawData (GH)'!A1842</f>
        <v>Walimex Pro 800mm 8.0 für Fujifilm X weiß</v>
      </c>
      <c r="B1842" s="5">
        <f>getFocalLengthStart('RawData (GH)'!B1842)</f>
        <v>800</v>
      </c>
      <c r="C1842" s="5">
        <f>getFocalLengthEnd('RawData (GH)'!B1842)</f>
        <v>800</v>
      </c>
      <c r="D1842" s="9">
        <f>getApertureStart('RawData (GH)'!C1842)</f>
        <v>8</v>
      </c>
      <c r="E1842" s="9">
        <f>getApertureEnd('RawData (GH)'!C1842)</f>
        <v>8</v>
      </c>
      <c r="F1842" s="2">
        <f>getFiltersizeAsDouble('RawData (GH)'!D1842)</f>
        <v>35</v>
      </c>
      <c r="G1842" s="35">
        <f>getMagnification('RawData (GH)'!E1842)</f>
        <v>0</v>
      </c>
      <c r="H1842" s="62">
        <f>getMinimalFocus('RawData (GH)'!F1842)</f>
        <v>0</v>
      </c>
      <c r="I1842" t="str">
        <f>getMount('RawData (GH)'!G1842)</f>
        <v>Fujifilm X</v>
      </c>
      <c r="J1842" t="str">
        <f>getSensorCompatibility('RawData (GH)'!H1842)</f>
        <v>APS-C/ Kleinbild</v>
      </c>
      <c r="K1842" s="45">
        <f>getWeightAsDouble('RawData (GH)'!I1842)</f>
        <v>946</v>
      </c>
      <c r="L1842" s="34">
        <f>getSizeDiameter('RawData (GH)'!J1842)</f>
        <v>111</v>
      </c>
      <c r="M1842" s="34">
        <f>getSizeLength('RawData (GH)'!J1842)</f>
        <v>113</v>
      </c>
    </row>
    <row r="1843" spans="1:13" x14ac:dyDescent="0.25">
      <c r="A1843" t="str">
        <f>'RawData (GH)'!A1843</f>
        <v>Walimex Pro 800mm 8.0 für Micro-Four-Thirds weiß</v>
      </c>
      <c r="B1843" s="5">
        <f>getFocalLengthStart('RawData (GH)'!B1843)</f>
        <v>800</v>
      </c>
      <c r="C1843" s="5">
        <f>getFocalLengthEnd('RawData (GH)'!B1843)</f>
        <v>800</v>
      </c>
      <c r="D1843" s="9">
        <f>getApertureStart('RawData (GH)'!C1843)</f>
        <v>8</v>
      </c>
      <c r="E1843" s="9">
        <f>getApertureEnd('RawData (GH)'!C1843)</f>
        <v>8</v>
      </c>
      <c r="F1843" s="2">
        <f>getFiltersizeAsDouble('RawData (GH)'!D1843)</f>
        <v>35</v>
      </c>
      <c r="G1843" s="35">
        <f>getMagnification('RawData (GH)'!E1843)</f>
        <v>0</v>
      </c>
      <c r="H1843" s="62">
        <f>getMinimalFocus('RawData (GH)'!F1843)</f>
        <v>0</v>
      </c>
      <c r="I1843" t="str">
        <f>getMount('RawData (GH)'!G1843)</f>
        <v>Micro-Four-Thirds</v>
      </c>
      <c r="J1843" t="str">
        <f>getSensorCompatibility('RawData (GH)'!H1843)</f>
        <v>Four-Thirds</v>
      </c>
      <c r="K1843" s="45">
        <f>getWeightAsDouble('RawData (GH)'!I1843)</f>
        <v>946</v>
      </c>
      <c r="L1843" s="34">
        <f>getSizeDiameter('RawData (GH)'!J1843)</f>
        <v>111</v>
      </c>
      <c r="M1843" s="34">
        <f>getSizeLength('RawData (GH)'!J1843)</f>
        <v>113</v>
      </c>
    </row>
    <row r="1844" spans="1:13" x14ac:dyDescent="0.25">
      <c r="A1844" t="str">
        <f>'RawData (GH)'!A1844</f>
        <v>Walimex Pro 800mm 8.0 für Nikon F weiß</v>
      </c>
      <c r="B1844" s="5">
        <f>getFocalLengthStart('RawData (GH)'!B1844)</f>
        <v>800</v>
      </c>
      <c r="C1844" s="5">
        <f>getFocalLengthEnd('RawData (GH)'!B1844)</f>
        <v>800</v>
      </c>
      <c r="D1844" s="9">
        <f>getApertureStart('RawData (GH)'!C1844)</f>
        <v>8</v>
      </c>
      <c r="E1844" s="9">
        <f>getApertureEnd('RawData (GH)'!C1844)</f>
        <v>8</v>
      </c>
      <c r="F1844" s="2">
        <f>getFiltersizeAsDouble('RawData (GH)'!D1844)</f>
        <v>35</v>
      </c>
      <c r="G1844" s="35">
        <f>getMagnification('RawData (GH)'!E1844)</f>
        <v>0</v>
      </c>
      <c r="H1844" s="62">
        <f>getMinimalFocus('RawData (GH)'!F1844)</f>
        <v>0</v>
      </c>
      <c r="I1844" t="str">
        <f>getMount('RawData (GH)'!G1844)</f>
        <v>Nikon F</v>
      </c>
      <c r="J1844" t="str">
        <f>getSensorCompatibility('RawData (GH)'!H1844)</f>
        <v>APS-C/ Kleinbild</v>
      </c>
      <c r="K1844" s="45">
        <f>getWeightAsDouble('RawData (GH)'!I1844)</f>
        <v>946</v>
      </c>
      <c r="L1844" s="34">
        <f>getSizeDiameter('RawData (GH)'!J1844)</f>
        <v>111</v>
      </c>
      <c r="M1844" s="34">
        <f>getSizeLength('RawData (GH)'!J1844)</f>
        <v>113</v>
      </c>
    </row>
    <row r="1845" spans="1:13" x14ac:dyDescent="0.25">
      <c r="A1845" t="str">
        <f>'RawData (GH)'!A1845</f>
        <v>Walimex Pro 800mm 8.0 für Pentax K weiß</v>
      </c>
      <c r="B1845" s="5">
        <f>getFocalLengthStart('RawData (GH)'!B1845)</f>
        <v>800</v>
      </c>
      <c r="C1845" s="5">
        <f>getFocalLengthEnd('RawData (GH)'!B1845)</f>
        <v>800</v>
      </c>
      <c r="D1845" s="9">
        <f>getApertureStart('RawData (GH)'!C1845)</f>
        <v>8</v>
      </c>
      <c r="E1845" s="9">
        <f>getApertureEnd('RawData (GH)'!C1845)</f>
        <v>8</v>
      </c>
      <c r="F1845" s="2">
        <f>getFiltersizeAsDouble('RawData (GH)'!D1845)</f>
        <v>35</v>
      </c>
      <c r="G1845" s="35">
        <f>getMagnification('RawData (GH)'!E1845)</f>
        <v>0</v>
      </c>
      <c r="H1845" s="62">
        <f>getMinimalFocus('RawData (GH)'!F1845)</f>
        <v>0</v>
      </c>
      <c r="I1845" t="str">
        <f>getMount('RawData (GH)'!G1845)</f>
        <v>Pentax K</v>
      </c>
      <c r="J1845" t="str">
        <f>getSensorCompatibility('RawData (GH)'!H1845)</f>
        <v>APS-C/ Kleinbild</v>
      </c>
      <c r="K1845" s="45">
        <f>getWeightAsDouble('RawData (GH)'!I1845)</f>
        <v>946</v>
      </c>
      <c r="L1845" s="34">
        <f>getSizeDiameter('RawData (GH)'!J1845)</f>
        <v>111</v>
      </c>
      <c r="M1845" s="34">
        <f>getSizeLength('RawData (GH)'!J1845)</f>
        <v>113</v>
      </c>
    </row>
    <row r="1846" spans="1:13" x14ac:dyDescent="0.25">
      <c r="A1846" t="str">
        <f>'RawData (GH)'!A1846</f>
        <v>Walimex Pro 800mm 8.0 für Pentax Q weiß</v>
      </c>
      <c r="B1846" s="5">
        <f>getFocalLengthStart('RawData (GH)'!B1846)</f>
        <v>800</v>
      </c>
      <c r="C1846" s="5">
        <f>getFocalLengthEnd('RawData (GH)'!B1846)</f>
        <v>800</v>
      </c>
      <c r="D1846" s="9">
        <f>getApertureStart('RawData (GH)'!C1846)</f>
        <v>8</v>
      </c>
      <c r="E1846" s="9">
        <f>getApertureEnd('RawData (GH)'!C1846)</f>
        <v>8</v>
      </c>
      <c r="F1846" s="2">
        <f>getFiltersizeAsDouble('RawData (GH)'!D1846)</f>
        <v>35</v>
      </c>
      <c r="G1846" s="35">
        <f>getMagnification('RawData (GH)'!E1846)</f>
        <v>0</v>
      </c>
      <c r="H1846" s="62">
        <f>getMinimalFocus('RawData (GH)'!F1846)</f>
        <v>0</v>
      </c>
      <c r="I1846" t="str">
        <f>getMount('RawData (GH)'!G1846)</f>
        <v>Pentax Q</v>
      </c>
      <c r="J1846" t="str">
        <f>getSensorCompatibility('RawData (GH)'!H1846)</f>
        <v>Pentax Q</v>
      </c>
      <c r="K1846" s="45">
        <f>getWeightAsDouble('RawData (GH)'!I1846)</f>
        <v>946</v>
      </c>
      <c r="L1846" s="34">
        <f>getSizeDiameter('RawData (GH)'!J1846)</f>
        <v>111</v>
      </c>
      <c r="M1846" s="34">
        <f>getSizeLength('RawData (GH)'!J1846)</f>
        <v>113</v>
      </c>
    </row>
    <row r="1847" spans="1:13" x14ac:dyDescent="0.25">
      <c r="A1847" t="str">
        <f>'RawData (GH)'!A1847</f>
        <v>Walimex Pro 800mm 8.0 für Samsung NX weiß</v>
      </c>
      <c r="B1847" s="5">
        <f>getFocalLengthStart('RawData (GH)'!B1847)</f>
        <v>800</v>
      </c>
      <c r="C1847" s="5">
        <f>getFocalLengthEnd('RawData (GH)'!B1847)</f>
        <v>800</v>
      </c>
      <c r="D1847" s="9">
        <f>getApertureStart('RawData (GH)'!C1847)</f>
        <v>8</v>
      </c>
      <c r="E1847" s="9">
        <f>getApertureEnd('RawData (GH)'!C1847)</f>
        <v>8</v>
      </c>
      <c r="F1847" s="2">
        <f>getFiltersizeAsDouble('RawData (GH)'!D1847)</f>
        <v>35</v>
      </c>
      <c r="G1847" s="35">
        <f>getMagnification('RawData (GH)'!E1847)</f>
        <v>0</v>
      </c>
      <c r="H1847" s="62">
        <f>getMinimalFocus('RawData (GH)'!F1847)</f>
        <v>0</v>
      </c>
      <c r="I1847" t="str">
        <f>getMount('RawData (GH)'!G1847)</f>
        <v>Samsung NX</v>
      </c>
      <c r="J1847" t="str">
        <f>getSensorCompatibility('RawData (GH)'!H1847)</f>
        <v>APS-C</v>
      </c>
      <c r="K1847" s="45">
        <f>getWeightAsDouble('RawData (GH)'!I1847)</f>
        <v>946</v>
      </c>
      <c r="L1847" s="34">
        <f>getSizeDiameter('RawData (GH)'!J1847)</f>
        <v>111</v>
      </c>
      <c r="M1847" s="34">
        <f>getSizeLength('RawData (GH)'!J1847)</f>
        <v>113</v>
      </c>
    </row>
    <row r="1848" spans="1:13" x14ac:dyDescent="0.25">
      <c r="A1848" t="str">
        <f>'RawData (GH)'!A1848</f>
        <v>Walimex Pro 800mm 8.0 für Sony A weiß</v>
      </c>
      <c r="B1848" s="5">
        <f>getFocalLengthStart('RawData (GH)'!B1848)</f>
        <v>800</v>
      </c>
      <c r="C1848" s="5">
        <f>getFocalLengthEnd('RawData (GH)'!B1848)</f>
        <v>800</v>
      </c>
      <c r="D1848" s="9">
        <f>getApertureStart('RawData (GH)'!C1848)</f>
        <v>8</v>
      </c>
      <c r="E1848" s="9">
        <f>getApertureEnd('RawData (GH)'!C1848)</f>
        <v>8</v>
      </c>
      <c r="F1848" s="2">
        <f>getFiltersizeAsDouble('RawData (GH)'!D1848)</f>
        <v>35</v>
      </c>
      <c r="G1848" s="35">
        <f>getMagnification('RawData (GH)'!E1848)</f>
        <v>0</v>
      </c>
      <c r="H1848" s="62">
        <f>getMinimalFocus('RawData (GH)'!F1848)</f>
        <v>0</v>
      </c>
      <c r="I1848" t="str">
        <f>getMount('RawData (GH)'!G1848)</f>
        <v>Sony A</v>
      </c>
      <c r="J1848" t="str">
        <f>getSensorCompatibility('RawData (GH)'!H1848)</f>
        <v>APS-C</v>
      </c>
      <c r="K1848" s="45">
        <f>getWeightAsDouble('RawData (GH)'!I1848)</f>
        <v>946</v>
      </c>
      <c r="L1848" s="34">
        <f>getSizeDiameter('RawData (GH)'!J1848)</f>
        <v>111</v>
      </c>
      <c r="M1848" s="34">
        <f>getSizeLength('RawData (GH)'!J1848)</f>
        <v>113</v>
      </c>
    </row>
    <row r="1849" spans="1:13" x14ac:dyDescent="0.25">
      <c r="A1849" t="str">
        <f>'RawData (GH)'!A1849</f>
        <v>Walimex Pro 800mm 8.0 für Sony E weiß</v>
      </c>
      <c r="B1849" s="5">
        <f>getFocalLengthStart('RawData (GH)'!B1849)</f>
        <v>800</v>
      </c>
      <c r="C1849" s="5">
        <f>getFocalLengthEnd('RawData (GH)'!B1849)</f>
        <v>800</v>
      </c>
      <c r="D1849" s="9">
        <f>getApertureStart('RawData (GH)'!C1849)</f>
        <v>8</v>
      </c>
      <c r="E1849" s="9">
        <f>getApertureEnd('RawData (GH)'!C1849)</f>
        <v>8</v>
      </c>
      <c r="F1849" s="2">
        <f>getFiltersizeAsDouble('RawData (GH)'!D1849)</f>
        <v>35</v>
      </c>
      <c r="G1849" s="35">
        <f>getMagnification('RawData (GH)'!E1849)</f>
        <v>0</v>
      </c>
      <c r="H1849" s="62">
        <f>getMinimalFocus('RawData (GH)'!F1849)</f>
        <v>0</v>
      </c>
      <c r="I1849" t="str">
        <f>getMount('RawData (GH)'!G1849)</f>
        <v>Sony E</v>
      </c>
      <c r="J1849" t="str">
        <f>getSensorCompatibility('RawData (GH)'!H1849)</f>
        <v>APS-C</v>
      </c>
      <c r="K1849" s="45">
        <f>getWeightAsDouble('RawData (GH)'!I1849)</f>
        <v>946</v>
      </c>
      <c r="L1849" s="34">
        <f>getSizeDiameter('RawData (GH)'!J1849)</f>
        <v>111</v>
      </c>
      <c r="M1849" s="34">
        <f>getSizeLength('RawData (GH)'!J1849)</f>
        <v>113</v>
      </c>
    </row>
    <row r="1850" spans="1:13" x14ac:dyDescent="0.25">
      <c r="A1850" t="str">
        <f>'RawData (GH)'!A1850</f>
        <v>Walimex Pro 800mm 8.0 schwarz</v>
      </c>
      <c r="B1850" s="5">
        <f>getFocalLengthStart('RawData (GH)'!B1850)</f>
        <v>800</v>
      </c>
      <c r="C1850" s="5">
        <f>getFocalLengthEnd('RawData (GH)'!B1850)</f>
        <v>800</v>
      </c>
      <c r="D1850" s="9">
        <f>getApertureStart('RawData (GH)'!C1850)</f>
        <v>8</v>
      </c>
      <c r="E1850" s="9">
        <f>getApertureEnd('RawData (GH)'!C1850)</f>
        <v>8</v>
      </c>
      <c r="F1850" s="2">
        <f>getFiltersizeAsDouble('RawData (GH)'!D1850)</f>
        <v>35</v>
      </c>
      <c r="G1850" s="35">
        <f>getMagnification('RawData (GH)'!E1850)</f>
        <v>0</v>
      </c>
      <c r="H1850" s="62">
        <f>getMinimalFocus('RawData (GH)'!F1850)</f>
        <v>0</v>
      </c>
      <c r="I1850" t="str">
        <f>getMount('RawData (GH)'!G1850)</f>
        <v>Unknown</v>
      </c>
      <c r="J1850" t="str">
        <f>getSensorCompatibility('RawData (GH)'!H1850)</f>
        <v>APS-C/ Kleinbild</v>
      </c>
      <c r="K1850" s="45">
        <f>getWeightAsDouble('RawData (GH)'!I1850)</f>
        <v>946</v>
      </c>
      <c r="L1850" s="34">
        <f>getSizeDiameter('RawData (GH)'!J1850)</f>
        <v>111</v>
      </c>
      <c r="M1850" s="34">
        <f>getSizeLength('RawData (GH)'!J1850)</f>
        <v>113</v>
      </c>
    </row>
    <row r="1851" spans="1:13" x14ac:dyDescent="0.25">
      <c r="A1851" t="str">
        <f>'RawData (GH)'!A1851</f>
        <v>Walimex Pro 85mm 1.4 CSC für Sony E schwarz</v>
      </c>
      <c r="B1851" s="5">
        <f>getFocalLengthStart('RawData (GH)'!B1851)</f>
        <v>85</v>
      </c>
      <c r="C1851" s="5">
        <f>getFocalLengthEnd('RawData (GH)'!B1851)</f>
        <v>85</v>
      </c>
      <c r="D1851" s="9">
        <f>getApertureStart('RawData (GH)'!C1851)</f>
        <v>1.4</v>
      </c>
      <c r="E1851" s="9">
        <f>getApertureEnd('RawData (GH)'!C1851)</f>
        <v>1.4</v>
      </c>
      <c r="F1851" s="2">
        <f>getFiltersizeAsDouble('RawData (GH)'!D1851)</f>
        <v>72</v>
      </c>
      <c r="G1851" s="35">
        <f>getMagnification('RawData (GH)'!E1851)</f>
        <v>0</v>
      </c>
      <c r="H1851" s="62">
        <f>getMinimalFocus('RawData (GH)'!F1851)</f>
        <v>0</v>
      </c>
      <c r="I1851" t="str">
        <f>getMount('RawData (GH)'!G1851)</f>
        <v>Sony E</v>
      </c>
      <c r="J1851" t="str">
        <f>getSensorCompatibility('RawData (GH)'!H1851)</f>
        <v>APS-C/ Kleinbild</v>
      </c>
      <c r="K1851" s="45">
        <f>getWeightAsDouble('RawData (GH)'!I1851)</f>
        <v>570</v>
      </c>
      <c r="L1851" s="34">
        <f>getSizeDiameter('RawData (GH)'!J1851)</f>
        <v>78</v>
      </c>
      <c r="M1851" s="34">
        <f>getSizeLength('RawData (GH)'!J1851)</f>
        <v>100.7</v>
      </c>
    </row>
    <row r="1852" spans="1:13" x14ac:dyDescent="0.25">
      <c r="A1852" t="str">
        <f>'RawData (GH)'!A1852</f>
        <v>Walimex Pro 85mm 1.4 IF für Canon EF schwarz</v>
      </c>
      <c r="B1852" s="5">
        <f>getFocalLengthStart('RawData (GH)'!B1852)</f>
        <v>85</v>
      </c>
      <c r="C1852" s="5">
        <f>getFocalLengthEnd('RawData (GH)'!B1852)</f>
        <v>85</v>
      </c>
      <c r="D1852" s="9">
        <f>getApertureStart('RawData (GH)'!C1852)</f>
        <v>1.4</v>
      </c>
      <c r="E1852" s="9">
        <f>getApertureEnd('RawData (GH)'!C1852)</f>
        <v>1.4</v>
      </c>
      <c r="F1852" s="2">
        <f>getFiltersizeAsDouble('RawData (GH)'!D1852)</f>
        <v>72</v>
      </c>
      <c r="G1852" s="35">
        <f>getMagnification('RawData (GH)'!E1852)</f>
        <v>0</v>
      </c>
      <c r="H1852" s="62">
        <f>getMinimalFocus('RawData (GH)'!F1852)</f>
        <v>0</v>
      </c>
      <c r="I1852" t="str">
        <f>getMount('RawData (GH)'!G1852)</f>
        <v>Canon EF</v>
      </c>
      <c r="J1852" t="str">
        <f>getSensorCompatibility('RawData (GH)'!H1852)</f>
        <v>APS-C/ Kleinbild</v>
      </c>
      <c r="K1852" s="45">
        <f>getWeightAsDouble('RawData (GH)'!I1852)</f>
        <v>540</v>
      </c>
      <c r="L1852" s="34">
        <f>getSizeDiameter('RawData (GH)'!J1852)</f>
        <v>78</v>
      </c>
      <c r="M1852" s="34">
        <f>getSizeLength('RawData (GH)'!J1852)</f>
        <v>74.7</v>
      </c>
    </row>
    <row r="1853" spans="1:13" x14ac:dyDescent="0.25">
      <c r="A1853" t="str">
        <f>'RawData (GH)'!A1853</f>
        <v>Walimex Pro 85mm 1.4 IF für Four-Thirds schwarz</v>
      </c>
      <c r="B1853" s="5">
        <f>getFocalLengthStart('RawData (GH)'!B1853)</f>
        <v>85</v>
      </c>
      <c r="C1853" s="5">
        <f>getFocalLengthEnd('RawData (GH)'!B1853)</f>
        <v>85</v>
      </c>
      <c r="D1853" s="9">
        <f>getApertureStart('RawData (GH)'!C1853)</f>
        <v>1.4</v>
      </c>
      <c r="E1853" s="9">
        <f>getApertureEnd('RawData (GH)'!C1853)</f>
        <v>1.4</v>
      </c>
      <c r="F1853" s="2">
        <f>getFiltersizeAsDouble('RawData (GH)'!D1853)</f>
        <v>72</v>
      </c>
      <c r="G1853" s="35">
        <f>getMagnification('RawData (GH)'!E1853)</f>
        <v>0</v>
      </c>
      <c r="H1853" s="62">
        <f>getMinimalFocus('RawData (GH)'!F1853)</f>
        <v>0</v>
      </c>
      <c r="I1853" t="str">
        <f>getMount('RawData (GH)'!G1853)</f>
        <v>Four-Thirds</v>
      </c>
      <c r="J1853" t="str">
        <f>getSensorCompatibility('RawData (GH)'!H1853)</f>
        <v>Four-Thirds</v>
      </c>
      <c r="K1853" s="45">
        <f>getWeightAsDouble('RawData (GH)'!I1853)</f>
        <v>520</v>
      </c>
      <c r="L1853" s="34">
        <f>getSizeDiameter('RawData (GH)'!J1853)</f>
        <v>78</v>
      </c>
      <c r="M1853" s="34">
        <f>getSizeLength('RawData (GH)'!J1853)</f>
        <v>80</v>
      </c>
    </row>
    <row r="1854" spans="1:13" x14ac:dyDescent="0.25">
      <c r="A1854" t="str">
        <f>'RawData (GH)'!A1854</f>
        <v>Walimex Pro 85mm 1.4 IF für Micro-Four-Thirds schwarz</v>
      </c>
      <c r="B1854" s="5">
        <f>getFocalLengthStart('RawData (GH)'!B1854)</f>
        <v>85</v>
      </c>
      <c r="C1854" s="5">
        <f>getFocalLengthEnd('RawData (GH)'!B1854)</f>
        <v>85</v>
      </c>
      <c r="D1854" s="9">
        <f>getApertureStart('RawData (GH)'!C1854)</f>
        <v>1.4</v>
      </c>
      <c r="E1854" s="9">
        <f>getApertureEnd('RawData (GH)'!C1854)</f>
        <v>1.4</v>
      </c>
      <c r="F1854" s="2">
        <f>getFiltersizeAsDouble('RawData (GH)'!D1854)</f>
        <v>72</v>
      </c>
      <c r="G1854" s="35">
        <f>getMagnification('RawData (GH)'!E1854)</f>
        <v>0</v>
      </c>
      <c r="H1854" s="62">
        <f>getMinimalFocus('RawData (GH)'!F1854)</f>
        <v>0</v>
      </c>
      <c r="I1854" t="str">
        <f>getMount('RawData (GH)'!G1854)</f>
        <v>Micro-Four-Thirds</v>
      </c>
      <c r="J1854" t="str">
        <f>getSensorCompatibility('RawData (GH)'!H1854)</f>
        <v>Four-Thirds</v>
      </c>
      <c r="K1854" s="45">
        <f>getWeightAsDouble('RawData (GH)'!I1854)</f>
        <v>520</v>
      </c>
      <c r="L1854" s="34">
        <f>getSizeDiameter('RawData (GH)'!J1854)</f>
        <v>78</v>
      </c>
      <c r="M1854" s="34">
        <f>getSizeLength('RawData (GH)'!J1854)</f>
        <v>80</v>
      </c>
    </row>
    <row r="1855" spans="1:13" x14ac:dyDescent="0.25">
      <c r="A1855" t="str">
        <f>'RawData (GH)'!A1855</f>
        <v>Walimex Pro 85mm 1.4 IF für Nikon F schwarz</v>
      </c>
      <c r="B1855" s="5">
        <f>getFocalLengthStart('RawData (GH)'!B1855)</f>
        <v>85</v>
      </c>
      <c r="C1855" s="5">
        <f>getFocalLengthEnd('RawData (GH)'!B1855)</f>
        <v>85</v>
      </c>
      <c r="D1855" s="9">
        <f>getApertureStart('RawData (GH)'!C1855)</f>
        <v>1.4</v>
      </c>
      <c r="E1855" s="9">
        <f>getApertureEnd('RawData (GH)'!C1855)</f>
        <v>1.4</v>
      </c>
      <c r="F1855" s="2">
        <f>getFiltersizeAsDouble('RawData (GH)'!D1855)</f>
        <v>72</v>
      </c>
      <c r="G1855" s="35">
        <f>getMagnification('RawData (GH)'!E1855)</f>
        <v>0</v>
      </c>
      <c r="H1855" s="62">
        <f>getMinimalFocus('RawData (GH)'!F1855)</f>
        <v>0</v>
      </c>
      <c r="I1855" t="str">
        <f>getMount('RawData (GH)'!G1855)</f>
        <v>Nikon F</v>
      </c>
      <c r="J1855" t="str">
        <f>getSensorCompatibility('RawData (GH)'!H1855)</f>
        <v>APS-C/ Kleinbild</v>
      </c>
      <c r="K1855" s="45">
        <f>getWeightAsDouble('RawData (GH)'!I1855)</f>
        <v>510</v>
      </c>
      <c r="L1855" s="34">
        <f>getSizeDiameter('RawData (GH)'!J1855)</f>
        <v>78</v>
      </c>
      <c r="M1855" s="34">
        <f>getSizeLength('RawData (GH)'!J1855)</f>
        <v>72.2</v>
      </c>
    </row>
    <row r="1856" spans="1:13" x14ac:dyDescent="0.25">
      <c r="A1856" t="str">
        <f>'RawData (GH)'!A1856</f>
        <v>Walimex Pro 85mm 1.4 IF für Sony A schwarz</v>
      </c>
      <c r="B1856" s="5">
        <f>getFocalLengthStart('RawData (GH)'!B1856)</f>
        <v>85</v>
      </c>
      <c r="C1856" s="5">
        <f>getFocalLengthEnd('RawData (GH)'!B1856)</f>
        <v>85</v>
      </c>
      <c r="D1856" s="9">
        <f>getApertureStart('RawData (GH)'!C1856)</f>
        <v>1.4</v>
      </c>
      <c r="E1856" s="9">
        <f>getApertureEnd('RawData (GH)'!C1856)</f>
        <v>1.4</v>
      </c>
      <c r="F1856" s="2">
        <f>getFiltersizeAsDouble('RawData (GH)'!D1856)</f>
        <v>72</v>
      </c>
      <c r="G1856" s="35">
        <f>getMagnification('RawData (GH)'!E1856)</f>
        <v>0</v>
      </c>
      <c r="H1856" s="62">
        <f>getMinimalFocus('RawData (GH)'!F1856)</f>
        <v>0</v>
      </c>
      <c r="I1856" t="str">
        <f>getMount('RawData (GH)'!G1856)</f>
        <v>Sony A</v>
      </c>
      <c r="J1856" t="str">
        <f>getSensorCompatibility('RawData (GH)'!H1856)</f>
        <v>APS-C</v>
      </c>
      <c r="K1856" s="45">
        <f>getWeightAsDouble('RawData (GH)'!I1856)</f>
        <v>530</v>
      </c>
      <c r="L1856" s="34">
        <f>getSizeDiameter('RawData (GH)'!J1856)</f>
        <v>78</v>
      </c>
      <c r="M1856" s="34">
        <f>getSizeLength('RawData (GH)'!J1856)</f>
        <v>74.2</v>
      </c>
    </row>
    <row r="1857" spans="1:13" x14ac:dyDescent="0.25">
      <c r="A1857" t="str">
        <f>'RawData (GH)'!A1857</f>
        <v>Walimex Pro 85mm 1.5 VCSC für Canon EF-M schwarz</v>
      </c>
      <c r="B1857" s="5">
        <f>getFocalLengthStart('RawData (GH)'!B1857)</f>
        <v>85</v>
      </c>
      <c r="C1857" s="5">
        <f>getFocalLengthEnd('RawData (GH)'!B1857)</f>
        <v>85</v>
      </c>
      <c r="D1857" s="9">
        <f>getApertureStart('RawData (GH)'!C1857)</f>
        <v>1.5</v>
      </c>
      <c r="E1857" s="9">
        <f>getApertureEnd('RawData (GH)'!C1857)</f>
        <v>1.5</v>
      </c>
      <c r="F1857" s="2">
        <f>getFiltersizeAsDouble('RawData (GH)'!D1857)</f>
        <v>72</v>
      </c>
      <c r="G1857" s="35">
        <f>getMagnification('RawData (GH)'!E1857)</f>
        <v>0</v>
      </c>
      <c r="H1857" s="62">
        <f>getMinimalFocus('RawData (GH)'!F1857)</f>
        <v>0</v>
      </c>
      <c r="I1857" t="str">
        <f>getMount('RawData (GH)'!G1857)</f>
        <v>Canon EF-M</v>
      </c>
      <c r="J1857" t="str">
        <f>getSensorCompatibility('RawData (GH)'!H1857)</f>
        <v>APS-C/ Kleinbild</v>
      </c>
      <c r="K1857" s="45">
        <f>getWeightAsDouble('RawData (GH)'!I1857)</f>
        <v>640</v>
      </c>
      <c r="L1857" s="34">
        <f>getSizeDiameter('RawData (GH)'!J1857)</f>
        <v>78</v>
      </c>
      <c r="M1857" s="34">
        <f>getSizeLength('RawData (GH)'!J1857)</f>
        <v>100.6</v>
      </c>
    </row>
    <row r="1858" spans="1:13" x14ac:dyDescent="0.25">
      <c r="A1858" t="str">
        <f>'RawData (GH)'!A1858</f>
        <v>Walimex Pro 85mm 1.5 VCSC für Fujifilm X schwarz</v>
      </c>
      <c r="B1858" s="5">
        <f>getFocalLengthStart('RawData (GH)'!B1858)</f>
        <v>85</v>
      </c>
      <c r="C1858" s="5">
        <f>getFocalLengthEnd('RawData (GH)'!B1858)</f>
        <v>85</v>
      </c>
      <c r="D1858" s="9">
        <f>getApertureStart('RawData (GH)'!C1858)</f>
        <v>1.5</v>
      </c>
      <c r="E1858" s="9">
        <f>getApertureEnd('RawData (GH)'!C1858)</f>
        <v>1.5</v>
      </c>
      <c r="F1858" s="2">
        <f>getFiltersizeAsDouble('RawData (GH)'!D1858)</f>
        <v>72</v>
      </c>
      <c r="G1858" s="35">
        <f>getMagnification('RawData (GH)'!E1858)</f>
        <v>0</v>
      </c>
      <c r="H1858" s="62">
        <f>getMinimalFocus('RawData (GH)'!F1858)</f>
        <v>0</v>
      </c>
      <c r="I1858" t="str">
        <f>getMount('RawData (GH)'!G1858)</f>
        <v>Fujifilm X</v>
      </c>
      <c r="J1858" t="str">
        <f>getSensorCompatibility('RawData (GH)'!H1858)</f>
        <v>APS-C/ Kleinbild</v>
      </c>
      <c r="K1858" s="45">
        <f>getWeightAsDouble('RawData (GH)'!I1858)</f>
        <v>645</v>
      </c>
      <c r="L1858" s="34">
        <f>getSizeDiameter('RawData (GH)'!J1858)</f>
        <v>78</v>
      </c>
      <c r="M1858" s="34">
        <f>getSizeLength('RawData (GH)'!J1858)</f>
        <v>101</v>
      </c>
    </row>
    <row r="1859" spans="1:13" x14ac:dyDescent="0.25">
      <c r="A1859" t="str">
        <f>'RawData (GH)'!A1859</f>
        <v>Walimex Pro 85mm 1.5 VDSLR für Canon EF schwarz</v>
      </c>
      <c r="B1859" s="5">
        <f>getFocalLengthStart('RawData (GH)'!B1859)</f>
        <v>85</v>
      </c>
      <c r="C1859" s="5">
        <f>getFocalLengthEnd('RawData (GH)'!B1859)</f>
        <v>85</v>
      </c>
      <c r="D1859" s="9">
        <f>getApertureStart('RawData (GH)'!C1859)</f>
        <v>1.5</v>
      </c>
      <c r="E1859" s="9">
        <f>getApertureEnd('RawData (GH)'!C1859)</f>
        <v>1.5</v>
      </c>
      <c r="F1859" s="2">
        <f>getFiltersizeAsDouble('RawData (GH)'!D1859)</f>
        <v>72</v>
      </c>
      <c r="G1859" s="35">
        <f>getMagnification('RawData (GH)'!E1859)</f>
        <v>0</v>
      </c>
      <c r="H1859" s="62">
        <f>getMinimalFocus('RawData (GH)'!F1859)</f>
        <v>0</v>
      </c>
      <c r="I1859" t="str">
        <f>getMount('RawData (GH)'!G1859)</f>
        <v>Canon EF</v>
      </c>
      <c r="J1859" t="str">
        <f>getSensorCompatibility('RawData (GH)'!H1859)</f>
        <v>APS-C/ Kleinbild</v>
      </c>
      <c r="K1859" s="45">
        <f>getWeightAsDouble('RawData (GH)'!I1859)</f>
        <v>570</v>
      </c>
      <c r="L1859" s="34">
        <f>getSizeDiameter('RawData (GH)'!J1859)</f>
        <v>78</v>
      </c>
      <c r="M1859" s="34">
        <f>getSizeLength('RawData (GH)'!J1859)</f>
        <v>80</v>
      </c>
    </row>
    <row r="1860" spans="1:13" x14ac:dyDescent="0.25">
      <c r="A1860" t="str">
        <f>'RawData (GH)'!A1860</f>
        <v>Walimex Pro 85mm 1.5 VDSLR für Four-Thirds schwarz</v>
      </c>
      <c r="B1860" s="5">
        <f>getFocalLengthStart('RawData (GH)'!B1860)</f>
        <v>85</v>
      </c>
      <c r="C1860" s="5">
        <f>getFocalLengthEnd('RawData (GH)'!B1860)</f>
        <v>85</v>
      </c>
      <c r="D1860" s="9">
        <f>getApertureStart('RawData (GH)'!C1860)</f>
        <v>1.5</v>
      </c>
      <c r="E1860" s="9">
        <f>getApertureEnd('RawData (GH)'!C1860)</f>
        <v>1.5</v>
      </c>
      <c r="F1860" s="2">
        <f>getFiltersizeAsDouble('RawData (GH)'!D1860)</f>
        <v>72</v>
      </c>
      <c r="G1860" s="35">
        <f>getMagnification('RawData (GH)'!E1860)</f>
        <v>0</v>
      </c>
      <c r="H1860" s="62">
        <f>getMinimalFocus('RawData (GH)'!F1860)</f>
        <v>0</v>
      </c>
      <c r="I1860" t="str">
        <f>getMount('RawData (GH)'!G1860)</f>
        <v>Four-Thirds</v>
      </c>
      <c r="J1860" t="str">
        <f>getSensorCompatibility('RawData (GH)'!H1860)</f>
        <v>Four-Thirds</v>
      </c>
      <c r="K1860" s="45">
        <f>getWeightAsDouble('RawData (GH)'!I1860)</f>
        <v>580</v>
      </c>
      <c r="L1860" s="34">
        <f>getSizeDiameter('RawData (GH)'!J1860)</f>
        <v>78</v>
      </c>
      <c r="M1860" s="34">
        <f>getSizeLength('RawData (GH)'!J1860)</f>
        <v>80</v>
      </c>
    </row>
    <row r="1861" spans="1:13" x14ac:dyDescent="0.25">
      <c r="A1861" t="str">
        <f>'RawData (GH)'!A1861</f>
        <v>Walimex Pro 85mm 1.5 VDSLR für Micro-Four-Thirds schwarz</v>
      </c>
      <c r="B1861" s="5">
        <f>getFocalLengthStart('RawData (GH)'!B1861)</f>
        <v>85</v>
      </c>
      <c r="C1861" s="5">
        <f>getFocalLengthEnd('RawData (GH)'!B1861)</f>
        <v>85</v>
      </c>
      <c r="D1861" s="9">
        <f>getApertureStart('RawData (GH)'!C1861)</f>
        <v>1.5</v>
      </c>
      <c r="E1861" s="9">
        <f>getApertureEnd('RawData (GH)'!C1861)</f>
        <v>1.5</v>
      </c>
      <c r="F1861" s="2">
        <f>getFiltersizeAsDouble('RawData (GH)'!D1861)</f>
        <v>72</v>
      </c>
      <c r="G1861" s="35">
        <f>getMagnification('RawData (GH)'!E1861)</f>
        <v>0</v>
      </c>
      <c r="H1861" s="62">
        <f>getMinimalFocus('RawData (GH)'!F1861)</f>
        <v>0</v>
      </c>
      <c r="I1861" t="str">
        <f>getMount('RawData (GH)'!G1861)</f>
        <v>Micro-Four-Thirds</v>
      </c>
      <c r="J1861" t="str">
        <f>getSensorCompatibility('RawData (GH)'!H1861)</f>
        <v>Four-Thirds</v>
      </c>
      <c r="K1861" s="45">
        <f>getWeightAsDouble('RawData (GH)'!I1861)</f>
        <v>580</v>
      </c>
      <c r="L1861" s="34">
        <f>getSizeDiameter('RawData (GH)'!J1861)</f>
        <v>78</v>
      </c>
      <c r="M1861" s="34">
        <f>getSizeLength('RawData (GH)'!J1861)</f>
        <v>80</v>
      </c>
    </row>
    <row r="1862" spans="1:13" x14ac:dyDescent="0.25">
      <c r="A1862" t="str">
        <f>'RawData (GH)'!A1862</f>
        <v>Walimex Pro 85mm 1.5 VDSLR für Nikon 1 schwarz</v>
      </c>
      <c r="B1862" s="5">
        <f>getFocalLengthStart('RawData (GH)'!B1862)</f>
        <v>85</v>
      </c>
      <c r="C1862" s="5">
        <f>getFocalLengthEnd('RawData (GH)'!B1862)</f>
        <v>85</v>
      </c>
      <c r="D1862" s="9">
        <f>getApertureStart('RawData (GH)'!C1862)</f>
        <v>1.5</v>
      </c>
      <c r="E1862" s="9">
        <f>getApertureEnd('RawData (GH)'!C1862)</f>
        <v>1.5</v>
      </c>
      <c r="F1862" s="2">
        <f>getFiltersizeAsDouble('RawData (GH)'!D1862)</f>
        <v>72</v>
      </c>
      <c r="G1862" s="35">
        <f>getMagnification('RawData (GH)'!E1862)</f>
        <v>0</v>
      </c>
      <c r="H1862" s="62">
        <f>getMinimalFocus('RawData (GH)'!F1862)</f>
        <v>0</v>
      </c>
      <c r="I1862" t="str">
        <f>getMount('RawData (GH)'!G1862)</f>
        <v>Nikon 1</v>
      </c>
      <c r="J1862" t="str">
        <f>getSensorCompatibility('RawData (GH)'!H1862)</f>
        <v>APS-C/ Kleinbild</v>
      </c>
      <c r="K1862" s="45">
        <f>getWeightAsDouble('RawData (GH)'!I1862)</f>
        <v>550</v>
      </c>
      <c r="L1862" s="34">
        <f>getSizeDiameter('RawData (GH)'!J1862)</f>
        <v>78</v>
      </c>
      <c r="M1862" s="34">
        <f>getSizeLength('RawData (GH)'!J1862)</f>
        <v>80</v>
      </c>
    </row>
    <row r="1863" spans="1:13" x14ac:dyDescent="0.25">
      <c r="A1863" t="str">
        <f>'RawData (GH)'!A1863</f>
        <v>Walimex Pro 85mm 1.5 VDSLR für Nikon F schwarz</v>
      </c>
      <c r="B1863" s="5">
        <f>getFocalLengthStart('RawData (GH)'!B1863)</f>
        <v>85</v>
      </c>
      <c r="C1863" s="5">
        <f>getFocalLengthEnd('RawData (GH)'!B1863)</f>
        <v>85</v>
      </c>
      <c r="D1863" s="9">
        <f>getApertureStart('RawData (GH)'!C1863)</f>
        <v>1.5</v>
      </c>
      <c r="E1863" s="9">
        <f>getApertureEnd('RawData (GH)'!C1863)</f>
        <v>1.5</v>
      </c>
      <c r="F1863" s="2">
        <f>getFiltersizeAsDouble('RawData (GH)'!D1863)</f>
        <v>72</v>
      </c>
      <c r="G1863" s="35">
        <f>getMagnification('RawData (GH)'!E1863)</f>
        <v>0</v>
      </c>
      <c r="H1863" s="62">
        <f>getMinimalFocus('RawData (GH)'!F1863)</f>
        <v>0</v>
      </c>
      <c r="I1863" t="str">
        <f>getMount('RawData (GH)'!G1863)</f>
        <v>Nikon F</v>
      </c>
      <c r="J1863" t="str">
        <f>getSensorCompatibility('RawData (GH)'!H1863)</f>
        <v>APS-C/ Kleinbild</v>
      </c>
      <c r="K1863" s="45">
        <f>getWeightAsDouble('RawData (GH)'!I1863)</f>
        <v>550</v>
      </c>
      <c r="L1863" s="34">
        <f>getSizeDiameter('RawData (GH)'!J1863)</f>
        <v>78</v>
      </c>
      <c r="M1863" s="34">
        <f>getSizeLength('RawData (GH)'!J1863)</f>
        <v>80</v>
      </c>
    </row>
    <row r="1864" spans="1:13" x14ac:dyDescent="0.25">
      <c r="A1864" t="str">
        <f>'RawData (GH)'!A1864</f>
        <v>Walimex Pro 85mm 1.5 VDSLR für Samsung NX schwarz</v>
      </c>
      <c r="B1864" s="5">
        <f>getFocalLengthStart('RawData (GH)'!B1864)</f>
        <v>85</v>
      </c>
      <c r="C1864" s="5">
        <f>getFocalLengthEnd('RawData (GH)'!B1864)</f>
        <v>85</v>
      </c>
      <c r="D1864" s="9">
        <f>getApertureStart('RawData (GH)'!C1864)</f>
        <v>1.5</v>
      </c>
      <c r="E1864" s="9">
        <f>getApertureEnd('RawData (GH)'!C1864)</f>
        <v>1.5</v>
      </c>
      <c r="F1864" s="2">
        <f>getFiltersizeAsDouble('RawData (GH)'!D1864)</f>
        <v>72</v>
      </c>
      <c r="G1864" s="35">
        <f>getMagnification('RawData (GH)'!E1864)</f>
        <v>0</v>
      </c>
      <c r="H1864" s="62">
        <f>getMinimalFocus('RawData (GH)'!F1864)</f>
        <v>0</v>
      </c>
      <c r="I1864" t="str">
        <f>getMount('RawData (GH)'!G1864)</f>
        <v>Samsung NX</v>
      </c>
      <c r="J1864" t="str">
        <f>getSensorCompatibility('RawData (GH)'!H1864)</f>
        <v>APS-C</v>
      </c>
      <c r="K1864" s="45">
        <f>getWeightAsDouble('RawData (GH)'!I1864)</f>
        <v>590</v>
      </c>
      <c r="L1864" s="34">
        <f>getSizeDiameter('RawData (GH)'!J1864)</f>
        <v>78</v>
      </c>
      <c r="M1864" s="34">
        <f>getSizeLength('RawData (GH)'!J1864)</f>
        <v>80</v>
      </c>
    </row>
    <row r="1865" spans="1:13" x14ac:dyDescent="0.25">
      <c r="A1865" t="str">
        <f>'RawData (GH)'!A1865</f>
        <v>Walimex Pro 85mm 1.5 VDSLR für Sony A schwarz</v>
      </c>
      <c r="B1865" s="5">
        <f>getFocalLengthStart('RawData (GH)'!B1865)</f>
        <v>85</v>
      </c>
      <c r="C1865" s="5">
        <f>getFocalLengthEnd('RawData (GH)'!B1865)</f>
        <v>85</v>
      </c>
      <c r="D1865" s="9">
        <f>getApertureStart('RawData (GH)'!C1865)</f>
        <v>1.5</v>
      </c>
      <c r="E1865" s="9">
        <f>getApertureEnd('RawData (GH)'!C1865)</f>
        <v>1.5</v>
      </c>
      <c r="F1865" s="2">
        <f>getFiltersizeAsDouble('RawData (GH)'!D1865)</f>
        <v>72</v>
      </c>
      <c r="G1865" s="35">
        <f>getMagnification('RawData (GH)'!E1865)</f>
        <v>0</v>
      </c>
      <c r="H1865" s="62">
        <f>getMinimalFocus('RawData (GH)'!F1865)</f>
        <v>0</v>
      </c>
      <c r="I1865" t="str">
        <f>getMount('RawData (GH)'!G1865)</f>
        <v>Sony A</v>
      </c>
      <c r="J1865" t="str">
        <f>getSensorCompatibility('RawData (GH)'!H1865)</f>
        <v>APS-C</v>
      </c>
      <c r="K1865" s="45">
        <f>getWeightAsDouble('RawData (GH)'!I1865)</f>
        <v>600</v>
      </c>
      <c r="L1865" s="34">
        <f>getSizeDiameter('RawData (GH)'!J1865)</f>
        <v>78</v>
      </c>
      <c r="M1865" s="34">
        <f>getSizeLength('RawData (GH)'!J1865)</f>
        <v>80</v>
      </c>
    </row>
    <row r="1866" spans="1:13" x14ac:dyDescent="0.25">
      <c r="A1866" t="str">
        <f>'RawData (GH)'!A1866</f>
        <v>Walimex Pro 85mm 1.5 VDSLR für Sony E schwarz</v>
      </c>
      <c r="B1866" s="5">
        <f>getFocalLengthStart('RawData (GH)'!B1866)</f>
        <v>85</v>
      </c>
      <c r="C1866" s="5">
        <f>getFocalLengthEnd('RawData (GH)'!B1866)</f>
        <v>85</v>
      </c>
      <c r="D1866" s="9">
        <f>getApertureStart('RawData (GH)'!C1866)</f>
        <v>1.5</v>
      </c>
      <c r="E1866" s="9">
        <f>getApertureEnd('RawData (GH)'!C1866)</f>
        <v>1.5</v>
      </c>
      <c r="F1866" s="2">
        <f>getFiltersizeAsDouble('RawData (GH)'!D1866)</f>
        <v>72</v>
      </c>
      <c r="G1866" s="35">
        <f>getMagnification('RawData (GH)'!E1866)</f>
        <v>0</v>
      </c>
      <c r="H1866" s="62">
        <f>getMinimalFocus('RawData (GH)'!F1866)</f>
        <v>0</v>
      </c>
      <c r="I1866" t="str">
        <f>getMount('RawData (GH)'!G1866)</f>
        <v>Sony E</v>
      </c>
      <c r="J1866" t="str">
        <f>getSensorCompatibility('RawData (GH)'!H1866)</f>
        <v>APS-C</v>
      </c>
      <c r="K1866" s="45">
        <f>getWeightAsDouble('RawData (GH)'!I1866)</f>
        <v>600</v>
      </c>
      <c r="L1866" s="34">
        <f>getSizeDiameter('RawData (GH)'!J1866)</f>
        <v>78</v>
      </c>
      <c r="M1866" s="34">
        <f>getSizeLength('RawData (GH)'!J1866)</f>
        <v>80</v>
      </c>
    </row>
    <row r="1867" spans="1:13" x14ac:dyDescent="0.25">
      <c r="A1867" t="str">
        <f>'RawData (GH)'!A1867</f>
        <v>Walimex Pro 8mm 2.8 Fisheye für Fujifilm X schwarz</v>
      </c>
      <c r="B1867" s="5">
        <f>getFocalLengthStart('RawData (GH)'!B1867)</f>
        <v>8</v>
      </c>
      <c r="C1867" s="5">
        <f>getFocalLengthEnd('RawData (GH)'!B1867)</f>
        <v>8</v>
      </c>
      <c r="D1867" s="9">
        <f>getApertureStart('RawData (GH)'!C1867)</f>
        <v>2.8</v>
      </c>
      <c r="E1867" s="9">
        <f>getApertureEnd('RawData (GH)'!C1867)</f>
        <v>2.8</v>
      </c>
      <c r="F1867" s="2">
        <f>getFiltersizeAsDouble('RawData (GH)'!D1867)</f>
        <v>0</v>
      </c>
      <c r="G1867" s="35">
        <f>getMagnification('RawData (GH)'!E1867)</f>
        <v>0</v>
      </c>
      <c r="H1867" s="62">
        <f>getMinimalFocus('RawData (GH)'!F1867)</f>
        <v>0</v>
      </c>
      <c r="I1867" t="str">
        <f>getMount('RawData (GH)'!G1867)</f>
        <v>Fujifilm X</v>
      </c>
      <c r="J1867" t="str">
        <f>getSensorCompatibility('RawData (GH)'!H1867)</f>
        <v>APS-C</v>
      </c>
      <c r="K1867" s="45">
        <f>getWeightAsDouble('RawData (GH)'!I1867)</f>
        <v>260</v>
      </c>
      <c r="L1867" s="34">
        <f>getSizeDiameter('RawData (GH)'!J1867)</f>
        <v>60</v>
      </c>
      <c r="M1867" s="34">
        <f>getSizeLength('RawData (GH)'!J1867)</f>
        <v>56.1</v>
      </c>
    </row>
    <row r="1868" spans="1:13" x14ac:dyDescent="0.25">
      <c r="A1868" t="str">
        <f>'RawData (GH)'!A1868</f>
        <v>Walimex Pro 8mm 2.8 Fisheye für Sony E schwarz</v>
      </c>
      <c r="B1868" s="5">
        <f>getFocalLengthStart('RawData (GH)'!B1868)</f>
        <v>8</v>
      </c>
      <c r="C1868" s="5">
        <f>getFocalLengthEnd('RawData (GH)'!B1868)</f>
        <v>8</v>
      </c>
      <c r="D1868" s="9">
        <f>getApertureStart('RawData (GH)'!C1868)</f>
        <v>2.8</v>
      </c>
      <c r="E1868" s="9">
        <f>getApertureEnd('RawData (GH)'!C1868)</f>
        <v>2.8</v>
      </c>
      <c r="F1868" s="2">
        <f>getFiltersizeAsDouble('RawData (GH)'!D1868)</f>
        <v>0</v>
      </c>
      <c r="G1868" s="35">
        <f>getMagnification('RawData (GH)'!E1868)</f>
        <v>0</v>
      </c>
      <c r="H1868" s="62">
        <f>getMinimalFocus('RawData (GH)'!F1868)</f>
        <v>0</v>
      </c>
      <c r="I1868" t="str">
        <f>getMount('RawData (GH)'!G1868)</f>
        <v>Sony E</v>
      </c>
      <c r="J1868" t="str">
        <f>getSensorCompatibility('RawData (GH)'!H1868)</f>
        <v>APS-C</v>
      </c>
      <c r="K1868" s="45">
        <f>getWeightAsDouble('RawData (GH)'!I1868)</f>
        <v>215</v>
      </c>
      <c r="L1868" s="34">
        <f>getSizeDiameter('RawData (GH)'!J1868)</f>
        <v>60</v>
      </c>
      <c r="M1868" s="34">
        <f>getSizeLength('RawData (GH)'!J1868)</f>
        <v>55.8</v>
      </c>
    </row>
    <row r="1869" spans="1:13" x14ac:dyDescent="0.25">
      <c r="A1869" t="str">
        <f>'RawData (GH)'!A1869</f>
        <v>Walimex Pro 8mm 2.8 Fisheye für Sony E silber</v>
      </c>
      <c r="B1869" s="5">
        <f>getFocalLengthStart('RawData (GH)'!B1869)</f>
        <v>8</v>
      </c>
      <c r="C1869" s="5">
        <f>getFocalLengthEnd('RawData (GH)'!B1869)</f>
        <v>8</v>
      </c>
      <c r="D1869" s="9">
        <f>getApertureStart('RawData (GH)'!C1869)</f>
        <v>2.8</v>
      </c>
      <c r="E1869" s="9">
        <f>getApertureEnd('RawData (GH)'!C1869)</f>
        <v>2.8</v>
      </c>
      <c r="F1869" s="2">
        <f>getFiltersizeAsDouble('RawData (GH)'!D1869)</f>
        <v>0</v>
      </c>
      <c r="G1869" s="35">
        <f>getMagnification('RawData (GH)'!E1869)</f>
        <v>0</v>
      </c>
      <c r="H1869" s="62">
        <f>getMinimalFocus('RawData (GH)'!F1869)</f>
        <v>0</v>
      </c>
      <c r="I1869" t="str">
        <f>getMount('RawData (GH)'!G1869)</f>
        <v>Sony E</v>
      </c>
      <c r="J1869" t="str">
        <f>getSensorCompatibility('RawData (GH)'!H1869)</f>
        <v>APS-C</v>
      </c>
      <c r="K1869" s="45">
        <f>getWeightAsDouble('RawData (GH)'!I1869)</f>
        <v>215</v>
      </c>
      <c r="L1869" s="34">
        <f>getSizeDiameter('RawData (GH)'!J1869)</f>
        <v>60</v>
      </c>
      <c r="M1869" s="34">
        <f>getSizeLength('RawData (GH)'!J1869)</f>
        <v>55.8</v>
      </c>
    </row>
    <row r="1870" spans="1:13" x14ac:dyDescent="0.25">
      <c r="A1870" t="str">
        <f>'RawData (GH)'!A1870</f>
        <v>Walimex Pro 8mm 2.8 Fisheye I CSC für Samsung NX silber</v>
      </c>
      <c r="B1870" s="5">
        <f>getFocalLengthStart('RawData (GH)'!B1870)</f>
        <v>8</v>
      </c>
      <c r="C1870" s="5">
        <f>getFocalLengthEnd('RawData (GH)'!B1870)</f>
        <v>8</v>
      </c>
      <c r="D1870" s="9">
        <f>getApertureStart('RawData (GH)'!C1870)</f>
        <v>2.8</v>
      </c>
      <c r="E1870" s="9">
        <f>getApertureEnd('RawData (GH)'!C1870)</f>
        <v>2.8</v>
      </c>
      <c r="F1870" s="2">
        <f>getFiltersizeAsDouble('RawData (GH)'!D1870)</f>
        <v>0</v>
      </c>
      <c r="G1870" s="35">
        <f>getMagnification('RawData (GH)'!E1870)</f>
        <v>0</v>
      </c>
      <c r="H1870" s="62">
        <f>getMinimalFocus('RawData (GH)'!F1870)</f>
        <v>0</v>
      </c>
      <c r="I1870" t="str">
        <f>getMount('RawData (GH)'!G1870)</f>
        <v>Samsung NX</v>
      </c>
      <c r="J1870" t="str">
        <f>getSensorCompatibility('RawData (GH)'!H1870)</f>
        <v>APS-C</v>
      </c>
      <c r="K1870" s="45">
        <f>getWeightAsDouble('RawData (GH)'!I1870)</f>
        <v>210</v>
      </c>
      <c r="L1870" s="34">
        <f>getSizeDiameter('RawData (GH)'!J1870)</f>
        <v>60</v>
      </c>
      <c r="M1870" s="34">
        <f>getSizeLength('RawData (GH)'!J1870)</f>
        <v>48.3</v>
      </c>
    </row>
    <row r="1871" spans="1:13" x14ac:dyDescent="0.25">
      <c r="A1871" t="str">
        <f>'RawData (GH)'!A1871</f>
        <v>Walimex Pro 8mm 2.8 Fisheye II für Canon EF-M silber</v>
      </c>
      <c r="B1871" s="5">
        <f>getFocalLengthStart('RawData (GH)'!B1871)</f>
        <v>8</v>
      </c>
      <c r="C1871" s="5">
        <f>getFocalLengthEnd('RawData (GH)'!B1871)</f>
        <v>8</v>
      </c>
      <c r="D1871" s="9">
        <f>getApertureStart('RawData (GH)'!C1871)</f>
        <v>2.8</v>
      </c>
      <c r="E1871" s="9">
        <f>getApertureEnd('RawData (GH)'!C1871)</f>
        <v>2.8</v>
      </c>
      <c r="F1871" s="2">
        <f>getFiltersizeAsDouble('RawData (GH)'!D1871)</f>
        <v>0</v>
      </c>
      <c r="G1871" s="35">
        <f>getMagnification('RawData (GH)'!E1871)</f>
        <v>0</v>
      </c>
      <c r="H1871" s="62">
        <f>getMinimalFocus('RawData (GH)'!F1871)</f>
        <v>0</v>
      </c>
      <c r="I1871" t="str">
        <f>getMount('RawData (GH)'!G1871)</f>
        <v>Canon EF-M</v>
      </c>
      <c r="J1871" t="str">
        <f>getSensorCompatibility('RawData (GH)'!H1871)</f>
        <v>APS-C</v>
      </c>
      <c r="K1871" s="45">
        <f>getWeightAsDouble('RawData (GH)'!I1871)</f>
        <v>290</v>
      </c>
      <c r="L1871" s="34">
        <f>getSizeDiameter('RawData (GH)'!J1871)</f>
        <v>60</v>
      </c>
      <c r="M1871" s="34">
        <f>getSizeLength('RawData (GH)'!J1871)</f>
        <v>65</v>
      </c>
    </row>
    <row r="1872" spans="1:13" x14ac:dyDescent="0.25">
      <c r="A1872" t="str">
        <f>'RawData (GH)'!A1872</f>
        <v>Walimex Pro 8mm 2.8 Fisheye II für Fujifilm X schwarz</v>
      </c>
      <c r="B1872" s="5">
        <f>getFocalLengthStart('RawData (GH)'!B1872)</f>
        <v>8</v>
      </c>
      <c r="C1872" s="5">
        <f>getFocalLengthEnd('RawData (GH)'!B1872)</f>
        <v>8</v>
      </c>
      <c r="D1872" s="9">
        <f>getApertureStart('RawData (GH)'!C1872)</f>
        <v>2.8</v>
      </c>
      <c r="E1872" s="9">
        <f>getApertureEnd('RawData (GH)'!C1872)</f>
        <v>2.8</v>
      </c>
      <c r="F1872" s="2">
        <f>getFiltersizeAsDouble('RawData (GH)'!D1872)</f>
        <v>0</v>
      </c>
      <c r="G1872" s="35">
        <f>getMagnification('RawData (GH)'!E1872)</f>
        <v>0</v>
      </c>
      <c r="H1872" s="62">
        <f>getMinimalFocus('RawData (GH)'!F1872)</f>
        <v>0</v>
      </c>
      <c r="I1872" t="str">
        <f>getMount('RawData (GH)'!G1872)</f>
        <v>Fujifilm X</v>
      </c>
      <c r="J1872" t="str">
        <f>getSensorCompatibility('RawData (GH)'!H1872)</f>
        <v>APS-C</v>
      </c>
      <c r="K1872" s="45">
        <f>getWeightAsDouble('RawData (GH)'!I1872)</f>
        <v>290</v>
      </c>
      <c r="L1872" s="34">
        <f>getSizeDiameter('RawData (GH)'!J1872)</f>
        <v>60</v>
      </c>
      <c r="M1872" s="34">
        <f>getSizeLength('RawData (GH)'!J1872)</f>
        <v>65</v>
      </c>
    </row>
    <row r="1873" spans="1:13" x14ac:dyDescent="0.25">
      <c r="A1873" t="str">
        <f>'RawData (GH)'!A1873</f>
        <v>Walimex Pro 8mm 2.8 Fisheye II für Samsung NX schwarz</v>
      </c>
      <c r="B1873" s="5">
        <f>getFocalLengthStart('RawData (GH)'!B1873)</f>
        <v>8</v>
      </c>
      <c r="C1873" s="5">
        <f>getFocalLengthEnd('RawData (GH)'!B1873)</f>
        <v>8</v>
      </c>
      <c r="D1873" s="9">
        <f>getApertureStart('RawData (GH)'!C1873)</f>
        <v>2.8</v>
      </c>
      <c r="E1873" s="9">
        <f>getApertureEnd('RawData (GH)'!C1873)</f>
        <v>2.8</v>
      </c>
      <c r="F1873" s="2">
        <f>getFiltersizeAsDouble('RawData (GH)'!D1873)</f>
        <v>0</v>
      </c>
      <c r="G1873" s="35">
        <f>getMagnification('RawData (GH)'!E1873)</f>
        <v>0</v>
      </c>
      <c r="H1873" s="62">
        <f>getMinimalFocus('RawData (GH)'!F1873)</f>
        <v>0</v>
      </c>
      <c r="I1873" t="str">
        <f>getMount('RawData (GH)'!G1873)</f>
        <v>Samsung NX</v>
      </c>
      <c r="J1873" t="str">
        <f>getSensorCompatibility('RawData (GH)'!H1873)</f>
        <v>APS-C</v>
      </c>
      <c r="K1873" s="45">
        <f>getWeightAsDouble('RawData (GH)'!I1873)</f>
        <v>290</v>
      </c>
      <c r="L1873" s="34">
        <f>getSizeDiameter('RawData (GH)'!J1873)</f>
        <v>60</v>
      </c>
      <c r="M1873" s="34">
        <f>getSizeLength('RawData (GH)'!J1873)</f>
        <v>65</v>
      </c>
    </row>
    <row r="1874" spans="1:13" x14ac:dyDescent="0.25">
      <c r="A1874" t="str">
        <f>'RawData (GH)'!A1874</f>
        <v>Walimex Pro 8mm 2.8 Fisheye II für Sony E schwarz</v>
      </c>
      <c r="B1874" s="5">
        <f>getFocalLengthStart('RawData (GH)'!B1874)</f>
        <v>8</v>
      </c>
      <c r="C1874" s="5">
        <f>getFocalLengthEnd('RawData (GH)'!B1874)</f>
        <v>8</v>
      </c>
      <c r="D1874" s="9">
        <f>getApertureStart('RawData (GH)'!C1874)</f>
        <v>2.8</v>
      </c>
      <c r="E1874" s="9">
        <f>getApertureEnd('RawData (GH)'!C1874)</f>
        <v>2.8</v>
      </c>
      <c r="F1874" s="2">
        <f>getFiltersizeAsDouble('RawData (GH)'!D1874)</f>
        <v>0</v>
      </c>
      <c r="G1874" s="35">
        <f>getMagnification('RawData (GH)'!E1874)</f>
        <v>0</v>
      </c>
      <c r="H1874" s="62">
        <f>getMinimalFocus('RawData (GH)'!F1874)</f>
        <v>0</v>
      </c>
      <c r="I1874" t="str">
        <f>getMount('RawData (GH)'!G1874)</f>
        <v>Sony E</v>
      </c>
      <c r="J1874" t="str">
        <f>getSensorCompatibility('RawData (GH)'!H1874)</f>
        <v>APS-C</v>
      </c>
      <c r="K1874" s="45">
        <f>getWeightAsDouble('RawData (GH)'!I1874)</f>
        <v>290</v>
      </c>
      <c r="L1874" s="34">
        <f>getSizeDiameter('RawData (GH)'!J1874)</f>
        <v>60</v>
      </c>
      <c r="M1874" s="34">
        <f>getSizeLength('RawData (GH)'!J1874)</f>
        <v>65</v>
      </c>
    </row>
    <row r="1875" spans="1:13" x14ac:dyDescent="0.25">
      <c r="A1875" t="str">
        <f>'RawData (GH)'!A1875</f>
        <v>Walimex Pro 8mm 2.8 Fisheye II für Sony E silber</v>
      </c>
      <c r="B1875" s="5">
        <f>getFocalLengthStart('RawData (GH)'!B1875)</f>
        <v>8</v>
      </c>
      <c r="C1875" s="5">
        <f>getFocalLengthEnd('RawData (GH)'!B1875)</f>
        <v>8</v>
      </c>
      <c r="D1875" s="9">
        <f>getApertureStart('RawData (GH)'!C1875)</f>
        <v>2.8</v>
      </c>
      <c r="E1875" s="9">
        <f>getApertureEnd('RawData (GH)'!C1875)</f>
        <v>2.8</v>
      </c>
      <c r="F1875" s="2">
        <f>getFiltersizeAsDouble('RawData (GH)'!D1875)</f>
        <v>0</v>
      </c>
      <c r="G1875" s="35">
        <f>getMagnification('RawData (GH)'!E1875)</f>
        <v>0</v>
      </c>
      <c r="H1875" s="62">
        <f>getMinimalFocus('RawData (GH)'!F1875)</f>
        <v>0</v>
      </c>
      <c r="I1875" t="str">
        <f>getMount('RawData (GH)'!G1875)</f>
        <v>Sony E</v>
      </c>
      <c r="J1875" t="str">
        <f>getSensorCompatibility('RawData (GH)'!H1875)</f>
        <v>APS-C</v>
      </c>
      <c r="K1875" s="45">
        <f>getWeightAsDouble('RawData (GH)'!I1875)</f>
        <v>290</v>
      </c>
      <c r="L1875" s="34">
        <f>getSizeDiameter('RawData (GH)'!J1875)</f>
        <v>60</v>
      </c>
      <c r="M1875" s="34">
        <f>getSizeLength('RawData (GH)'!J1875)</f>
        <v>65</v>
      </c>
    </row>
    <row r="1876" spans="1:13" x14ac:dyDescent="0.25">
      <c r="A1876" t="str">
        <f>'RawData (GH)'!A1876</f>
        <v>Walimex Pro 8mm 3.1 Fisheye II VCSC für Canon EF-M schwarz</v>
      </c>
      <c r="B1876" s="5">
        <f>getFocalLengthStart('RawData (GH)'!B1876)</f>
        <v>8</v>
      </c>
      <c r="C1876" s="5">
        <f>getFocalLengthEnd('RawData (GH)'!B1876)</f>
        <v>8</v>
      </c>
      <c r="D1876" s="9">
        <f>getApertureStart('RawData (GH)'!C1876)</f>
        <v>3.1</v>
      </c>
      <c r="E1876" s="9">
        <f>getApertureEnd('RawData (GH)'!C1876)</f>
        <v>3.1</v>
      </c>
      <c r="F1876" s="2">
        <f>getFiltersizeAsDouble('RawData (GH)'!D1876)</f>
        <v>0</v>
      </c>
      <c r="G1876" s="35">
        <f>getMagnification('RawData (GH)'!E1876)</f>
        <v>0</v>
      </c>
      <c r="H1876" s="62">
        <f>getMinimalFocus('RawData (GH)'!F1876)</f>
        <v>0</v>
      </c>
      <c r="I1876" t="str">
        <f>getMount('RawData (GH)'!G1876)</f>
        <v>Canon EF-M</v>
      </c>
      <c r="J1876" t="str">
        <f>getSensorCompatibility('RawData (GH)'!H1876)</f>
        <v>APS-C</v>
      </c>
      <c r="K1876" s="45">
        <f>getWeightAsDouble('RawData (GH)'!I1876)</f>
        <v>265</v>
      </c>
      <c r="L1876" s="34">
        <f>getSizeDiameter('RawData (GH)'!J1876)</f>
        <v>73.599999999999994</v>
      </c>
      <c r="M1876" s="34">
        <f>getSizeLength('RawData (GH)'!J1876)</f>
        <v>64.400000000000006</v>
      </c>
    </row>
    <row r="1877" spans="1:13" x14ac:dyDescent="0.25">
      <c r="A1877" t="str">
        <f>'RawData (GH)'!A1877</f>
        <v>Walimex Pro 8mm 3.1 Fisheye II VCSC für Fujifilm X schwarz</v>
      </c>
      <c r="B1877" s="5">
        <f>getFocalLengthStart('RawData (GH)'!B1877)</f>
        <v>8</v>
      </c>
      <c r="C1877" s="5">
        <f>getFocalLengthEnd('RawData (GH)'!B1877)</f>
        <v>8</v>
      </c>
      <c r="D1877" s="9">
        <f>getApertureStart('RawData (GH)'!C1877)</f>
        <v>3.1</v>
      </c>
      <c r="E1877" s="9">
        <f>getApertureEnd('RawData (GH)'!C1877)</f>
        <v>3.1</v>
      </c>
      <c r="F1877" s="2">
        <f>getFiltersizeAsDouble('RawData (GH)'!D1877)</f>
        <v>0</v>
      </c>
      <c r="G1877" s="35">
        <f>getMagnification('RawData (GH)'!E1877)</f>
        <v>0</v>
      </c>
      <c r="H1877" s="62">
        <f>getMinimalFocus('RawData (GH)'!F1877)</f>
        <v>0</v>
      </c>
      <c r="I1877" t="str">
        <f>getMount('RawData (GH)'!G1877)</f>
        <v>Fujifilm X</v>
      </c>
      <c r="J1877" t="str">
        <f>getSensorCompatibility('RawData (GH)'!H1877)</f>
        <v>APS-C</v>
      </c>
      <c r="K1877" s="45">
        <f>getWeightAsDouble('RawData (GH)'!I1877)</f>
        <v>265</v>
      </c>
      <c r="L1877" s="34">
        <f>getSizeDiameter('RawData (GH)'!J1877)</f>
        <v>73.599999999999994</v>
      </c>
      <c r="M1877" s="34">
        <f>getSizeLength('RawData (GH)'!J1877)</f>
        <v>64.400000000000006</v>
      </c>
    </row>
    <row r="1878" spans="1:13" x14ac:dyDescent="0.25">
      <c r="A1878" t="str">
        <f>'RawData (GH)'!A1878</f>
        <v>Walimex Pro 8mm 3.1 Fisheye II VCSC für Samsung NX schwarz</v>
      </c>
      <c r="B1878" s="5">
        <f>getFocalLengthStart('RawData (GH)'!B1878)</f>
        <v>8</v>
      </c>
      <c r="C1878" s="5">
        <f>getFocalLengthEnd('RawData (GH)'!B1878)</f>
        <v>8</v>
      </c>
      <c r="D1878" s="9">
        <f>getApertureStart('RawData (GH)'!C1878)</f>
        <v>3.1</v>
      </c>
      <c r="E1878" s="9">
        <f>getApertureEnd('RawData (GH)'!C1878)</f>
        <v>3.1</v>
      </c>
      <c r="F1878" s="2">
        <f>getFiltersizeAsDouble('RawData (GH)'!D1878)</f>
        <v>0</v>
      </c>
      <c r="G1878" s="35">
        <f>getMagnification('RawData (GH)'!E1878)</f>
        <v>0</v>
      </c>
      <c r="H1878" s="62">
        <f>getMinimalFocus('RawData (GH)'!F1878)</f>
        <v>0</v>
      </c>
      <c r="I1878" t="str">
        <f>getMount('RawData (GH)'!G1878)</f>
        <v>Samsung NX</v>
      </c>
      <c r="J1878" t="str">
        <f>getSensorCompatibility('RawData (GH)'!H1878)</f>
        <v>APS-C</v>
      </c>
      <c r="K1878" s="45">
        <f>getWeightAsDouble('RawData (GH)'!I1878)</f>
        <v>265</v>
      </c>
      <c r="L1878" s="34">
        <f>getSizeDiameter('RawData (GH)'!J1878)</f>
        <v>73.599999999999994</v>
      </c>
      <c r="M1878" s="34">
        <f>getSizeLength('RawData (GH)'!J1878)</f>
        <v>64.400000000000006</v>
      </c>
    </row>
    <row r="1879" spans="1:13" x14ac:dyDescent="0.25">
      <c r="A1879" t="str">
        <f>'RawData (GH)'!A1879</f>
        <v>Walimex Pro 8mm 3.1 Fisheye II VCSC für Sony E schwarz</v>
      </c>
      <c r="B1879" s="5">
        <f>getFocalLengthStart('RawData (GH)'!B1879)</f>
        <v>8</v>
      </c>
      <c r="C1879" s="5">
        <f>getFocalLengthEnd('RawData (GH)'!B1879)</f>
        <v>8</v>
      </c>
      <c r="D1879" s="9">
        <f>getApertureStart('RawData (GH)'!C1879)</f>
        <v>3.1</v>
      </c>
      <c r="E1879" s="9">
        <f>getApertureEnd('RawData (GH)'!C1879)</f>
        <v>3.1</v>
      </c>
      <c r="F1879" s="2">
        <f>getFiltersizeAsDouble('RawData (GH)'!D1879)</f>
        <v>0</v>
      </c>
      <c r="G1879" s="35">
        <f>getMagnification('RawData (GH)'!E1879)</f>
        <v>0</v>
      </c>
      <c r="H1879" s="62">
        <f>getMinimalFocus('RawData (GH)'!F1879)</f>
        <v>0</v>
      </c>
      <c r="I1879" t="str">
        <f>getMount('RawData (GH)'!G1879)</f>
        <v>Sony E</v>
      </c>
      <c r="J1879" t="str">
        <f>getSensorCompatibility('RawData (GH)'!H1879)</f>
        <v>APS-C</v>
      </c>
      <c r="K1879" s="45">
        <f>getWeightAsDouble('RawData (GH)'!I1879)</f>
        <v>265</v>
      </c>
      <c r="L1879" s="34">
        <f>getSizeDiameter('RawData (GH)'!J1879)</f>
        <v>73.599999999999994</v>
      </c>
      <c r="M1879" s="34">
        <f>getSizeLength('RawData (GH)'!J1879)</f>
        <v>64.400000000000006</v>
      </c>
    </row>
    <row r="1880" spans="1:13" x14ac:dyDescent="0.25">
      <c r="A1880" t="str">
        <f>'RawData (GH)'!A1880</f>
        <v>Walimex Pro 8mm 3.5 Fisheye für Canon EF schwarz</v>
      </c>
      <c r="B1880" s="5">
        <f>getFocalLengthStart('RawData (GH)'!B1880)</f>
        <v>8</v>
      </c>
      <c r="C1880" s="5">
        <f>getFocalLengthEnd('RawData (GH)'!B1880)</f>
        <v>8</v>
      </c>
      <c r="D1880" s="9">
        <f>getApertureStart('RawData (GH)'!C1880)</f>
        <v>3.5</v>
      </c>
      <c r="E1880" s="9">
        <f>getApertureEnd('RawData (GH)'!C1880)</f>
        <v>3.5</v>
      </c>
      <c r="F1880" s="2">
        <f>getFiltersizeAsDouble('RawData (GH)'!D1880)</f>
        <v>0</v>
      </c>
      <c r="G1880" s="35">
        <f>getMagnification('RawData (GH)'!E1880)</f>
        <v>0</v>
      </c>
      <c r="H1880" s="62">
        <f>getMinimalFocus('RawData (GH)'!F1880)</f>
        <v>0</v>
      </c>
      <c r="I1880" t="str">
        <f>getMount('RawData (GH)'!G1880)</f>
        <v>Canon EF</v>
      </c>
      <c r="J1880" t="str">
        <f>getSensorCompatibility('RawData (GH)'!H1880)</f>
        <v>APS-C</v>
      </c>
      <c r="K1880" s="45">
        <f>getWeightAsDouble('RawData (GH)'!I1880)</f>
        <v>440</v>
      </c>
      <c r="L1880" s="34">
        <f>getSizeDiameter('RawData (GH)'!J1880)</f>
        <v>75</v>
      </c>
      <c r="M1880" s="34">
        <f>getSizeLength('RawData (GH)'!J1880)</f>
        <v>77.3</v>
      </c>
    </row>
    <row r="1881" spans="1:13" x14ac:dyDescent="0.25">
      <c r="A1881" t="str">
        <f>'RawData (GH)'!A1881</f>
        <v>Walimex Pro 8mm 3.5 Fisheye für Micro-Four-Thirds schwarz</v>
      </c>
      <c r="B1881" s="5">
        <f>getFocalLengthStart('RawData (GH)'!B1881)</f>
        <v>8</v>
      </c>
      <c r="C1881" s="5">
        <f>getFocalLengthEnd('RawData (GH)'!B1881)</f>
        <v>8</v>
      </c>
      <c r="D1881" s="9">
        <f>getApertureStart('RawData (GH)'!C1881)</f>
        <v>3.5</v>
      </c>
      <c r="E1881" s="9">
        <f>getApertureEnd('RawData (GH)'!C1881)</f>
        <v>3.5</v>
      </c>
      <c r="F1881" s="2">
        <f>getFiltersizeAsDouble('RawData (GH)'!D1881)</f>
        <v>0</v>
      </c>
      <c r="G1881" s="35">
        <f>getMagnification('RawData (GH)'!E1881)</f>
        <v>0</v>
      </c>
      <c r="H1881" s="62">
        <f>getMinimalFocus('RawData (GH)'!F1881)</f>
        <v>0</v>
      </c>
      <c r="I1881" t="str">
        <f>getMount('RawData (GH)'!G1881)</f>
        <v>Micro-Four-Thirds</v>
      </c>
      <c r="J1881" t="str">
        <f>getSensorCompatibility('RawData (GH)'!H1881)</f>
        <v>Four-Thirds</v>
      </c>
      <c r="K1881" s="45">
        <f>getWeightAsDouble('RawData (GH)'!I1881)</f>
        <v>400</v>
      </c>
      <c r="L1881" s="34">
        <f>getSizeDiameter('RawData (GH)'!J1881)</f>
        <v>75</v>
      </c>
      <c r="M1881" s="34">
        <f>getSizeLength('RawData (GH)'!J1881)</f>
        <v>100</v>
      </c>
    </row>
    <row r="1882" spans="1:13" x14ac:dyDescent="0.25">
      <c r="A1882" t="str">
        <f>'RawData (GH)'!A1882</f>
        <v>Walimex Pro 8mm 3.5 Fisheye für Nikon F schwarz</v>
      </c>
      <c r="B1882" s="5">
        <f>getFocalLengthStart('RawData (GH)'!B1882)</f>
        <v>8</v>
      </c>
      <c r="C1882" s="5">
        <f>getFocalLengthEnd('RawData (GH)'!B1882)</f>
        <v>8</v>
      </c>
      <c r="D1882" s="9">
        <f>getApertureStart('RawData (GH)'!C1882)</f>
        <v>3.5</v>
      </c>
      <c r="E1882" s="9">
        <f>getApertureEnd('RawData (GH)'!C1882)</f>
        <v>3.5</v>
      </c>
      <c r="F1882" s="2">
        <f>getFiltersizeAsDouble('RawData (GH)'!D1882)</f>
        <v>0</v>
      </c>
      <c r="G1882" s="35">
        <f>getMagnification('RawData (GH)'!E1882)</f>
        <v>0</v>
      </c>
      <c r="H1882" s="62">
        <f>getMinimalFocus('RawData (GH)'!F1882)</f>
        <v>0</v>
      </c>
      <c r="I1882" t="str">
        <f>getMount('RawData (GH)'!G1882)</f>
        <v>Nikon F</v>
      </c>
      <c r="J1882" t="str">
        <f>getSensorCompatibility('RawData (GH)'!H1882)</f>
        <v>APS-C</v>
      </c>
      <c r="K1882" s="45">
        <f>getWeightAsDouble('RawData (GH)'!I1882)</f>
        <v>400</v>
      </c>
      <c r="L1882" s="34">
        <f>getSizeDiameter('RawData (GH)'!J1882)</f>
        <v>75</v>
      </c>
      <c r="M1882" s="34">
        <f>getSizeLength('RawData (GH)'!J1882)</f>
        <v>100</v>
      </c>
    </row>
    <row r="1883" spans="1:13" x14ac:dyDescent="0.25">
      <c r="A1883" t="str">
        <f>'RawData (GH)'!A1883</f>
        <v>Walimex Pro 8mm 3.5 Fisheye für Pentax K schwarz</v>
      </c>
      <c r="B1883" s="5">
        <f>getFocalLengthStart('RawData (GH)'!B1883)</f>
        <v>8</v>
      </c>
      <c r="C1883" s="5">
        <f>getFocalLengthEnd('RawData (GH)'!B1883)</f>
        <v>8</v>
      </c>
      <c r="D1883" s="9">
        <f>getApertureStart('RawData (GH)'!C1883)</f>
        <v>3.5</v>
      </c>
      <c r="E1883" s="9">
        <f>getApertureEnd('RawData (GH)'!C1883)</f>
        <v>3.5</v>
      </c>
      <c r="F1883" s="2">
        <f>getFiltersizeAsDouble('RawData (GH)'!D1883)</f>
        <v>0</v>
      </c>
      <c r="G1883" s="35">
        <f>getMagnification('RawData (GH)'!E1883)</f>
        <v>0</v>
      </c>
      <c r="H1883" s="62">
        <f>getMinimalFocus('RawData (GH)'!F1883)</f>
        <v>0</v>
      </c>
      <c r="I1883" t="str">
        <f>getMount('RawData (GH)'!G1883)</f>
        <v>Pentax K</v>
      </c>
      <c r="J1883" t="str">
        <f>getSensorCompatibility('RawData (GH)'!H1883)</f>
        <v>APS-C</v>
      </c>
      <c r="K1883" s="45">
        <f>getWeightAsDouble('RawData (GH)'!I1883)</f>
        <v>400</v>
      </c>
      <c r="L1883" s="34">
        <f>getSizeDiameter('RawData (GH)'!J1883)</f>
        <v>75</v>
      </c>
      <c r="M1883" s="34">
        <f>getSizeLength('RawData (GH)'!J1883)</f>
        <v>100</v>
      </c>
    </row>
    <row r="1884" spans="1:13" x14ac:dyDescent="0.25">
      <c r="A1884" t="str">
        <f>'RawData (GH)'!A1884</f>
        <v>Walimex Pro 8mm 3.5 Fisheye für Sony E schwarz</v>
      </c>
      <c r="B1884" s="5">
        <f>getFocalLengthStart('RawData (GH)'!B1884)</f>
        <v>8</v>
      </c>
      <c r="C1884" s="5">
        <f>getFocalLengthEnd('RawData (GH)'!B1884)</f>
        <v>8</v>
      </c>
      <c r="D1884" s="9">
        <f>getApertureStart('RawData (GH)'!C1884)</f>
        <v>3.5</v>
      </c>
      <c r="E1884" s="9">
        <f>getApertureEnd('RawData (GH)'!C1884)</f>
        <v>3.5</v>
      </c>
      <c r="F1884" s="2">
        <f>getFiltersizeAsDouble('RawData (GH)'!D1884)</f>
        <v>0</v>
      </c>
      <c r="G1884" s="35">
        <f>getMagnification('RawData (GH)'!E1884)</f>
        <v>0</v>
      </c>
      <c r="H1884" s="62">
        <f>getMinimalFocus('RawData (GH)'!F1884)</f>
        <v>0</v>
      </c>
      <c r="I1884" t="str">
        <f>getMount('RawData (GH)'!G1884)</f>
        <v>Sony E</v>
      </c>
      <c r="J1884" t="str">
        <f>getSensorCompatibility('RawData (GH)'!H1884)</f>
        <v>APS-C</v>
      </c>
      <c r="K1884" s="45">
        <f>getWeightAsDouble('RawData (GH)'!I1884)</f>
        <v>400</v>
      </c>
      <c r="L1884" s="34">
        <f>getSizeDiameter('RawData (GH)'!J1884)</f>
        <v>75</v>
      </c>
      <c r="M1884" s="34">
        <f>getSizeLength('RawData (GH)'!J1884)</f>
        <v>100</v>
      </c>
    </row>
    <row r="1885" spans="1:13" x14ac:dyDescent="0.25">
      <c r="A1885" t="str">
        <f>'RawData (GH)'!A1885</f>
        <v>Walimex Pro 8mm 3.5 Fisheye II für Canon EF schwarz</v>
      </c>
      <c r="B1885" s="5">
        <f>getFocalLengthStart('RawData (GH)'!B1885)</f>
        <v>8</v>
      </c>
      <c r="C1885" s="5">
        <f>getFocalLengthEnd('RawData (GH)'!B1885)</f>
        <v>8</v>
      </c>
      <c r="D1885" s="9">
        <f>getApertureStart('RawData (GH)'!C1885)</f>
        <v>3.5</v>
      </c>
      <c r="E1885" s="9">
        <f>getApertureEnd('RawData (GH)'!C1885)</f>
        <v>3.5</v>
      </c>
      <c r="F1885" s="2">
        <f>getFiltersizeAsDouble('RawData (GH)'!D1885)</f>
        <v>0</v>
      </c>
      <c r="G1885" s="35">
        <f>getMagnification('RawData (GH)'!E1885)</f>
        <v>0</v>
      </c>
      <c r="H1885" s="62">
        <f>getMinimalFocus('RawData (GH)'!F1885)</f>
        <v>0</v>
      </c>
      <c r="I1885" t="str">
        <f>getMount('RawData (GH)'!G1885)</f>
        <v>Canon EF</v>
      </c>
      <c r="J1885" t="str">
        <f>getSensorCompatibility('RawData (GH)'!H1885)</f>
        <v>APS-C</v>
      </c>
      <c r="K1885" s="45">
        <f>getWeightAsDouble('RawData (GH)'!I1885)</f>
        <v>440</v>
      </c>
      <c r="L1885" s="34">
        <f>getSizeDiameter('RawData (GH)'!J1885)</f>
        <v>75</v>
      </c>
      <c r="M1885" s="34">
        <f>getSizeLength('RawData (GH)'!J1885)</f>
        <v>77.3</v>
      </c>
    </row>
    <row r="1886" spans="1:13" x14ac:dyDescent="0.25">
      <c r="A1886" t="str">
        <f>'RawData (GH)'!A1886</f>
        <v>Walimex Pro 8mm 3.5 Fisheye II für Canon EF-M schwarz (20129)</v>
      </c>
      <c r="B1886" s="5">
        <f>getFocalLengthStart('RawData (GH)'!B1886)</f>
        <v>8</v>
      </c>
      <c r="C1886" s="5">
        <f>getFocalLengthEnd('RawData (GH)'!B1886)</f>
        <v>8</v>
      </c>
      <c r="D1886" s="9">
        <f>getApertureStart('RawData (GH)'!C1886)</f>
        <v>3.5</v>
      </c>
      <c r="E1886" s="9">
        <f>getApertureEnd('RawData (GH)'!C1886)</f>
        <v>3.5</v>
      </c>
      <c r="F1886" s="2">
        <f>getFiltersizeAsDouble('RawData (GH)'!D1886)</f>
        <v>0</v>
      </c>
      <c r="G1886" s="35">
        <f>getMagnification('RawData (GH)'!E1886)</f>
        <v>0</v>
      </c>
      <c r="H1886" s="62">
        <f>getMinimalFocus('RawData (GH)'!F1886)</f>
        <v>0</v>
      </c>
      <c r="I1886" t="str">
        <f>getMount('RawData (GH)'!G1886)</f>
        <v>Canon EF-M</v>
      </c>
      <c r="J1886" t="str">
        <f>getSensorCompatibility('RawData (GH)'!H1886)</f>
        <v>Unknown</v>
      </c>
      <c r="K1886" s="45">
        <f>getWeightAsDouble('RawData (GH)'!I1886)</f>
        <v>440</v>
      </c>
      <c r="L1886" s="34">
        <f>getSizeDiameter('RawData (GH)'!J1886)</f>
        <v>75</v>
      </c>
      <c r="M1886" s="34">
        <f>getSizeLength('RawData (GH)'!J1886)</f>
        <v>77.3</v>
      </c>
    </row>
    <row r="1887" spans="1:13" x14ac:dyDescent="0.25">
      <c r="A1887" t="str">
        <f>'RawData (GH)'!A1887</f>
        <v>Walimex Pro 8mm 3.5 Fisheye II für Four-Thirds schwarz</v>
      </c>
      <c r="B1887" s="5">
        <f>getFocalLengthStart('RawData (GH)'!B1887)</f>
        <v>8</v>
      </c>
      <c r="C1887" s="5">
        <f>getFocalLengthEnd('RawData (GH)'!B1887)</f>
        <v>8</v>
      </c>
      <c r="D1887" s="9">
        <f>getApertureStart('RawData (GH)'!C1887)</f>
        <v>3.5</v>
      </c>
      <c r="E1887" s="9">
        <f>getApertureEnd('RawData (GH)'!C1887)</f>
        <v>3.5</v>
      </c>
      <c r="F1887" s="2">
        <f>getFiltersizeAsDouble('RawData (GH)'!D1887)</f>
        <v>0</v>
      </c>
      <c r="G1887" s="35">
        <f>getMagnification('RawData (GH)'!E1887)</f>
        <v>0</v>
      </c>
      <c r="H1887" s="62">
        <f>getMinimalFocus('RawData (GH)'!F1887)</f>
        <v>0</v>
      </c>
      <c r="I1887" t="str">
        <f>getMount('RawData (GH)'!G1887)</f>
        <v>Four-Thirds</v>
      </c>
      <c r="J1887" t="str">
        <f>getSensorCompatibility('RawData (GH)'!H1887)</f>
        <v>APS-C</v>
      </c>
      <c r="K1887" s="45">
        <f>getWeightAsDouble('RawData (GH)'!I1887)</f>
        <v>430</v>
      </c>
      <c r="L1887" s="34">
        <f>getSizeDiameter('RawData (GH)'!J1887)</f>
        <v>75</v>
      </c>
      <c r="M1887" s="34">
        <f>getSizeLength('RawData (GH)'!J1887)</f>
        <v>80</v>
      </c>
    </row>
    <row r="1888" spans="1:13" x14ac:dyDescent="0.25">
      <c r="A1888" t="str">
        <f>'RawData (GH)'!A1888</f>
        <v>Walimex Pro 8mm 3.5 Fisheye II für Fujifilm X schwarz</v>
      </c>
      <c r="B1888" s="5">
        <f>getFocalLengthStart('RawData (GH)'!B1888)</f>
        <v>8</v>
      </c>
      <c r="C1888" s="5">
        <f>getFocalLengthEnd('RawData (GH)'!B1888)</f>
        <v>8</v>
      </c>
      <c r="D1888" s="9">
        <f>getApertureStart('RawData (GH)'!C1888)</f>
        <v>3.5</v>
      </c>
      <c r="E1888" s="9">
        <f>getApertureEnd('RawData (GH)'!C1888)</f>
        <v>3.5</v>
      </c>
      <c r="F1888" s="2">
        <f>getFiltersizeAsDouble('RawData (GH)'!D1888)</f>
        <v>0</v>
      </c>
      <c r="G1888" s="35">
        <f>getMagnification('RawData (GH)'!E1888)</f>
        <v>0</v>
      </c>
      <c r="H1888" s="62">
        <f>getMinimalFocus('RawData (GH)'!F1888)</f>
        <v>0</v>
      </c>
      <c r="I1888" t="str">
        <f>getMount('RawData (GH)'!G1888)</f>
        <v>Fujifilm X</v>
      </c>
      <c r="J1888" t="str">
        <f>getSensorCompatibility('RawData (GH)'!H1888)</f>
        <v>APS-C</v>
      </c>
      <c r="K1888" s="45">
        <f>getWeightAsDouble('RawData (GH)'!I1888)</f>
        <v>440</v>
      </c>
      <c r="L1888" s="34">
        <f>getSizeDiameter('RawData (GH)'!J1888)</f>
        <v>75</v>
      </c>
      <c r="M1888" s="34">
        <f>getSizeLength('RawData (GH)'!J1888)</f>
        <v>77.3</v>
      </c>
    </row>
    <row r="1889" spans="1:13" x14ac:dyDescent="0.25">
      <c r="A1889" t="str">
        <f>'RawData (GH)'!A1889</f>
        <v>Walimex Pro 8mm 3.5 Fisheye II für Nikon 1 schwarz</v>
      </c>
      <c r="B1889" s="5">
        <f>getFocalLengthStart('RawData (GH)'!B1889)</f>
        <v>8</v>
      </c>
      <c r="C1889" s="5">
        <f>getFocalLengthEnd('RawData (GH)'!B1889)</f>
        <v>8</v>
      </c>
      <c r="D1889" s="9">
        <f>getApertureStart('RawData (GH)'!C1889)</f>
        <v>3.5</v>
      </c>
      <c r="E1889" s="9">
        <f>getApertureEnd('RawData (GH)'!C1889)</f>
        <v>3.5</v>
      </c>
      <c r="F1889" s="2">
        <f>getFiltersizeAsDouble('RawData (GH)'!D1889)</f>
        <v>0</v>
      </c>
      <c r="G1889" s="35">
        <f>getMagnification('RawData (GH)'!E1889)</f>
        <v>0</v>
      </c>
      <c r="H1889" s="62">
        <f>getMinimalFocus('RawData (GH)'!F1889)</f>
        <v>0</v>
      </c>
      <c r="I1889" t="str">
        <f>getMount('RawData (GH)'!G1889)</f>
        <v>Nikon 1</v>
      </c>
      <c r="J1889" t="str">
        <f>getSensorCompatibility('RawData (GH)'!H1889)</f>
        <v>APS-C</v>
      </c>
      <c r="K1889" s="45">
        <f>getWeightAsDouble('RawData (GH)'!I1889)</f>
        <v>400</v>
      </c>
      <c r="L1889" s="34">
        <f>getSizeDiameter('RawData (GH)'!J1889)</f>
        <v>75</v>
      </c>
      <c r="M1889" s="34">
        <f>getSizeLength('RawData (GH)'!J1889)</f>
        <v>100</v>
      </c>
    </row>
    <row r="1890" spans="1:13" x14ac:dyDescent="0.25">
      <c r="A1890" t="str">
        <f>'RawData (GH)'!A1890</f>
        <v>Walimex Pro 8mm 3.5 Fisheye II für Nikon F schwarz</v>
      </c>
      <c r="B1890" s="5">
        <f>getFocalLengthStart('RawData (GH)'!B1890)</f>
        <v>8</v>
      </c>
      <c r="C1890" s="5">
        <f>getFocalLengthEnd('RawData (GH)'!B1890)</f>
        <v>8</v>
      </c>
      <c r="D1890" s="9">
        <f>getApertureStart('RawData (GH)'!C1890)</f>
        <v>3.5</v>
      </c>
      <c r="E1890" s="9">
        <f>getApertureEnd('RawData (GH)'!C1890)</f>
        <v>3.5</v>
      </c>
      <c r="F1890" s="2">
        <f>getFiltersizeAsDouble('RawData (GH)'!D1890)</f>
        <v>0</v>
      </c>
      <c r="G1890" s="35">
        <f>getMagnification('RawData (GH)'!E1890)</f>
        <v>0</v>
      </c>
      <c r="H1890" s="62">
        <f>getMinimalFocus('RawData (GH)'!F1890)</f>
        <v>0</v>
      </c>
      <c r="I1890" t="str">
        <f>getMount('RawData (GH)'!G1890)</f>
        <v>Nikon F</v>
      </c>
      <c r="J1890" t="str">
        <f>getSensorCompatibility('RawData (GH)'!H1890)</f>
        <v>APS-C</v>
      </c>
      <c r="K1890" s="45">
        <f>getWeightAsDouble('RawData (GH)'!I1890)</f>
        <v>400</v>
      </c>
      <c r="L1890" s="34">
        <f>getSizeDiameter('RawData (GH)'!J1890)</f>
        <v>75</v>
      </c>
      <c r="M1890" s="34">
        <f>getSizeLength('RawData (GH)'!J1890)</f>
        <v>100</v>
      </c>
    </row>
    <row r="1891" spans="1:13" x14ac:dyDescent="0.25">
      <c r="A1891" t="str">
        <f>'RawData (GH)'!A1891</f>
        <v>Walimex Pro 8mm 3.5 Fisheye II für Pentax K schwarz</v>
      </c>
      <c r="B1891" s="5">
        <f>getFocalLengthStart('RawData (GH)'!B1891)</f>
        <v>8</v>
      </c>
      <c r="C1891" s="5">
        <f>getFocalLengthEnd('RawData (GH)'!B1891)</f>
        <v>8</v>
      </c>
      <c r="D1891" s="9">
        <f>getApertureStart('RawData (GH)'!C1891)</f>
        <v>3.5</v>
      </c>
      <c r="E1891" s="9">
        <f>getApertureEnd('RawData (GH)'!C1891)</f>
        <v>3.5</v>
      </c>
      <c r="F1891" s="2">
        <f>getFiltersizeAsDouble('RawData (GH)'!D1891)</f>
        <v>0</v>
      </c>
      <c r="G1891" s="35">
        <f>getMagnification('RawData (GH)'!E1891)</f>
        <v>0</v>
      </c>
      <c r="H1891" s="62">
        <f>getMinimalFocus('RawData (GH)'!F1891)</f>
        <v>0</v>
      </c>
      <c r="I1891" t="str">
        <f>getMount('RawData (GH)'!G1891)</f>
        <v>Pentax K</v>
      </c>
      <c r="J1891" t="str">
        <f>getSensorCompatibility('RawData (GH)'!H1891)</f>
        <v>APS-C</v>
      </c>
      <c r="K1891" s="45">
        <f>getWeightAsDouble('RawData (GH)'!I1891)</f>
        <v>410</v>
      </c>
      <c r="L1891" s="34">
        <f>getSizeDiameter('RawData (GH)'!J1891)</f>
        <v>75</v>
      </c>
      <c r="M1891" s="34">
        <f>getSizeLength('RawData (GH)'!J1891)</f>
        <v>75.8</v>
      </c>
    </row>
    <row r="1892" spans="1:13" x14ac:dyDescent="0.25">
      <c r="A1892" t="str">
        <f>'RawData (GH)'!A1892</f>
        <v>Walimex Pro 8mm 3.5 Fisheye II für Samsung NX schwarz</v>
      </c>
      <c r="B1892" s="5">
        <f>getFocalLengthStart('RawData (GH)'!B1892)</f>
        <v>8</v>
      </c>
      <c r="C1892" s="5">
        <f>getFocalLengthEnd('RawData (GH)'!B1892)</f>
        <v>8</v>
      </c>
      <c r="D1892" s="9">
        <f>getApertureStart('RawData (GH)'!C1892)</f>
        <v>3.5</v>
      </c>
      <c r="E1892" s="9">
        <f>getApertureEnd('RawData (GH)'!C1892)</f>
        <v>3.5</v>
      </c>
      <c r="F1892" s="2">
        <f>getFiltersizeAsDouble('RawData (GH)'!D1892)</f>
        <v>0</v>
      </c>
      <c r="G1892" s="35">
        <f>getMagnification('RawData (GH)'!E1892)</f>
        <v>0</v>
      </c>
      <c r="H1892" s="62">
        <f>getMinimalFocus('RawData (GH)'!F1892)</f>
        <v>0</v>
      </c>
      <c r="I1892" t="str">
        <f>getMount('RawData (GH)'!G1892)</f>
        <v>Samsung NX</v>
      </c>
      <c r="J1892" t="str">
        <f>getSensorCompatibility('RawData (GH)'!H1892)</f>
        <v>APS-C</v>
      </c>
      <c r="K1892" s="45">
        <f>getWeightAsDouble('RawData (GH)'!I1892)</f>
        <v>460</v>
      </c>
      <c r="L1892" s="34">
        <f>getSizeDiameter('RawData (GH)'!J1892)</f>
        <v>75</v>
      </c>
      <c r="M1892" s="34">
        <f>getSizeLength('RawData (GH)'!J1892)</f>
        <v>98.3</v>
      </c>
    </row>
    <row r="1893" spans="1:13" x14ac:dyDescent="0.25">
      <c r="A1893" t="str">
        <f>'RawData (GH)'!A1893</f>
        <v>Walimex Pro 8mm 3.5 Fisheye II für Sony A schwarz</v>
      </c>
      <c r="B1893" s="5">
        <f>getFocalLengthStart('RawData (GH)'!B1893)</f>
        <v>8</v>
      </c>
      <c r="C1893" s="5">
        <f>getFocalLengthEnd('RawData (GH)'!B1893)</f>
        <v>8</v>
      </c>
      <c r="D1893" s="9">
        <f>getApertureStart('RawData (GH)'!C1893)</f>
        <v>3.5</v>
      </c>
      <c r="E1893" s="9">
        <f>getApertureEnd('RawData (GH)'!C1893)</f>
        <v>3.5</v>
      </c>
      <c r="F1893" s="2">
        <f>getFiltersizeAsDouble('RawData (GH)'!D1893)</f>
        <v>0</v>
      </c>
      <c r="G1893" s="35">
        <f>getMagnification('RawData (GH)'!E1893)</f>
        <v>0</v>
      </c>
      <c r="H1893" s="62">
        <f>getMinimalFocus('RawData (GH)'!F1893)</f>
        <v>0</v>
      </c>
      <c r="I1893" t="str">
        <f>getMount('RawData (GH)'!G1893)</f>
        <v>Sony A</v>
      </c>
      <c r="J1893" t="str">
        <f>getSensorCompatibility('RawData (GH)'!H1893)</f>
        <v>APS-C</v>
      </c>
      <c r="K1893" s="45">
        <f>getWeightAsDouble('RawData (GH)'!I1893)</f>
        <v>420</v>
      </c>
      <c r="L1893" s="34">
        <f>getSizeDiameter('RawData (GH)'!J1893)</f>
        <v>75</v>
      </c>
      <c r="M1893" s="34">
        <f>getSizeLength('RawData (GH)'!J1893)</f>
        <v>76.8</v>
      </c>
    </row>
    <row r="1894" spans="1:13" x14ac:dyDescent="0.25">
      <c r="A1894" t="str">
        <f>'RawData (GH)'!A1894</f>
        <v>Walimex Pro 8mm 3.5 Fisheye II für Sony E schwarz</v>
      </c>
      <c r="B1894" s="5">
        <f>getFocalLengthStart('RawData (GH)'!B1894)</f>
        <v>8</v>
      </c>
      <c r="C1894" s="5">
        <f>getFocalLengthEnd('RawData (GH)'!B1894)</f>
        <v>8</v>
      </c>
      <c r="D1894" s="9">
        <f>getApertureStart('RawData (GH)'!C1894)</f>
        <v>3.5</v>
      </c>
      <c r="E1894" s="9">
        <f>getApertureEnd('RawData (GH)'!C1894)</f>
        <v>3.5</v>
      </c>
      <c r="F1894" s="2">
        <f>getFiltersizeAsDouble('RawData (GH)'!D1894)</f>
        <v>0</v>
      </c>
      <c r="G1894" s="35">
        <f>getMagnification('RawData (GH)'!E1894)</f>
        <v>0</v>
      </c>
      <c r="H1894" s="62">
        <f>getMinimalFocus('RawData (GH)'!F1894)</f>
        <v>0</v>
      </c>
      <c r="I1894" t="str">
        <f>getMount('RawData (GH)'!G1894)</f>
        <v>Sony E</v>
      </c>
      <c r="J1894" t="str">
        <f>getSensorCompatibility('RawData (GH)'!H1894)</f>
        <v>APS-C</v>
      </c>
      <c r="K1894" s="45">
        <f>getWeightAsDouble('RawData (GH)'!I1894)</f>
        <v>420</v>
      </c>
      <c r="L1894" s="34">
        <f>getSizeDiameter('RawData (GH)'!J1894)</f>
        <v>75</v>
      </c>
      <c r="M1894" s="34">
        <f>getSizeLength('RawData (GH)'!J1894)</f>
        <v>76.8</v>
      </c>
    </row>
    <row r="1895" spans="1:13" x14ac:dyDescent="0.25">
      <c r="A1895" t="str">
        <f>'RawData (GH)'!A1895</f>
        <v>Walimex Pro 8mm 3.8 Fisheye II VDSLR für Canon EF schwarz</v>
      </c>
      <c r="B1895" s="5">
        <f>getFocalLengthStart('RawData (GH)'!B1895)</f>
        <v>8</v>
      </c>
      <c r="C1895" s="5">
        <f>getFocalLengthEnd('RawData (GH)'!B1895)</f>
        <v>8</v>
      </c>
      <c r="D1895" s="9">
        <f>getApertureStart('RawData (GH)'!C1895)</f>
        <v>3.8</v>
      </c>
      <c r="E1895" s="9">
        <f>getApertureEnd('RawData (GH)'!C1895)</f>
        <v>3.8</v>
      </c>
      <c r="F1895" s="2">
        <f>getFiltersizeAsDouble('RawData (GH)'!D1895)</f>
        <v>0</v>
      </c>
      <c r="G1895" s="35">
        <f>getMagnification('RawData (GH)'!E1895)</f>
        <v>0</v>
      </c>
      <c r="H1895" s="62">
        <f>getMinimalFocus('RawData (GH)'!F1895)</f>
        <v>0</v>
      </c>
      <c r="I1895" t="str">
        <f>getMount('RawData (GH)'!G1895)</f>
        <v>Canon EF</v>
      </c>
      <c r="J1895" t="str">
        <f>getSensorCompatibility('RawData (GH)'!H1895)</f>
        <v>APS-C</v>
      </c>
      <c r="K1895" s="45">
        <f>getWeightAsDouble('RawData (GH)'!I1895)</f>
        <v>420</v>
      </c>
      <c r="L1895" s="34">
        <f>getSizeDiameter('RawData (GH)'!J1895)</f>
        <v>75</v>
      </c>
      <c r="M1895" s="34">
        <f>getSizeLength('RawData (GH)'!J1895)</f>
        <v>77.3</v>
      </c>
    </row>
    <row r="1896" spans="1:13" x14ac:dyDescent="0.25">
      <c r="A1896" t="str">
        <f>'RawData (GH)'!A1896</f>
        <v>Walimex Pro 8mm 3.8 Fisheye II VDSLR für Canon EF-M schwarz</v>
      </c>
      <c r="B1896" s="5">
        <f>getFocalLengthStart('RawData (GH)'!B1896)</f>
        <v>8</v>
      </c>
      <c r="C1896" s="5">
        <f>getFocalLengthEnd('RawData (GH)'!B1896)</f>
        <v>8</v>
      </c>
      <c r="D1896" s="9">
        <f>getApertureStart('RawData (GH)'!C1896)</f>
        <v>3.8</v>
      </c>
      <c r="E1896" s="9">
        <f>getApertureEnd('RawData (GH)'!C1896)</f>
        <v>3.8</v>
      </c>
      <c r="F1896" s="2">
        <f>getFiltersizeAsDouble('RawData (GH)'!D1896)</f>
        <v>0</v>
      </c>
      <c r="G1896" s="35">
        <f>getMagnification('RawData (GH)'!E1896)</f>
        <v>0</v>
      </c>
      <c r="H1896" s="62">
        <f>getMinimalFocus('RawData (GH)'!F1896)</f>
        <v>0</v>
      </c>
      <c r="I1896" t="str">
        <f>getMount('RawData (GH)'!G1896)</f>
        <v>Canon EF-M</v>
      </c>
      <c r="J1896" t="str">
        <f>getSensorCompatibility('RawData (GH)'!H1896)</f>
        <v>APS-C</v>
      </c>
      <c r="K1896" s="45">
        <f>getWeightAsDouble('RawData (GH)'!I1896)</f>
        <v>420</v>
      </c>
      <c r="L1896" s="34">
        <f>getSizeDiameter('RawData (GH)'!J1896)</f>
        <v>75</v>
      </c>
      <c r="M1896" s="34">
        <f>getSizeLength('RawData (GH)'!J1896)</f>
        <v>77.3</v>
      </c>
    </row>
    <row r="1897" spans="1:13" x14ac:dyDescent="0.25">
      <c r="A1897" t="str">
        <f>'RawData (GH)'!A1897</f>
        <v>Walimex Pro 8mm 3.8 Fisheye II VDSLR für Four-Thirds schwarz</v>
      </c>
      <c r="B1897" s="5">
        <f>getFocalLengthStart('RawData (GH)'!B1897)</f>
        <v>8</v>
      </c>
      <c r="C1897" s="5">
        <f>getFocalLengthEnd('RawData (GH)'!B1897)</f>
        <v>8</v>
      </c>
      <c r="D1897" s="9">
        <f>getApertureStart('RawData (GH)'!C1897)</f>
        <v>3.8</v>
      </c>
      <c r="E1897" s="9">
        <f>getApertureEnd('RawData (GH)'!C1897)</f>
        <v>3.8</v>
      </c>
      <c r="F1897" s="2">
        <f>getFiltersizeAsDouble('RawData (GH)'!D1897)</f>
        <v>0</v>
      </c>
      <c r="G1897" s="35">
        <f>getMagnification('RawData (GH)'!E1897)</f>
        <v>0</v>
      </c>
      <c r="H1897" s="62">
        <f>getMinimalFocus('RawData (GH)'!F1897)</f>
        <v>0</v>
      </c>
      <c r="I1897" t="str">
        <f>getMount('RawData (GH)'!G1897)</f>
        <v>Four-Thirds</v>
      </c>
      <c r="J1897" t="str">
        <f>getSensorCompatibility('RawData (GH)'!H1897)</f>
        <v>APS-C</v>
      </c>
      <c r="K1897" s="45">
        <f>getWeightAsDouble('RawData (GH)'!I1897)</f>
        <v>430</v>
      </c>
      <c r="L1897" s="34">
        <f>getSizeDiameter('RawData (GH)'!J1897)</f>
        <v>75</v>
      </c>
      <c r="M1897" s="34">
        <f>getSizeLength('RawData (GH)'!J1897)</f>
        <v>80</v>
      </c>
    </row>
    <row r="1898" spans="1:13" x14ac:dyDescent="0.25">
      <c r="A1898" t="str">
        <f>'RawData (GH)'!A1898</f>
        <v>Walimex Pro 8mm 3.8 Fisheye II VDSLR für Micro-Four-Thirds schwarz</v>
      </c>
      <c r="B1898" s="5">
        <f>getFocalLengthStart('RawData (GH)'!B1898)</f>
        <v>8</v>
      </c>
      <c r="C1898" s="5">
        <f>getFocalLengthEnd('RawData (GH)'!B1898)</f>
        <v>8</v>
      </c>
      <c r="D1898" s="9">
        <f>getApertureStart('RawData (GH)'!C1898)</f>
        <v>3.8</v>
      </c>
      <c r="E1898" s="9">
        <f>getApertureEnd('RawData (GH)'!C1898)</f>
        <v>3.8</v>
      </c>
      <c r="F1898" s="2">
        <f>getFiltersizeAsDouble('RawData (GH)'!D1898)</f>
        <v>0</v>
      </c>
      <c r="G1898" s="35">
        <f>getMagnification('RawData (GH)'!E1898)</f>
        <v>0</v>
      </c>
      <c r="H1898" s="62">
        <f>getMinimalFocus('RawData (GH)'!F1898)</f>
        <v>0</v>
      </c>
      <c r="I1898" t="str">
        <f>getMount('RawData (GH)'!G1898)</f>
        <v>Micro-Four-Thirds</v>
      </c>
      <c r="J1898" t="str">
        <f>getSensorCompatibility('RawData (GH)'!H1898)</f>
        <v>Four-Thirds</v>
      </c>
      <c r="K1898" s="45">
        <f>getWeightAsDouble('RawData (GH)'!I1898)</f>
        <v>430</v>
      </c>
      <c r="L1898" s="34">
        <f>getSizeDiameter('RawData (GH)'!J1898)</f>
        <v>75</v>
      </c>
      <c r="M1898" s="34">
        <f>getSizeLength('RawData (GH)'!J1898)</f>
        <v>80</v>
      </c>
    </row>
    <row r="1899" spans="1:13" x14ac:dyDescent="0.25">
      <c r="A1899" t="str">
        <f>'RawData (GH)'!A1899</f>
        <v>Walimex Pro 8mm 3.8 Fisheye II VDSLR für Nikon 1 schwarz</v>
      </c>
      <c r="B1899" s="5">
        <f>getFocalLengthStart('RawData (GH)'!B1899)</f>
        <v>8</v>
      </c>
      <c r="C1899" s="5">
        <f>getFocalLengthEnd('RawData (GH)'!B1899)</f>
        <v>8</v>
      </c>
      <c r="D1899" s="9">
        <f>getApertureStart('RawData (GH)'!C1899)</f>
        <v>3.8</v>
      </c>
      <c r="E1899" s="9">
        <f>getApertureEnd('RawData (GH)'!C1899)</f>
        <v>3.8</v>
      </c>
      <c r="F1899" s="2">
        <f>getFiltersizeAsDouble('RawData (GH)'!D1899)</f>
        <v>0</v>
      </c>
      <c r="G1899" s="35">
        <f>getMagnification('RawData (GH)'!E1899)</f>
        <v>0</v>
      </c>
      <c r="H1899" s="62">
        <f>getMinimalFocus('RawData (GH)'!F1899)</f>
        <v>0</v>
      </c>
      <c r="I1899" t="str">
        <f>getMount('RawData (GH)'!G1899)</f>
        <v>Nikon 1</v>
      </c>
      <c r="J1899" t="str">
        <f>getSensorCompatibility('RawData (GH)'!H1899)</f>
        <v>APS-C</v>
      </c>
      <c r="K1899" s="45">
        <f>getWeightAsDouble('RawData (GH)'!I1899)</f>
        <v>395</v>
      </c>
      <c r="L1899" s="34">
        <f>getSizeDiameter('RawData (GH)'!J1899)</f>
        <v>75</v>
      </c>
      <c r="M1899" s="34">
        <f>getSizeLength('RawData (GH)'!J1899)</f>
        <v>74.8</v>
      </c>
    </row>
    <row r="1900" spans="1:13" x14ac:dyDescent="0.25">
      <c r="A1900" t="str">
        <f>'RawData (GH)'!A1900</f>
        <v>Walimex Pro 8mm 3.8 Fisheye II VDSLR für Nikon F schwarz</v>
      </c>
      <c r="B1900" s="5">
        <f>getFocalLengthStart('RawData (GH)'!B1900)</f>
        <v>8</v>
      </c>
      <c r="C1900" s="5">
        <f>getFocalLengthEnd('RawData (GH)'!B1900)</f>
        <v>8</v>
      </c>
      <c r="D1900" s="9">
        <f>getApertureStart('RawData (GH)'!C1900)</f>
        <v>3.8</v>
      </c>
      <c r="E1900" s="9">
        <f>getApertureEnd('RawData (GH)'!C1900)</f>
        <v>3.8</v>
      </c>
      <c r="F1900" s="2">
        <f>getFiltersizeAsDouble('RawData (GH)'!D1900)</f>
        <v>0</v>
      </c>
      <c r="G1900" s="35">
        <f>getMagnification('RawData (GH)'!E1900)</f>
        <v>0</v>
      </c>
      <c r="H1900" s="62">
        <f>getMinimalFocus('RawData (GH)'!F1900)</f>
        <v>0</v>
      </c>
      <c r="I1900" t="str">
        <f>getMount('RawData (GH)'!G1900)</f>
        <v>Nikon F</v>
      </c>
      <c r="J1900" t="str">
        <f>getSensorCompatibility('RawData (GH)'!H1900)</f>
        <v>APS-C</v>
      </c>
      <c r="K1900" s="45">
        <f>getWeightAsDouble('RawData (GH)'!I1900)</f>
        <v>395</v>
      </c>
      <c r="L1900" s="34">
        <f>getSizeDiameter('RawData (GH)'!J1900)</f>
        <v>75</v>
      </c>
      <c r="M1900" s="34">
        <f>getSizeLength('RawData (GH)'!J1900)</f>
        <v>74.8</v>
      </c>
    </row>
    <row r="1901" spans="1:13" x14ac:dyDescent="0.25">
      <c r="A1901" t="str">
        <f>'RawData (GH)'!A1901</f>
        <v>Walimex Pro 8mm 3.8 Fisheye II VDSLR für Samsung NX schwarz</v>
      </c>
      <c r="B1901" s="5">
        <f>getFocalLengthStart('RawData (GH)'!B1901)</f>
        <v>8</v>
      </c>
      <c r="C1901" s="5">
        <f>getFocalLengthEnd('RawData (GH)'!B1901)</f>
        <v>8</v>
      </c>
      <c r="D1901" s="9">
        <f>getApertureStart('RawData (GH)'!C1901)</f>
        <v>3.8</v>
      </c>
      <c r="E1901" s="9">
        <f>getApertureEnd('RawData (GH)'!C1901)</f>
        <v>3.8</v>
      </c>
      <c r="F1901" s="2">
        <f>getFiltersizeAsDouble('RawData (GH)'!D1901)</f>
        <v>0</v>
      </c>
      <c r="G1901" s="35">
        <f>getMagnification('RawData (GH)'!E1901)</f>
        <v>0</v>
      </c>
      <c r="H1901" s="62">
        <f>getMinimalFocus('RawData (GH)'!F1901)</f>
        <v>0</v>
      </c>
      <c r="I1901" t="str">
        <f>getMount('RawData (GH)'!G1901)</f>
        <v>Samsung NX</v>
      </c>
      <c r="J1901" t="str">
        <f>getSensorCompatibility('RawData (GH)'!H1901)</f>
        <v>APS-C</v>
      </c>
      <c r="K1901" s="45">
        <f>getWeightAsDouble('RawData (GH)'!I1901)</f>
        <v>440</v>
      </c>
      <c r="L1901" s="34">
        <f>getSizeDiameter('RawData (GH)'!J1901)</f>
        <v>75</v>
      </c>
      <c r="M1901" s="34">
        <f>getSizeLength('RawData (GH)'!J1901)</f>
        <v>98.3</v>
      </c>
    </row>
    <row r="1902" spans="1:13" x14ac:dyDescent="0.25">
      <c r="A1902" t="str">
        <f>'RawData (GH)'!A1902</f>
        <v>Walimex Pro 8mm 3.8 Fisheye II VDSLR für Sony A schwarz</v>
      </c>
      <c r="B1902" s="5">
        <f>getFocalLengthStart('RawData (GH)'!B1902)</f>
        <v>8</v>
      </c>
      <c r="C1902" s="5">
        <f>getFocalLengthEnd('RawData (GH)'!B1902)</f>
        <v>8</v>
      </c>
      <c r="D1902" s="9">
        <f>getApertureStart('RawData (GH)'!C1902)</f>
        <v>3.8</v>
      </c>
      <c r="E1902" s="9">
        <f>getApertureEnd('RawData (GH)'!C1902)</f>
        <v>3.8</v>
      </c>
      <c r="F1902" s="2">
        <f>getFiltersizeAsDouble('RawData (GH)'!D1902)</f>
        <v>0</v>
      </c>
      <c r="G1902" s="35">
        <f>getMagnification('RawData (GH)'!E1902)</f>
        <v>0</v>
      </c>
      <c r="H1902" s="62">
        <f>getMinimalFocus('RawData (GH)'!F1902)</f>
        <v>0</v>
      </c>
      <c r="I1902" t="str">
        <f>getMount('RawData (GH)'!G1902)</f>
        <v>Sony A</v>
      </c>
      <c r="J1902" t="str">
        <f>getSensorCompatibility('RawData (GH)'!H1902)</f>
        <v>APS-C</v>
      </c>
      <c r="K1902" s="45">
        <f>getWeightAsDouble('RawData (GH)'!I1902)</f>
        <v>410</v>
      </c>
      <c r="L1902" s="34">
        <f>getSizeDiameter('RawData (GH)'!J1902)</f>
        <v>75</v>
      </c>
      <c r="M1902" s="34">
        <f>getSizeLength('RawData (GH)'!J1902)</f>
        <v>76.8</v>
      </c>
    </row>
    <row r="1903" spans="1:13" x14ac:dyDescent="0.25">
      <c r="A1903" t="str">
        <f>'RawData (GH)'!A1903</f>
        <v>Walimex Pro 8mm 3.8 Fisheye VDSLR für Canon EF schwarz</v>
      </c>
      <c r="B1903" s="5">
        <f>getFocalLengthStart('RawData (GH)'!B1903)</f>
        <v>8</v>
      </c>
      <c r="C1903" s="5">
        <f>getFocalLengthEnd('RawData (GH)'!B1903)</f>
        <v>8</v>
      </c>
      <c r="D1903" s="9">
        <f>getApertureStart('RawData (GH)'!C1903)</f>
        <v>3.8</v>
      </c>
      <c r="E1903" s="9">
        <f>getApertureEnd('RawData (GH)'!C1903)</f>
        <v>3.8</v>
      </c>
      <c r="F1903" s="2">
        <f>getFiltersizeAsDouble('RawData (GH)'!D1903)</f>
        <v>0</v>
      </c>
      <c r="G1903" s="35">
        <f>getMagnification('RawData (GH)'!E1903)</f>
        <v>0</v>
      </c>
      <c r="H1903" s="62">
        <f>getMinimalFocus('RawData (GH)'!F1903)</f>
        <v>0</v>
      </c>
      <c r="I1903" t="str">
        <f>getMount('RawData (GH)'!G1903)</f>
        <v>Canon EF</v>
      </c>
      <c r="J1903" t="str">
        <f>getSensorCompatibility('RawData (GH)'!H1903)</f>
        <v>APS-C</v>
      </c>
      <c r="K1903" s="45">
        <f>getWeightAsDouble('RawData (GH)'!I1903)</f>
        <v>420</v>
      </c>
      <c r="L1903" s="34">
        <f>getSizeDiameter('RawData (GH)'!J1903)</f>
        <v>75</v>
      </c>
      <c r="M1903" s="34">
        <f>getSizeLength('RawData (GH)'!J1903)</f>
        <v>77.3</v>
      </c>
    </row>
    <row r="1904" spans="1:13" x14ac:dyDescent="0.25">
      <c r="A1904" t="str">
        <f>'RawData (GH)'!A1904</f>
        <v>Walimex Pro 8mm 3.8 Fisheye VDSLR für Four-Thirds schwarz</v>
      </c>
      <c r="B1904" s="5">
        <f>getFocalLengthStart('RawData (GH)'!B1904)</f>
        <v>8</v>
      </c>
      <c r="C1904" s="5">
        <f>getFocalLengthEnd('RawData (GH)'!B1904)</f>
        <v>8</v>
      </c>
      <c r="D1904" s="9">
        <f>getApertureStart('RawData (GH)'!C1904)</f>
        <v>3.8</v>
      </c>
      <c r="E1904" s="9">
        <f>getApertureEnd('RawData (GH)'!C1904)</f>
        <v>3.8</v>
      </c>
      <c r="F1904" s="2">
        <f>getFiltersizeAsDouble('RawData (GH)'!D1904)</f>
        <v>0</v>
      </c>
      <c r="G1904" s="35">
        <f>getMagnification('RawData (GH)'!E1904)</f>
        <v>0</v>
      </c>
      <c r="H1904" s="62">
        <f>getMinimalFocus('RawData (GH)'!F1904)</f>
        <v>0</v>
      </c>
      <c r="I1904" t="str">
        <f>getMount('RawData (GH)'!G1904)</f>
        <v>Four-Thirds</v>
      </c>
      <c r="J1904" t="str">
        <f>getSensorCompatibility('RawData (GH)'!H1904)</f>
        <v>APS-C</v>
      </c>
      <c r="K1904" s="45">
        <f>getWeightAsDouble('RawData (GH)'!I1904)</f>
        <v>430</v>
      </c>
      <c r="L1904" s="34">
        <f>getSizeDiameter('RawData (GH)'!J1904)</f>
        <v>75</v>
      </c>
      <c r="M1904" s="34">
        <f>getSizeLength('RawData (GH)'!J1904)</f>
        <v>80</v>
      </c>
    </row>
    <row r="1905" spans="1:13" x14ac:dyDescent="0.25">
      <c r="A1905" t="str">
        <f>'RawData (GH)'!A1905</f>
        <v>Walimex Pro 8mm 3.8 Fisheye VDSLR für Nikon F schwarz</v>
      </c>
      <c r="B1905" s="5">
        <f>getFocalLengthStart('RawData (GH)'!B1905)</f>
        <v>8</v>
      </c>
      <c r="C1905" s="5">
        <f>getFocalLengthEnd('RawData (GH)'!B1905)</f>
        <v>8</v>
      </c>
      <c r="D1905" s="9">
        <f>getApertureStart('RawData (GH)'!C1905)</f>
        <v>3.8</v>
      </c>
      <c r="E1905" s="9">
        <f>getApertureEnd('RawData (GH)'!C1905)</f>
        <v>3.8</v>
      </c>
      <c r="F1905" s="2">
        <f>getFiltersizeAsDouble('RawData (GH)'!D1905)</f>
        <v>0</v>
      </c>
      <c r="G1905" s="35">
        <f>getMagnification('RawData (GH)'!E1905)</f>
        <v>0</v>
      </c>
      <c r="H1905" s="62">
        <f>getMinimalFocus('RawData (GH)'!F1905)</f>
        <v>0</v>
      </c>
      <c r="I1905" t="str">
        <f>getMount('RawData (GH)'!G1905)</f>
        <v>Nikon F</v>
      </c>
      <c r="J1905" t="str">
        <f>getSensorCompatibility('RawData (GH)'!H1905)</f>
        <v>APS-C</v>
      </c>
      <c r="K1905" s="45">
        <f>getWeightAsDouble('RawData (GH)'!I1905)</f>
        <v>395</v>
      </c>
      <c r="L1905" s="34">
        <f>getSizeDiameter('RawData (GH)'!J1905)</f>
        <v>75</v>
      </c>
      <c r="M1905" s="34">
        <f>getSizeLength('RawData (GH)'!J1905)</f>
        <v>74.8</v>
      </c>
    </row>
    <row r="1906" spans="1:13" x14ac:dyDescent="0.25">
      <c r="A1906" t="str">
        <f>'RawData (GH)'!A1906</f>
        <v>Walimex Pro 8mm 3.8 Fisheye VDSLR für Sony A schwarz</v>
      </c>
      <c r="B1906" s="5">
        <f>getFocalLengthStart('RawData (GH)'!B1906)</f>
        <v>8</v>
      </c>
      <c r="C1906" s="5">
        <f>getFocalLengthEnd('RawData (GH)'!B1906)</f>
        <v>8</v>
      </c>
      <c r="D1906" s="9">
        <f>getApertureStart('RawData (GH)'!C1906)</f>
        <v>3.8</v>
      </c>
      <c r="E1906" s="9">
        <f>getApertureEnd('RawData (GH)'!C1906)</f>
        <v>3.8</v>
      </c>
      <c r="F1906" s="2">
        <f>getFiltersizeAsDouble('RawData (GH)'!D1906)</f>
        <v>0</v>
      </c>
      <c r="G1906" s="35">
        <f>getMagnification('RawData (GH)'!E1906)</f>
        <v>0</v>
      </c>
      <c r="H1906" s="62">
        <f>getMinimalFocus('RawData (GH)'!F1906)</f>
        <v>0</v>
      </c>
      <c r="I1906" t="str">
        <f>getMount('RawData (GH)'!G1906)</f>
        <v>Sony A</v>
      </c>
      <c r="J1906" t="str">
        <f>getSensorCompatibility('RawData (GH)'!H1906)</f>
        <v>APS-C</v>
      </c>
      <c r="K1906" s="45">
        <f>getWeightAsDouble('RawData (GH)'!I1906)</f>
        <v>410</v>
      </c>
      <c r="L1906" s="34">
        <f>getSizeDiameter('RawData (GH)'!J1906)</f>
        <v>75</v>
      </c>
      <c r="M1906" s="34">
        <f>getSizeLength('RawData (GH)'!J1906)</f>
        <v>76.8</v>
      </c>
    </row>
    <row r="1907" spans="1:13" x14ac:dyDescent="0.25">
      <c r="A1907" t="str">
        <f>'RawData (GH)'!A1907</f>
        <v>Walimex Pro Set All Star für Canon EF schwarz</v>
      </c>
      <c r="B1907" s="5">
        <f>getFocalLengthStart('RawData (GH)'!B1907)</f>
        <v>0</v>
      </c>
      <c r="C1907" s="5">
        <f>getFocalLengthEnd('RawData (GH)'!B1907)</f>
        <v>0</v>
      </c>
      <c r="D1907" s="9">
        <f>getApertureStart('RawData (GH)'!C1907)</f>
        <v>0</v>
      </c>
      <c r="E1907" s="9">
        <f>getApertureEnd('RawData (GH)'!C1907)</f>
        <v>0</v>
      </c>
      <c r="F1907" s="2">
        <f>getFiltersizeAsDouble('RawData (GH)'!D1907)</f>
        <v>0</v>
      </c>
      <c r="G1907" s="35">
        <f>getMagnification('RawData (GH)'!E1907)</f>
        <v>0</v>
      </c>
      <c r="H1907" s="62">
        <f>getMinimalFocus('RawData (GH)'!F1907)</f>
        <v>0</v>
      </c>
      <c r="I1907" t="str">
        <f>getMount('RawData (GH)'!G1907)</f>
        <v>Canon EF</v>
      </c>
      <c r="J1907" t="str">
        <f>getSensorCompatibility('RawData (GH)'!H1907)</f>
        <v>Unknown</v>
      </c>
      <c r="K1907" s="45">
        <f>getWeightAsDouble('RawData (GH)'!I1907)</f>
        <v>0</v>
      </c>
      <c r="L1907" s="34">
        <f>getSizeDiameter('RawData (GH)'!J1907)</f>
        <v>0</v>
      </c>
      <c r="M1907" s="34">
        <f>getSizeLength('RawData (GH)'!J1907)</f>
        <v>0</v>
      </c>
    </row>
    <row r="1908" spans="1:13" x14ac:dyDescent="0.25">
      <c r="A1908" t="str">
        <f>'RawData (GH)'!A1908</f>
        <v>Walimex Pro Set All Star für Nikon F schwarz</v>
      </c>
      <c r="B1908" s="5">
        <f>getFocalLengthStart('RawData (GH)'!B1908)</f>
        <v>0</v>
      </c>
      <c r="C1908" s="5">
        <f>getFocalLengthEnd('RawData (GH)'!B1908)</f>
        <v>0</v>
      </c>
      <c r="D1908" s="9">
        <f>getApertureStart('RawData (GH)'!C1908)</f>
        <v>0</v>
      </c>
      <c r="E1908" s="9">
        <f>getApertureEnd('RawData (GH)'!C1908)</f>
        <v>0</v>
      </c>
      <c r="F1908" s="2">
        <f>getFiltersizeAsDouble('RawData (GH)'!D1908)</f>
        <v>0</v>
      </c>
      <c r="G1908" s="35">
        <f>getMagnification('RawData (GH)'!E1908)</f>
        <v>0</v>
      </c>
      <c r="H1908" s="62">
        <f>getMinimalFocus('RawData (GH)'!F1908)</f>
        <v>0</v>
      </c>
      <c r="I1908" t="str">
        <f>getMount('RawData (GH)'!G1908)</f>
        <v>Nikon F</v>
      </c>
      <c r="J1908" t="str">
        <f>getSensorCompatibility('RawData (GH)'!H1908)</f>
        <v>Unknown</v>
      </c>
      <c r="K1908" s="45">
        <f>getWeightAsDouble('RawData (GH)'!I1908)</f>
        <v>0</v>
      </c>
      <c r="L1908" s="34">
        <f>getSizeDiameter('RawData (GH)'!J1908)</f>
        <v>0</v>
      </c>
      <c r="M1908" s="34">
        <f>getSizeLength('RawData (GH)'!J1908)</f>
        <v>0</v>
      </c>
    </row>
    <row r="1909" spans="1:13" x14ac:dyDescent="0.25">
      <c r="A1909" t="str">
        <f>'RawData (GH)'!A1909</f>
        <v>Walimex Pro Set All Star II für Nikon F schwarz (18846)</v>
      </c>
      <c r="B1909" s="5">
        <f>getFocalLengthStart('RawData (GH)'!B1909)</f>
        <v>0</v>
      </c>
      <c r="C1909" s="5">
        <f>getFocalLengthEnd('RawData (GH)'!B1909)</f>
        <v>0</v>
      </c>
      <c r="D1909" s="9">
        <f>getApertureStart('RawData (GH)'!C1909)</f>
        <v>0</v>
      </c>
      <c r="E1909" s="9">
        <f>getApertureEnd('RawData (GH)'!C1909)</f>
        <v>0</v>
      </c>
      <c r="F1909" s="2">
        <f>getFiltersizeAsDouble('RawData (GH)'!D1909)</f>
        <v>0</v>
      </c>
      <c r="G1909" s="35">
        <f>getMagnification('RawData (GH)'!E1909)</f>
        <v>0</v>
      </c>
      <c r="H1909" s="62">
        <f>getMinimalFocus('RawData (GH)'!F1909)</f>
        <v>0</v>
      </c>
      <c r="I1909" t="str">
        <f>getMount('RawData (GH)'!G1909)</f>
        <v>Nikon F</v>
      </c>
      <c r="J1909" t="str">
        <f>getSensorCompatibility('RawData (GH)'!H1909)</f>
        <v>Unknown</v>
      </c>
      <c r="K1909" s="45">
        <f>getWeightAsDouble('RawData (GH)'!I1909)</f>
        <v>0</v>
      </c>
      <c r="L1909" s="34">
        <f>getSizeDiameter('RawData (GH)'!J1909)</f>
        <v>0</v>
      </c>
      <c r="M1909" s="34">
        <f>getSizeLength('RawData (GH)'!J1909)</f>
        <v>0</v>
      </c>
    </row>
    <row r="1910" spans="1:13" x14ac:dyDescent="0.25">
      <c r="A1910" t="str">
        <f>'RawData (GH)'!A1910</f>
        <v>Walimex Pro Set All Star II für Nikon F schwarz (19912)</v>
      </c>
      <c r="B1910" s="5">
        <f>getFocalLengthStart('RawData (GH)'!B1910)</f>
        <v>0</v>
      </c>
      <c r="C1910" s="5">
        <f>getFocalLengthEnd('RawData (GH)'!B1910)</f>
        <v>0</v>
      </c>
      <c r="D1910" s="9">
        <f>getApertureStart('RawData (GH)'!C1910)</f>
        <v>0</v>
      </c>
      <c r="E1910" s="9">
        <f>getApertureEnd('RawData (GH)'!C1910)</f>
        <v>0</v>
      </c>
      <c r="F1910" s="2">
        <f>getFiltersizeAsDouble('RawData (GH)'!D1910)</f>
        <v>0</v>
      </c>
      <c r="G1910" s="35">
        <f>getMagnification('RawData (GH)'!E1910)</f>
        <v>0</v>
      </c>
      <c r="H1910" s="62">
        <f>getMinimalFocus('RawData (GH)'!F1910)</f>
        <v>0</v>
      </c>
      <c r="I1910" t="str">
        <f>getMount('RawData (GH)'!G1910)</f>
        <v>Nikon F</v>
      </c>
      <c r="J1910" t="str">
        <f>getSensorCompatibility('RawData (GH)'!H1910)</f>
        <v>Unknown</v>
      </c>
      <c r="K1910" s="45">
        <f>getWeightAsDouble('RawData (GH)'!I1910)</f>
        <v>0</v>
      </c>
      <c r="L1910" s="34">
        <f>getSizeDiameter('RawData (GH)'!J1910)</f>
        <v>0</v>
      </c>
      <c r="M1910" s="34">
        <f>getSizeLength('RawData (GH)'!J1910)</f>
        <v>0</v>
      </c>
    </row>
    <row r="1911" spans="1:13" x14ac:dyDescent="0.25">
      <c r="A1911" t="str">
        <f>'RawData (GH)'!A1911</f>
        <v>Walimex Pro Set für Canon EF schwarz</v>
      </c>
      <c r="B1911" s="5">
        <f>getFocalLengthStart('RawData (GH)'!B1911)</f>
        <v>0</v>
      </c>
      <c r="C1911" s="5">
        <f>getFocalLengthEnd('RawData (GH)'!B1911)</f>
        <v>0</v>
      </c>
      <c r="D1911" s="9">
        <f>getApertureStart('RawData (GH)'!C1911)</f>
        <v>0</v>
      </c>
      <c r="E1911" s="9">
        <f>getApertureEnd('RawData (GH)'!C1911)</f>
        <v>0</v>
      </c>
      <c r="F1911" s="2">
        <f>getFiltersizeAsDouble('RawData (GH)'!D1911)</f>
        <v>0</v>
      </c>
      <c r="G1911" s="35">
        <f>getMagnification('RawData (GH)'!E1911)</f>
        <v>0</v>
      </c>
      <c r="H1911" s="62">
        <f>getMinimalFocus('RawData (GH)'!F1911)</f>
        <v>0</v>
      </c>
      <c r="I1911" t="str">
        <f>getMount('RawData (GH)'!G1911)</f>
        <v>Canon EF</v>
      </c>
      <c r="J1911" t="str">
        <f>getSensorCompatibility('RawData (GH)'!H1911)</f>
        <v>Unknown</v>
      </c>
      <c r="K1911" s="45">
        <f>getWeightAsDouble('RawData (GH)'!I1911)</f>
        <v>0</v>
      </c>
      <c r="L1911" s="34">
        <f>getSizeDiameter('RawData (GH)'!J1911)</f>
        <v>0</v>
      </c>
      <c r="M1911" s="34">
        <f>getSizeLength('RawData (GH)'!J1911)</f>
        <v>0</v>
      </c>
    </row>
    <row r="1912" spans="1:13" x14ac:dyDescent="0.25">
      <c r="A1912" t="str">
        <f>'RawData (GH)'!A1912</f>
        <v>Walimex Pro Set für Nikon F schwarz (18261)</v>
      </c>
      <c r="B1912" s="5">
        <f>getFocalLengthStart('RawData (GH)'!B1912)</f>
        <v>0</v>
      </c>
      <c r="C1912" s="5">
        <f>getFocalLengthEnd('RawData (GH)'!B1912)</f>
        <v>0</v>
      </c>
      <c r="D1912" s="9">
        <f>getApertureStart('RawData (GH)'!C1912)</f>
        <v>0</v>
      </c>
      <c r="E1912" s="9">
        <f>getApertureEnd('RawData (GH)'!C1912)</f>
        <v>0</v>
      </c>
      <c r="F1912" s="2">
        <f>getFiltersizeAsDouble('RawData (GH)'!D1912)</f>
        <v>0</v>
      </c>
      <c r="G1912" s="35">
        <f>getMagnification('RawData (GH)'!E1912)</f>
        <v>0</v>
      </c>
      <c r="H1912" s="62">
        <f>getMinimalFocus('RawData (GH)'!F1912)</f>
        <v>0</v>
      </c>
      <c r="I1912" t="str">
        <f>getMount('RawData (GH)'!G1912)</f>
        <v>Nikon F</v>
      </c>
      <c r="J1912" t="str">
        <f>getSensorCompatibility('RawData (GH)'!H1912)</f>
        <v>Unknown</v>
      </c>
      <c r="K1912" s="45">
        <f>getWeightAsDouble('RawData (GH)'!I1912)</f>
        <v>0</v>
      </c>
      <c r="L1912" s="34">
        <f>getSizeDiameter('RawData (GH)'!J1912)</f>
        <v>0</v>
      </c>
      <c r="M1912" s="34">
        <f>getSizeLength('RawData (GH)'!J1912)</f>
        <v>0</v>
      </c>
    </row>
    <row r="1913" spans="1:13" x14ac:dyDescent="0.25">
      <c r="A1913" t="str">
        <f>'RawData (GH)'!A1913</f>
        <v>Walimex Pro Set für Nikon F schwarz (19908)</v>
      </c>
      <c r="B1913" s="5">
        <f>getFocalLengthStart('RawData (GH)'!B1913)</f>
        <v>0</v>
      </c>
      <c r="C1913" s="5">
        <f>getFocalLengthEnd('RawData (GH)'!B1913)</f>
        <v>0</v>
      </c>
      <c r="D1913" s="9">
        <f>getApertureStart('RawData (GH)'!C1913)</f>
        <v>0</v>
      </c>
      <c r="E1913" s="9">
        <f>getApertureEnd('RawData (GH)'!C1913)</f>
        <v>0</v>
      </c>
      <c r="F1913" s="2">
        <f>getFiltersizeAsDouble('RawData (GH)'!D1913)</f>
        <v>0</v>
      </c>
      <c r="G1913" s="35">
        <f>getMagnification('RawData (GH)'!E1913)</f>
        <v>0</v>
      </c>
      <c r="H1913" s="62">
        <f>getMinimalFocus('RawData (GH)'!F1913)</f>
        <v>0</v>
      </c>
      <c r="I1913" t="str">
        <f>getMount('RawData (GH)'!G1913)</f>
        <v>Nikon F</v>
      </c>
      <c r="J1913" t="str">
        <f>getSensorCompatibility('RawData (GH)'!H1913)</f>
        <v>Unknown</v>
      </c>
      <c r="K1913" s="45">
        <f>getWeightAsDouble('RawData (GH)'!I1913)</f>
        <v>0</v>
      </c>
      <c r="L1913" s="34">
        <f>getSizeDiameter('RawData (GH)'!J1913)</f>
        <v>0</v>
      </c>
      <c r="M1913" s="34">
        <f>getSizeLength('RawData (GH)'!J1913)</f>
        <v>0</v>
      </c>
    </row>
    <row r="1914" spans="1:13" x14ac:dyDescent="0.25">
      <c r="A1914" t="str">
        <f>'RawData (GH)'!A1914</f>
        <v>Walimex Pro Set VDSLR All Star für Canon EF schwarz</v>
      </c>
      <c r="B1914" s="5">
        <f>getFocalLengthStart('RawData (GH)'!B1914)</f>
        <v>0</v>
      </c>
      <c r="C1914" s="5">
        <f>getFocalLengthEnd('RawData (GH)'!B1914)</f>
        <v>0</v>
      </c>
      <c r="D1914" s="9">
        <f>getApertureStart('RawData (GH)'!C1914)</f>
        <v>0</v>
      </c>
      <c r="E1914" s="9">
        <f>getApertureEnd('RawData (GH)'!C1914)</f>
        <v>0</v>
      </c>
      <c r="F1914" s="2">
        <f>getFiltersizeAsDouble('RawData (GH)'!D1914)</f>
        <v>0</v>
      </c>
      <c r="G1914" s="35">
        <f>getMagnification('RawData (GH)'!E1914)</f>
        <v>0</v>
      </c>
      <c r="H1914" s="62">
        <f>getMinimalFocus('RawData (GH)'!F1914)</f>
        <v>0</v>
      </c>
      <c r="I1914" t="str">
        <f>getMount('RawData (GH)'!G1914)</f>
        <v>Canon EF</v>
      </c>
      <c r="J1914" t="str">
        <f>getSensorCompatibility('RawData (GH)'!H1914)</f>
        <v>Unknown</v>
      </c>
      <c r="K1914" s="45">
        <f>getWeightAsDouble('RawData (GH)'!I1914)</f>
        <v>0</v>
      </c>
      <c r="L1914" s="34">
        <f>getSizeDiameter('RawData (GH)'!J1914)</f>
        <v>0</v>
      </c>
      <c r="M1914" s="34">
        <f>getSizeLength('RawData (GH)'!J1914)</f>
        <v>0</v>
      </c>
    </row>
    <row r="1915" spans="1:13" x14ac:dyDescent="0.25">
      <c r="A1915" t="str">
        <f>'RawData (GH)'!A1915</f>
        <v>Walimex Pro Set VDSLR All Star für Nikon F schwarz</v>
      </c>
      <c r="B1915" s="5">
        <f>getFocalLengthStart('RawData (GH)'!B1915)</f>
        <v>0</v>
      </c>
      <c r="C1915" s="5">
        <f>getFocalLengthEnd('RawData (GH)'!B1915)</f>
        <v>0</v>
      </c>
      <c r="D1915" s="9">
        <f>getApertureStart('RawData (GH)'!C1915)</f>
        <v>0</v>
      </c>
      <c r="E1915" s="9">
        <f>getApertureEnd('RawData (GH)'!C1915)</f>
        <v>0</v>
      </c>
      <c r="F1915" s="2">
        <f>getFiltersizeAsDouble('RawData (GH)'!D1915)</f>
        <v>0</v>
      </c>
      <c r="G1915" s="35">
        <f>getMagnification('RawData (GH)'!E1915)</f>
        <v>0</v>
      </c>
      <c r="H1915" s="62">
        <f>getMinimalFocus('RawData (GH)'!F1915)</f>
        <v>0</v>
      </c>
      <c r="I1915" t="str">
        <f>getMount('RawData (GH)'!G1915)</f>
        <v>Nikon F</v>
      </c>
      <c r="J1915" t="str">
        <f>getSensorCompatibility('RawData (GH)'!H1915)</f>
        <v>Unknown</v>
      </c>
      <c r="K1915" s="45">
        <f>getWeightAsDouble('RawData (GH)'!I1915)</f>
        <v>0</v>
      </c>
      <c r="L1915" s="34">
        <f>getSizeDiameter('RawData (GH)'!J1915)</f>
        <v>0</v>
      </c>
      <c r="M1915" s="34">
        <f>getSizeLength('RawData (GH)'!J1915)</f>
        <v>0</v>
      </c>
    </row>
    <row r="1916" spans="1:13" x14ac:dyDescent="0.25">
      <c r="A1916" t="str">
        <f>'RawData (GH)'!A1916</f>
        <v>Walimex Pro Set VDSLR All Star für Sony A schwarz</v>
      </c>
      <c r="B1916" s="5">
        <f>getFocalLengthStart('RawData (GH)'!B1916)</f>
        <v>0</v>
      </c>
      <c r="C1916" s="5">
        <f>getFocalLengthEnd('RawData (GH)'!B1916)</f>
        <v>0</v>
      </c>
      <c r="D1916" s="9">
        <f>getApertureStart('RawData (GH)'!C1916)</f>
        <v>0</v>
      </c>
      <c r="E1916" s="9">
        <f>getApertureEnd('RawData (GH)'!C1916)</f>
        <v>0</v>
      </c>
      <c r="F1916" s="2">
        <f>getFiltersizeAsDouble('RawData (GH)'!D1916)</f>
        <v>0</v>
      </c>
      <c r="G1916" s="35">
        <f>getMagnification('RawData (GH)'!E1916)</f>
        <v>0</v>
      </c>
      <c r="H1916" s="62">
        <f>getMinimalFocus('RawData (GH)'!F1916)</f>
        <v>0</v>
      </c>
      <c r="I1916" t="str">
        <f>getMount('RawData (GH)'!G1916)</f>
        <v>Sony A</v>
      </c>
      <c r="J1916" t="str">
        <f>getSensorCompatibility('RawData (GH)'!H1916)</f>
        <v>Unknown</v>
      </c>
      <c r="K1916" s="45">
        <f>getWeightAsDouble('RawData (GH)'!I1916)</f>
        <v>0</v>
      </c>
      <c r="L1916" s="34">
        <f>getSizeDiameter('RawData (GH)'!J1916)</f>
        <v>0</v>
      </c>
      <c r="M1916" s="34">
        <f>getSizeLength('RawData (GH)'!J1916)</f>
        <v>0</v>
      </c>
    </row>
    <row r="1917" spans="1:13" x14ac:dyDescent="0.25">
      <c r="A1917" t="str">
        <f>'RawData (GH)'!A1917</f>
        <v>Walimex Pro Set VDSLR All Star für Sony E schwarz</v>
      </c>
      <c r="B1917" s="5">
        <f>getFocalLengthStart('RawData (GH)'!B1917)</f>
        <v>0</v>
      </c>
      <c r="C1917" s="5">
        <f>getFocalLengthEnd('RawData (GH)'!B1917)</f>
        <v>0</v>
      </c>
      <c r="D1917" s="9">
        <f>getApertureStart('RawData (GH)'!C1917)</f>
        <v>0</v>
      </c>
      <c r="E1917" s="9">
        <f>getApertureEnd('RawData (GH)'!C1917)</f>
        <v>0</v>
      </c>
      <c r="F1917" s="2">
        <f>getFiltersizeAsDouble('RawData (GH)'!D1917)</f>
        <v>0</v>
      </c>
      <c r="G1917" s="35">
        <f>getMagnification('RawData (GH)'!E1917)</f>
        <v>0</v>
      </c>
      <c r="H1917" s="62">
        <f>getMinimalFocus('RawData (GH)'!F1917)</f>
        <v>0</v>
      </c>
      <c r="I1917" t="str">
        <f>getMount('RawData (GH)'!G1917)</f>
        <v>Sony E</v>
      </c>
      <c r="J1917" t="str">
        <f>getSensorCompatibility('RawData (GH)'!H1917)</f>
        <v>Unknown</v>
      </c>
      <c r="K1917" s="45">
        <f>getWeightAsDouble('RawData (GH)'!I1917)</f>
        <v>0</v>
      </c>
      <c r="L1917" s="34">
        <f>getSizeDiameter('RawData (GH)'!J1917)</f>
        <v>0</v>
      </c>
      <c r="M1917" s="34">
        <f>getSizeLength('RawData (GH)'!J1917)</f>
        <v>0</v>
      </c>
    </row>
    <row r="1918" spans="1:13" x14ac:dyDescent="0.25">
      <c r="A1918" t="str">
        <f>'RawData (GH)'!A1918</f>
        <v>Walimex Pro T-S 24mm 3.5 CSC für Canon EF-M schwarz</v>
      </c>
      <c r="B1918" s="5">
        <f>getFocalLengthStart('RawData (GH)'!B1918)</f>
        <v>24</v>
      </c>
      <c r="C1918" s="5">
        <f>getFocalLengthEnd('RawData (GH)'!B1918)</f>
        <v>24</v>
      </c>
      <c r="D1918" s="9">
        <f>getApertureStart('RawData (GH)'!C1918)</f>
        <v>3.5</v>
      </c>
      <c r="E1918" s="9">
        <f>getApertureEnd('RawData (GH)'!C1918)</f>
        <v>3.5</v>
      </c>
      <c r="F1918" s="2">
        <f>getFiltersizeAsDouble('RawData (GH)'!D1918)</f>
        <v>82</v>
      </c>
      <c r="G1918" s="35">
        <f>getMagnification('RawData (GH)'!E1918)</f>
        <v>0</v>
      </c>
      <c r="H1918" s="62">
        <f>getMinimalFocus('RawData (GH)'!F1918)</f>
        <v>0</v>
      </c>
      <c r="I1918" t="str">
        <f>getMount('RawData (GH)'!G1918)</f>
        <v>Canon EF-M</v>
      </c>
      <c r="J1918" t="str">
        <f>getSensorCompatibility('RawData (GH)'!H1918)</f>
        <v>APS-C</v>
      </c>
      <c r="K1918" s="45">
        <f>getWeightAsDouble('RawData (GH)'!I1918)</f>
        <v>737</v>
      </c>
      <c r="L1918" s="34">
        <f>getSizeDiameter('RawData (GH)'!J1918)</f>
        <v>86</v>
      </c>
      <c r="M1918" s="34">
        <f>getSizeLength('RawData (GH)'!J1918)</f>
        <v>136</v>
      </c>
    </row>
    <row r="1919" spans="1:13" x14ac:dyDescent="0.25">
      <c r="A1919" t="str">
        <f>'RawData (GH)'!A1919</f>
        <v>Walimex Pro T-S 24mm 3.5 CSC für Fujifilm X schwarz</v>
      </c>
      <c r="B1919" s="5">
        <f>getFocalLengthStart('RawData (GH)'!B1919)</f>
        <v>24</v>
      </c>
      <c r="C1919" s="5">
        <f>getFocalLengthEnd('RawData (GH)'!B1919)</f>
        <v>24</v>
      </c>
      <c r="D1919" s="9">
        <f>getApertureStart('RawData (GH)'!C1919)</f>
        <v>3.5</v>
      </c>
      <c r="E1919" s="9">
        <f>getApertureEnd('RawData (GH)'!C1919)</f>
        <v>3.5</v>
      </c>
      <c r="F1919" s="2">
        <f>getFiltersizeAsDouble('RawData (GH)'!D1919)</f>
        <v>82</v>
      </c>
      <c r="G1919" s="35">
        <f>getMagnification('RawData (GH)'!E1919)</f>
        <v>0</v>
      </c>
      <c r="H1919" s="62">
        <f>getMinimalFocus('RawData (GH)'!F1919)</f>
        <v>0</v>
      </c>
      <c r="I1919" t="str">
        <f>getMount('RawData (GH)'!G1919)</f>
        <v>Fujifilm X</v>
      </c>
      <c r="J1919" t="str">
        <f>getSensorCompatibility('RawData (GH)'!H1919)</f>
        <v>APS-C</v>
      </c>
      <c r="K1919" s="45">
        <f>getWeightAsDouble('RawData (GH)'!I1919)</f>
        <v>745</v>
      </c>
      <c r="L1919" s="34">
        <f>getSizeDiameter('RawData (GH)'!J1919)</f>
        <v>86</v>
      </c>
      <c r="M1919" s="34">
        <f>getSizeLength('RawData (GH)'!J1919)</f>
        <v>136</v>
      </c>
    </row>
    <row r="1920" spans="1:13" x14ac:dyDescent="0.25">
      <c r="A1920" t="str">
        <f>'RawData (GH)'!A1920</f>
        <v>Walimex Pro T-S 24mm 3.5 CSC für Micro-Four-Thirds schwarz</v>
      </c>
      <c r="B1920" s="5">
        <f>getFocalLengthStart('RawData (GH)'!B1920)</f>
        <v>24</v>
      </c>
      <c r="C1920" s="5">
        <f>getFocalLengthEnd('RawData (GH)'!B1920)</f>
        <v>24</v>
      </c>
      <c r="D1920" s="9">
        <f>getApertureStart('RawData (GH)'!C1920)</f>
        <v>3.5</v>
      </c>
      <c r="E1920" s="9">
        <f>getApertureEnd('RawData (GH)'!C1920)</f>
        <v>3.5</v>
      </c>
      <c r="F1920" s="2">
        <f>getFiltersizeAsDouble('RawData (GH)'!D1920)</f>
        <v>82</v>
      </c>
      <c r="G1920" s="35">
        <f>getMagnification('RawData (GH)'!E1920)</f>
        <v>0</v>
      </c>
      <c r="H1920" s="62">
        <f>getMinimalFocus('RawData (GH)'!F1920)</f>
        <v>0</v>
      </c>
      <c r="I1920" t="str">
        <f>getMount('RawData (GH)'!G1920)</f>
        <v>Micro-Four-Thirds</v>
      </c>
      <c r="J1920" t="str">
        <f>getSensorCompatibility('RawData (GH)'!H1920)</f>
        <v>APS-C</v>
      </c>
      <c r="K1920" s="45">
        <f>getWeightAsDouble('RawData (GH)'!I1920)</f>
        <v>730</v>
      </c>
      <c r="L1920" s="34">
        <f>getSizeDiameter('RawData (GH)'!J1920)</f>
        <v>86</v>
      </c>
      <c r="M1920" s="34">
        <f>getSizeLength('RawData (GH)'!J1920)</f>
        <v>134</v>
      </c>
    </row>
    <row r="1921" spans="1:13" x14ac:dyDescent="0.25">
      <c r="A1921" t="str">
        <f>'RawData (GH)'!A1921</f>
        <v>Walimex Pro T-S 24mm 3.5 für Canon EF schwarz</v>
      </c>
      <c r="B1921" s="5">
        <f>getFocalLengthStart('RawData (GH)'!B1921)</f>
        <v>24</v>
      </c>
      <c r="C1921" s="5">
        <f>getFocalLengthEnd('RawData (GH)'!B1921)</f>
        <v>24</v>
      </c>
      <c r="D1921" s="9">
        <f>getApertureStart('RawData (GH)'!C1921)</f>
        <v>3.5</v>
      </c>
      <c r="E1921" s="9">
        <f>getApertureEnd('RawData (GH)'!C1921)</f>
        <v>3.5</v>
      </c>
      <c r="F1921" s="2">
        <f>getFiltersizeAsDouble('RawData (GH)'!D1921)</f>
        <v>82</v>
      </c>
      <c r="G1921" s="35">
        <f>getMagnification('RawData (GH)'!E1921)</f>
        <v>0</v>
      </c>
      <c r="H1921" s="62">
        <f>getMinimalFocus('RawData (GH)'!F1921)</f>
        <v>0</v>
      </c>
      <c r="I1921" t="str">
        <f>getMount('RawData (GH)'!G1921)</f>
        <v>Canon EF</v>
      </c>
      <c r="J1921" t="str">
        <f>getSensorCompatibility('RawData (GH)'!H1921)</f>
        <v>APS-C/ Kleinbild</v>
      </c>
      <c r="K1921" s="45">
        <f>getWeightAsDouble('RawData (GH)'!I1921)</f>
        <v>670</v>
      </c>
      <c r="L1921" s="34">
        <f>getSizeDiameter('RawData (GH)'!J1921)</f>
        <v>86</v>
      </c>
      <c r="M1921" s="34">
        <f>getSizeLength('RawData (GH)'!J1921)</f>
        <v>113</v>
      </c>
    </row>
    <row r="1922" spans="1:13" x14ac:dyDescent="0.25">
      <c r="A1922" t="str">
        <f>'RawData (GH)'!A1922</f>
        <v>Walimex Pro T-S 24mm 3.5 für Four-Thirds schwarz</v>
      </c>
      <c r="B1922" s="5">
        <f>getFocalLengthStart('RawData (GH)'!B1922)</f>
        <v>24</v>
      </c>
      <c r="C1922" s="5">
        <f>getFocalLengthEnd('RawData (GH)'!B1922)</f>
        <v>24</v>
      </c>
      <c r="D1922" s="9">
        <f>getApertureStart('RawData (GH)'!C1922)</f>
        <v>3.5</v>
      </c>
      <c r="E1922" s="9">
        <f>getApertureEnd('RawData (GH)'!C1922)</f>
        <v>3.5</v>
      </c>
      <c r="F1922" s="2">
        <f>getFiltersizeAsDouble('RawData (GH)'!D1922)</f>
        <v>82</v>
      </c>
      <c r="G1922" s="35">
        <f>getMagnification('RawData (GH)'!E1922)</f>
        <v>0</v>
      </c>
      <c r="H1922" s="62">
        <f>getMinimalFocus('RawData (GH)'!F1922)</f>
        <v>0</v>
      </c>
      <c r="I1922" t="str">
        <f>getMount('RawData (GH)'!G1922)</f>
        <v>Four-Thirds</v>
      </c>
      <c r="J1922" t="str">
        <f>getSensorCompatibility('RawData (GH)'!H1922)</f>
        <v>APS-C</v>
      </c>
      <c r="K1922" s="45">
        <f>getWeightAsDouble('RawData (GH)'!I1922)</f>
        <v>720</v>
      </c>
      <c r="L1922" s="34">
        <f>getSizeDiameter('RawData (GH)'!J1922)</f>
        <v>86</v>
      </c>
      <c r="M1922" s="34">
        <f>getSizeLength('RawData (GH)'!J1922)</f>
        <v>115</v>
      </c>
    </row>
    <row r="1923" spans="1:13" x14ac:dyDescent="0.25">
      <c r="A1923" t="str">
        <f>'RawData (GH)'!A1923</f>
        <v>Walimex Pro T-S 24mm 3.5 für Nikon F schwarz</v>
      </c>
      <c r="B1923" s="5">
        <f>getFocalLengthStart('RawData (GH)'!B1923)</f>
        <v>24</v>
      </c>
      <c r="C1923" s="5">
        <f>getFocalLengthEnd('RawData (GH)'!B1923)</f>
        <v>24</v>
      </c>
      <c r="D1923" s="9">
        <f>getApertureStart('RawData (GH)'!C1923)</f>
        <v>3.5</v>
      </c>
      <c r="E1923" s="9">
        <f>getApertureEnd('RawData (GH)'!C1923)</f>
        <v>3.5</v>
      </c>
      <c r="F1923" s="2">
        <f>getFiltersizeAsDouble('RawData (GH)'!D1923)</f>
        <v>82</v>
      </c>
      <c r="G1923" s="35">
        <f>getMagnification('RawData (GH)'!E1923)</f>
        <v>0</v>
      </c>
      <c r="H1923" s="62">
        <f>getMinimalFocus('RawData (GH)'!F1923)</f>
        <v>0</v>
      </c>
      <c r="I1923" t="str">
        <f>getMount('RawData (GH)'!G1923)</f>
        <v>Nikon F</v>
      </c>
      <c r="J1923" t="str">
        <f>getSensorCompatibility('RawData (GH)'!H1923)</f>
        <v>APS-C/ Kleinbild</v>
      </c>
      <c r="K1923" s="45">
        <f>getWeightAsDouble('RawData (GH)'!I1923)</f>
        <v>670</v>
      </c>
      <c r="L1923" s="34">
        <f>getSizeDiameter('RawData (GH)'!J1923)</f>
        <v>86</v>
      </c>
      <c r="M1923" s="34">
        <f>getSizeLength('RawData (GH)'!J1923)</f>
        <v>111</v>
      </c>
    </row>
    <row r="1924" spans="1:13" x14ac:dyDescent="0.25">
      <c r="A1924" t="str">
        <f>'RawData (GH)'!A1924</f>
        <v>Walimex Pro T-S 24mm 3.5 für Pentax K schwarz</v>
      </c>
      <c r="B1924" s="5">
        <f>getFocalLengthStart('RawData (GH)'!B1924)</f>
        <v>24</v>
      </c>
      <c r="C1924" s="5">
        <f>getFocalLengthEnd('RawData (GH)'!B1924)</f>
        <v>24</v>
      </c>
      <c r="D1924" s="9">
        <f>getApertureStart('RawData (GH)'!C1924)</f>
        <v>3.5</v>
      </c>
      <c r="E1924" s="9">
        <f>getApertureEnd('RawData (GH)'!C1924)</f>
        <v>3.5</v>
      </c>
      <c r="F1924" s="2">
        <f>getFiltersizeAsDouble('RawData (GH)'!D1924)</f>
        <v>82</v>
      </c>
      <c r="G1924" s="35">
        <f>getMagnification('RawData (GH)'!E1924)</f>
        <v>0</v>
      </c>
      <c r="H1924" s="62">
        <f>getMinimalFocus('RawData (GH)'!F1924)</f>
        <v>0</v>
      </c>
      <c r="I1924" t="str">
        <f>getMount('RawData (GH)'!G1924)</f>
        <v>Pentax K</v>
      </c>
      <c r="J1924" t="str">
        <f>getSensorCompatibility('RawData (GH)'!H1924)</f>
        <v>APS-C/ Kleinbild</v>
      </c>
      <c r="K1924" s="45">
        <f>getWeightAsDouble('RawData (GH)'!I1924)</f>
        <v>670</v>
      </c>
      <c r="L1924" s="34">
        <f>getSizeDiameter('RawData (GH)'!J1924)</f>
        <v>86</v>
      </c>
      <c r="M1924" s="34">
        <f>getSizeLength('RawData (GH)'!J1924)</f>
        <v>111</v>
      </c>
    </row>
    <row r="1925" spans="1:13" x14ac:dyDescent="0.25">
      <c r="A1925" t="str">
        <f>'RawData (GH)'!A1925</f>
        <v>Walimex Pro T-S 24mm 3.5 für Sony A schwarz</v>
      </c>
      <c r="B1925" s="5">
        <f>getFocalLengthStart('RawData (GH)'!B1925)</f>
        <v>24</v>
      </c>
      <c r="C1925" s="5">
        <f>getFocalLengthEnd('RawData (GH)'!B1925)</f>
        <v>24</v>
      </c>
      <c r="D1925" s="9">
        <f>getApertureStart('RawData (GH)'!C1925)</f>
        <v>3.5</v>
      </c>
      <c r="E1925" s="9">
        <f>getApertureEnd('RawData (GH)'!C1925)</f>
        <v>3.5</v>
      </c>
      <c r="F1925" s="2">
        <f>getFiltersizeAsDouble('RawData (GH)'!D1925)</f>
        <v>82</v>
      </c>
      <c r="G1925" s="35">
        <f>getMagnification('RawData (GH)'!E1925)</f>
        <v>0</v>
      </c>
      <c r="H1925" s="62">
        <f>getMinimalFocus('RawData (GH)'!F1925)</f>
        <v>0</v>
      </c>
      <c r="I1925" t="str">
        <f>getMount('RawData (GH)'!G1925)</f>
        <v>Sony A</v>
      </c>
      <c r="J1925" t="str">
        <f>getSensorCompatibility('RawData (GH)'!H1925)</f>
        <v>APS-C</v>
      </c>
      <c r="K1925" s="45">
        <f>getWeightAsDouble('RawData (GH)'!I1925)</f>
        <v>670</v>
      </c>
      <c r="L1925" s="34">
        <f>getSizeDiameter('RawData (GH)'!J1925)</f>
        <v>86</v>
      </c>
      <c r="M1925" s="34">
        <f>getSizeLength('RawData (GH)'!J1925)</f>
        <v>111</v>
      </c>
    </row>
    <row r="1926" spans="1:13" x14ac:dyDescent="0.25">
      <c r="A1926" t="str">
        <f>'RawData (GH)'!A1926</f>
        <v>Walimex Pro T-S 24mm 3.5 für Sony E schwarz</v>
      </c>
      <c r="B1926" s="5">
        <f>getFocalLengthStart('RawData (GH)'!B1926)</f>
        <v>24</v>
      </c>
      <c r="C1926" s="5">
        <f>getFocalLengthEnd('RawData (GH)'!B1926)</f>
        <v>24</v>
      </c>
      <c r="D1926" s="9">
        <f>getApertureStart('RawData (GH)'!C1926)</f>
        <v>3.5</v>
      </c>
      <c r="E1926" s="9">
        <f>getApertureEnd('RawData (GH)'!C1926)</f>
        <v>3.5</v>
      </c>
      <c r="F1926" s="2">
        <f>getFiltersizeAsDouble('RawData (GH)'!D1926)</f>
        <v>82</v>
      </c>
      <c r="G1926" s="35">
        <f>getMagnification('RawData (GH)'!E1926)</f>
        <v>0</v>
      </c>
      <c r="H1926" s="62">
        <f>getMinimalFocus('RawData (GH)'!F1926)</f>
        <v>0</v>
      </c>
      <c r="I1926" t="str">
        <f>getMount('RawData (GH)'!G1926)</f>
        <v>Sony E</v>
      </c>
      <c r="J1926" t="str">
        <f>getSensorCompatibility('RawData (GH)'!H1926)</f>
        <v>APS-C/ Kleinbild</v>
      </c>
      <c r="K1926" s="45">
        <f>getWeightAsDouble('RawData (GH)'!I1926)</f>
        <v>734</v>
      </c>
      <c r="L1926" s="34">
        <f>getSizeDiameter('RawData (GH)'!J1926)</f>
        <v>86</v>
      </c>
      <c r="M1926" s="34">
        <f>getSizeLength('RawData (GH)'!J1926)</f>
        <v>139</v>
      </c>
    </row>
    <row r="1927" spans="1:13" x14ac:dyDescent="0.25">
      <c r="A1927" t="str">
        <f>'RawData (GH)'!A1927</f>
        <v>Yongnuo 100mm 2.0 für Canon EF schwarz</v>
      </c>
      <c r="B1927" s="5">
        <f>getFocalLengthStart('RawData (GH)'!B1927)</f>
        <v>100</v>
      </c>
      <c r="C1927" s="5">
        <f>getFocalLengthEnd('RawData (GH)'!B1927)</f>
        <v>100</v>
      </c>
      <c r="D1927" s="9">
        <f>getApertureStart('RawData (GH)'!C1927)</f>
        <v>2</v>
      </c>
      <c r="E1927" s="9">
        <f>getApertureEnd('RawData (GH)'!C1927)</f>
        <v>2</v>
      </c>
      <c r="F1927" s="2">
        <f>getFiltersizeAsDouble('RawData (GH)'!D1927)</f>
        <v>58</v>
      </c>
      <c r="G1927" s="35">
        <f>getMagnification('RawData (GH)'!E1927)</f>
        <v>7.14</v>
      </c>
      <c r="H1927" s="62">
        <f>getMinimalFocus('RawData (GH)'!F1927)</f>
        <v>0</v>
      </c>
      <c r="I1927" t="str">
        <f>getMount('RawData (GH)'!G1927)</f>
        <v>Canon EF</v>
      </c>
      <c r="J1927" t="str">
        <f>getSensorCompatibility('RawData (GH)'!H1927)</f>
        <v>APS-C/ Kleinbild</v>
      </c>
      <c r="K1927" s="45">
        <f>getWeightAsDouble('RawData (GH)'!I1927)</f>
        <v>387</v>
      </c>
      <c r="L1927" s="34">
        <f>getSizeDiameter('RawData (GH)'!J1927)</f>
        <v>76</v>
      </c>
      <c r="M1927" s="34">
        <f>getSizeLength('RawData (GH)'!J1927)</f>
        <v>83</v>
      </c>
    </row>
    <row r="1928" spans="1:13" x14ac:dyDescent="0.25">
      <c r="A1928" t="str">
        <f>'RawData (GH)'!A1928</f>
        <v>Yongnuo 35mm 2.0 für Canon EF schwarz</v>
      </c>
      <c r="B1928" s="5">
        <f>getFocalLengthStart('RawData (GH)'!B1928)</f>
        <v>35</v>
      </c>
      <c r="C1928" s="5">
        <f>getFocalLengthEnd('RawData (GH)'!B1928)</f>
        <v>35</v>
      </c>
      <c r="D1928" s="9">
        <f>getApertureStart('RawData (GH)'!C1928)</f>
        <v>2</v>
      </c>
      <c r="E1928" s="9">
        <f>getApertureEnd('RawData (GH)'!C1928)</f>
        <v>2</v>
      </c>
      <c r="F1928" s="2">
        <f>getFiltersizeAsDouble('RawData (GH)'!D1928)</f>
        <v>52</v>
      </c>
      <c r="G1928" s="35">
        <f>getMagnification('RawData (GH)'!E1928)</f>
        <v>4.3499999999999996</v>
      </c>
      <c r="H1928" s="62">
        <f>getMinimalFocus('RawData (GH)'!F1928)</f>
        <v>0</v>
      </c>
      <c r="I1928" t="str">
        <f>getMount('RawData (GH)'!G1928)</f>
        <v>Canon EF</v>
      </c>
      <c r="J1928" t="str">
        <f>getSensorCompatibility('RawData (GH)'!H1928)</f>
        <v>APS-C</v>
      </c>
      <c r="K1928" s="45">
        <f>getWeightAsDouble('RawData (GH)'!I1928)</f>
        <v>155</v>
      </c>
      <c r="L1928" s="34">
        <f>getSizeDiameter('RawData (GH)'!J1928)</f>
        <v>73</v>
      </c>
      <c r="M1928" s="34">
        <f>getSizeLength('RawData (GH)'!J1928)</f>
        <v>59</v>
      </c>
    </row>
    <row r="1929" spans="1:13" x14ac:dyDescent="0.25">
      <c r="A1929" t="str">
        <f>'RawData (GH)'!A1929</f>
        <v>Yongnuo 50mm 1.8 für Canon EF schwarz</v>
      </c>
      <c r="B1929" s="5">
        <f>getFocalLengthStart('RawData (GH)'!B1929)</f>
        <v>50</v>
      </c>
      <c r="C1929" s="5">
        <f>getFocalLengthEnd('RawData (GH)'!B1929)</f>
        <v>50</v>
      </c>
      <c r="D1929" s="9">
        <f>getApertureStart('RawData (GH)'!C1929)</f>
        <v>1.8</v>
      </c>
      <c r="E1929" s="9">
        <f>getApertureEnd('RawData (GH)'!C1929)</f>
        <v>1.8</v>
      </c>
      <c r="F1929" s="2">
        <f>getFiltersizeAsDouble('RawData (GH)'!D1929)</f>
        <v>52</v>
      </c>
      <c r="G1929" s="35">
        <f>getMagnification('RawData (GH)'!E1929)</f>
        <v>6.67</v>
      </c>
      <c r="H1929" s="62">
        <f>getMinimalFocus('RawData (GH)'!F1929)</f>
        <v>0</v>
      </c>
      <c r="I1929" t="str">
        <f>getMount('RawData (GH)'!G1929)</f>
        <v>Canon EF</v>
      </c>
      <c r="J1929" t="str">
        <f>getSensorCompatibility('RawData (GH)'!H1929)</f>
        <v>APS-C</v>
      </c>
      <c r="K1929" s="45">
        <f>getWeightAsDouble('RawData (GH)'!I1929)</f>
        <v>120</v>
      </c>
      <c r="L1929" s="34">
        <f>getSizeDiameter('RawData (GH)'!J1929)</f>
        <v>74</v>
      </c>
      <c r="M1929" s="34">
        <f>getSizeLength('RawData (GH)'!J1929)</f>
        <v>60</v>
      </c>
    </row>
    <row r="1930" spans="1:13" x14ac:dyDescent="0.25">
      <c r="A1930" t="str">
        <f>'RawData (GH)'!A1930</f>
        <v>Yongnuo 85mm 1.8 für Canon EF schwarz</v>
      </c>
      <c r="B1930" s="5">
        <f>getFocalLengthStart('RawData (GH)'!B1930)</f>
        <v>85</v>
      </c>
      <c r="C1930" s="5">
        <f>getFocalLengthEnd('RawData (GH)'!B1930)</f>
        <v>85</v>
      </c>
      <c r="D1930" s="9">
        <f>getApertureStart('RawData (GH)'!C1930)</f>
        <v>1.8</v>
      </c>
      <c r="E1930" s="9">
        <f>getApertureEnd('RawData (GH)'!C1930)</f>
        <v>1.8</v>
      </c>
      <c r="F1930" s="2">
        <f>getFiltersizeAsDouble('RawData (GH)'!D1930)</f>
        <v>58</v>
      </c>
      <c r="G1930" s="35">
        <f>getMagnification('RawData (GH)'!E1930)</f>
        <v>7.69</v>
      </c>
      <c r="H1930" s="62">
        <f>getMinimalFocus('RawData (GH)'!F1930)</f>
        <v>0</v>
      </c>
      <c r="I1930" t="str">
        <f>getMount('RawData (GH)'!G1930)</f>
        <v>Canon EF</v>
      </c>
      <c r="J1930" t="str">
        <f>getSensorCompatibility('RawData (GH)'!H1930)</f>
        <v>APS-C/ Kleinbild</v>
      </c>
      <c r="K1930" s="45">
        <f>getWeightAsDouble('RawData (GH)'!I1930)</f>
        <v>460</v>
      </c>
      <c r="L1930" s="34">
        <f>getSizeDiameter('RawData (GH)'!J1930)</f>
        <v>81</v>
      </c>
      <c r="M1930" s="34">
        <f>getSizeLength('RawData (GH)'!J1930)</f>
        <v>79.5</v>
      </c>
    </row>
    <row r="1931" spans="1:13" x14ac:dyDescent="0.25">
      <c r="A1931" t="str">
        <f>'RawData (GH)'!A1931</f>
        <v>Zeiss Batis 135mm 2.8 für Sony E schwarz</v>
      </c>
      <c r="B1931" s="5">
        <f>getFocalLengthStart('RawData (GH)'!B1931)</f>
        <v>135</v>
      </c>
      <c r="C1931" s="5">
        <f>getFocalLengthEnd('RawData (GH)'!B1931)</f>
        <v>135</v>
      </c>
      <c r="D1931" s="9">
        <f>getApertureStart('RawData (GH)'!C1931)</f>
        <v>2.8</v>
      </c>
      <c r="E1931" s="9">
        <f>getApertureEnd('RawData (GH)'!C1931)</f>
        <v>2.8</v>
      </c>
      <c r="F1931" s="2">
        <f>getFiltersizeAsDouble('RawData (GH)'!D1931)</f>
        <v>67</v>
      </c>
      <c r="G1931" s="35">
        <f>getMagnification('RawData (GH)'!E1931)</f>
        <v>5.3</v>
      </c>
      <c r="H1931" s="62">
        <f>getMinimalFocus('RawData (GH)'!F1931)</f>
        <v>0</v>
      </c>
      <c r="I1931" t="str">
        <f>getMount('RawData (GH)'!G1931)</f>
        <v>Sony E</v>
      </c>
      <c r="J1931" t="str">
        <f>getSensorCompatibility('RawData (GH)'!H1931)</f>
        <v>APS-C/ Kleinbild</v>
      </c>
      <c r="K1931" s="45">
        <f>getWeightAsDouble('RawData (GH)'!I1931)</f>
        <v>614</v>
      </c>
      <c r="L1931" s="34">
        <f>getSizeDiameter('RawData (GH)'!J1931)</f>
        <v>98</v>
      </c>
      <c r="M1931" s="34">
        <f>getSizeLength('RawData (GH)'!J1931)</f>
        <v>120</v>
      </c>
    </row>
    <row r="1932" spans="1:13" x14ac:dyDescent="0.25">
      <c r="A1932" t="str">
        <f>'RawData (GH)'!A1932</f>
        <v>Zeiss Batis 18mm 2.8 für Sony E schwarz</v>
      </c>
      <c r="B1932" s="5">
        <f>getFocalLengthStart('RawData (GH)'!B1932)</f>
        <v>18</v>
      </c>
      <c r="C1932" s="5">
        <f>getFocalLengthEnd('RawData (GH)'!B1932)</f>
        <v>18</v>
      </c>
      <c r="D1932" s="9">
        <f>getApertureStart('RawData (GH)'!C1932)</f>
        <v>2.8</v>
      </c>
      <c r="E1932" s="9">
        <f>getApertureEnd('RawData (GH)'!C1932)</f>
        <v>2.8</v>
      </c>
      <c r="F1932" s="2">
        <f>getFiltersizeAsDouble('RawData (GH)'!D1932)</f>
        <v>77</v>
      </c>
      <c r="G1932" s="35">
        <f>getMagnification('RawData (GH)'!E1932)</f>
        <v>9.5</v>
      </c>
      <c r="H1932" s="62">
        <f>getMinimalFocus('RawData (GH)'!F1932)</f>
        <v>0</v>
      </c>
      <c r="I1932" t="str">
        <f>getMount('RawData (GH)'!G1932)</f>
        <v>Sony E</v>
      </c>
      <c r="J1932" t="str">
        <f>getSensorCompatibility('RawData (GH)'!H1932)</f>
        <v>APS-C/ Kleinbild</v>
      </c>
      <c r="K1932" s="45">
        <f>getWeightAsDouble('RawData (GH)'!I1932)</f>
        <v>330</v>
      </c>
      <c r="L1932" s="34">
        <f>getSizeDiameter('RawData (GH)'!J1932)</f>
        <v>100</v>
      </c>
      <c r="M1932" s="34">
        <f>getSizeLength('RawData (GH)'!J1932)</f>
        <v>80</v>
      </c>
    </row>
    <row r="1933" spans="1:13" x14ac:dyDescent="0.25">
      <c r="A1933" t="str">
        <f>'RawData (GH)'!A1933</f>
        <v>Zeiss Batis 25mm 2.0 für Sony E schwarz</v>
      </c>
      <c r="B1933" s="5">
        <f>getFocalLengthStart('RawData (GH)'!B1933)</f>
        <v>25</v>
      </c>
      <c r="C1933" s="5">
        <f>getFocalLengthEnd('RawData (GH)'!B1933)</f>
        <v>25</v>
      </c>
      <c r="D1933" s="9">
        <f>getApertureStart('RawData (GH)'!C1933)</f>
        <v>2</v>
      </c>
      <c r="E1933" s="9">
        <f>getApertureEnd('RawData (GH)'!C1933)</f>
        <v>2</v>
      </c>
      <c r="F1933" s="2">
        <f>getFiltersizeAsDouble('RawData (GH)'!D1933)</f>
        <v>67</v>
      </c>
      <c r="G1933" s="35">
        <f>getMagnification('RawData (GH)'!E1933)</f>
        <v>5.2</v>
      </c>
      <c r="H1933" s="62">
        <f>getMinimalFocus('RawData (GH)'!F1933)</f>
        <v>0</v>
      </c>
      <c r="I1933" t="str">
        <f>getMount('RawData (GH)'!G1933)</f>
        <v>Sony E</v>
      </c>
      <c r="J1933" t="str">
        <f>getSensorCompatibility('RawData (GH)'!H1933)</f>
        <v>APS-C/ Kleinbild</v>
      </c>
      <c r="K1933" s="45">
        <f>getWeightAsDouble('RawData (GH)'!I1933)</f>
        <v>335</v>
      </c>
      <c r="L1933" s="34">
        <f>getSizeDiameter('RawData (GH)'!J1933)</f>
        <v>78</v>
      </c>
      <c r="M1933" s="34">
        <f>getSizeLength('RawData (GH)'!J1933)</f>
        <v>78</v>
      </c>
    </row>
    <row r="1934" spans="1:13" x14ac:dyDescent="0.25">
      <c r="A1934" t="str">
        <f>'RawData (GH)'!A1934</f>
        <v>Zeiss Batis 85mm 1.8 für Sony E schwarz</v>
      </c>
      <c r="B1934" s="5">
        <f>getFocalLengthStart('RawData (GH)'!B1934)</f>
        <v>85</v>
      </c>
      <c r="C1934" s="5">
        <f>getFocalLengthEnd('RawData (GH)'!B1934)</f>
        <v>85</v>
      </c>
      <c r="D1934" s="9">
        <f>getApertureStart('RawData (GH)'!C1934)</f>
        <v>1.8</v>
      </c>
      <c r="E1934" s="9">
        <f>getApertureEnd('RawData (GH)'!C1934)</f>
        <v>1.8</v>
      </c>
      <c r="F1934" s="2">
        <f>getFiltersizeAsDouble('RawData (GH)'!D1934)</f>
        <v>67</v>
      </c>
      <c r="G1934" s="35">
        <f>getMagnification('RawData (GH)'!E1934)</f>
        <v>7.9</v>
      </c>
      <c r="H1934" s="62">
        <f>getMinimalFocus('RawData (GH)'!F1934)</f>
        <v>0</v>
      </c>
      <c r="I1934" t="str">
        <f>getMount('RawData (GH)'!G1934)</f>
        <v>Sony E</v>
      </c>
      <c r="J1934" t="str">
        <f>getSensorCompatibility('RawData (GH)'!H1934)</f>
        <v>APS-C/ Kleinbild</v>
      </c>
      <c r="K1934" s="45">
        <f>getWeightAsDouble('RawData (GH)'!I1934)</f>
        <v>475</v>
      </c>
      <c r="L1934" s="34">
        <f>getSizeDiameter('RawData (GH)'!J1934)</f>
        <v>78</v>
      </c>
      <c r="M1934" s="34">
        <f>getSizeLength('RawData (GH)'!J1934)</f>
        <v>92</v>
      </c>
    </row>
    <row r="1935" spans="1:13" x14ac:dyDescent="0.25">
      <c r="A1935" t="str">
        <f>'RawData (GH)'!A1935</f>
        <v>Zeiss Loxia 21mm 2.8 für Sony E schwarz</v>
      </c>
      <c r="B1935" s="5">
        <f>getFocalLengthStart('RawData (GH)'!B1935)</f>
        <v>21</v>
      </c>
      <c r="C1935" s="5">
        <f>getFocalLengthEnd('RawData (GH)'!B1935)</f>
        <v>21</v>
      </c>
      <c r="D1935" s="9">
        <f>getApertureStart('RawData (GH)'!C1935)</f>
        <v>2.8</v>
      </c>
      <c r="E1935" s="9">
        <f>getApertureEnd('RawData (GH)'!C1935)</f>
        <v>2.8</v>
      </c>
      <c r="F1935" s="2">
        <f>getFiltersizeAsDouble('RawData (GH)'!D1935)</f>
        <v>52</v>
      </c>
      <c r="G1935" s="35">
        <f>getMagnification('RawData (GH)'!E1935)</f>
        <v>7.81</v>
      </c>
      <c r="H1935" s="62">
        <f>getMinimalFocus('RawData (GH)'!F1935)</f>
        <v>0</v>
      </c>
      <c r="I1935" t="str">
        <f>getMount('RawData (GH)'!G1935)</f>
        <v>Sony E</v>
      </c>
      <c r="J1935" t="str">
        <f>getSensorCompatibility('RawData (GH)'!H1935)</f>
        <v>APS-C/ Kleinbild</v>
      </c>
      <c r="K1935" s="45">
        <f>getWeightAsDouble('RawData (GH)'!I1935)</f>
        <v>394</v>
      </c>
      <c r="L1935" s="34">
        <f>getSizeDiameter('RawData (GH)'!J1935)</f>
        <v>62.1</v>
      </c>
      <c r="M1935" s="34">
        <f>getSizeLength('RawData (GH)'!J1935)</f>
        <v>72</v>
      </c>
    </row>
    <row r="1936" spans="1:13" x14ac:dyDescent="0.25">
      <c r="A1936" t="str">
        <f>'RawData (GH)'!A1936</f>
        <v>Zeiss Loxia 35mm 2.0 für Sony E schwarz</v>
      </c>
      <c r="B1936" s="5">
        <f>getFocalLengthStart('RawData (GH)'!B1936)</f>
        <v>35</v>
      </c>
      <c r="C1936" s="5">
        <f>getFocalLengthEnd('RawData (GH)'!B1936)</f>
        <v>35</v>
      </c>
      <c r="D1936" s="9">
        <f>getApertureStart('RawData (GH)'!C1936)</f>
        <v>2</v>
      </c>
      <c r="E1936" s="9">
        <f>getApertureEnd('RawData (GH)'!C1936)</f>
        <v>2</v>
      </c>
      <c r="F1936" s="2">
        <f>getFiltersizeAsDouble('RawData (GH)'!D1936)</f>
        <v>52</v>
      </c>
      <c r="G1936" s="35">
        <f>getMagnification('RawData (GH)'!E1936)</f>
        <v>5.8</v>
      </c>
      <c r="H1936" s="62">
        <f>getMinimalFocus('RawData (GH)'!F1936)</f>
        <v>0</v>
      </c>
      <c r="I1936" t="str">
        <f>getMount('RawData (GH)'!G1936)</f>
        <v>Sony E</v>
      </c>
      <c r="J1936" t="str">
        <f>getSensorCompatibility('RawData (GH)'!H1936)</f>
        <v>APS-C/ Kleinbild</v>
      </c>
      <c r="K1936" s="45">
        <f>getWeightAsDouble('RawData (GH)'!I1936)</f>
        <v>340</v>
      </c>
      <c r="L1936" s="34">
        <f>getSizeDiameter('RawData (GH)'!J1936)</f>
        <v>62</v>
      </c>
      <c r="M1936" s="34">
        <f>getSizeLength('RawData (GH)'!J1936)</f>
        <v>59</v>
      </c>
    </row>
    <row r="1937" spans="1:13" x14ac:dyDescent="0.25">
      <c r="A1937" t="str">
        <f>'RawData (GH)'!A1937</f>
        <v>Zeiss Loxia 50mm 2.0 für Sony E schwarz</v>
      </c>
      <c r="B1937" s="5">
        <f>getFocalLengthStart('RawData (GH)'!B1937)</f>
        <v>50</v>
      </c>
      <c r="C1937" s="5">
        <f>getFocalLengthEnd('RawData (GH)'!B1937)</f>
        <v>50</v>
      </c>
      <c r="D1937" s="9">
        <f>getApertureStart('RawData (GH)'!C1937)</f>
        <v>2</v>
      </c>
      <c r="E1937" s="9">
        <f>getApertureEnd('RawData (GH)'!C1937)</f>
        <v>2</v>
      </c>
      <c r="F1937" s="2">
        <f>getFiltersizeAsDouble('RawData (GH)'!D1937)</f>
        <v>52</v>
      </c>
      <c r="G1937" s="35">
        <f>getMagnification('RawData (GH)'!E1937)</f>
        <v>6.9</v>
      </c>
      <c r="H1937" s="62">
        <f>getMinimalFocus('RawData (GH)'!F1937)</f>
        <v>0</v>
      </c>
      <c r="I1937" t="str">
        <f>getMount('RawData (GH)'!G1937)</f>
        <v>Sony E</v>
      </c>
      <c r="J1937" t="str">
        <f>getSensorCompatibility('RawData (GH)'!H1937)</f>
        <v>APS-C/ Kleinbild</v>
      </c>
      <c r="K1937" s="45">
        <f>getWeightAsDouble('RawData (GH)'!I1937)</f>
        <v>320</v>
      </c>
      <c r="L1937" s="34">
        <f>getSizeDiameter('RawData (GH)'!J1937)</f>
        <v>62</v>
      </c>
      <c r="M1937" s="34">
        <f>getSizeLength('RawData (GH)'!J1937)</f>
        <v>59</v>
      </c>
    </row>
    <row r="1938" spans="1:13" x14ac:dyDescent="0.25">
      <c r="A1938" t="str">
        <f>'RawData (GH)'!A1938</f>
        <v>Zeiss Loxia 85mm 2.4 für Sony E schwarz</v>
      </c>
      <c r="B1938" s="5">
        <f>getFocalLengthStart('RawData (GH)'!B1938)</f>
        <v>85</v>
      </c>
      <c r="C1938" s="5">
        <f>getFocalLengthEnd('RawData (GH)'!B1938)</f>
        <v>85</v>
      </c>
      <c r="D1938" s="9">
        <f>getApertureStart('RawData (GH)'!C1938)</f>
        <v>2.4</v>
      </c>
      <c r="E1938" s="9">
        <f>getApertureEnd('RawData (GH)'!C1938)</f>
        <v>2.4</v>
      </c>
      <c r="F1938" s="2">
        <f>getFiltersizeAsDouble('RawData (GH)'!D1938)</f>
        <v>52</v>
      </c>
      <c r="G1938" s="35">
        <f>getMagnification('RawData (GH)'!E1938)</f>
        <v>7.2</v>
      </c>
      <c r="H1938" s="62">
        <f>getMinimalFocus('RawData (GH)'!F1938)</f>
        <v>0</v>
      </c>
      <c r="I1938" t="str">
        <f>getMount('RawData (GH)'!G1938)</f>
        <v>Sony E</v>
      </c>
      <c r="J1938" t="str">
        <f>getSensorCompatibility('RawData (GH)'!H1938)</f>
        <v>APS-C/ Kleinbild</v>
      </c>
      <c r="K1938" s="45">
        <f>getWeightAsDouble('RawData (GH)'!I1938)</f>
        <v>594</v>
      </c>
      <c r="L1938" s="34">
        <f>getSizeDiameter('RawData (GH)'!J1938)</f>
        <v>62.5</v>
      </c>
      <c r="M1938" s="34">
        <f>getSizeLength('RawData (GH)'!J1938)</f>
        <v>94.8</v>
      </c>
    </row>
    <row r="1939" spans="1:13" x14ac:dyDescent="0.25">
      <c r="A1939" t="str">
        <f>'RawData (GH)'!A1939</f>
        <v>Zeiss Touit 12mm 2.8 für Fujifilm X schwarz</v>
      </c>
      <c r="B1939" s="5">
        <f>getFocalLengthStart('RawData (GH)'!B1939)</f>
        <v>12</v>
      </c>
      <c r="C1939" s="5">
        <f>getFocalLengthEnd('RawData (GH)'!B1939)</f>
        <v>12</v>
      </c>
      <c r="D1939" s="9">
        <f>getApertureStart('RawData (GH)'!C1939)</f>
        <v>2.8</v>
      </c>
      <c r="E1939" s="9">
        <f>getApertureEnd('RawData (GH)'!C1939)</f>
        <v>2.8</v>
      </c>
      <c r="F1939" s="2">
        <f>getFiltersizeAsDouble('RawData (GH)'!D1939)</f>
        <v>67</v>
      </c>
      <c r="G1939" s="35">
        <f>getMagnification('RawData (GH)'!E1939)</f>
        <v>9</v>
      </c>
      <c r="H1939" s="62">
        <f>getMinimalFocus('RawData (GH)'!F1939)</f>
        <v>0</v>
      </c>
      <c r="I1939" t="str">
        <f>getMount('RawData (GH)'!G1939)</f>
        <v>Fujifilm X</v>
      </c>
      <c r="J1939" t="str">
        <f>getSensorCompatibility('RawData (GH)'!H1939)</f>
        <v>APS-C</v>
      </c>
      <c r="K1939" s="45">
        <f>getWeightAsDouble('RawData (GH)'!I1939)</f>
        <v>270</v>
      </c>
      <c r="L1939" s="34">
        <f>getSizeDiameter('RawData (GH)'!J1939)</f>
        <v>88</v>
      </c>
      <c r="M1939" s="34">
        <f>getSizeLength('RawData (GH)'!J1939)</f>
        <v>68</v>
      </c>
    </row>
    <row r="1940" spans="1:13" x14ac:dyDescent="0.25">
      <c r="A1940" t="str">
        <f>'RawData (GH)'!A1940</f>
        <v>Zeiss Touit 12mm 2.8 für Sony E schwarz</v>
      </c>
      <c r="B1940" s="5">
        <f>getFocalLengthStart('RawData (GH)'!B1940)</f>
        <v>12</v>
      </c>
      <c r="C1940" s="5">
        <f>getFocalLengthEnd('RawData (GH)'!B1940)</f>
        <v>12</v>
      </c>
      <c r="D1940" s="9">
        <f>getApertureStart('RawData (GH)'!C1940)</f>
        <v>2.8</v>
      </c>
      <c r="E1940" s="9">
        <f>getApertureEnd('RawData (GH)'!C1940)</f>
        <v>2.8</v>
      </c>
      <c r="F1940" s="2">
        <f>getFiltersizeAsDouble('RawData (GH)'!D1940)</f>
        <v>67</v>
      </c>
      <c r="G1940" s="35">
        <f>getMagnification('RawData (GH)'!E1940)</f>
        <v>9</v>
      </c>
      <c r="H1940" s="62">
        <f>getMinimalFocus('RawData (GH)'!F1940)</f>
        <v>0</v>
      </c>
      <c r="I1940" t="str">
        <f>getMount('RawData (GH)'!G1940)</f>
        <v>Sony E</v>
      </c>
      <c r="J1940" t="str">
        <f>getSensorCompatibility('RawData (GH)'!H1940)</f>
        <v>APS-C</v>
      </c>
      <c r="K1940" s="45">
        <f>getWeightAsDouble('RawData (GH)'!I1940)</f>
        <v>260</v>
      </c>
      <c r="L1940" s="34">
        <f>getSizeDiameter('RawData (GH)'!J1940)</f>
        <v>88</v>
      </c>
      <c r="M1940" s="34">
        <f>getSizeLength('RawData (GH)'!J1940)</f>
        <v>68</v>
      </c>
    </row>
    <row r="1941" spans="1:13" x14ac:dyDescent="0.25">
      <c r="A1941" t="str">
        <f>'RawData (GH)'!A1941</f>
        <v>Zeiss Touit 32mm 1.8 für Fujifilm X schwarz</v>
      </c>
      <c r="B1941" s="5">
        <f>getFocalLengthStart('RawData (GH)'!B1941)</f>
        <v>32</v>
      </c>
      <c r="C1941" s="5">
        <f>getFocalLengthEnd('RawData (GH)'!B1941)</f>
        <v>32</v>
      </c>
      <c r="D1941" s="9">
        <f>getApertureStart('RawData (GH)'!C1941)</f>
        <v>1.8</v>
      </c>
      <c r="E1941" s="9">
        <f>getApertureEnd('RawData (GH)'!C1941)</f>
        <v>1.8</v>
      </c>
      <c r="F1941" s="2">
        <f>getFiltersizeAsDouble('RawData (GH)'!D1941)</f>
        <v>52</v>
      </c>
      <c r="G1941" s="35">
        <f>getMagnification('RawData (GH)'!E1941)</f>
        <v>9</v>
      </c>
      <c r="H1941" s="62">
        <f>getMinimalFocus('RawData (GH)'!F1941)</f>
        <v>0</v>
      </c>
      <c r="I1941" t="str">
        <f>getMount('RawData (GH)'!G1941)</f>
        <v>Fujifilm X</v>
      </c>
      <c r="J1941" t="str">
        <f>getSensorCompatibility('RawData (GH)'!H1941)</f>
        <v>APS-C</v>
      </c>
      <c r="K1941" s="45">
        <f>getWeightAsDouble('RawData (GH)'!I1941)</f>
        <v>210</v>
      </c>
      <c r="L1941" s="34">
        <f>getSizeDiameter('RawData (GH)'!J1941)</f>
        <v>65</v>
      </c>
      <c r="M1941" s="34">
        <f>getSizeLength('RawData (GH)'!J1941)</f>
        <v>58</v>
      </c>
    </row>
    <row r="1942" spans="1:13" x14ac:dyDescent="0.25">
      <c r="A1942" t="str">
        <f>'RawData (GH)'!A1942</f>
        <v>Zeiss Touit 32mm 1.8 für Sony E schwarz</v>
      </c>
      <c r="B1942" s="5">
        <f>getFocalLengthStart('RawData (GH)'!B1942)</f>
        <v>32</v>
      </c>
      <c r="C1942" s="5">
        <f>getFocalLengthEnd('RawData (GH)'!B1942)</f>
        <v>32</v>
      </c>
      <c r="D1942" s="9">
        <f>getApertureStart('RawData (GH)'!C1942)</f>
        <v>1.8</v>
      </c>
      <c r="E1942" s="9">
        <f>getApertureEnd('RawData (GH)'!C1942)</f>
        <v>1.8</v>
      </c>
      <c r="F1942" s="2">
        <f>getFiltersizeAsDouble('RawData (GH)'!D1942)</f>
        <v>52</v>
      </c>
      <c r="G1942" s="35">
        <f>getMagnification('RawData (GH)'!E1942)</f>
        <v>9</v>
      </c>
      <c r="H1942" s="62">
        <f>getMinimalFocus('RawData (GH)'!F1942)</f>
        <v>0</v>
      </c>
      <c r="I1942" t="str">
        <f>getMount('RawData (GH)'!G1942)</f>
        <v>Sony E</v>
      </c>
      <c r="J1942" t="str">
        <f>getSensorCompatibility('RawData (GH)'!H1942)</f>
        <v>APS-C</v>
      </c>
      <c r="K1942" s="45">
        <f>getWeightAsDouble('RawData (GH)'!I1942)</f>
        <v>200</v>
      </c>
      <c r="L1942" s="34">
        <f>getSizeDiameter('RawData (GH)'!J1942)</f>
        <v>65</v>
      </c>
      <c r="M1942" s="34">
        <f>getSizeLength('RawData (GH)'!J1942)</f>
        <v>60</v>
      </c>
    </row>
    <row r="1943" spans="1:13" x14ac:dyDescent="0.25">
      <c r="A1943" t="str">
        <f>'RawData (GH)'!A1943</f>
        <v>Zeiss Touit 50mm 2.8 für Fujifilm X schwarz</v>
      </c>
      <c r="B1943" s="5">
        <f>getFocalLengthStart('RawData (GH)'!B1943)</f>
        <v>50</v>
      </c>
      <c r="C1943" s="5">
        <f>getFocalLengthEnd('RawData (GH)'!B1943)</f>
        <v>50</v>
      </c>
      <c r="D1943" s="9">
        <f>getApertureStart('RawData (GH)'!C1943)</f>
        <v>2.8</v>
      </c>
      <c r="E1943" s="9">
        <f>getApertureEnd('RawData (GH)'!C1943)</f>
        <v>2.8</v>
      </c>
      <c r="F1943" s="2">
        <f>getFiltersizeAsDouble('RawData (GH)'!D1943)</f>
        <v>52</v>
      </c>
      <c r="G1943" s="35">
        <f>getMagnification('RawData (GH)'!E1943)</f>
        <v>1</v>
      </c>
      <c r="H1943" s="62">
        <f>getMinimalFocus('RawData (GH)'!F1943)</f>
        <v>0</v>
      </c>
      <c r="I1943" t="str">
        <f>getMount('RawData (GH)'!G1943)</f>
        <v>Fujifilm X</v>
      </c>
      <c r="J1943" t="str">
        <f>getSensorCompatibility('RawData (GH)'!H1943)</f>
        <v>APS-C</v>
      </c>
      <c r="K1943" s="45">
        <f>getWeightAsDouble('RawData (GH)'!I1943)</f>
        <v>290</v>
      </c>
      <c r="L1943" s="34">
        <f>getSizeDiameter('RawData (GH)'!J1943)</f>
        <v>65</v>
      </c>
      <c r="M1943" s="34">
        <f>getSizeLength('RawData (GH)'!J1943)</f>
        <v>91</v>
      </c>
    </row>
    <row r="1944" spans="1:13" x14ac:dyDescent="0.25">
      <c r="A1944" t="str">
        <f>'RawData (GH)'!A1944</f>
        <v>Zeiss Touit 50mm 2.8 für Sony E schwarz</v>
      </c>
      <c r="B1944" s="5">
        <f>getFocalLengthStart('RawData (GH)'!B1944)</f>
        <v>50</v>
      </c>
      <c r="C1944" s="5">
        <f>getFocalLengthEnd('RawData (GH)'!B1944)</f>
        <v>50</v>
      </c>
      <c r="D1944" s="9">
        <f>getApertureStart('RawData (GH)'!C1944)</f>
        <v>2.8</v>
      </c>
      <c r="E1944" s="9">
        <f>getApertureEnd('RawData (GH)'!C1944)</f>
        <v>2.8</v>
      </c>
      <c r="F1944" s="2">
        <f>getFiltersizeAsDouble('RawData (GH)'!D1944)</f>
        <v>52</v>
      </c>
      <c r="G1944" s="35">
        <f>getMagnification('RawData (GH)'!E1944)</f>
        <v>1</v>
      </c>
      <c r="H1944" s="62">
        <f>getMinimalFocus('RawData (GH)'!F1944)</f>
        <v>0</v>
      </c>
      <c r="I1944" t="str">
        <f>getMount('RawData (GH)'!G1944)</f>
        <v>Sony E</v>
      </c>
      <c r="J1944" t="str">
        <f>getSensorCompatibility('RawData (GH)'!H1944)</f>
        <v>APS-C</v>
      </c>
      <c r="K1944" s="45">
        <f>getWeightAsDouble('RawData (GH)'!I1944)</f>
        <v>290</v>
      </c>
      <c r="L1944" s="34">
        <f>getSizeDiameter('RawData (GH)'!J1944)</f>
        <v>65</v>
      </c>
      <c r="M1944" s="34">
        <f>getSizeLength('RawData (GH)'!J1944)</f>
        <v>91</v>
      </c>
    </row>
    <row r="1945" spans="1:13" x14ac:dyDescent="0.25">
      <c r="A1945" t="str">
        <f>'RawData (GH)'!A1945</f>
        <v>Zeiss ZE Apo Sonnar T* 135mm 2.0 für Canon EF schwarz</v>
      </c>
      <c r="B1945" s="5">
        <f>getFocalLengthStart('RawData (GH)'!B1945)</f>
        <v>135</v>
      </c>
      <c r="C1945" s="5">
        <f>getFocalLengthEnd('RawData (GH)'!B1945)</f>
        <v>135</v>
      </c>
      <c r="D1945" s="9">
        <f>getApertureStart('RawData (GH)'!C1945)</f>
        <v>2</v>
      </c>
      <c r="E1945" s="9">
        <f>getApertureEnd('RawData (GH)'!C1945)</f>
        <v>2</v>
      </c>
      <c r="F1945" s="2">
        <f>getFiltersizeAsDouble('RawData (GH)'!D1945)</f>
        <v>77</v>
      </c>
      <c r="G1945" s="35">
        <f>getMagnification('RawData (GH)'!E1945)</f>
        <v>4</v>
      </c>
      <c r="H1945" s="62">
        <f>getMinimalFocus('RawData (GH)'!F1945)</f>
        <v>0</v>
      </c>
      <c r="I1945" t="str">
        <f>getMount('RawData (GH)'!G1945)</f>
        <v>Canon EF</v>
      </c>
      <c r="J1945" t="str">
        <f>getSensorCompatibility('RawData (GH)'!H1945)</f>
        <v>APS-C/ Kleinbild</v>
      </c>
      <c r="K1945" s="45">
        <f>getWeightAsDouble('RawData (GH)'!I1945)</f>
        <v>930</v>
      </c>
      <c r="L1945" s="34">
        <f>getSizeDiameter('RawData (GH)'!J1945)</f>
        <v>84</v>
      </c>
      <c r="M1945" s="34">
        <f>getSizeLength('RawData (GH)'!J1945)</f>
        <v>108</v>
      </c>
    </row>
    <row r="1946" spans="1:13" x14ac:dyDescent="0.25">
      <c r="A1946" t="str">
        <f>'RawData (GH)'!A1946</f>
        <v>Zeiss ZE Distagon T* 15mm 2.8 für Canon EF schwarz</v>
      </c>
      <c r="B1946" s="5">
        <f>getFocalLengthStart('RawData (GH)'!B1946)</f>
        <v>15</v>
      </c>
      <c r="C1946" s="5">
        <f>getFocalLengthEnd('RawData (GH)'!B1946)</f>
        <v>15</v>
      </c>
      <c r="D1946" s="9">
        <f>getApertureStart('RawData (GH)'!C1946)</f>
        <v>2.8</v>
      </c>
      <c r="E1946" s="9">
        <f>getApertureEnd('RawData (GH)'!C1946)</f>
        <v>2.8</v>
      </c>
      <c r="F1946" s="2">
        <f>getFiltersizeAsDouble('RawData (GH)'!D1946)</f>
        <v>95</v>
      </c>
      <c r="G1946" s="35">
        <f>getMagnification('RawData (GH)'!E1946)</f>
        <v>18.18</v>
      </c>
      <c r="H1946" s="62">
        <f>getMinimalFocus('RawData (GH)'!F1946)</f>
        <v>0</v>
      </c>
      <c r="I1946" t="str">
        <f>getMount('RawData (GH)'!G1946)</f>
        <v>Canon EF</v>
      </c>
      <c r="J1946" t="str">
        <f>getSensorCompatibility('RawData (GH)'!H1946)</f>
        <v>APS-C/ Kleinbild</v>
      </c>
      <c r="K1946" s="45">
        <f>getWeightAsDouble('RawData (GH)'!I1946)</f>
        <v>820</v>
      </c>
      <c r="L1946" s="34">
        <f>getSizeDiameter('RawData (GH)'!J1946)</f>
        <v>103</v>
      </c>
      <c r="M1946" s="34">
        <f>getSizeLength('RawData (GH)'!J1946)</f>
        <v>135</v>
      </c>
    </row>
    <row r="1947" spans="1:13" x14ac:dyDescent="0.25">
      <c r="A1947" t="str">
        <f>'RawData (GH)'!A1947</f>
        <v>Zeiss ZE Distagon T* 18mm 3.5 für Canon EF schwarz</v>
      </c>
      <c r="B1947" s="5">
        <f>getFocalLengthStart('RawData (GH)'!B1947)</f>
        <v>18</v>
      </c>
      <c r="C1947" s="5">
        <f>getFocalLengthEnd('RawData (GH)'!B1947)</f>
        <v>18</v>
      </c>
      <c r="D1947" s="9">
        <f>getApertureStart('RawData (GH)'!C1947)</f>
        <v>3.5</v>
      </c>
      <c r="E1947" s="9">
        <f>getApertureEnd('RawData (GH)'!C1947)</f>
        <v>3.5</v>
      </c>
      <c r="F1947" s="2">
        <f>getFiltersizeAsDouble('RawData (GH)'!D1947)</f>
        <v>82</v>
      </c>
      <c r="G1947" s="35">
        <f>getMagnification('RawData (GH)'!E1947)</f>
        <v>12.05</v>
      </c>
      <c r="H1947" s="62">
        <f>getMinimalFocus('RawData (GH)'!F1947)</f>
        <v>0</v>
      </c>
      <c r="I1947" t="str">
        <f>getMount('RawData (GH)'!G1947)</f>
        <v>Canon EF</v>
      </c>
      <c r="J1947" t="str">
        <f>getSensorCompatibility('RawData (GH)'!H1947)</f>
        <v>APS-C/ Kleinbild</v>
      </c>
      <c r="K1947" s="45">
        <f>getWeightAsDouble('RawData (GH)'!I1947)</f>
        <v>470</v>
      </c>
      <c r="L1947" s="34">
        <f>getSizeDiameter('RawData (GH)'!J1947)</f>
        <v>87</v>
      </c>
      <c r="M1947" s="34">
        <f>getSizeLength('RawData (GH)'!J1947)</f>
        <v>84</v>
      </c>
    </row>
    <row r="1948" spans="1:13" x14ac:dyDescent="0.25">
      <c r="A1948" t="str">
        <f>'RawData (GH)'!A1948</f>
        <v>Zeiss ZE Distagon T* 21mm 2.8 für Canon EF schwarz</v>
      </c>
      <c r="B1948" s="5">
        <f>getFocalLengthStart('RawData (GH)'!B1948)</f>
        <v>21</v>
      </c>
      <c r="C1948" s="5">
        <f>getFocalLengthEnd('RawData (GH)'!B1948)</f>
        <v>21</v>
      </c>
      <c r="D1948" s="9">
        <f>getApertureStart('RawData (GH)'!C1948)</f>
        <v>2.8</v>
      </c>
      <c r="E1948" s="9">
        <f>getApertureEnd('RawData (GH)'!C1948)</f>
        <v>2.8</v>
      </c>
      <c r="F1948" s="2">
        <f>getFiltersizeAsDouble('RawData (GH)'!D1948)</f>
        <v>82</v>
      </c>
      <c r="G1948" s="35">
        <f>getMagnification('RawData (GH)'!E1948)</f>
        <v>0</v>
      </c>
      <c r="H1948" s="62">
        <f>getMinimalFocus('RawData (GH)'!F1948)</f>
        <v>0</v>
      </c>
      <c r="I1948" t="str">
        <f>getMount('RawData (GH)'!G1948)</f>
        <v>Canon EF</v>
      </c>
      <c r="J1948" t="str">
        <f>getSensorCompatibility('RawData (GH)'!H1948)</f>
        <v>APS-C/ Kleinbild</v>
      </c>
      <c r="K1948" s="45">
        <f>getWeightAsDouble('RawData (GH)'!I1948)</f>
        <v>600</v>
      </c>
      <c r="L1948" s="34">
        <f>getSizeDiameter('RawData (GH)'!J1948)</f>
        <v>87</v>
      </c>
      <c r="M1948" s="34">
        <f>getSizeLength('RawData (GH)'!J1948)</f>
        <v>109</v>
      </c>
    </row>
    <row r="1949" spans="1:13" x14ac:dyDescent="0.25">
      <c r="A1949" t="str">
        <f>'RawData (GH)'!A1949</f>
        <v>Zeiss ZE Distagon T* 25mm 2.0 für Canon EF schwarz</v>
      </c>
      <c r="B1949" s="5">
        <f>getFocalLengthStart('RawData (GH)'!B1949)</f>
        <v>25</v>
      </c>
      <c r="C1949" s="5">
        <f>getFocalLengthEnd('RawData (GH)'!B1949)</f>
        <v>25</v>
      </c>
      <c r="D1949" s="9">
        <f>getApertureStart('RawData (GH)'!C1949)</f>
        <v>2</v>
      </c>
      <c r="E1949" s="9">
        <f>getApertureEnd('RawData (GH)'!C1949)</f>
        <v>2</v>
      </c>
      <c r="F1949" s="2">
        <f>getFiltersizeAsDouble('RawData (GH)'!D1949)</f>
        <v>67</v>
      </c>
      <c r="G1949" s="35">
        <f>getMagnification('RawData (GH)'!E1949)</f>
        <v>5.88</v>
      </c>
      <c r="H1949" s="62">
        <f>getMinimalFocus('RawData (GH)'!F1949)</f>
        <v>0</v>
      </c>
      <c r="I1949" t="str">
        <f>getMount('RawData (GH)'!G1949)</f>
        <v>Canon EF</v>
      </c>
      <c r="J1949" t="str">
        <f>getSensorCompatibility('RawData (GH)'!H1949)</f>
        <v>APS-C/ Kleinbild</v>
      </c>
      <c r="K1949" s="45">
        <f>getWeightAsDouble('RawData (GH)'!I1949)</f>
        <v>600</v>
      </c>
      <c r="L1949" s="34">
        <f>getSizeDiameter('RawData (GH)'!J1949)</f>
        <v>73</v>
      </c>
      <c r="M1949" s="34">
        <f>getSizeLength('RawData (GH)'!J1949)</f>
        <v>98</v>
      </c>
    </row>
    <row r="1950" spans="1:13" x14ac:dyDescent="0.25">
      <c r="A1950" t="str">
        <f>'RawData (GH)'!A1950</f>
        <v>Zeiss ZE Distagon T* 28mm 2.0 für Canon EF schwarz</v>
      </c>
      <c r="B1950" s="5">
        <f>getFocalLengthStart('RawData (GH)'!B1950)</f>
        <v>28</v>
      </c>
      <c r="C1950" s="5">
        <f>getFocalLengthEnd('RawData (GH)'!B1950)</f>
        <v>28</v>
      </c>
      <c r="D1950" s="9">
        <f>getApertureStart('RawData (GH)'!C1950)</f>
        <v>2</v>
      </c>
      <c r="E1950" s="9">
        <f>getApertureEnd('RawData (GH)'!C1950)</f>
        <v>2</v>
      </c>
      <c r="F1950" s="2">
        <f>getFiltersizeAsDouble('RawData (GH)'!D1950)</f>
        <v>0</v>
      </c>
      <c r="G1950" s="35">
        <f>getMagnification('RawData (GH)'!E1950)</f>
        <v>4</v>
      </c>
      <c r="H1950" s="62">
        <f>getMinimalFocus('RawData (GH)'!F1950)</f>
        <v>0</v>
      </c>
      <c r="I1950" t="str">
        <f>getMount('RawData (GH)'!G1950)</f>
        <v>Canon EF</v>
      </c>
      <c r="J1950" t="str">
        <f>getSensorCompatibility('RawData (GH)'!H1950)</f>
        <v>APS-C/ Kleinbild</v>
      </c>
      <c r="K1950" s="45">
        <f>getWeightAsDouble('RawData (GH)'!I1950)</f>
        <v>530</v>
      </c>
      <c r="L1950" s="34">
        <f>getSizeDiameter('RawData (GH)'!J1950)</f>
        <v>65</v>
      </c>
      <c r="M1950" s="34">
        <f>getSizeLength('RawData (GH)'!J1950)</f>
        <v>94</v>
      </c>
    </row>
    <row r="1951" spans="1:13" x14ac:dyDescent="0.25">
      <c r="A1951" t="str">
        <f>'RawData (GH)'!A1951</f>
        <v>Zeiss ZE Distagon T* 35mm 1.4 für Canon EF schwarz</v>
      </c>
      <c r="B1951" s="5">
        <f>getFocalLengthStart('RawData (GH)'!B1951)</f>
        <v>35</v>
      </c>
      <c r="C1951" s="5">
        <f>getFocalLengthEnd('RawData (GH)'!B1951)</f>
        <v>35</v>
      </c>
      <c r="D1951" s="9">
        <f>getApertureStart('RawData (GH)'!C1951)</f>
        <v>1.4</v>
      </c>
      <c r="E1951" s="9">
        <f>getApertureEnd('RawData (GH)'!C1951)</f>
        <v>1.4</v>
      </c>
      <c r="F1951" s="2">
        <f>getFiltersizeAsDouble('RawData (GH)'!D1951)</f>
        <v>72</v>
      </c>
      <c r="G1951" s="35">
        <f>getMagnification('RawData (GH)'!E1951)</f>
        <v>5</v>
      </c>
      <c r="H1951" s="62">
        <f>getMinimalFocus('RawData (GH)'!F1951)</f>
        <v>0</v>
      </c>
      <c r="I1951" t="str">
        <f>getMount('RawData (GH)'!G1951)</f>
        <v>Canon EF</v>
      </c>
      <c r="J1951" t="str">
        <f>getSensorCompatibility('RawData (GH)'!H1951)</f>
        <v>APS-C/ Kleinbild</v>
      </c>
      <c r="K1951" s="45">
        <f>getWeightAsDouble('RawData (GH)'!I1951)</f>
        <v>900</v>
      </c>
      <c r="L1951" s="34">
        <f>getSizeDiameter('RawData (GH)'!J1951)</f>
        <v>78</v>
      </c>
      <c r="M1951" s="34">
        <f>getSizeLength('RawData (GH)'!J1951)</f>
        <v>120</v>
      </c>
    </row>
    <row r="1952" spans="1:13" x14ac:dyDescent="0.25">
      <c r="A1952" t="str">
        <f>'RawData (GH)'!A1952</f>
        <v>Zeiss ZE Distagon T* 35mm 2.0 für Canon EF schwarz</v>
      </c>
      <c r="B1952" s="5">
        <f>getFocalLengthStart('RawData (GH)'!B1952)</f>
        <v>35</v>
      </c>
      <c r="C1952" s="5">
        <f>getFocalLengthEnd('RawData (GH)'!B1952)</f>
        <v>35</v>
      </c>
      <c r="D1952" s="9">
        <f>getApertureStart('RawData (GH)'!C1952)</f>
        <v>2</v>
      </c>
      <c r="E1952" s="9">
        <f>getApertureEnd('RawData (GH)'!C1952)</f>
        <v>2</v>
      </c>
      <c r="F1952" s="2">
        <f>getFiltersizeAsDouble('RawData (GH)'!D1952)</f>
        <v>58</v>
      </c>
      <c r="G1952" s="35">
        <f>getMagnification('RawData (GH)'!E1952)</f>
        <v>0</v>
      </c>
      <c r="H1952" s="62">
        <f>getMinimalFocus('RawData (GH)'!F1952)</f>
        <v>0</v>
      </c>
      <c r="I1952" t="str">
        <f>getMount('RawData (GH)'!G1952)</f>
        <v>Canon EF</v>
      </c>
      <c r="J1952" t="str">
        <f>getSensorCompatibility('RawData (GH)'!H1952)</f>
        <v>APS-C/ Kleinbild</v>
      </c>
      <c r="K1952" s="45">
        <f>getWeightAsDouble('RawData (GH)'!I1952)</f>
        <v>530</v>
      </c>
      <c r="L1952" s="34">
        <f>getSizeDiameter('RawData (GH)'!J1952)</f>
        <v>65</v>
      </c>
      <c r="M1952" s="34">
        <f>getSizeLength('RawData (GH)'!J1952)</f>
        <v>73</v>
      </c>
    </row>
    <row r="1953" spans="1:13" x14ac:dyDescent="0.25">
      <c r="A1953" t="str">
        <f>'RawData (GH)'!A1953</f>
        <v>Zeiss ZE Makro-Planar T* 100mm 2.0 für Canon EF schwarz</v>
      </c>
      <c r="B1953" s="5">
        <f>getFocalLengthStart('RawData (GH)'!B1953)</f>
        <v>100</v>
      </c>
      <c r="C1953" s="5">
        <f>getFocalLengthEnd('RawData (GH)'!B1953)</f>
        <v>100</v>
      </c>
      <c r="D1953" s="9">
        <f>getApertureStart('RawData (GH)'!C1953)</f>
        <v>2</v>
      </c>
      <c r="E1953" s="9">
        <f>getApertureEnd('RawData (GH)'!C1953)</f>
        <v>2</v>
      </c>
      <c r="F1953" s="2">
        <f>getFiltersizeAsDouble('RawData (GH)'!D1953)</f>
        <v>67</v>
      </c>
      <c r="G1953" s="35">
        <f>getMagnification('RawData (GH)'!E1953)</f>
        <v>2</v>
      </c>
      <c r="H1953" s="62">
        <f>getMinimalFocus('RawData (GH)'!F1953)</f>
        <v>0</v>
      </c>
      <c r="I1953" t="str">
        <f>getMount('RawData (GH)'!G1953)</f>
        <v>Canon EF</v>
      </c>
      <c r="J1953" t="str">
        <f>getSensorCompatibility('RawData (GH)'!H1953)</f>
        <v>APS-C/ Kleinbild</v>
      </c>
      <c r="K1953" s="45">
        <f>getWeightAsDouble('RawData (GH)'!I1953)</f>
        <v>680</v>
      </c>
      <c r="L1953" s="34">
        <f>getSizeDiameter('RawData (GH)'!J1953)</f>
        <v>76</v>
      </c>
      <c r="M1953" s="34">
        <f>getSizeLength('RawData (GH)'!J1953)</f>
        <v>89</v>
      </c>
    </row>
    <row r="1954" spans="1:13" x14ac:dyDescent="0.25">
      <c r="A1954" t="str">
        <f>'RawData (GH)'!A1954</f>
        <v>Zeiss ZE Makro-Planar T* 50mm 2.0 für Canon EF schwarz</v>
      </c>
      <c r="B1954" s="5">
        <f>getFocalLengthStart('RawData (GH)'!B1954)</f>
        <v>50</v>
      </c>
      <c r="C1954" s="5">
        <f>getFocalLengthEnd('RawData (GH)'!B1954)</f>
        <v>50</v>
      </c>
      <c r="D1954" s="9">
        <f>getApertureStart('RawData (GH)'!C1954)</f>
        <v>2</v>
      </c>
      <c r="E1954" s="9">
        <f>getApertureEnd('RawData (GH)'!C1954)</f>
        <v>2</v>
      </c>
      <c r="F1954" s="2">
        <f>getFiltersizeAsDouble('RawData (GH)'!D1954)</f>
        <v>67</v>
      </c>
      <c r="G1954" s="35">
        <f>getMagnification('RawData (GH)'!E1954)</f>
        <v>0</v>
      </c>
      <c r="H1954" s="62">
        <f>getMinimalFocus('RawData (GH)'!F1954)</f>
        <v>0</v>
      </c>
      <c r="I1954" t="str">
        <f>getMount('RawData (GH)'!G1954)</f>
        <v>Canon EF</v>
      </c>
      <c r="J1954" t="str">
        <f>getSensorCompatibility('RawData (GH)'!H1954)</f>
        <v>APS-C/ Kleinbild</v>
      </c>
      <c r="K1954" s="45">
        <f>getWeightAsDouble('RawData (GH)'!I1954)</f>
        <v>530</v>
      </c>
      <c r="L1954" s="34">
        <f>getSizeDiameter('RawData (GH)'!J1954)</f>
        <v>72</v>
      </c>
      <c r="M1954" s="34">
        <f>getSizeLength('RawData (GH)'!J1954)</f>
        <v>65</v>
      </c>
    </row>
    <row r="1955" spans="1:13" x14ac:dyDescent="0.25">
      <c r="A1955" t="str">
        <f>'RawData (GH)'!A1955</f>
        <v>Zeiss ZE Milvus 100mm 2.0 Makro für Canon EF schwarz</v>
      </c>
      <c r="B1955" s="5">
        <f>getFocalLengthStart('RawData (GH)'!B1955)</f>
        <v>100</v>
      </c>
      <c r="C1955" s="5">
        <f>getFocalLengthEnd('RawData (GH)'!B1955)</f>
        <v>100</v>
      </c>
      <c r="D1955" s="9">
        <f>getApertureStart('RawData (GH)'!C1955)</f>
        <v>2</v>
      </c>
      <c r="E1955" s="9">
        <f>getApertureEnd('RawData (GH)'!C1955)</f>
        <v>2</v>
      </c>
      <c r="F1955" s="2">
        <f>getFiltersizeAsDouble('RawData (GH)'!D1955)</f>
        <v>67</v>
      </c>
      <c r="G1955" s="35">
        <f>getMagnification('RawData (GH)'!E1955)</f>
        <v>2</v>
      </c>
      <c r="H1955" s="62">
        <f>getMinimalFocus('RawData (GH)'!F1955)</f>
        <v>0</v>
      </c>
      <c r="I1955" t="str">
        <f>getMount('RawData (GH)'!G1955)</f>
        <v>Canon EF</v>
      </c>
      <c r="J1955" t="str">
        <f>getSensorCompatibility('RawData (GH)'!H1955)</f>
        <v>APS-C/ Kleinbild</v>
      </c>
      <c r="K1955" s="45">
        <f>getWeightAsDouble('RawData (GH)'!I1955)</f>
        <v>843</v>
      </c>
      <c r="L1955" s="34">
        <f>getSizeDiameter('RawData (GH)'!J1955)</f>
        <v>80.5</v>
      </c>
      <c r="M1955" s="34">
        <f>getSizeLength('RawData (GH)'!J1955)</f>
        <v>104</v>
      </c>
    </row>
    <row r="1956" spans="1:13" x14ac:dyDescent="0.25">
      <c r="A1956" t="str">
        <f>'RawData (GH)'!A1956</f>
        <v>Zeiss ZE Milvus 135mm 2.0 für Canon EF schwarz</v>
      </c>
      <c r="B1956" s="5">
        <f>getFocalLengthStart('RawData (GH)'!B1956)</f>
        <v>135</v>
      </c>
      <c r="C1956" s="5">
        <f>getFocalLengthEnd('RawData (GH)'!B1956)</f>
        <v>135</v>
      </c>
      <c r="D1956" s="9">
        <f>getApertureStart('RawData (GH)'!C1956)</f>
        <v>2</v>
      </c>
      <c r="E1956" s="9">
        <f>getApertureEnd('RawData (GH)'!C1956)</f>
        <v>2</v>
      </c>
      <c r="F1956" s="2">
        <f>getFiltersizeAsDouble('RawData (GH)'!D1956)</f>
        <v>77</v>
      </c>
      <c r="G1956" s="35">
        <f>getMagnification('RawData (GH)'!E1956)</f>
        <v>4</v>
      </c>
      <c r="H1956" s="62">
        <f>getMinimalFocus('RawData (GH)'!F1956)</f>
        <v>0</v>
      </c>
      <c r="I1956" t="str">
        <f>getMount('RawData (GH)'!G1956)</f>
        <v>Canon EF</v>
      </c>
      <c r="J1956" t="str">
        <f>getSensorCompatibility('RawData (GH)'!H1956)</f>
        <v>APS-C/ Kleinbild</v>
      </c>
      <c r="K1956" s="45">
        <f>getWeightAsDouble('RawData (GH)'!I1956)</f>
        <v>1120</v>
      </c>
      <c r="L1956" s="34">
        <f>getSizeDiameter('RawData (GH)'!J1956)</f>
        <v>89.7</v>
      </c>
      <c r="M1956" s="34">
        <f>getSizeLength('RawData (GH)'!J1956)</f>
        <v>115</v>
      </c>
    </row>
    <row r="1957" spans="1:13" x14ac:dyDescent="0.25">
      <c r="A1957" t="str">
        <f>'RawData (GH)'!A1957</f>
        <v>Zeiss ZE Milvus 15mm 2.8 für Canon EF schwarz</v>
      </c>
      <c r="B1957" s="5">
        <f>getFocalLengthStart('RawData (GH)'!B1957)</f>
        <v>15</v>
      </c>
      <c r="C1957" s="5">
        <f>getFocalLengthEnd('RawData (GH)'!B1957)</f>
        <v>15</v>
      </c>
      <c r="D1957" s="9">
        <f>getApertureStart('RawData (GH)'!C1957)</f>
        <v>2.8</v>
      </c>
      <c r="E1957" s="9">
        <f>getApertureEnd('RawData (GH)'!C1957)</f>
        <v>2.8</v>
      </c>
      <c r="F1957" s="2">
        <f>getFiltersizeAsDouble('RawData (GH)'!D1957)</f>
        <v>95</v>
      </c>
      <c r="G1957" s="35">
        <f>getMagnification('RawData (GH)'!E1957)</f>
        <v>9</v>
      </c>
      <c r="H1957" s="62">
        <f>getMinimalFocus('RawData (GH)'!F1957)</f>
        <v>0</v>
      </c>
      <c r="I1957" t="str">
        <f>getMount('RawData (GH)'!G1957)</f>
        <v>Canon EF</v>
      </c>
      <c r="J1957" t="str">
        <f>getSensorCompatibility('RawData (GH)'!H1957)</f>
        <v>APS-C/ Kleinbild</v>
      </c>
      <c r="K1957" s="45">
        <f>getWeightAsDouble('RawData (GH)'!I1957)</f>
        <v>947</v>
      </c>
      <c r="L1957" s="34">
        <f>getSizeDiameter('RawData (GH)'!J1957)</f>
        <v>102.3</v>
      </c>
      <c r="M1957" s="34">
        <f>getSizeLength('RawData (GH)'!J1957)</f>
        <v>100.2</v>
      </c>
    </row>
    <row r="1958" spans="1:13" x14ac:dyDescent="0.25">
      <c r="A1958" t="str">
        <f>'RawData (GH)'!A1958</f>
        <v>Zeiss ZE Milvus 18mm 2.8 für Canon EF schwarz</v>
      </c>
      <c r="B1958" s="5">
        <f>getFocalLengthStart('RawData (GH)'!B1958)</f>
        <v>18</v>
      </c>
      <c r="C1958" s="5">
        <f>getFocalLengthEnd('RawData (GH)'!B1958)</f>
        <v>18</v>
      </c>
      <c r="D1958" s="9">
        <f>getApertureStart('RawData (GH)'!C1958)</f>
        <v>2.8</v>
      </c>
      <c r="E1958" s="9">
        <f>getApertureEnd('RawData (GH)'!C1958)</f>
        <v>2.8</v>
      </c>
      <c r="F1958" s="2">
        <f>getFiltersizeAsDouble('RawData (GH)'!D1958)</f>
        <v>77</v>
      </c>
      <c r="G1958" s="35">
        <f>getMagnification('RawData (GH)'!E1958)</f>
        <v>7.4</v>
      </c>
      <c r="H1958" s="62">
        <f>getMinimalFocus('RawData (GH)'!F1958)</f>
        <v>0</v>
      </c>
      <c r="I1958" t="str">
        <f>getMount('RawData (GH)'!G1958)</f>
        <v>Canon EF</v>
      </c>
      <c r="J1958" t="str">
        <f>getSensorCompatibility('RawData (GH)'!H1958)</f>
        <v>APS-C/ Kleinbild</v>
      </c>
      <c r="K1958" s="45">
        <f>getWeightAsDouble('RawData (GH)'!I1958)</f>
        <v>721</v>
      </c>
      <c r="L1958" s="34">
        <f>getSizeDiameter('RawData (GH)'!J1958)</f>
        <v>90</v>
      </c>
      <c r="M1958" s="34">
        <f>getSizeLength('RawData (GH)'!J1958)</f>
        <v>93</v>
      </c>
    </row>
    <row r="1959" spans="1:13" x14ac:dyDescent="0.25">
      <c r="A1959" t="str">
        <f>'RawData (GH)'!A1959</f>
        <v>Zeiss ZE Milvus 21mm 2.8 für Canon EF schwarz</v>
      </c>
      <c r="B1959" s="5">
        <f>getFocalLengthStart('RawData (GH)'!B1959)</f>
        <v>21</v>
      </c>
      <c r="C1959" s="5">
        <f>getFocalLengthEnd('RawData (GH)'!B1959)</f>
        <v>21</v>
      </c>
      <c r="D1959" s="9">
        <f>getApertureStart('RawData (GH)'!C1959)</f>
        <v>2.8</v>
      </c>
      <c r="E1959" s="9">
        <f>getApertureEnd('RawData (GH)'!C1959)</f>
        <v>2.8</v>
      </c>
      <c r="F1959" s="2">
        <f>getFiltersizeAsDouble('RawData (GH)'!D1959)</f>
        <v>82</v>
      </c>
      <c r="G1959" s="35">
        <f>getMagnification('RawData (GH)'!E1959)</f>
        <v>5</v>
      </c>
      <c r="H1959" s="62">
        <f>getMinimalFocus('RawData (GH)'!F1959)</f>
        <v>0</v>
      </c>
      <c r="I1959" t="str">
        <f>getMount('RawData (GH)'!G1959)</f>
        <v>Canon EF</v>
      </c>
      <c r="J1959" t="str">
        <f>getSensorCompatibility('RawData (GH)'!H1959)</f>
        <v>APS-C/ Kleinbild</v>
      </c>
      <c r="K1959" s="45">
        <f>getWeightAsDouble('RawData (GH)'!I1959)</f>
        <v>851</v>
      </c>
      <c r="L1959" s="34">
        <f>getSizeDiameter('RawData (GH)'!J1959)</f>
        <v>95.5</v>
      </c>
      <c r="M1959" s="34">
        <f>getSizeLength('RawData (GH)'!J1959)</f>
        <v>95</v>
      </c>
    </row>
    <row r="1960" spans="1:13" x14ac:dyDescent="0.25">
      <c r="A1960" t="str">
        <f>'RawData (GH)'!A1960</f>
        <v>Zeiss ZE Milvus 25mm 1.4 für Canon EF schwarz</v>
      </c>
      <c r="B1960" s="5">
        <f>getFocalLengthStart('RawData (GH)'!B1960)</f>
        <v>25</v>
      </c>
      <c r="C1960" s="5">
        <f>getFocalLengthEnd('RawData (GH)'!B1960)</f>
        <v>25</v>
      </c>
      <c r="D1960" s="9">
        <f>getApertureStart('RawData (GH)'!C1960)</f>
        <v>1.4</v>
      </c>
      <c r="E1960" s="9">
        <f>getApertureEnd('RawData (GH)'!C1960)</f>
        <v>1.4</v>
      </c>
      <c r="F1960" s="2">
        <f>getFiltersizeAsDouble('RawData (GH)'!D1960)</f>
        <v>82</v>
      </c>
      <c r="G1960" s="35">
        <f>getMagnification('RawData (GH)'!E1960)</f>
        <v>4.5999999999999996</v>
      </c>
      <c r="H1960" s="62">
        <f>getMinimalFocus('RawData (GH)'!F1960)</f>
        <v>0</v>
      </c>
      <c r="I1960" t="str">
        <f>getMount('RawData (GH)'!G1960)</f>
        <v>Canon EF</v>
      </c>
      <c r="J1960" t="str">
        <f>getSensorCompatibility('RawData (GH)'!H1960)</f>
        <v>APS-C/ Kleinbild</v>
      </c>
      <c r="K1960" s="45">
        <f>getWeightAsDouble('RawData (GH)'!I1960)</f>
        <v>1230</v>
      </c>
      <c r="L1960" s="34">
        <f>getSizeDiameter('RawData (GH)'!J1960)</f>
        <v>95.2</v>
      </c>
      <c r="M1960" s="34">
        <f>getSizeLength('RawData (GH)'!J1960)</f>
        <v>122.5</v>
      </c>
    </row>
    <row r="1961" spans="1:13" x14ac:dyDescent="0.25">
      <c r="A1961" t="str">
        <f>'RawData (GH)'!A1961</f>
        <v>Zeiss ZE Milvus 35mm 1.4 für Canon EF schwarz</v>
      </c>
      <c r="B1961" s="5">
        <f>getFocalLengthStart('RawData (GH)'!B1961)</f>
        <v>35</v>
      </c>
      <c r="C1961" s="5">
        <f>getFocalLengthEnd('RawData (GH)'!B1961)</f>
        <v>35</v>
      </c>
      <c r="D1961" s="9">
        <f>getApertureStart('RawData (GH)'!C1961)</f>
        <v>1.4</v>
      </c>
      <c r="E1961" s="9">
        <f>getApertureEnd('RawData (GH)'!C1961)</f>
        <v>1.4</v>
      </c>
      <c r="F1961" s="2">
        <f>getFiltersizeAsDouble('RawData (GH)'!D1961)</f>
        <v>72</v>
      </c>
      <c r="G1961" s="35">
        <f>getMagnification('RawData (GH)'!E1961)</f>
        <v>4.5999999999999996</v>
      </c>
      <c r="H1961" s="62">
        <f>getMinimalFocus('RawData (GH)'!F1961)</f>
        <v>0</v>
      </c>
      <c r="I1961" t="str">
        <f>getMount('RawData (GH)'!G1961)</f>
        <v>Canon EF</v>
      </c>
      <c r="J1961" t="str">
        <f>getSensorCompatibility('RawData (GH)'!H1961)</f>
        <v>APS-C/ Kleinbild</v>
      </c>
      <c r="K1961" s="45">
        <f>getWeightAsDouble('RawData (GH)'!I1961)</f>
        <v>1170</v>
      </c>
      <c r="L1961" s="34">
        <f>getSizeDiameter('RawData (GH)'!J1961)</f>
        <v>84.8</v>
      </c>
      <c r="M1961" s="34">
        <f>getSizeLength('RawData (GH)'!J1961)</f>
        <v>125.6</v>
      </c>
    </row>
    <row r="1962" spans="1:13" x14ac:dyDescent="0.25">
      <c r="A1962" t="str">
        <f>'RawData (GH)'!A1962</f>
        <v>Zeiss ZE Milvus 35mm 2.0 für Canon EF schwarz</v>
      </c>
      <c r="B1962" s="5">
        <f>getFocalLengthStart('RawData (GH)'!B1962)</f>
        <v>35</v>
      </c>
      <c r="C1962" s="5">
        <f>getFocalLengthEnd('RawData (GH)'!B1962)</f>
        <v>35</v>
      </c>
      <c r="D1962" s="9">
        <f>getApertureStart('RawData (GH)'!C1962)</f>
        <v>2</v>
      </c>
      <c r="E1962" s="9">
        <f>getApertureEnd('RawData (GH)'!C1962)</f>
        <v>2</v>
      </c>
      <c r="F1962" s="2">
        <f>getFiltersizeAsDouble('RawData (GH)'!D1962)</f>
        <v>58</v>
      </c>
      <c r="G1962" s="35">
        <f>getMagnification('RawData (GH)'!E1962)</f>
        <v>5.3</v>
      </c>
      <c r="H1962" s="62">
        <f>getMinimalFocus('RawData (GH)'!F1962)</f>
        <v>0</v>
      </c>
      <c r="I1962" t="str">
        <f>getMount('RawData (GH)'!G1962)</f>
        <v>Canon EF</v>
      </c>
      <c r="J1962" t="str">
        <f>getSensorCompatibility('RawData (GH)'!H1962)</f>
        <v>APS-C/ Kleinbild</v>
      </c>
      <c r="K1962" s="45">
        <f>getWeightAsDouble('RawData (GH)'!I1962)</f>
        <v>702</v>
      </c>
      <c r="L1962" s="34">
        <f>getSizeDiameter('RawData (GH)'!J1962)</f>
        <v>77</v>
      </c>
      <c r="M1962" s="34">
        <f>getSizeLength('RawData (GH)'!J1962)</f>
        <v>83</v>
      </c>
    </row>
    <row r="1963" spans="1:13" x14ac:dyDescent="0.25">
      <c r="A1963" t="str">
        <f>'RawData (GH)'!A1963</f>
        <v>Zeiss ZE Milvus 50mm 1.4 für Canon EF schwarz</v>
      </c>
      <c r="B1963" s="5">
        <f>getFocalLengthStart('RawData (GH)'!B1963)</f>
        <v>50</v>
      </c>
      <c r="C1963" s="5">
        <f>getFocalLengthEnd('RawData (GH)'!B1963)</f>
        <v>50</v>
      </c>
      <c r="D1963" s="9">
        <f>getApertureStart('RawData (GH)'!C1963)</f>
        <v>1.4</v>
      </c>
      <c r="E1963" s="9">
        <f>getApertureEnd('RawData (GH)'!C1963)</f>
        <v>1.4</v>
      </c>
      <c r="F1963" s="2">
        <f>getFiltersizeAsDouble('RawData (GH)'!D1963)</f>
        <v>67</v>
      </c>
      <c r="G1963" s="35">
        <f>getMagnification('RawData (GH)'!E1963)</f>
        <v>6.7</v>
      </c>
      <c r="H1963" s="62">
        <f>getMinimalFocus('RawData (GH)'!F1963)</f>
        <v>0</v>
      </c>
      <c r="I1963" t="str">
        <f>getMount('RawData (GH)'!G1963)</f>
        <v>Canon EF</v>
      </c>
      <c r="J1963" t="str">
        <f>getSensorCompatibility('RawData (GH)'!H1963)</f>
        <v>APS-C/ Kleinbild</v>
      </c>
      <c r="K1963" s="45">
        <f>getWeightAsDouble('RawData (GH)'!I1963)</f>
        <v>922</v>
      </c>
      <c r="L1963" s="34">
        <f>getSizeDiameter('RawData (GH)'!J1963)</f>
        <v>82.5</v>
      </c>
      <c r="M1963" s="34">
        <f>getSizeLength('RawData (GH)'!J1963)</f>
        <v>97.5</v>
      </c>
    </row>
    <row r="1964" spans="1:13" x14ac:dyDescent="0.25">
      <c r="A1964" t="str">
        <f>'RawData (GH)'!A1964</f>
        <v>Zeiss ZE Milvus 50mm 2.0 Makro für Canon EF schwarz</v>
      </c>
      <c r="B1964" s="5">
        <f>getFocalLengthStart('RawData (GH)'!B1964)</f>
        <v>50</v>
      </c>
      <c r="C1964" s="5">
        <f>getFocalLengthEnd('RawData (GH)'!B1964)</f>
        <v>50</v>
      </c>
      <c r="D1964" s="9">
        <f>getApertureStart('RawData (GH)'!C1964)</f>
        <v>2</v>
      </c>
      <c r="E1964" s="9">
        <f>getApertureEnd('RawData (GH)'!C1964)</f>
        <v>2</v>
      </c>
      <c r="F1964" s="2">
        <f>getFiltersizeAsDouble('RawData (GH)'!D1964)</f>
        <v>67</v>
      </c>
      <c r="G1964" s="35">
        <f>getMagnification('RawData (GH)'!E1964)</f>
        <v>2</v>
      </c>
      <c r="H1964" s="62">
        <f>getMinimalFocus('RawData (GH)'!F1964)</f>
        <v>0</v>
      </c>
      <c r="I1964" t="str">
        <f>getMount('RawData (GH)'!G1964)</f>
        <v>Canon EF</v>
      </c>
      <c r="J1964" t="str">
        <f>getSensorCompatibility('RawData (GH)'!H1964)</f>
        <v>APS-C/ Kleinbild</v>
      </c>
      <c r="K1964" s="45">
        <f>getWeightAsDouble('RawData (GH)'!I1964)</f>
        <v>730</v>
      </c>
      <c r="L1964" s="34">
        <f>getSizeDiameter('RawData (GH)'!J1964)</f>
        <v>81</v>
      </c>
      <c r="M1964" s="34">
        <f>getSizeLength('RawData (GH)'!J1964)</f>
        <v>75.3</v>
      </c>
    </row>
    <row r="1965" spans="1:13" x14ac:dyDescent="0.25">
      <c r="A1965" t="str">
        <f>'RawData (GH)'!A1965</f>
        <v>Zeiss ZE Milvus 85mm 1.4 für Canon EF schwarz</v>
      </c>
      <c r="B1965" s="5">
        <f>getFocalLengthStart('RawData (GH)'!B1965)</f>
        <v>85</v>
      </c>
      <c r="C1965" s="5">
        <f>getFocalLengthEnd('RawData (GH)'!B1965)</f>
        <v>85</v>
      </c>
      <c r="D1965" s="9">
        <f>getApertureStart('RawData (GH)'!C1965)</f>
        <v>1.4</v>
      </c>
      <c r="E1965" s="9">
        <f>getApertureEnd('RawData (GH)'!C1965)</f>
        <v>1.4</v>
      </c>
      <c r="F1965" s="2">
        <f>getFiltersizeAsDouble('RawData (GH)'!D1965)</f>
        <v>77</v>
      </c>
      <c r="G1965" s="35">
        <f>getMagnification('RawData (GH)'!E1965)</f>
        <v>8.3000000000000007</v>
      </c>
      <c r="H1965" s="62">
        <f>getMinimalFocus('RawData (GH)'!F1965)</f>
        <v>0</v>
      </c>
      <c r="I1965" t="str">
        <f>getMount('RawData (GH)'!G1965)</f>
        <v>Canon EF</v>
      </c>
      <c r="J1965" t="str">
        <f>getSensorCompatibility('RawData (GH)'!H1965)</f>
        <v>APS-C/ Kleinbild</v>
      </c>
      <c r="K1965" s="45">
        <f>getWeightAsDouble('RawData (GH)'!I1965)</f>
        <v>1280</v>
      </c>
      <c r="L1965" s="34">
        <f>getSizeDiameter('RawData (GH)'!J1965)</f>
        <v>90</v>
      </c>
      <c r="M1965" s="34">
        <f>getSizeLength('RawData (GH)'!J1965)</f>
        <v>113</v>
      </c>
    </row>
    <row r="1966" spans="1:13" x14ac:dyDescent="0.25">
      <c r="A1966" t="str">
        <f>'RawData (GH)'!A1966</f>
        <v>Zeiss ZE Otus 28mm 1.4 für Canon EF schwarz</v>
      </c>
      <c r="B1966" s="5">
        <f>getFocalLengthStart('RawData (GH)'!B1966)</f>
        <v>28</v>
      </c>
      <c r="C1966" s="5">
        <f>getFocalLengthEnd('RawData (GH)'!B1966)</f>
        <v>28</v>
      </c>
      <c r="D1966" s="9">
        <f>getApertureStart('RawData (GH)'!C1966)</f>
        <v>1.4</v>
      </c>
      <c r="E1966" s="9">
        <f>getApertureEnd('RawData (GH)'!C1966)</f>
        <v>1.4</v>
      </c>
      <c r="F1966" s="2">
        <f>getFiltersizeAsDouble('RawData (GH)'!D1966)</f>
        <v>95</v>
      </c>
      <c r="G1966" s="35">
        <f>getMagnification('RawData (GH)'!E1966)</f>
        <v>6.25</v>
      </c>
      <c r="H1966" s="62">
        <f>getMinimalFocus('RawData (GH)'!F1966)</f>
        <v>0</v>
      </c>
      <c r="I1966" t="str">
        <f>getMount('RawData (GH)'!G1966)</f>
        <v>Canon EF</v>
      </c>
      <c r="J1966" t="str">
        <f>getSensorCompatibility('RawData (GH)'!H1966)</f>
        <v>APS-C/ Kleinbild</v>
      </c>
      <c r="K1966" s="45">
        <f>getWeightAsDouble('RawData (GH)'!I1966)</f>
        <v>1390</v>
      </c>
      <c r="L1966" s="34">
        <f>getSizeDiameter('RawData (GH)'!J1966)</f>
        <v>108.9</v>
      </c>
      <c r="M1966" s="34">
        <f>getSizeLength('RawData (GH)'!J1966)</f>
        <v>129.5</v>
      </c>
    </row>
    <row r="1967" spans="1:13" x14ac:dyDescent="0.25">
      <c r="A1967" t="str">
        <f>'RawData (GH)'!A1967</f>
        <v>Zeiss ZE Otus 55mm 1.4 für Canon EF schwarz</v>
      </c>
      <c r="B1967" s="5">
        <f>getFocalLengthStart('RawData (GH)'!B1967)</f>
        <v>55</v>
      </c>
      <c r="C1967" s="5">
        <f>getFocalLengthEnd('RawData (GH)'!B1967)</f>
        <v>55</v>
      </c>
      <c r="D1967" s="9">
        <f>getApertureStart('RawData (GH)'!C1967)</f>
        <v>1.4</v>
      </c>
      <c r="E1967" s="9">
        <f>getApertureEnd('RawData (GH)'!C1967)</f>
        <v>1.4</v>
      </c>
      <c r="F1967" s="2">
        <f>getFiltersizeAsDouble('RawData (GH)'!D1967)</f>
        <v>77</v>
      </c>
      <c r="G1967" s="35">
        <f>getMagnification('RawData (GH)'!E1967)</f>
        <v>6.8</v>
      </c>
      <c r="H1967" s="62">
        <f>getMinimalFocus('RawData (GH)'!F1967)</f>
        <v>0</v>
      </c>
      <c r="I1967" t="str">
        <f>getMount('RawData (GH)'!G1967)</f>
        <v>Canon EF</v>
      </c>
      <c r="J1967" t="str">
        <f>getSensorCompatibility('RawData (GH)'!H1967)</f>
        <v>APS-C/ Kleinbild</v>
      </c>
      <c r="K1967" s="45">
        <f>getWeightAsDouble('RawData (GH)'!I1967)</f>
        <v>1030</v>
      </c>
      <c r="L1967" s="34">
        <f>getSizeDiameter('RawData (GH)'!J1967)</f>
        <v>83</v>
      </c>
      <c r="M1967" s="34">
        <f>getSizeLength('RawData (GH)'!J1967)</f>
        <v>120</v>
      </c>
    </row>
    <row r="1968" spans="1:13" x14ac:dyDescent="0.25">
      <c r="A1968" t="str">
        <f>'RawData (GH)'!A1968</f>
        <v>Zeiss ZE Otus 85mm 1.4 für Canon EF schwarz</v>
      </c>
      <c r="B1968" s="5">
        <f>getFocalLengthStart('RawData (GH)'!B1968)</f>
        <v>85</v>
      </c>
      <c r="C1968" s="5">
        <f>getFocalLengthEnd('RawData (GH)'!B1968)</f>
        <v>85</v>
      </c>
      <c r="D1968" s="9">
        <f>getApertureStart('RawData (GH)'!C1968)</f>
        <v>1.4</v>
      </c>
      <c r="E1968" s="9">
        <f>getApertureEnd('RawData (GH)'!C1968)</f>
        <v>1.4</v>
      </c>
      <c r="F1968" s="2">
        <f>getFiltersizeAsDouble('RawData (GH)'!D1968)</f>
        <v>86</v>
      </c>
      <c r="G1968" s="35">
        <f>getMagnification('RawData (GH)'!E1968)</f>
        <v>7.7</v>
      </c>
      <c r="H1968" s="62">
        <f>getMinimalFocus('RawData (GH)'!F1968)</f>
        <v>0</v>
      </c>
      <c r="I1968" t="str">
        <f>getMount('RawData (GH)'!G1968)</f>
        <v>Canon EF</v>
      </c>
      <c r="J1968" t="str">
        <f>getSensorCompatibility('RawData (GH)'!H1968)</f>
        <v>APS-C/ Kleinbild</v>
      </c>
      <c r="K1968" s="45">
        <f>getWeightAsDouble('RawData (GH)'!I1968)</f>
        <v>1200</v>
      </c>
      <c r="L1968" s="34">
        <f>getSizeDiameter('RawData (GH)'!J1968)</f>
        <v>101</v>
      </c>
      <c r="M1968" s="34">
        <f>getSizeLength('RawData (GH)'!J1968)</f>
        <v>116</v>
      </c>
    </row>
    <row r="1969" spans="1:13" x14ac:dyDescent="0.25">
      <c r="A1969" t="str">
        <f>'RawData (GH)'!A1969</f>
        <v>Zeiss ZE Planar T* 50mm 1.4 für Canon EF schwarz</v>
      </c>
      <c r="B1969" s="5">
        <f>getFocalLengthStart('RawData (GH)'!B1969)</f>
        <v>50</v>
      </c>
      <c r="C1969" s="5">
        <f>getFocalLengthEnd('RawData (GH)'!B1969)</f>
        <v>50</v>
      </c>
      <c r="D1969" s="9">
        <f>getApertureStart('RawData (GH)'!C1969)</f>
        <v>1.4</v>
      </c>
      <c r="E1969" s="9">
        <f>getApertureEnd('RawData (GH)'!C1969)</f>
        <v>1.4</v>
      </c>
      <c r="F1969" s="2">
        <f>getFiltersizeAsDouble('RawData (GH)'!D1969)</f>
        <v>58</v>
      </c>
      <c r="G1969" s="35">
        <f>getMagnification('RawData (GH)'!E1969)</f>
        <v>0</v>
      </c>
      <c r="H1969" s="62">
        <f>getMinimalFocus('RawData (GH)'!F1969)</f>
        <v>0</v>
      </c>
      <c r="I1969" t="str">
        <f>getMount('RawData (GH)'!G1969)</f>
        <v>Canon EF</v>
      </c>
      <c r="J1969" t="str">
        <f>getSensorCompatibility('RawData (GH)'!H1969)</f>
        <v>APS-C/ Kleinbild</v>
      </c>
      <c r="K1969" s="45">
        <f>getWeightAsDouble('RawData (GH)'!I1969)</f>
        <v>330</v>
      </c>
      <c r="L1969" s="34">
        <f>getSizeDiameter('RawData (GH)'!J1969)</f>
        <v>66</v>
      </c>
      <c r="M1969" s="34">
        <f>getSizeLength('RawData (GH)'!J1969)</f>
        <v>45</v>
      </c>
    </row>
    <row r="1970" spans="1:13" x14ac:dyDescent="0.25">
      <c r="A1970" t="str">
        <f>'RawData (GH)'!A1970</f>
        <v>Zeiss ZE Planar T* 85mm 1.4 für Canon EF schwarz</v>
      </c>
      <c r="B1970" s="5">
        <f>getFocalLengthStart('RawData (GH)'!B1970)</f>
        <v>85</v>
      </c>
      <c r="C1970" s="5">
        <f>getFocalLengthEnd('RawData (GH)'!B1970)</f>
        <v>85</v>
      </c>
      <c r="D1970" s="9">
        <f>getApertureStart('RawData (GH)'!C1970)</f>
        <v>1.4</v>
      </c>
      <c r="E1970" s="9">
        <f>getApertureEnd('RawData (GH)'!C1970)</f>
        <v>1.4</v>
      </c>
      <c r="F1970" s="2">
        <f>getFiltersizeAsDouble('RawData (GH)'!D1970)</f>
        <v>72</v>
      </c>
      <c r="G1970" s="35">
        <f>getMagnification('RawData (GH)'!E1970)</f>
        <v>0</v>
      </c>
      <c r="H1970" s="62">
        <f>getMinimalFocus('RawData (GH)'!F1970)</f>
        <v>0</v>
      </c>
      <c r="I1970" t="str">
        <f>getMount('RawData (GH)'!G1970)</f>
        <v>Canon EF</v>
      </c>
      <c r="J1970" t="str">
        <f>getSensorCompatibility('RawData (GH)'!H1970)</f>
        <v>APS-C/ Kleinbild</v>
      </c>
      <c r="K1970" s="45">
        <f>getWeightAsDouble('RawData (GH)'!I1970)</f>
        <v>570</v>
      </c>
      <c r="L1970" s="34">
        <f>getSizeDiameter('RawData (GH)'!J1970)</f>
        <v>77</v>
      </c>
      <c r="M1970" s="34">
        <f>getSizeLength('RawData (GH)'!J1970)</f>
        <v>62</v>
      </c>
    </row>
    <row r="1971" spans="1:13" x14ac:dyDescent="0.25">
      <c r="A1971" t="str">
        <f>'RawData (GH)'!A1971</f>
        <v>Zeiss ZF Distagon T* 15mm 2.8 für Nikon F schwarz</v>
      </c>
      <c r="B1971" s="5">
        <f>getFocalLengthStart('RawData (GH)'!B1971)</f>
        <v>15</v>
      </c>
      <c r="C1971" s="5">
        <f>getFocalLengthEnd('RawData (GH)'!B1971)</f>
        <v>15</v>
      </c>
      <c r="D1971" s="9">
        <f>getApertureStart('RawData (GH)'!C1971)</f>
        <v>2.8</v>
      </c>
      <c r="E1971" s="9">
        <f>getApertureEnd('RawData (GH)'!C1971)</f>
        <v>2.8</v>
      </c>
      <c r="F1971" s="2">
        <f>getFiltersizeAsDouble('RawData (GH)'!D1971)</f>
        <v>95</v>
      </c>
      <c r="G1971" s="35">
        <f>getMagnification('RawData (GH)'!E1971)</f>
        <v>18.18</v>
      </c>
      <c r="H1971" s="62">
        <f>getMinimalFocus('RawData (GH)'!F1971)</f>
        <v>0</v>
      </c>
      <c r="I1971" t="str">
        <f>getMount('RawData (GH)'!G1971)</f>
        <v>Nikon F</v>
      </c>
      <c r="J1971" t="str">
        <f>getSensorCompatibility('RawData (GH)'!H1971)</f>
        <v>APS-C/ Kleinbild</v>
      </c>
      <c r="K1971" s="45">
        <f>getWeightAsDouble('RawData (GH)'!I1971)</f>
        <v>730</v>
      </c>
      <c r="L1971" s="34">
        <f>getSizeDiameter('RawData (GH)'!J1971)</f>
        <v>103</v>
      </c>
      <c r="M1971" s="34">
        <f>getSizeLength('RawData (GH)'!J1971)</f>
        <v>132</v>
      </c>
    </row>
    <row r="1972" spans="1:13" x14ac:dyDescent="0.25">
      <c r="A1972" t="str">
        <f>'RawData (GH)'!A1972</f>
        <v>Zeiss ZF Makro-Planar T* 50mm 2.0 für Nikon F schwarz</v>
      </c>
      <c r="B1972" s="5">
        <f>getFocalLengthStart('RawData (GH)'!B1972)</f>
        <v>50</v>
      </c>
      <c r="C1972" s="5">
        <f>getFocalLengthEnd('RawData (GH)'!B1972)</f>
        <v>50</v>
      </c>
      <c r="D1972" s="9">
        <f>getApertureStart('RawData (GH)'!C1972)</f>
        <v>2</v>
      </c>
      <c r="E1972" s="9">
        <f>getApertureEnd('RawData (GH)'!C1972)</f>
        <v>2</v>
      </c>
      <c r="F1972" s="2">
        <f>getFiltersizeAsDouble('RawData (GH)'!D1972)</f>
        <v>67</v>
      </c>
      <c r="G1972" s="35">
        <f>getMagnification('RawData (GH)'!E1972)</f>
        <v>0</v>
      </c>
      <c r="H1972" s="62">
        <f>getMinimalFocus('RawData (GH)'!F1972)</f>
        <v>0</v>
      </c>
      <c r="I1972" t="str">
        <f>getMount('RawData (GH)'!G1972)</f>
        <v>Nikon F</v>
      </c>
      <c r="J1972" t="str">
        <f>getSensorCompatibility('RawData (GH)'!H1972)</f>
        <v>APS-C/ Kleinbild</v>
      </c>
      <c r="K1972" s="45">
        <f>getWeightAsDouble('RawData (GH)'!I1972)</f>
        <v>530</v>
      </c>
      <c r="L1972" s="34">
        <f>getSizeDiameter('RawData (GH)'!J1972)</f>
        <v>72</v>
      </c>
      <c r="M1972" s="34">
        <f>getSizeLength('RawData (GH)'!J1972)</f>
        <v>65</v>
      </c>
    </row>
    <row r="1973" spans="1:13" x14ac:dyDescent="0.25">
      <c r="A1973" t="str">
        <f>'RawData (GH)'!A1973</f>
        <v>Zeiss ZF Planar T* 85mm 1.4 für Nikon F schwarz</v>
      </c>
      <c r="B1973" s="5">
        <f>getFocalLengthStart('RawData (GH)'!B1973)</f>
        <v>85</v>
      </c>
      <c r="C1973" s="5">
        <f>getFocalLengthEnd('RawData (GH)'!B1973)</f>
        <v>85</v>
      </c>
      <c r="D1973" s="9">
        <f>getApertureStart('RawData (GH)'!C1973)</f>
        <v>1.4</v>
      </c>
      <c r="E1973" s="9">
        <f>getApertureEnd('RawData (GH)'!C1973)</f>
        <v>1.4</v>
      </c>
      <c r="F1973" s="2">
        <f>getFiltersizeAsDouble('RawData (GH)'!D1973)</f>
        <v>72</v>
      </c>
      <c r="G1973" s="35">
        <f>getMagnification('RawData (GH)'!E1973)</f>
        <v>0</v>
      </c>
      <c r="H1973" s="62">
        <f>getMinimalFocus('RawData (GH)'!F1973)</f>
        <v>0</v>
      </c>
      <c r="I1973" t="str">
        <f>getMount('RawData (GH)'!G1973)</f>
        <v>Nikon F</v>
      </c>
      <c r="J1973" t="str">
        <f>getSensorCompatibility('RawData (GH)'!H1973)</f>
        <v>APS-C/ Kleinbild</v>
      </c>
      <c r="K1973" s="45">
        <f>getWeightAsDouble('RawData (GH)'!I1973)</f>
        <v>570</v>
      </c>
      <c r="L1973" s="34">
        <f>getSizeDiameter('RawData (GH)'!J1973)</f>
        <v>77</v>
      </c>
      <c r="M1973" s="34">
        <f>getSizeLength('RawData (GH)'!J1973)</f>
        <v>62</v>
      </c>
    </row>
    <row r="1974" spans="1:13" x14ac:dyDescent="0.25">
      <c r="A1974" t="str">
        <f>'RawData (GH)'!A1974</f>
        <v>Zeiss ZF.2 Apo Sonnar T* 135mm 2.0 für Nikon F schwarz</v>
      </c>
      <c r="B1974" s="5">
        <f>getFocalLengthStart('RawData (GH)'!B1974)</f>
        <v>135</v>
      </c>
      <c r="C1974" s="5">
        <f>getFocalLengthEnd('RawData (GH)'!B1974)</f>
        <v>135</v>
      </c>
      <c r="D1974" s="9">
        <f>getApertureStart('RawData (GH)'!C1974)</f>
        <v>2</v>
      </c>
      <c r="E1974" s="9">
        <f>getApertureEnd('RawData (GH)'!C1974)</f>
        <v>2</v>
      </c>
      <c r="F1974" s="2">
        <f>getFiltersizeAsDouble('RawData (GH)'!D1974)</f>
        <v>77</v>
      </c>
      <c r="G1974" s="35">
        <f>getMagnification('RawData (GH)'!E1974)</f>
        <v>4</v>
      </c>
      <c r="H1974" s="62">
        <f>getMinimalFocus('RawData (GH)'!F1974)</f>
        <v>0</v>
      </c>
      <c r="I1974" t="str">
        <f>getMount('RawData (GH)'!G1974)</f>
        <v>Nikon F</v>
      </c>
      <c r="J1974" t="str">
        <f>getSensorCompatibility('RawData (GH)'!H1974)</f>
        <v>APS-C/ Kleinbild</v>
      </c>
      <c r="K1974" s="45">
        <f>getWeightAsDouble('RawData (GH)'!I1974)</f>
        <v>920</v>
      </c>
      <c r="L1974" s="34">
        <f>getSizeDiameter('RawData (GH)'!J1974)</f>
        <v>84</v>
      </c>
      <c r="M1974" s="34">
        <f>getSizeLength('RawData (GH)'!J1974)</f>
        <v>105</v>
      </c>
    </row>
    <row r="1975" spans="1:13" x14ac:dyDescent="0.25">
      <c r="A1975" t="str">
        <f>'RawData (GH)'!A1975</f>
        <v>Zeiss ZF.2 Distagon T* 18mm 3.5 für Nikon F schwarz</v>
      </c>
      <c r="B1975" s="5">
        <f>getFocalLengthStart('RawData (GH)'!B1975)</f>
        <v>18</v>
      </c>
      <c r="C1975" s="5">
        <f>getFocalLengthEnd('RawData (GH)'!B1975)</f>
        <v>18</v>
      </c>
      <c r="D1975" s="9">
        <f>getApertureStart('RawData (GH)'!C1975)</f>
        <v>3.5</v>
      </c>
      <c r="E1975" s="9">
        <f>getApertureEnd('RawData (GH)'!C1975)</f>
        <v>3.5</v>
      </c>
      <c r="F1975" s="2">
        <f>getFiltersizeAsDouble('RawData (GH)'!D1975)</f>
        <v>82</v>
      </c>
      <c r="G1975" s="35">
        <f>getMagnification('RawData (GH)'!E1975)</f>
        <v>12.05</v>
      </c>
      <c r="H1975" s="62">
        <f>getMinimalFocus('RawData (GH)'!F1975)</f>
        <v>0</v>
      </c>
      <c r="I1975" t="str">
        <f>getMount('RawData (GH)'!G1975)</f>
        <v>Nikon F</v>
      </c>
      <c r="J1975" t="str">
        <f>getSensorCompatibility('RawData (GH)'!H1975)</f>
        <v>APS-C/ Kleinbild</v>
      </c>
      <c r="K1975" s="45">
        <f>getWeightAsDouble('RawData (GH)'!I1975)</f>
        <v>470</v>
      </c>
      <c r="L1975" s="34">
        <f>getSizeDiameter('RawData (GH)'!J1975)</f>
        <v>87</v>
      </c>
      <c r="M1975" s="34">
        <f>getSizeLength('RawData (GH)'!J1975)</f>
        <v>84</v>
      </c>
    </row>
    <row r="1976" spans="1:13" x14ac:dyDescent="0.25">
      <c r="A1976" t="str">
        <f>'RawData (GH)'!A1976</f>
        <v>Zeiss ZF.2 Distagon T* 21mm 2.8 für Nikon F schwarz</v>
      </c>
      <c r="B1976" s="5">
        <f>getFocalLengthStart('RawData (GH)'!B1976)</f>
        <v>21</v>
      </c>
      <c r="C1976" s="5">
        <f>getFocalLengthEnd('RawData (GH)'!B1976)</f>
        <v>21</v>
      </c>
      <c r="D1976" s="9">
        <f>getApertureStart('RawData (GH)'!C1976)</f>
        <v>2.8</v>
      </c>
      <c r="E1976" s="9">
        <f>getApertureEnd('RawData (GH)'!C1976)</f>
        <v>2.8</v>
      </c>
      <c r="F1976" s="2">
        <f>getFiltersizeAsDouble('RawData (GH)'!D1976)</f>
        <v>82</v>
      </c>
      <c r="G1976" s="35">
        <f>getMagnification('RawData (GH)'!E1976)</f>
        <v>0</v>
      </c>
      <c r="H1976" s="62">
        <f>getMinimalFocus('RawData (GH)'!F1976)</f>
        <v>0</v>
      </c>
      <c r="I1976" t="str">
        <f>getMount('RawData (GH)'!G1976)</f>
        <v>Nikon F</v>
      </c>
      <c r="J1976" t="str">
        <f>getSensorCompatibility('RawData (GH)'!H1976)</f>
        <v>APS-C/ Kleinbild</v>
      </c>
      <c r="K1976" s="45">
        <f>getWeightAsDouble('RawData (GH)'!I1976)</f>
        <v>600</v>
      </c>
      <c r="L1976" s="34">
        <f>getSizeDiameter('RawData (GH)'!J1976)</f>
        <v>87</v>
      </c>
      <c r="M1976" s="34">
        <f>getSizeLength('RawData (GH)'!J1976)</f>
        <v>109</v>
      </c>
    </row>
    <row r="1977" spans="1:13" x14ac:dyDescent="0.25">
      <c r="A1977" t="str">
        <f>'RawData (GH)'!A1977</f>
        <v>Zeiss ZF.2 Distagon T* 25mm 2.0 für Nikon F schwarz</v>
      </c>
      <c r="B1977" s="5">
        <f>getFocalLengthStart('RawData (GH)'!B1977)</f>
        <v>25</v>
      </c>
      <c r="C1977" s="5">
        <f>getFocalLengthEnd('RawData (GH)'!B1977)</f>
        <v>25</v>
      </c>
      <c r="D1977" s="9">
        <f>getApertureStart('RawData (GH)'!C1977)</f>
        <v>2</v>
      </c>
      <c r="E1977" s="9">
        <f>getApertureEnd('RawData (GH)'!C1977)</f>
        <v>2</v>
      </c>
      <c r="F1977" s="2">
        <f>getFiltersizeAsDouble('RawData (GH)'!D1977)</f>
        <v>67</v>
      </c>
      <c r="G1977" s="35">
        <f>getMagnification('RawData (GH)'!E1977)</f>
        <v>5.88</v>
      </c>
      <c r="H1977" s="62">
        <f>getMinimalFocus('RawData (GH)'!F1977)</f>
        <v>0</v>
      </c>
      <c r="I1977" t="str">
        <f>getMount('RawData (GH)'!G1977)</f>
        <v>Nikon F</v>
      </c>
      <c r="J1977" t="str">
        <f>getSensorCompatibility('RawData (GH)'!H1977)</f>
        <v>APS-C/ Kleinbild</v>
      </c>
      <c r="K1977" s="45">
        <f>getWeightAsDouble('RawData (GH)'!I1977)</f>
        <v>570</v>
      </c>
      <c r="L1977" s="34">
        <f>getSizeDiameter('RawData (GH)'!J1977)</f>
        <v>71</v>
      </c>
      <c r="M1977" s="34">
        <f>getSizeLength('RawData (GH)'!J1977)</f>
        <v>95</v>
      </c>
    </row>
    <row r="1978" spans="1:13" x14ac:dyDescent="0.25">
      <c r="A1978" t="str">
        <f>'RawData (GH)'!A1978</f>
        <v>Zeiss ZF.2 Distagon T* 25mm 2.8 für Nikon F schwarz</v>
      </c>
      <c r="B1978" s="5">
        <f>getFocalLengthStart('RawData (GH)'!B1978)</f>
        <v>25</v>
      </c>
      <c r="C1978" s="5">
        <f>getFocalLengthEnd('RawData (GH)'!B1978)</f>
        <v>25</v>
      </c>
      <c r="D1978" s="9">
        <f>getApertureStart('RawData (GH)'!C1978)</f>
        <v>2.8</v>
      </c>
      <c r="E1978" s="9">
        <f>getApertureEnd('RawData (GH)'!C1978)</f>
        <v>2.8</v>
      </c>
      <c r="F1978" s="2">
        <f>getFiltersizeAsDouble('RawData (GH)'!D1978)</f>
        <v>58</v>
      </c>
      <c r="G1978" s="35">
        <f>getMagnification('RawData (GH)'!E1978)</f>
        <v>0</v>
      </c>
      <c r="H1978" s="62">
        <f>getMinimalFocus('RawData (GH)'!F1978)</f>
        <v>0</v>
      </c>
      <c r="I1978" t="str">
        <f>getMount('RawData (GH)'!G1978)</f>
        <v>Nikon F</v>
      </c>
      <c r="J1978" t="str">
        <f>getSensorCompatibility('RawData (GH)'!H1978)</f>
        <v>APS-C/ Kleinbild</v>
      </c>
      <c r="K1978" s="45">
        <f>getWeightAsDouble('RawData (GH)'!I1978)</f>
        <v>480</v>
      </c>
      <c r="L1978" s="34">
        <f>getSizeDiameter('RawData (GH)'!J1978)</f>
        <v>65</v>
      </c>
      <c r="M1978" s="34">
        <f>getSizeLength('RawData (GH)'!J1978)</f>
        <v>66</v>
      </c>
    </row>
    <row r="1979" spans="1:13" x14ac:dyDescent="0.25">
      <c r="A1979" t="str">
        <f>'RawData (GH)'!A1979</f>
        <v>Zeiss ZF.2 Distagon T* 28mm 2.0 für Nikon F schwarz</v>
      </c>
      <c r="B1979" s="5">
        <f>getFocalLengthStart('RawData (GH)'!B1979)</f>
        <v>28</v>
      </c>
      <c r="C1979" s="5">
        <f>getFocalLengthEnd('RawData (GH)'!B1979)</f>
        <v>28</v>
      </c>
      <c r="D1979" s="9">
        <f>getApertureStart('RawData (GH)'!C1979)</f>
        <v>2</v>
      </c>
      <c r="E1979" s="9">
        <f>getApertureEnd('RawData (GH)'!C1979)</f>
        <v>2</v>
      </c>
      <c r="F1979" s="2">
        <f>getFiltersizeAsDouble('RawData (GH)'!D1979)</f>
        <v>0</v>
      </c>
      <c r="G1979" s="35">
        <f>getMagnification('RawData (GH)'!E1979)</f>
        <v>4</v>
      </c>
      <c r="H1979" s="62">
        <f>getMinimalFocus('RawData (GH)'!F1979)</f>
        <v>0</v>
      </c>
      <c r="I1979" t="str">
        <f>getMount('RawData (GH)'!G1979)</f>
        <v>Nikon F</v>
      </c>
      <c r="J1979" t="str">
        <f>getSensorCompatibility('RawData (GH)'!H1979)</f>
        <v>APS-C/ Kleinbild</v>
      </c>
      <c r="K1979" s="45">
        <f>getWeightAsDouble('RawData (GH)'!I1979)</f>
        <v>530</v>
      </c>
      <c r="L1979" s="34">
        <f>getSizeDiameter('RawData (GH)'!J1979)</f>
        <v>65</v>
      </c>
      <c r="M1979" s="34">
        <f>getSizeLength('RawData (GH)'!J1979)</f>
        <v>94</v>
      </c>
    </row>
    <row r="1980" spans="1:13" x14ac:dyDescent="0.25">
      <c r="A1980" t="str">
        <f>'RawData (GH)'!A1980</f>
        <v>Zeiss ZF.2 Distagon T* 35mm 1.4 für Nikon F schwarz</v>
      </c>
      <c r="B1980" s="5">
        <f>getFocalLengthStart('RawData (GH)'!B1980)</f>
        <v>35</v>
      </c>
      <c r="C1980" s="5">
        <f>getFocalLengthEnd('RawData (GH)'!B1980)</f>
        <v>35</v>
      </c>
      <c r="D1980" s="9">
        <f>getApertureStart('RawData (GH)'!C1980)</f>
        <v>1.4</v>
      </c>
      <c r="E1980" s="9">
        <f>getApertureEnd('RawData (GH)'!C1980)</f>
        <v>1.4</v>
      </c>
      <c r="F1980" s="2">
        <f>getFiltersizeAsDouble('RawData (GH)'!D1980)</f>
        <v>72</v>
      </c>
      <c r="G1980" s="35">
        <f>getMagnification('RawData (GH)'!E1980)</f>
        <v>5</v>
      </c>
      <c r="H1980" s="62">
        <f>getMinimalFocus('RawData (GH)'!F1980)</f>
        <v>0</v>
      </c>
      <c r="I1980" t="str">
        <f>getMount('RawData (GH)'!G1980)</f>
        <v>Nikon F</v>
      </c>
      <c r="J1980" t="str">
        <f>getSensorCompatibility('RawData (GH)'!H1980)</f>
        <v>APS-C/ Kleinbild</v>
      </c>
      <c r="K1980" s="45">
        <f>getWeightAsDouble('RawData (GH)'!I1980)</f>
        <v>830</v>
      </c>
      <c r="L1980" s="34">
        <f>getSizeDiameter('RawData (GH)'!J1980)</f>
        <v>72.7</v>
      </c>
      <c r="M1980" s="34">
        <f>getSizeLength('RawData (GH)'!J1980)</f>
        <v>120</v>
      </c>
    </row>
    <row r="1981" spans="1:13" x14ac:dyDescent="0.25">
      <c r="A1981" t="str">
        <f>'RawData (GH)'!A1981</f>
        <v>Zeiss ZF.2 Distagon T* 35mm 2.0 für Nikon F schwarz</v>
      </c>
      <c r="B1981" s="5">
        <f>getFocalLengthStart('RawData (GH)'!B1981)</f>
        <v>35</v>
      </c>
      <c r="C1981" s="5">
        <f>getFocalLengthEnd('RawData (GH)'!B1981)</f>
        <v>35</v>
      </c>
      <c r="D1981" s="9">
        <f>getApertureStart('RawData (GH)'!C1981)</f>
        <v>2</v>
      </c>
      <c r="E1981" s="9">
        <f>getApertureEnd('RawData (GH)'!C1981)</f>
        <v>2</v>
      </c>
      <c r="F1981" s="2">
        <f>getFiltersizeAsDouble('RawData (GH)'!D1981)</f>
        <v>58</v>
      </c>
      <c r="G1981" s="35">
        <f>getMagnification('RawData (GH)'!E1981)</f>
        <v>0</v>
      </c>
      <c r="H1981" s="62">
        <f>getMinimalFocus('RawData (GH)'!F1981)</f>
        <v>0</v>
      </c>
      <c r="I1981" t="str">
        <f>getMount('RawData (GH)'!G1981)</f>
        <v>Nikon F</v>
      </c>
      <c r="J1981" t="str">
        <f>getSensorCompatibility('RawData (GH)'!H1981)</f>
        <v>APS-C/ Kleinbild</v>
      </c>
      <c r="K1981" s="45">
        <f>getWeightAsDouble('RawData (GH)'!I1981)</f>
        <v>530</v>
      </c>
      <c r="L1981" s="34">
        <f>getSizeDiameter('RawData (GH)'!J1981)</f>
        <v>65</v>
      </c>
      <c r="M1981" s="34">
        <f>getSizeLength('RawData (GH)'!J1981)</f>
        <v>73</v>
      </c>
    </row>
    <row r="1982" spans="1:13" x14ac:dyDescent="0.25">
      <c r="A1982" t="str">
        <f>'RawData (GH)'!A1982</f>
        <v>Zeiss ZF.2 Makro-Planar T* 100mm 2.0 für Nikon F schwarz</v>
      </c>
      <c r="B1982" s="5">
        <f>getFocalLengthStart('RawData (GH)'!B1982)</f>
        <v>100</v>
      </c>
      <c r="C1982" s="5">
        <f>getFocalLengthEnd('RawData (GH)'!B1982)</f>
        <v>100</v>
      </c>
      <c r="D1982" s="9">
        <f>getApertureStart('RawData (GH)'!C1982)</f>
        <v>2</v>
      </c>
      <c r="E1982" s="9">
        <f>getApertureEnd('RawData (GH)'!C1982)</f>
        <v>2</v>
      </c>
      <c r="F1982" s="2">
        <f>getFiltersizeAsDouble('RawData (GH)'!D1982)</f>
        <v>67</v>
      </c>
      <c r="G1982" s="35">
        <f>getMagnification('RawData (GH)'!E1982)</f>
        <v>2</v>
      </c>
      <c r="H1982" s="62">
        <f>getMinimalFocus('RawData (GH)'!F1982)</f>
        <v>0</v>
      </c>
      <c r="I1982" t="str">
        <f>getMount('RawData (GH)'!G1982)</f>
        <v>Nikon F</v>
      </c>
      <c r="J1982" t="str">
        <f>getSensorCompatibility('RawData (GH)'!H1982)</f>
        <v>APS-C/ Kleinbild</v>
      </c>
      <c r="K1982" s="45">
        <f>getWeightAsDouble('RawData (GH)'!I1982)</f>
        <v>680</v>
      </c>
      <c r="L1982" s="34">
        <f>getSizeDiameter('RawData (GH)'!J1982)</f>
        <v>76</v>
      </c>
      <c r="M1982" s="34">
        <f>getSizeLength('RawData (GH)'!J1982)</f>
        <v>89</v>
      </c>
    </row>
    <row r="1983" spans="1:13" x14ac:dyDescent="0.25">
      <c r="A1983" t="str">
        <f>'RawData (GH)'!A1983</f>
        <v>Zeiss ZF.2 Milvus 100mm 2.0 Makro für Nikon F schwarz</v>
      </c>
      <c r="B1983" s="5">
        <f>getFocalLengthStart('RawData (GH)'!B1983)</f>
        <v>100</v>
      </c>
      <c r="C1983" s="5">
        <f>getFocalLengthEnd('RawData (GH)'!B1983)</f>
        <v>100</v>
      </c>
      <c r="D1983" s="9">
        <f>getApertureStart('RawData (GH)'!C1983)</f>
        <v>2</v>
      </c>
      <c r="E1983" s="9">
        <f>getApertureEnd('RawData (GH)'!C1983)</f>
        <v>2</v>
      </c>
      <c r="F1983" s="2">
        <f>getFiltersizeAsDouble('RawData (GH)'!D1983)</f>
        <v>67</v>
      </c>
      <c r="G1983" s="35">
        <f>getMagnification('RawData (GH)'!E1983)</f>
        <v>2</v>
      </c>
      <c r="H1983" s="62">
        <f>getMinimalFocus('RawData (GH)'!F1983)</f>
        <v>0</v>
      </c>
      <c r="I1983" t="str">
        <f>getMount('RawData (GH)'!G1983)</f>
        <v>Nikon F</v>
      </c>
      <c r="J1983" t="str">
        <f>getSensorCompatibility('RawData (GH)'!H1983)</f>
        <v>APS-C/ Kleinbild</v>
      </c>
      <c r="K1983" s="45">
        <f>getWeightAsDouble('RawData (GH)'!I1983)</f>
        <v>807</v>
      </c>
      <c r="L1983" s="34">
        <f>getSizeDiameter('RawData (GH)'!J1983)</f>
        <v>80.5</v>
      </c>
      <c r="M1983" s="34">
        <f>getSizeLength('RawData (GH)'!J1983)</f>
        <v>103</v>
      </c>
    </row>
    <row r="1984" spans="1:13" x14ac:dyDescent="0.25">
      <c r="A1984" t="str">
        <f>'RawData (GH)'!A1984</f>
        <v>Zeiss ZF.2 Milvus 135mm 2.0 für Nikon F schwarz</v>
      </c>
      <c r="B1984" s="5">
        <f>getFocalLengthStart('RawData (GH)'!B1984)</f>
        <v>135</v>
      </c>
      <c r="C1984" s="5">
        <f>getFocalLengthEnd('RawData (GH)'!B1984)</f>
        <v>135</v>
      </c>
      <c r="D1984" s="9">
        <f>getApertureStart('RawData (GH)'!C1984)</f>
        <v>2</v>
      </c>
      <c r="E1984" s="9">
        <f>getApertureEnd('RawData (GH)'!C1984)</f>
        <v>2</v>
      </c>
      <c r="F1984" s="2">
        <f>getFiltersizeAsDouble('RawData (GH)'!D1984)</f>
        <v>77</v>
      </c>
      <c r="G1984" s="35">
        <f>getMagnification('RawData (GH)'!E1984)</f>
        <v>4</v>
      </c>
      <c r="H1984" s="62">
        <f>getMinimalFocus('RawData (GH)'!F1984)</f>
        <v>0</v>
      </c>
      <c r="I1984" t="str">
        <f>getMount('RawData (GH)'!G1984)</f>
        <v>Nikon F</v>
      </c>
      <c r="J1984" t="str">
        <f>getSensorCompatibility('RawData (GH)'!H1984)</f>
        <v>APS-C/ Kleinbild</v>
      </c>
      <c r="K1984" s="45">
        <f>getWeightAsDouble('RawData (GH)'!I1984)</f>
        <v>1060</v>
      </c>
      <c r="L1984" s="34">
        <f>getSizeDiameter('RawData (GH)'!J1984)</f>
        <v>89.7</v>
      </c>
      <c r="M1984" s="34">
        <f>getSizeLength('RawData (GH)'!J1984)</f>
        <v>114</v>
      </c>
    </row>
    <row r="1985" spans="1:13" x14ac:dyDescent="0.25">
      <c r="A1985" t="str">
        <f>'RawData (GH)'!A1985</f>
        <v>Zeiss ZF.2 Milvus 15mm 2.8 für Nikon F schwarz</v>
      </c>
      <c r="B1985" s="5">
        <f>getFocalLengthStart('RawData (GH)'!B1985)</f>
        <v>15</v>
      </c>
      <c r="C1985" s="5">
        <f>getFocalLengthEnd('RawData (GH)'!B1985)</f>
        <v>15</v>
      </c>
      <c r="D1985" s="9">
        <f>getApertureStart('RawData (GH)'!C1985)</f>
        <v>2.8</v>
      </c>
      <c r="E1985" s="9">
        <f>getApertureEnd('RawData (GH)'!C1985)</f>
        <v>2.8</v>
      </c>
      <c r="F1985" s="2">
        <f>getFiltersizeAsDouble('RawData (GH)'!D1985)</f>
        <v>95</v>
      </c>
      <c r="G1985" s="35">
        <f>getMagnification('RawData (GH)'!E1985)</f>
        <v>9</v>
      </c>
      <c r="H1985" s="62">
        <f>getMinimalFocus('RawData (GH)'!F1985)</f>
        <v>0</v>
      </c>
      <c r="I1985" t="str">
        <f>getMount('RawData (GH)'!G1985)</f>
        <v>Nikon F</v>
      </c>
      <c r="J1985" t="str">
        <f>getSensorCompatibility('RawData (GH)'!H1985)</f>
        <v>APS-C/ Kleinbild</v>
      </c>
      <c r="K1985" s="45">
        <f>getWeightAsDouble('RawData (GH)'!I1985)</f>
        <v>880</v>
      </c>
      <c r="L1985" s="34">
        <f>getSizeDiameter('RawData (GH)'!J1985)</f>
        <v>102.3</v>
      </c>
      <c r="M1985" s="34">
        <f>getSizeLength('RawData (GH)'!J1985)</f>
        <v>99</v>
      </c>
    </row>
    <row r="1986" spans="1:13" x14ac:dyDescent="0.25">
      <c r="A1986" t="str">
        <f>'RawData (GH)'!A1986</f>
        <v>Zeiss ZF.2 Milvus 18mm 2.8 für Nikon F schwarz</v>
      </c>
      <c r="B1986" s="5">
        <f>getFocalLengthStart('RawData (GH)'!B1986)</f>
        <v>18</v>
      </c>
      <c r="C1986" s="5">
        <f>getFocalLengthEnd('RawData (GH)'!B1986)</f>
        <v>18</v>
      </c>
      <c r="D1986" s="9">
        <f>getApertureStart('RawData (GH)'!C1986)</f>
        <v>2.8</v>
      </c>
      <c r="E1986" s="9">
        <f>getApertureEnd('RawData (GH)'!C1986)</f>
        <v>2.8</v>
      </c>
      <c r="F1986" s="2">
        <f>getFiltersizeAsDouble('RawData (GH)'!D1986)</f>
        <v>77</v>
      </c>
      <c r="G1986" s="35">
        <f>getMagnification('RawData (GH)'!E1986)</f>
        <v>7.4</v>
      </c>
      <c r="H1986" s="62">
        <f>getMinimalFocus('RawData (GH)'!F1986)</f>
        <v>0</v>
      </c>
      <c r="I1986" t="str">
        <f>getMount('RawData (GH)'!G1986)</f>
        <v>Nikon F</v>
      </c>
      <c r="J1986" t="str">
        <f>getSensorCompatibility('RawData (GH)'!H1986)</f>
        <v>APS-C/ Kleinbild</v>
      </c>
      <c r="K1986" s="45">
        <f>getWeightAsDouble('RawData (GH)'!I1986)</f>
        <v>675</v>
      </c>
      <c r="L1986" s="34">
        <f>getSizeDiameter('RawData (GH)'!J1986)</f>
        <v>90</v>
      </c>
      <c r="M1986" s="34">
        <f>getSizeLength('RawData (GH)'!J1986)</f>
        <v>92</v>
      </c>
    </row>
    <row r="1987" spans="1:13" x14ac:dyDescent="0.25">
      <c r="A1987" t="str">
        <f>'RawData (GH)'!A1987</f>
        <v>Zeiss ZF.2 Milvus 21mm 2.8 für Nikon F schwarz</v>
      </c>
      <c r="B1987" s="5">
        <f>getFocalLengthStart('RawData (GH)'!B1987)</f>
        <v>21</v>
      </c>
      <c r="C1987" s="5">
        <f>getFocalLengthEnd('RawData (GH)'!B1987)</f>
        <v>21</v>
      </c>
      <c r="D1987" s="9">
        <f>getApertureStart('RawData (GH)'!C1987)</f>
        <v>2.8</v>
      </c>
      <c r="E1987" s="9">
        <f>getApertureEnd('RawData (GH)'!C1987)</f>
        <v>2.8</v>
      </c>
      <c r="F1987" s="2">
        <f>getFiltersizeAsDouble('RawData (GH)'!D1987)</f>
        <v>82</v>
      </c>
      <c r="G1987" s="35">
        <f>getMagnification('RawData (GH)'!E1987)</f>
        <v>5</v>
      </c>
      <c r="H1987" s="62">
        <f>getMinimalFocus('RawData (GH)'!F1987)</f>
        <v>0</v>
      </c>
      <c r="I1987" t="str">
        <f>getMount('RawData (GH)'!G1987)</f>
        <v>Nikon F</v>
      </c>
      <c r="J1987" t="str">
        <f>getSensorCompatibility('RawData (GH)'!H1987)</f>
        <v>APS-C/ Kleinbild</v>
      </c>
      <c r="K1987" s="45">
        <f>getWeightAsDouble('RawData (GH)'!I1987)</f>
        <v>735</v>
      </c>
      <c r="L1987" s="34">
        <f>getSizeDiameter('RawData (GH)'!J1987)</f>
        <v>95.3</v>
      </c>
      <c r="M1987" s="34">
        <f>getSizeLength('RawData (GH)'!J1987)</f>
        <v>92.5</v>
      </c>
    </row>
    <row r="1988" spans="1:13" x14ac:dyDescent="0.25">
      <c r="A1988" t="str">
        <f>'RawData (GH)'!A1988</f>
        <v>Zeiss ZF.2 Milvus 25mm 1.4 für Nikon F schwarz</v>
      </c>
      <c r="B1988" s="5">
        <f>getFocalLengthStart('RawData (GH)'!B1988)</f>
        <v>25</v>
      </c>
      <c r="C1988" s="5">
        <f>getFocalLengthEnd('RawData (GH)'!B1988)</f>
        <v>25</v>
      </c>
      <c r="D1988" s="9">
        <f>getApertureStart('RawData (GH)'!C1988)</f>
        <v>1.4</v>
      </c>
      <c r="E1988" s="9">
        <f>getApertureEnd('RawData (GH)'!C1988)</f>
        <v>1.4</v>
      </c>
      <c r="F1988" s="2">
        <f>getFiltersizeAsDouble('RawData (GH)'!D1988)</f>
        <v>82</v>
      </c>
      <c r="G1988" s="35">
        <f>getMagnification('RawData (GH)'!E1988)</f>
        <v>4.5999999999999996</v>
      </c>
      <c r="H1988" s="62">
        <f>getMinimalFocus('RawData (GH)'!F1988)</f>
        <v>0</v>
      </c>
      <c r="I1988" t="str">
        <f>getMount('RawData (GH)'!G1988)</f>
        <v>Nikon F</v>
      </c>
      <c r="J1988" t="str">
        <f>getSensorCompatibility('RawData (GH)'!H1988)</f>
        <v>APS-C/ Kleinbild</v>
      </c>
      <c r="K1988" s="45">
        <f>getWeightAsDouble('RawData (GH)'!I1988)</f>
        <v>1170</v>
      </c>
      <c r="L1988" s="34">
        <f>getSizeDiameter('RawData (GH)'!J1988)</f>
        <v>95.2</v>
      </c>
      <c r="M1988" s="34">
        <f>getSizeLength('RawData (GH)'!J1988)</f>
        <v>123.3</v>
      </c>
    </row>
    <row r="1989" spans="1:13" x14ac:dyDescent="0.25">
      <c r="A1989" t="str">
        <f>'RawData (GH)'!A1989</f>
        <v>Zeiss ZF.2 Milvus 35mm 1.4 für Nikon F schwarz</v>
      </c>
      <c r="B1989" s="5">
        <f>getFocalLengthStart('RawData (GH)'!B1989)</f>
        <v>35</v>
      </c>
      <c r="C1989" s="5">
        <f>getFocalLengthEnd('RawData (GH)'!B1989)</f>
        <v>35</v>
      </c>
      <c r="D1989" s="9">
        <f>getApertureStart('RawData (GH)'!C1989)</f>
        <v>1.4</v>
      </c>
      <c r="E1989" s="9">
        <f>getApertureEnd('RawData (GH)'!C1989)</f>
        <v>1.4</v>
      </c>
      <c r="F1989" s="2">
        <f>getFiltersizeAsDouble('RawData (GH)'!D1989)</f>
        <v>72</v>
      </c>
      <c r="G1989" s="35">
        <f>getMagnification('RawData (GH)'!E1989)</f>
        <v>4.5999999999999996</v>
      </c>
      <c r="H1989" s="62">
        <f>getMinimalFocus('RawData (GH)'!F1989)</f>
        <v>0</v>
      </c>
      <c r="I1989" t="str">
        <f>getMount('RawData (GH)'!G1989)</f>
        <v>Nikon F</v>
      </c>
      <c r="J1989" t="str">
        <f>getSensorCompatibility('RawData (GH)'!H1989)</f>
        <v>APS-C/ Kleinbild</v>
      </c>
      <c r="K1989" s="45">
        <f>getWeightAsDouble('RawData (GH)'!I1989)</f>
        <v>1130</v>
      </c>
      <c r="L1989" s="34">
        <f>getSizeDiameter('RawData (GH)'!J1989)</f>
        <v>84.8</v>
      </c>
      <c r="M1989" s="34">
        <f>getSizeLength('RawData (GH)'!J1989)</f>
        <v>124.8</v>
      </c>
    </row>
    <row r="1990" spans="1:13" x14ac:dyDescent="0.25">
      <c r="A1990" t="str">
        <f>'RawData (GH)'!A1990</f>
        <v>Zeiss ZF.2 Milvus 35mm 2.0 für Nikon F schwarz</v>
      </c>
      <c r="B1990" s="5">
        <f>getFocalLengthStart('RawData (GH)'!B1990)</f>
        <v>35</v>
      </c>
      <c r="C1990" s="5">
        <f>getFocalLengthEnd('RawData (GH)'!B1990)</f>
        <v>35</v>
      </c>
      <c r="D1990" s="9">
        <f>getApertureStart('RawData (GH)'!C1990)</f>
        <v>2</v>
      </c>
      <c r="E1990" s="9">
        <f>getApertureEnd('RawData (GH)'!C1990)</f>
        <v>2</v>
      </c>
      <c r="F1990" s="2">
        <f>getFiltersizeAsDouble('RawData (GH)'!D1990)</f>
        <v>58</v>
      </c>
      <c r="G1990" s="35">
        <f>getMagnification('RawData (GH)'!E1990)</f>
        <v>5.3</v>
      </c>
      <c r="H1990" s="62">
        <f>getMinimalFocus('RawData (GH)'!F1990)</f>
        <v>0</v>
      </c>
      <c r="I1990" t="str">
        <f>getMount('RawData (GH)'!G1990)</f>
        <v>Nikon F</v>
      </c>
      <c r="J1990" t="str">
        <f>getSensorCompatibility('RawData (GH)'!H1990)</f>
        <v>APS-C/ Kleinbild</v>
      </c>
      <c r="K1990" s="45">
        <f>getWeightAsDouble('RawData (GH)'!I1990)</f>
        <v>649</v>
      </c>
      <c r="L1990" s="34">
        <f>getSizeDiameter('RawData (GH)'!J1990)</f>
        <v>77</v>
      </c>
      <c r="M1990" s="34">
        <f>getSizeLength('RawData (GH)'!J1990)</f>
        <v>81.3</v>
      </c>
    </row>
    <row r="1991" spans="1:13" x14ac:dyDescent="0.25">
      <c r="A1991" t="str">
        <f>'RawData (GH)'!A1991</f>
        <v>Zeiss ZF.2 Milvus 50mm 1.4 für Nikon F schwarz</v>
      </c>
      <c r="B1991" s="5">
        <f>getFocalLengthStart('RawData (GH)'!B1991)</f>
        <v>50</v>
      </c>
      <c r="C1991" s="5">
        <f>getFocalLengthEnd('RawData (GH)'!B1991)</f>
        <v>50</v>
      </c>
      <c r="D1991" s="9">
        <f>getApertureStart('RawData (GH)'!C1991)</f>
        <v>1.4</v>
      </c>
      <c r="E1991" s="9">
        <f>getApertureEnd('RawData (GH)'!C1991)</f>
        <v>1.4</v>
      </c>
      <c r="F1991" s="2">
        <f>getFiltersizeAsDouble('RawData (GH)'!D1991)</f>
        <v>67</v>
      </c>
      <c r="G1991" s="35">
        <f>getMagnification('RawData (GH)'!E1991)</f>
        <v>6.7</v>
      </c>
      <c r="H1991" s="62">
        <f>getMinimalFocus('RawData (GH)'!F1991)</f>
        <v>0</v>
      </c>
      <c r="I1991" t="str">
        <f>getMount('RawData (GH)'!G1991)</f>
        <v>Nikon F</v>
      </c>
      <c r="J1991" t="str">
        <f>getSensorCompatibility('RawData (GH)'!H1991)</f>
        <v>APS-C/ Kleinbild</v>
      </c>
      <c r="K1991" s="45">
        <f>getWeightAsDouble('RawData (GH)'!I1991)</f>
        <v>875</v>
      </c>
      <c r="L1991" s="34">
        <f>getSizeDiameter('RawData (GH)'!J1991)</f>
        <v>82.9</v>
      </c>
      <c r="M1991" s="34">
        <f>getSizeLength('RawData (GH)'!J1991)</f>
        <v>94</v>
      </c>
    </row>
    <row r="1992" spans="1:13" x14ac:dyDescent="0.25">
      <c r="A1992" t="str">
        <f>'RawData (GH)'!A1992</f>
        <v>Zeiss ZF.2 Milvus 50mm 2.0 Makro für Nikon F schwarz</v>
      </c>
      <c r="B1992" s="5">
        <f>getFocalLengthStart('RawData (GH)'!B1992)</f>
        <v>50</v>
      </c>
      <c r="C1992" s="5">
        <f>getFocalLengthEnd('RawData (GH)'!B1992)</f>
        <v>50</v>
      </c>
      <c r="D1992" s="9">
        <f>getApertureStart('RawData (GH)'!C1992)</f>
        <v>2</v>
      </c>
      <c r="E1992" s="9">
        <f>getApertureEnd('RawData (GH)'!C1992)</f>
        <v>2</v>
      </c>
      <c r="F1992" s="2">
        <f>getFiltersizeAsDouble('RawData (GH)'!D1992)</f>
        <v>67</v>
      </c>
      <c r="G1992" s="35">
        <f>getMagnification('RawData (GH)'!E1992)</f>
        <v>2</v>
      </c>
      <c r="H1992" s="62">
        <f>getMinimalFocus('RawData (GH)'!F1992)</f>
        <v>0</v>
      </c>
      <c r="I1992" t="str">
        <f>getMount('RawData (GH)'!G1992)</f>
        <v>Nikon F</v>
      </c>
      <c r="J1992" t="str">
        <f>getSensorCompatibility('RawData (GH)'!H1992)</f>
        <v>APS-C/ Kleinbild</v>
      </c>
      <c r="K1992" s="45">
        <f>getWeightAsDouble('RawData (GH)'!I1992)</f>
        <v>660</v>
      </c>
      <c r="L1992" s="34">
        <f>getSizeDiameter('RawData (GH)'!J1992)</f>
        <v>80.7</v>
      </c>
      <c r="M1992" s="34">
        <f>getSizeLength('RawData (GH)'!J1992)</f>
        <v>72.8</v>
      </c>
    </row>
    <row r="1993" spans="1:13" x14ac:dyDescent="0.25">
      <c r="A1993" t="str">
        <f>'RawData (GH)'!A1993</f>
        <v>Zeiss ZF.2 Milvus 85mm 1.4 für Nikon F schwarz</v>
      </c>
      <c r="B1993" s="5">
        <f>getFocalLengthStart('RawData (GH)'!B1993)</f>
        <v>85</v>
      </c>
      <c r="C1993" s="5">
        <f>getFocalLengthEnd('RawData (GH)'!B1993)</f>
        <v>85</v>
      </c>
      <c r="D1993" s="9">
        <f>getApertureStart('RawData (GH)'!C1993)</f>
        <v>1.4</v>
      </c>
      <c r="E1993" s="9">
        <f>getApertureEnd('RawData (GH)'!C1993)</f>
        <v>1.4</v>
      </c>
      <c r="F1993" s="2">
        <f>getFiltersizeAsDouble('RawData (GH)'!D1993)</f>
        <v>77</v>
      </c>
      <c r="G1993" s="35">
        <f>getMagnification('RawData (GH)'!E1993)</f>
        <v>8.3000000000000007</v>
      </c>
      <c r="H1993" s="62">
        <f>getMinimalFocus('RawData (GH)'!F1993)</f>
        <v>0</v>
      </c>
      <c r="I1993" t="str">
        <f>getMount('RawData (GH)'!G1993)</f>
        <v>Nikon F</v>
      </c>
      <c r="J1993" t="str">
        <f>getSensorCompatibility('RawData (GH)'!H1993)</f>
        <v>APS-C/ Kleinbild</v>
      </c>
      <c r="K1993" s="45">
        <f>getWeightAsDouble('RawData (GH)'!I1993)</f>
        <v>1210</v>
      </c>
      <c r="L1993" s="34">
        <f>getSizeDiameter('RawData (GH)'!J1993)</f>
        <v>90</v>
      </c>
      <c r="M1993" s="34">
        <f>getSizeLength('RawData (GH)'!J1993)</f>
        <v>110</v>
      </c>
    </row>
    <row r="1994" spans="1:13" x14ac:dyDescent="0.25">
      <c r="A1994" t="str">
        <f>'RawData (GH)'!A1994</f>
        <v>Zeiss ZF.2 Otus 28mm 1.4 für Nikon F schwarz</v>
      </c>
      <c r="B1994" s="5">
        <f>getFocalLengthStart('RawData (GH)'!B1994)</f>
        <v>28</v>
      </c>
      <c r="C1994" s="5">
        <f>getFocalLengthEnd('RawData (GH)'!B1994)</f>
        <v>28</v>
      </c>
      <c r="D1994" s="9">
        <f>getApertureStart('RawData (GH)'!C1994)</f>
        <v>1.4</v>
      </c>
      <c r="E1994" s="9">
        <f>getApertureEnd('RawData (GH)'!C1994)</f>
        <v>1.4</v>
      </c>
      <c r="F1994" s="2">
        <f>getFiltersizeAsDouble('RawData (GH)'!D1994)</f>
        <v>95</v>
      </c>
      <c r="G1994" s="35">
        <f>getMagnification('RawData (GH)'!E1994)</f>
        <v>6.25</v>
      </c>
      <c r="H1994" s="62">
        <f>getMinimalFocus('RawData (GH)'!F1994)</f>
        <v>0</v>
      </c>
      <c r="I1994" t="str">
        <f>getMount('RawData (GH)'!G1994)</f>
        <v>Nikon F</v>
      </c>
      <c r="J1994" t="str">
        <f>getSensorCompatibility('RawData (GH)'!H1994)</f>
        <v>APS-C/ Kleinbild</v>
      </c>
      <c r="K1994" s="45">
        <f>getWeightAsDouble('RawData (GH)'!I1994)</f>
        <v>1350</v>
      </c>
      <c r="L1994" s="34">
        <f>getSizeDiameter('RawData (GH)'!J1994)</f>
        <v>108.9</v>
      </c>
      <c r="M1994" s="34">
        <f>getSizeLength('RawData (GH)'!J1994)</f>
        <v>127</v>
      </c>
    </row>
    <row r="1995" spans="1:13" x14ac:dyDescent="0.25">
      <c r="A1995" t="str">
        <f>'RawData (GH)'!A1995</f>
        <v>Zeiss ZF.2 Otus 55mm 1.4 für Nikon F schwarz</v>
      </c>
      <c r="B1995" s="5">
        <f>getFocalLengthStart('RawData (GH)'!B1995)</f>
        <v>55</v>
      </c>
      <c r="C1995" s="5">
        <f>getFocalLengthEnd('RawData (GH)'!B1995)</f>
        <v>55</v>
      </c>
      <c r="D1995" s="9">
        <f>getApertureStart('RawData (GH)'!C1995)</f>
        <v>1.4</v>
      </c>
      <c r="E1995" s="9">
        <f>getApertureEnd('RawData (GH)'!C1995)</f>
        <v>1.4</v>
      </c>
      <c r="F1995" s="2">
        <f>getFiltersizeAsDouble('RawData (GH)'!D1995)</f>
        <v>77</v>
      </c>
      <c r="G1995" s="35">
        <f>getMagnification('RawData (GH)'!E1995)</f>
        <v>6.8</v>
      </c>
      <c r="H1995" s="62">
        <f>getMinimalFocus('RawData (GH)'!F1995)</f>
        <v>0</v>
      </c>
      <c r="I1995" t="str">
        <f>getMount('RawData (GH)'!G1995)</f>
        <v>Nikon F</v>
      </c>
      <c r="J1995" t="str">
        <f>getSensorCompatibility('RawData (GH)'!H1995)</f>
        <v>APS-C/ Kleinbild</v>
      </c>
      <c r="K1995" s="45">
        <f>getWeightAsDouble('RawData (GH)'!I1995)</f>
        <v>970</v>
      </c>
      <c r="L1995" s="34">
        <f>getSizeDiameter('RawData (GH)'!J1995)</f>
        <v>83</v>
      </c>
      <c r="M1995" s="34">
        <f>getSizeLength('RawData (GH)'!J1995)</f>
        <v>117.5</v>
      </c>
    </row>
    <row r="1996" spans="1:13" x14ac:dyDescent="0.25">
      <c r="A1996" t="str">
        <f>'RawData (GH)'!A1996</f>
        <v>Zeiss ZF.2 Otus 85mm 1.4 für Nikon F schwarz</v>
      </c>
      <c r="B1996" s="5">
        <f>getFocalLengthStart('RawData (GH)'!B1996)</f>
        <v>85</v>
      </c>
      <c r="C1996" s="5">
        <f>getFocalLengthEnd('RawData (GH)'!B1996)</f>
        <v>85</v>
      </c>
      <c r="D1996" s="9">
        <f>getApertureStart('RawData (GH)'!C1996)</f>
        <v>1.4</v>
      </c>
      <c r="E1996" s="9">
        <f>getApertureEnd('RawData (GH)'!C1996)</f>
        <v>1.4</v>
      </c>
      <c r="F1996" s="2">
        <f>getFiltersizeAsDouble('RawData (GH)'!D1996)</f>
        <v>86</v>
      </c>
      <c r="G1996" s="35">
        <f>getMagnification('RawData (GH)'!E1996)</f>
        <v>7.7</v>
      </c>
      <c r="H1996" s="62">
        <f>getMinimalFocus('RawData (GH)'!F1996)</f>
        <v>0</v>
      </c>
      <c r="I1996" t="str">
        <f>getMount('RawData (GH)'!G1996)</f>
        <v>Nikon F</v>
      </c>
      <c r="J1996" t="str">
        <f>getSensorCompatibility('RawData (GH)'!H1996)</f>
        <v>APS-C/ Kleinbild</v>
      </c>
      <c r="K1996" s="45">
        <f>getWeightAsDouble('RawData (GH)'!I1996)</f>
        <v>1140</v>
      </c>
      <c r="L1996" s="34">
        <f>getSizeDiameter('RawData (GH)'!J1996)</f>
        <v>101</v>
      </c>
      <c r="M1996" s="34">
        <f>getSizeLength('RawData (GH)'!J1996)</f>
        <v>113.5</v>
      </c>
    </row>
    <row r="1997" spans="1:13" x14ac:dyDescent="0.25">
      <c r="A1997" t="str">
        <f>'RawData (GH)'!A1997</f>
        <v>Zeiss ZF.2 Planar T* 50mm 1.4 für Nikon F schwarz</v>
      </c>
      <c r="B1997" s="5">
        <f>getFocalLengthStart('RawData (GH)'!B1997)</f>
        <v>50</v>
      </c>
      <c r="C1997" s="5">
        <f>getFocalLengthEnd('RawData (GH)'!B1997)</f>
        <v>50</v>
      </c>
      <c r="D1997" s="9">
        <f>getApertureStart('RawData (GH)'!C1997)</f>
        <v>1.4</v>
      </c>
      <c r="E1997" s="9">
        <f>getApertureEnd('RawData (GH)'!C1997)</f>
        <v>1.4</v>
      </c>
      <c r="F1997" s="2">
        <f>getFiltersizeAsDouble('RawData (GH)'!D1997)</f>
        <v>58</v>
      </c>
      <c r="G1997" s="35">
        <f>getMagnification('RawData (GH)'!E1997)</f>
        <v>0</v>
      </c>
      <c r="H1997" s="62">
        <f>getMinimalFocus('RawData (GH)'!F1997)</f>
        <v>0</v>
      </c>
      <c r="I1997" t="str">
        <f>getMount('RawData (GH)'!G1997)</f>
        <v>Nikon F</v>
      </c>
      <c r="J1997" t="str">
        <f>getSensorCompatibility('RawData (GH)'!H1997)</f>
        <v>APS-C/ Kleinbild</v>
      </c>
      <c r="K1997" s="45">
        <f>getWeightAsDouble('RawData (GH)'!I1997)</f>
        <v>350</v>
      </c>
      <c r="L1997" s="34">
        <f>getSizeDiameter('RawData (GH)'!J1997)</f>
        <v>66</v>
      </c>
      <c r="M1997" s="34">
        <f>getSizeLength('RawData (GH)'!J1997)</f>
        <v>69</v>
      </c>
    </row>
    <row r="1998" spans="1:13" x14ac:dyDescent="0.25">
      <c r="A1998" t="str">
        <f>'RawData (GH)'!A1998</f>
        <v>Zeiss ZF.2 Planar T* 85mm 1.4 für Nikon F schwarz</v>
      </c>
      <c r="B1998" s="5">
        <f>getFocalLengthStart('RawData (GH)'!B1998)</f>
        <v>85</v>
      </c>
      <c r="C1998" s="5">
        <f>getFocalLengthEnd('RawData (GH)'!B1998)</f>
        <v>85</v>
      </c>
      <c r="D1998" s="9">
        <f>getApertureStart('RawData (GH)'!C1998)</f>
        <v>1.4</v>
      </c>
      <c r="E1998" s="9">
        <f>getApertureEnd('RawData (GH)'!C1998)</f>
        <v>1.4</v>
      </c>
      <c r="F1998" s="2">
        <f>getFiltersizeAsDouble('RawData (GH)'!D1998)</f>
        <v>72</v>
      </c>
      <c r="G1998" s="35">
        <f>getMagnification('RawData (GH)'!E1998)</f>
        <v>0</v>
      </c>
      <c r="H1998" s="62">
        <f>getMinimalFocus('RawData (GH)'!F1998)</f>
        <v>0</v>
      </c>
      <c r="I1998" t="str">
        <f>getMount('RawData (GH)'!G1998)</f>
        <v>Nikon F</v>
      </c>
      <c r="J1998" t="str">
        <f>getSensorCompatibility('RawData (GH)'!H1998)</f>
        <v>APS-C/ Kleinbild</v>
      </c>
      <c r="K1998" s="45">
        <f>getWeightAsDouble('RawData (GH)'!I1998)</f>
        <v>570</v>
      </c>
      <c r="L1998" s="34">
        <f>getSizeDiameter('RawData (GH)'!J1998)</f>
        <v>77</v>
      </c>
      <c r="M1998" s="34">
        <f>getSizeLength('RawData (GH)'!J1998)</f>
        <v>62</v>
      </c>
    </row>
    <row r="1999" spans="1:13" x14ac:dyDescent="0.25">
      <c r="A1999" t="str">
        <f>'RawData (GH)'!A1999</f>
        <v>Zeiss ZM Biogon T* 21mm 2.8 schwarz</v>
      </c>
      <c r="B1999" s="5">
        <f>getFocalLengthStart('RawData (GH)'!B1999)</f>
        <v>21</v>
      </c>
      <c r="C1999" s="5">
        <f>getFocalLengthEnd('RawData (GH)'!B1999)</f>
        <v>21</v>
      </c>
      <c r="D1999" s="9">
        <f>getApertureStart('RawData (GH)'!C1999)</f>
        <v>2.8</v>
      </c>
      <c r="E1999" s="9">
        <f>getApertureEnd('RawData (GH)'!C1999)</f>
        <v>2.8</v>
      </c>
      <c r="F1999" s="2">
        <f>getFiltersizeAsDouble('RawData (GH)'!D1999)</f>
        <v>46</v>
      </c>
      <c r="G1999" s="35">
        <f>getMagnification('RawData (GH)'!E1999)</f>
        <v>21.28</v>
      </c>
      <c r="H1999" s="62">
        <f>getMinimalFocus('RawData (GH)'!F1999)</f>
        <v>0</v>
      </c>
      <c r="I1999" t="str">
        <f>getMount('RawData (GH)'!G1999)</f>
        <v>Leica M</v>
      </c>
      <c r="J1999" t="str">
        <f>getSensorCompatibility('RawData (GH)'!H1999)</f>
        <v>APS-C/ Kleinbild</v>
      </c>
      <c r="K1999" s="45">
        <f>getWeightAsDouble('RawData (GH)'!I1999)</f>
        <v>300</v>
      </c>
      <c r="L1999" s="34">
        <f>getSizeDiameter('RawData (GH)'!J1999)</f>
        <v>0</v>
      </c>
      <c r="M1999" s="34">
        <f>getSizeLength('RawData (GH)'!J1999)</f>
        <v>0</v>
      </c>
    </row>
    <row r="2000" spans="1:13" x14ac:dyDescent="0.25">
      <c r="A2000" t="str">
        <f>'RawData (GH)'!A2000</f>
        <v>Zeiss ZM Biogon T* 21mm 4.5 schwarz</v>
      </c>
      <c r="B2000" s="5">
        <f>getFocalLengthStart('RawData (GH)'!B2000)</f>
        <v>21</v>
      </c>
      <c r="C2000" s="5">
        <f>getFocalLengthEnd('RawData (GH)'!B2000)</f>
        <v>21</v>
      </c>
      <c r="D2000" s="9">
        <f>getApertureStart('RawData (GH)'!C2000)</f>
        <v>4.5</v>
      </c>
      <c r="E2000" s="9">
        <f>getApertureEnd('RawData (GH)'!C2000)</f>
        <v>4.5</v>
      </c>
      <c r="F2000" s="2">
        <f>getFiltersizeAsDouble('RawData (GH)'!D2000)</f>
        <v>46</v>
      </c>
      <c r="G2000" s="35">
        <f>getMagnification('RawData (GH)'!E2000)</f>
        <v>20</v>
      </c>
      <c r="H2000" s="62">
        <f>getMinimalFocus('RawData (GH)'!F2000)</f>
        <v>0</v>
      </c>
      <c r="I2000" t="str">
        <f>getMount('RawData (GH)'!G2000)</f>
        <v>Leica M</v>
      </c>
      <c r="J2000" t="str">
        <f>getSensorCompatibility('RawData (GH)'!H2000)</f>
        <v>APS-C/ Kleinbild</v>
      </c>
      <c r="K2000" s="45">
        <f>getWeightAsDouble('RawData (GH)'!I2000)</f>
        <v>190</v>
      </c>
      <c r="L2000" s="34">
        <f>getSizeDiameter('RawData (GH)'!J2000)</f>
        <v>0</v>
      </c>
      <c r="M2000" s="34">
        <f>getSizeLength('RawData (GH)'!J2000)</f>
        <v>0</v>
      </c>
    </row>
    <row r="2001" spans="1:13" x14ac:dyDescent="0.25">
      <c r="A2001" t="str">
        <f>'RawData (GH)'!A2001</f>
        <v>Zeiss ZM Biogon T* 25mm 2.8 schwarz</v>
      </c>
      <c r="B2001" s="5">
        <f>getFocalLengthStart('RawData (GH)'!B2001)</f>
        <v>25</v>
      </c>
      <c r="C2001" s="5">
        <f>getFocalLengthEnd('RawData (GH)'!B2001)</f>
        <v>25</v>
      </c>
      <c r="D2001" s="9">
        <f>getApertureStart('RawData (GH)'!C2001)</f>
        <v>2.8</v>
      </c>
      <c r="E2001" s="9">
        <f>getApertureEnd('RawData (GH)'!C2001)</f>
        <v>2.8</v>
      </c>
      <c r="F2001" s="2">
        <f>getFiltersizeAsDouble('RawData (GH)'!D2001)</f>
        <v>46</v>
      </c>
      <c r="G2001" s="35">
        <f>getMagnification('RawData (GH)'!E2001)</f>
        <v>1.8</v>
      </c>
      <c r="H2001" s="62">
        <f>getMinimalFocus('RawData (GH)'!F2001)</f>
        <v>0</v>
      </c>
      <c r="I2001" t="str">
        <f>getMount('RawData (GH)'!G2001)</f>
        <v>Leica M</v>
      </c>
      <c r="J2001" t="str">
        <f>getSensorCompatibility('RawData (GH)'!H2001)</f>
        <v>APS-C/ Kleinbild</v>
      </c>
      <c r="K2001" s="45">
        <f>getWeightAsDouble('RawData (GH)'!I2001)</f>
        <v>260</v>
      </c>
      <c r="L2001" s="34">
        <f>getSizeDiameter('RawData (GH)'!J2001)</f>
        <v>0</v>
      </c>
      <c r="M2001" s="34">
        <f>getSizeLength('RawData (GH)'!J2001)</f>
        <v>0</v>
      </c>
    </row>
    <row r="2002" spans="1:13" x14ac:dyDescent="0.25">
      <c r="A2002" t="str">
        <f>'RawData (GH)'!A2002</f>
        <v>Zeiss ZM Biogon T* 28mm 2.8 schwarz</v>
      </c>
      <c r="B2002" s="5">
        <f>getFocalLengthStart('RawData (GH)'!B2002)</f>
        <v>28</v>
      </c>
      <c r="C2002" s="5">
        <f>getFocalLengthEnd('RawData (GH)'!B2002)</f>
        <v>28</v>
      </c>
      <c r="D2002" s="9">
        <f>getApertureStart('RawData (GH)'!C2002)</f>
        <v>2.8</v>
      </c>
      <c r="E2002" s="9">
        <f>getApertureEnd('RawData (GH)'!C2002)</f>
        <v>2.8</v>
      </c>
      <c r="F2002" s="2">
        <f>getFiltersizeAsDouble('RawData (GH)'!D2002)</f>
        <v>46</v>
      </c>
      <c r="G2002" s="35">
        <f>getMagnification('RawData (GH)'!E2002)</f>
        <v>16</v>
      </c>
      <c r="H2002" s="62">
        <f>getMinimalFocus('RawData (GH)'!F2002)</f>
        <v>0</v>
      </c>
      <c r="I2002" t="str">
        <f>getMount('RawData (GH)'!G2002)</f>
        <v>Leica M</v>
      </c>
      <c r="J2002" t="str">
        <f>getSensorCompatibility('RawData (GH)'!H2002)</f>
        <v>APS-C/ Kleinbild</v>
      </c>
      <c r="K2002" s="45">
        <f>getWeightAsDouble('RawData (GH)'!I2002)</f>
        <v>220</v>
      </c>
      <c r="L2002" s="34">
        <f>getSizeDiameter('RawData (GH)'!J2002)</f>
        <v>0</v>
      </c>
      <c r="M2002" s="34">
        <f>getSizeLength('RawData (GH)'!J2002)</f>
        <v>0</v>
      </c>
    </row>
    <row r="2003" spans="1:13" x14ac:dyDescent="0.25">
      <c r="A2003" t="str">
        <f>'RawData (GH)'!A2003</f>
        <v>Zeiss ZM Biogon T* 35mm 2.0 schwarz</v>
      </c>
      <c r="B2003" s="5">
        <f>getFocalLengthStart('RawData (GH)'!B2003)</f>
        <v>35</v>
      </c>
      <c r="C2003" s="5">
        <f>getFocalLengthEnd('RawData (GH)'!B2003)</f>
        <v>35</v>
      </c>
      <c r="D2003" s="9">
        <f>getApertureStart('RawData (GH)'!C2003)</f>
        <v>2</v>
      </c>
      <c r="E2003" s="9">
        <f>getApertureEnd('RawData (GH)'!C2003)</f>
        <v>2</v>
      </c>
      <c r="F2003" s="2">
        <f>getFiltersizeAsDouble('RawData (GH)'!D2003)</f>
        <v>43</v>
      </c>
      <c r="G2003" s="35">
        <f>getMagnification('RawData (GH)'!E2003)</f>
        <v>18.02</v>
      </c>
      <c r="H2003" s="62">
        <f>getMinimalFocus('RawData (GH)'!F2003)</f>
        <v>0</v>
      </c>
      <c r="I2003" t="str">
        <f>getMount('RawData (GH)'!G2003)</f>
        <v>Leica M</v>
      </c>
      <c r="J2003" t="str">
        <f>getSensorCompatibility('RawData (GH)'!H2003)</f>
        <v>APS-C/ Kleinbild</v>
      </c>
      <c r="K2003" s="45">
        <f>getWeightAsDouble('RawData (GH)'!I2003)</f>
        <v>240</v>
      </c>
      <c r="L2003" s="34">
        <f>getSizeDiameter('RawData (GH)'!J2003)</f>
        <v>0</v>
      </c>
      <c r="M2003" s="34">
        <f>getSizeLength('RawData (GH)'!J2003)</f>
        <v>0</v>
      </c>
    </row>
    <row r="2004" spans="1:13" x14ac:dyDescent="0.25">
      <c r="A2004" t="str">
        <f>'RawData (GH)'!A2004</f>
        <v>Zeiss ZM C Biogon T* 35mm 2.8 schwarz</v>
      </c>
      <c r="B2004" s="5">
        <f>getFocalLengthStart('RawData (GH)'!B2004)</f>
        <v>35</v>
      </c>
      <c r="C2004" s="5">
        <f>getFocalLengthEnd('RawData (GH)'!B2004)</f>
        <v>35</v>
      </c>
      <c r="D2004" s="9">
        <f>getApertureStart('RawData (GH)'!C2004)</f>
        <v>2.8</v>
      </c>
      <c r="E2004" s="9">
        <f>getApertureEnd('RawData (GH)'!C2004)</f>
        <v>2.8</v>
      </c>
      <c r="F2004" s="2">
        <f>getFiltersizeAsDouble('RawData (GH)'!D2004)</f>
        <v>43</v>
      </c>
      <c r="G2004" s="35">
        <f>getMagnification('RawData (GH)'!E2004)</f>
        <v>17.010000000000002</v>
      </c>
      <c r="H2004" s="62">
        <f>getMinimalFocus('RawData (GH)'!F2004)</f>
        <v>0</v>
      </c>
      <c r="I2004" t="str">
        <f>getMount('RawData (GH)'!G2004)</f>
        <v>Leica M</v>
      </c>
      <c r="J2004" t="str">
        <f>getSensorCompatibility('RawData (GH)'!H2004)</f>
        <v>APS-C/ Kleinbild</v>
      </c>
      <c r="K2004" s="45">
        <f>getWeightAsDouble('RawData (GH)'!I2004)</f>
        <v>200</v>
      </c>
      <c r="L2004" s="34">
        <f>getSizeDiameter('RawData (GH)'!J2004)</f>
        <v>0</v>
      </c>
      <c r="M2004" s="34">
        <f>getSizeLength('RawData (GH)'!J2004)</f>
        <v>0</v>
      </c>
    </row>
    <row r="2005" spans="1:13" x14ac:dyDescent="0.25">
      <c r="A2005" t="str">
        <f>'RawData (GH)'!A2005</f>
        <v>Zeiss ZM C Sonnar T* 50mm 1.5 schwarz</v>
      </c>
      <c r="B2005" s="5">
        <f>getFocalLengthStart('RawData (GH)'!B2005)</f>
        <v>50</v>
      </c>
      <c r="C2005" s="5">
        <f>getFocalLengthEnd('RawData (GH)'!B2005)</f>
        <v>50</v>
      </c>
      <c r="D2005" s="9">
        <f>getApertureStart('RawData (GH)'!C2005)</f>
        <v>1.5</v>
      </c>
      <c r="E2005" s="9">
        <f>getApertureEnd('RawData (GH)'!C2005)</f>
        <v>1.5</v>
      </c>
      <c r="F2005" s="2">
        <f>getFiltersizeAsDouble('RawData (GH)'!D2005)</f>
        <v>46</v>
      </c>
      <c r="G2005" s="35">
        <f>getMagnification('RawData (GH)'!E2005)</f>
        <v>0</v>
      </c>
      <c r="H2005" s="62">
        <f>getMinimalFocus('RawData (GH)'!F2005)</f>
        <v>0</v>
      </c>
      <c r="I2005" t="str">
        <f>getMount('RawData (GH)'!G2005)</f>
        <v>Leica M</v>
      </c>
      <c r="J2005" t="str">
        <f>getSensorCompatibility('RawData (GH)'!H2005)</f>
        <v>APS-C/ Kleinbild</v>
      </c>
      <c r="K2005" s="45">
        <f>getWeightAsDouble('RawData (GH)'!I2005)</f>
        <v>250</v>
      </c>
      <c r="L2005" s="34">
        <f>getSizeDiameter('RawData (GH)'!J2005)</f>
        <v>0</v>
      </c>
      <c r="M2005" s="34">
        <f>getSizeLength('RawData (GH)'!J2005)</f>
        <v>0</v>
      </c>
    </row>
    <row r="2006" spans="1:13" x14ac:dyDescent="0.25">
      <c r="A2006" t="str">
        <f>'RawData (GH)'!A2006</f>
        <v>Zeiss ZM Distagon T* 15mm 2.8 schwarz</v>
      </c>
      <c r="B2006" s="5">
        <f>getFocalLengthStart('RawData (GH)'!B2006)</f>
        <v>15</v>
      </c>
      <c r="C2006" s="5">
        <f>getFocalLengthEnd('RawData (GH)'!B2006)</f>
        <v>15</v>
      </c>
      <c r="D2006" s="9">
        <f>getApertureStart('RawData (GH)'!C2006)</f>
        <v>2.8</v>
      </c>
      <c r="E2006" s="9">
        <f>getApertureEnd('RawData (GH)'!C2006)</f>
        <v>2.8</v>
      </c>
      <c r="F2006" s="2">
        <f>getFiltersizeAsDouble('RawData (GH)'!D2006)</f>
        <v>72</v>
      </c>
      <c r="G2006" s="35">
        <f>getMagnification('RawData (GH)'!E2006)</f>
        <v>18.18</v>
      </c>
      <c r="H2006" s="62">
        <f>getMinimalFocus('RawData (GH)'!F2006)</f>
        <v>0</v>
      </c>
      <c r="I2006" t="str">
        <f>getMount('RawData (GH)'!G2006)</f>
        <v>Leica M</v>
      </c>
      <c r="J2006" t="str">
        <f>getSensorCompatibility('RawData (GH)'!H2006)</f>
        <v>APS-C/ Kleinbild</v>
      </c>
      <c r="K2006" s="45">
        <f>getWeightAsDouble('RawData (GH)'!I2006)</f>
        <v>500</v>
      </c>
      <c r="L2006" s="34">
        <f>getSizeDiameter('RawData (GH)'!J2006)</f>
        <v>0</v>
      </c>
      <c r="M2006" s="34">
        <f>getSizeLength('RawData (GH)'!J2006)</f>
        <v>0</v>
      </c>
    </row>
    <row r="2007" spans="1:13" x14ac:dyDescent="0.25">
      <c r="A2007" t="str">
        <f>'RawData (GH)'!A2007</f>
        <v>Zeiss ZM Distagon T* 18mm 4.0 schwarz</v>
      </c>
      <c r="B2007" s="5">
        <f>getFocalLengthStart('RawData (GH)'!B2007)</f>
        <v>18</v>
      </c>
      <c r="C2007" s="5">
        <f>getFocalLengthEnd('RawData (GH)'!B2007)</f>
        <v>18</v>
      </c>
      <c r="D2007" s="9">
        <f>getApertureStart('RawData (GH)'!C2007)</f>
        <v>4</v>
      </c>
      <c r="E2007" s="9">
        <f>getApertureEnd('RawData (GH)'!C2007)</f>
        <v>4</v>
      </c>
      <c r="F2007" s="2">
        <f>getFiltersizeAsDouble('RawData (GH)'!D2007)</f>
        <v>58</v>
      </c>
      <c r="G2007" s="35">
        <f>getMagnification('RawData (GH)'!E2007)</f>
        <v>23.04</v>
      </c>
      <c r="H2007" s="62">
        <f>getMinimalFocus('RawData (GH)'!F2007)</f>
        <v>0</v>
      </c>
      <c r="I2007" t="str">
        <f>getMount('RawData (GH)'!G2007)</f>
        <v>Leica M</v>
      </c>
      <c r="J2007" t="str">
        <f>getSensorCompatibility('RawData (GH)'!H2007)</f>
        <v>APS-C/ Kleinbild</v>
      </c>
      <c r="K2007" s="45">
        <f>getWeightAsDouble('RawData (GH)'!I2007)</f>
        <v>320</v>
      </c>
      <c r="L2007" s="34">
        <f>getSizeDiameter('RawData (GH)'!J2007)</f>
        <v>0</v>
      </c>
      <c r="M2007" s="34">
        <f>getSizeLength('RawData (GH)'!J2007)</f>
        <v>0</v>
      </c>
    </row>
    <row r="2008" spans="1:13" x14ac:dyDescent="0.25">
      <c r="A2008" t="str">
        <f>'RawData (GH)'!A2008</f>
        <v>Zeiss ZM Distagon T* 35mm 1.4 schwarz</v>
      </c>
      <c r="B2008" s="5">
        <f>getFocalLengthStart('RawData (GH)'!B2008)</f>
        <v>35</v>
      </c>
      <c r="C2008" s="5">
        <f>getFocalLengthEnd('RawData (GH)'!B2008)</f>
        <v>35</v>
      </c>
      <c r="D2008" s="9">
        <f>getApertureStart('RawData (GH)'!C2008)</f>
        <v>1.4</v>
      </c>
      <c r="E2008" s="9">
        <f>getApertureEnd('RawData (GH)'!C2008)</f>
        <v>1.4</v>
      </c>
      <c r="F2008" s="2">
        <f>getFiltersizeAsDouble('RawData (GH)'!D2008)</f>
        <v>72</v>
      </c>
      <c r="G2008" s="35">
        <f>getMagnification('RawData (GH)'!E2008)</f>
        <v>16.899999999999999</v>
      </c>
      <c r="H2008" s="62">
        <f>getMinimalFocus('RawData (GH)'!F2008)</f>
        <v>0</v>
      </c>
      <c r="I2008" t="str">
        <f>getMount('RawData (GH)'!G2008)</f>
        <v>Leica M</v>
      </c>
      <c r="J2008" t="str">
        <f>getSensorCompatibility('RawData (GH)'!H2008)</f>
        <v>APS-C/ Kleinbild</v>
      </c>
      <c r="K2008" s="45">
        <f>getWeightAsDouble('RawData (GH)'!I2008)</f>
        <v>381</v>
      </c>
      <c r="L2008" s="34">
        <f>getSizeDiameter('RawData (GH)'!J2008)</f>
        <v>63</v>
      </c>
      <c r="M2008" s="34">
        <f>getSizeLength('RawData (GH)'!J2008)</f>
        <v>65</v>
      </c>
    </row>
    <row r="2009" spans="1:13" x14ac:dyDescent="0.25">
      <c r="A2009" t="str">
        <f>'RawData (GH)'!A2009</f>
        <v>Zeiss ZM Distagon T* 35mm 1.4 silber</v>
      </c>
      <c r="B2009" s="5">
        <f>getFocalLengthStart('RawData (GH)'!B2009)</f>
        <v>35</v>
      </c>
      <c r="C2009" s="5">
        <f>getFocalLengthEnd('RawData (GH)'!B2009)</f>
        <v>35</v>
      </c>
      <c r="D2009" s="9">
        <f>getApertureStart('RawData (GH)'!C2009)</f>
        <v>1.4</v>
      </c>
      <c r="E2009" s="9">
        <f>getApertureEnd('RawData (GH)'!C2009)</f>
        <v>1.4</v>
      </c>
      <c r="F2009" s="2">
        <f>getFiltersizeAsDouble('RawData (GH)'!D2009)</f>
        <v>72</v>
      </c>
      <c r="G2009" s="35">
        <f>getMagnification('RawData (GH)'!E2009)</f>
        <v>16.899999999999999</v>
      </c>
      <c r="H2009" s="62">
        <f>getMinimalFocus('RawData (GH)'!F2009)</f>
        <v>0</v>
      </c>
      <c r="I2009" t="str">
        <f>getMount('RawData (GH)'!G2009)</f>
        <v>Leica M</v>
      </c>
      <c r="J2009" t="str">
        <f>getSensorCompatibility('RawData (GH)'!H2009)</f>
        <v>APS-C/ Kleinbild</v>
      </c>
      <c r="K2009" s="45">
        <f>getWeightAsDouble('RawData (GH)'!I2009)</f>
        <v>381</v>
      </c>
      <c r="L2009" s="34">
        <f>getSizeDiameter('RawData (GH)'!J2009)</f>
        <v>63</v>
      </c>
      <c r="M2009" s="34">
        <f>getSizeLength('RawData (GH)'!J2009)</f>
        <v>65</v>
      </c>
    </row>
    <row r="2010" spans="1:13" x14ac:dyDescent="0.25">
      <c r="A2010" t="str">
        <f>'RawData (GH)'!A2010</f>
        <v>Zeiss ZM Planar T* 50mm 2.0 schwarz</v>
      </c>
      <c r="B2010" s="5">
        <f>getFocalLengthStart('RawData (GH)'!B2010)</f>
        <v>50</v>
      </c>
      <c r="C2010" s="5">
        <f>getFocalLengthEnd('RawData (GH)'!B2010)</f>
        <v>50</v>
      </c>
      <c r="D2010" s="9">
        <f>getApertureStart('RawData (GH)'!C2010)</f>
        <v>2</v>
      </c>
      <c r="E2010" s="9">
        <f>getApertureEnd('RawData (GH)'!C2010)</f>
        <v>2</v>
      </c>
      <c r="F2010" s="2">
        <f>getFiltersizeAsDouble('RawData (GH)'!D2010)</f>
        <v>43</v>
      </c>
      <c r="G2010" s="35">
        <f>getMagnification('RawData (GH)'!E2010)</f>
        <v>12.05</v>
      </c>
      <c r="H2010" s="62">
        <f>getMinimalFocus('RawData (GH)'!F2010)</f>
        <v>0</v>
      </c>
      <c r="I2010" t="str">
        <f>getMount('RawData (GH)'!G2010)</f>
        <v>Leica M</v>
      </c>
      <c r="J2010" t="str">
        <f>getSensorCompatibility('RawData (GH)'!H2010)</f>
        <v>APS-C/ Kleinbild</v>
      </c>
      <c r="K2010" s="45">
        <f>getWeightAsDouble('RawData (GH)'!I2010)</f>
        <v>210</v>
      </c>
      <c r="L2010" s="34">
        <f>getSizeDiameter('RawData (GH)'!J2010)</f>
        <v>0</v>
      </c>
      <c r="M2010" s="34">
        <f>getSizeLength('RawData (GH)'!J2010)</f>
        <v>0</v>
      </c>
    </row>
    <row r="2011" spans="1:13" x14ac:dyDescent="0.25">
      <c r="A2011" t="str">
        <f>'RawData (GH)'!A2011</f>
        <v>Zeiss ZM Tele-Tessar T* 85mm 4.0 schwarz</v>
      </c>
      <c r="B2011" s="5">
        <f>getFocalLengthStart('RawData (GH)'!B2011)</f>
        <v>85</v>
      </c>
      <c r="C2011" s="5">
        <f>getFocalLengthEnd('RawData (GH)'!B2011)</f>
        <v>85</v>
      </c>
      <c r="D2011" s="9">
        <f>getApertureStart('RawData (GH)'!C2011)</f>
        <v>4</v>
      </c>
      <c r="E2011" s="9">
        <f>getApertureEnd('RawData (GH)'!C2011)</f>
        <v>4</v>
      </c>
      <c r="F2011" s="2">
        <f>getFiltersizeAsDouble('RawData (GH)'!D2011)</f>
        <v>43</v>
      </c>
      <c r="G2011" s="35">
        <f>getMagnification('RawData (GH)'!E2011)</f>
        <v>0</v>
      </c>
      <c r="H2011" s="62">
        <f>getMinimalFocus('RawData (GH)'!F2011)</f>
        <v>0</v>
      </c>
      <c r="I2011" t="str">
        <f>getMount('RawData (GH)'!G2011)</f>
        <v>Leica M</v>
      </c>
      <c r="J2011" t="str">
        <f>getSensorCompatibility('RawData (GH)'!H2011)</f>
        <v>APS-C/ Kleinbild</v>
      </c>
      <c r="K2011" s="45">
        <f>getWeightAsDouble('RawData (GH)'!I2011)</f>
        <v>310</v>
      </c>
      <c r="L2011" s="34">
        <f>getSizeDiameter('RawData (GH)'!J2011)</f>
        <v>0</v>
      </c>
      <c r="M2011" s="34">
        <f>getSizeLength('RawData (GH)'!J2011)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J2011"/>
  <sheetViews>
    <sheetView workbookViewId="0">
      <selection activeCell="F2" sqref="F2"/>
    </sheetView>
  </sheetViews>
  <sheetFormatPr baseColWidth="10" defaultRowHeight="15" x14ac:dyDescent="0.25"/>
  <cols>
    <col min="1" max="1" width="56.42578125" style="43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3.140625" customWidth="1"/>
    <col min="7" max="7" width="17" bestFit="1" customWidth="1"/>
    <col min="8" max="8" width="19.28515625" bestFit="1" customWidth="1"/>
    <col min="9" max="9" width="8.7109375" bestFit="1" customWidth="1"/>
    <col min="10" max="10" width="15.7109375" bestFit="1" customWidth="1"/>
  </cols>
  <sheetData>
    <row r="1" spans="1:10" x14ac:dyDescent="0.25">
      <c r="A1" s="43" t="s">
        <v>2491</v>
      </c>
      <c r="B1" t="s">
        <v>879</v>
      </c>
      <c r="C1" t="s">
        <v>882</v>
      </c>
      <c r="D1" t="s">
        <v>2492</v>
      </c>
      <c r="E1" t="s">
        <v>897</v>
      </c>
      <c r="F1" t="s">
        <v>4532</v>
      </c>
      <c r="G1" t="s">
        <v>1</v>
      </c>
      <c r="H1" t="s">
        <v>2493</v>
      </c>
      <c r="I1" t="s">
        <v>2</v>
      </c>
      <c r="J1" t="s">
        <v>867</v>
      </c>
    </row>
    <row r="2" spans="1:10" x14ac:dyDescent="0.25">
      <c r="A2" s="43" t="s">
        <v>2504</v>
      </c>
      <c r="B2" t="s">
        <v>54</v>
      </c>
      <c r="C2" t="s">
        <v>1181</v>
      </c>
      <c r="D2" t="s">
        <v>27</v>
      </c>
      <c r="E2" t="s">
        <v>1232</v>
      </c>
      <c r="G2" t="s">
        <v>1226</v>
      </c>
      <c r="H2" t="s">
        <v>907</v>
      </c>
      <c r="I2" t="s">
        <v>810</v>
      </c>
      <c r="J2" t="s">
        <v>1649</v>
      </c>
    </row>
    <row r="3" spans="1:10" x14ac:dyDescent="0.25">
      <c r="A3" s="43" t="s">
        <v>2743</v>
      </c>
      <c r="B3" t="s">
        <v>54</v>
      </c>
      <c r="C3" t="s">
        <v>1181</v>
      </c>
      <c r="D3" t="s">
        <v>27</v>
      </c>
      <c r="E3" t="s">
        <v>1239</v>
      </c>
      <c r="G3" t="s">
        <v>1226</v>
      </c>
      <c r="H3" t="s">
        <v>907</v>
      </c>
      <c r="I3" t="s">
        <v>807</v>
      </c>
      <c r="J3" t="s">
        <v>2464</v>
      </c>
    </row>
    <row r="4" spans="1:10" x14ac:dyDescent="0.25">
      <c r="A4" s="43" t="s">
        <v>2776</v>
      </c>
      <c r="B4" t="s">
        <v>61</v>
      </c>
      <c r="C4" t="s">
        <v>1183</v>
      </c>
      <c r="D4" t="s">
        <v>91</v>
      </c>
      <c r="E4" t="s">
        <v>1249</v>
      </c>
      <c r="G4" t="s">
        <v>1226</v>
      </c>
      <c r="H4" t="s">
        <v>907</v>
      </c>
      <c r="I4" t="s">
        <v>33</v>
      </c>
      <c r="J4" t="s">
        <v>1816</v>
      </c>
    </row>
    <row r="5" spans="1:10" x14ac:dyDescent="0.25">
      <c r="A5" s="43" t="s">
        <v>2544</v>
      </c>
      <c r="B5" t="s">
        <v>61</v>
      </c>
      <c r="C5" t="s">
        <v>1177</v>
      </c>
      <c r="D5" t="s">
        <v>56</v>
      </c>
      <c r="E5" t="s">
        <v>1247</v>
      </c>
      <c r="G5" t="s">
        <v>1226</v>
      </c>
      <c r="H5" t="s">
        <v>907</v>
      </c>
      <c r="I5" t="s">
        <v>96</v>
      </c>
      <c r="J5" t="s">
        <v>1687</v>
      </c>
    </row>
    <row r="6" spans="1:10" x14ac:dyDescent="0.25">
      <c r="A6" s="43" t="s">
        <v>4294</v>
      </c>
      <c r="B6" t="s">
        <v>61</v>
      </c>
      <c r="C6" t="s">
        <v>1177</v>
      </c>
      <c r="D6" t="s">
        <v>91</v>
      </c>
      <c r="E6" t="s">
        <v>1247</v>
      </c>
      <c r="G6" t="s">
        <v>1226</v>
      </c>
      <c r="H6" t="s">
        <v>907</v>
      </c>
      <c r="I6" t="s">
        <v>123</v>
      </c>
      <c r="J6" t="s">
        <v>2421</v>
      </c>
    </row>
    <row r="7" spans="1:10" x14ac:dyDescent="0.25">
      <c r="A7" s="43" t="s">
        <v>2782</v>
      </c>
      <c r="B7" t="s">
        <v>2783</v>
      </c>
      <c r="C7" t="s">
        <v>1178</v>
      </c>
      <c r="E7" t="s">
        <v>1244</v>
      </c>
      <c r="G7" t="s">
        <v>1226</v>
      </c>
      <c r="H7" t="s">
        <v>907</v>
      </c>
      <c r="I7" t="s">
        <v>2784</v>
      </c>
      <c r="J7" t="s">
        <v>2436</v>
      </c>
    </row>
    <row r="8" spans="1:10" x14ac:dyDescent="0.25">
      <c r="A8" s="43" t="s">
        <v>4452</v>
      </c>
      <c r="B8" t="s">
        <v>148</v>
      </c>
      <c r="C8" t="s">
        <v>1183</v>
      </c>
      <c r="D8" t="s">
        <v>15</v>
      </c>
      <c r="E8" t="s">
        <v>1217</v>
      </c>
      <c r="G8" t="s">
        <v>1226</v>
      </c>
      <c r="H8" t="s">
        <v>907</v>
      </c>
      <c r="I8" t="s">
        <v>1373</v>
      </c>
      <c r="J8" t="s">
        <v>2422</v>
      </c>
    </row>
    <row r="9" spans="1:10" x14ac:dyDescent="0.25">
      <c r="A9" s="43" t="s">
        <v>3109</v>
      </c>
      <c r="B9" t="s">
        <v>148</v>
      </c>
      <c r="C9" t="s">
        <v>1177</v>
      </c>
      <c r="D9" t="s">
        <v>318</v>
      </c>
      <c r="E9" t="s">
        <v>1286</v>
      </c>
      <c r="G9" t="s">
        <v>1226</v>
      </c>
      <c r="H9" t="s">
        <v>907</v>
      </c>
      <c r="I9" t="s">
        <v>395</v>
      </c>
      <c r="J9" t="s">
        <v>1817</v>
      </c>
    </row>
    <row r="10" spans="1:10" x14ac:dyDescent="0.25">
      <c r="A10" s="43" t="s">
        <v>2781</v>
      </c>
      <c r="B10" t="s">
        <v>176</v>
      </c>
      <c r="C10" t="s">
        <v>1177</v>
      </c>
      <c r="E10" t="s">
        <v>1230</v>
      </c>
      <c r="G10" t="s">
        <v>1226</v>
      </c>
      <c r="H10" t="s">
        <v>907</v>
      </c>
      <c r="I10" t="s">
        <v>555</v>
      </c>
      <c r="J10" t="s">
        <v>2462</v>
      </c>
    </row>
    <row r="11" spans="1:10" x14ac:dyDescent="0.25">
      <c r="A11" s="43" t="s">
        <v>2592</v>
      </c>
      <c r="B11" t="s">
        <v>241</v>
      </c>
      <c r="C11" t="s">
        <v>1177</v>
      </c>
      <c r="D11" t="s">
        <v>21</v>
      </c>
      <c r="E11" t="s">
        <v>1351</v>
      </c>
      <c r="G11" t="s">
        <v>1226</v>
      </c>
      <c r="H11" t="s">
        <v>907</v>
      </c>
      <c r="I11" t="s">
        <v>834</v>
      </c>
      <c r="J11" t="s">
        <v>2456</v>
      </c>
    </row>
    <row r="12" spans="1:10" x14ac:dyDescent="0.25">
      <c r="A12" s="43" t="s">
        <v>2669</v>
      </c>
      <c r="B12" t="s">
        <v>241</v>
      </c>
      <c r="C12" t="s">
        <v>1177</v>
      </c>
      <c r="D12" t="s">
        <v>21</v>
      </c>
      <c r="E12" t="s">
        <v>1268</v>
      </c>
      <c r="G12" t="s">
        <v>1226</v>
      </c>
      <c r="H12" t="s">
        <v>907</v>
      </c>
      <c r="I12" t="s">
        <v>85</v>
      </c>
      <c r="J12" t="s">
        <v>1715</v>
      </c>
    </row>
    <row r="13" spans="1:10" x14ac:dyDescent="0.25">
      <c r="A13" s="43" t="s">
        <v>2522</v>
      </c>
      <c r="B13" t="s">
        <v>241</v>
      </c>
      <c r="C13" t="s">
        <v>1178</v>
      </c>
      <c r="D13" t="s">
        <v>27</v>
      </c>
      <c r="E13" t="s">
        <v>1219</v>
      </c>
      <c r="G13" t="s">
        <v>1226</v>
      </c>
      <c r="H13" t="s">
        <v>907</v>
      </c>
      <c r="I13" t="s">
        <v>268</v>
      </c>
      <c r="J13" t="s">
        <v>1645</v>
      </c>
    </row>
    <row r="14" spans="1:10" x14ac:dyDescent="0.25">
      <c r="A14" s="43" t="s">
        <v>4455</v>
      </c>
      <c r="B14" t="s">
        <v>4456</v>
      </c>
      <c r="C14" t="s">
        <v>1178</v>
      </c>
      <c r="D14" t="s">
        <v>27</v>
      </c>
      <c r="E14" t="s">
        <v>1221</v>
      </c>
      <c r="G14" t="s">
        <v>1226</v>
      </c>
      <c r="H14" t="s">
        <v>907</v>
      </c>
      <c r="I14" t="s">
        <v>562</v>
      </c>
      <c r="J14" t="s">
        <v>2432</v>
      </c>
    </row>
    <row r="15" spans="1:10" x14ac:dyDescent="0.25">
      <c r="A15" s="43" t="s">
        <v>4212</v>
      </c>
      <c r="B15" t="s">
        <v>398</v>
      </c>
      <c r="C15" t="s">
        <v>1194</v>
      </c>
      <c r="D15" t="s">
        <v>15</v>
      </c>
      <c r="E15" t="s">
        <v>1247</v>
      </c>
      <c r="G15" t="s">
        <v>1226</v>
      </c>
      <c r="H15" t="s">
        <v>907</v>
      </c>
      <c r="I15" t="s">
        <v>4213</v>
      </c>
      <c r="J15" t="s">
        <v>1970</v>
      </c>
    </row>
    <row r="16" spans="1:10" x14ac:dyDescent="0.25">
      <c r="A16" s="43" t="s">
        <v>4292</v>
      </c>
      <c r="B16" t="s">
        <v>417</v>
      </c>
      <c r="C16" t="s">
        <v>1178</v>
      </c>
      <c r="D16" t="s">
        <v>318</v>
      </c>
      <c r="E16" t="s">
        <v>1230</v>
      </c>
      <c r="G16" t="s">
        <v>1226</v>
      </c>
      <c r="H16" t="s">
        <v>907</v>
      </c>
      <c r="I16" t="s">
        <v>4293</v>
      </c>
      <c r="J16" t="s">
        <v>1984</v>
      </c>
    </row>
    <row r="17" spans="1:10" x14ac:dyDescent="0.25">
      <c r="A17" s="43" t="s">
        <v>4209</v>
      </c>
      <c r="B17" t="s">
        <v>432</v>
      </c>
      <c r="C17" t="s">
        <v>1183</v>
      </c>
      <c r="D17" t="s">
        <v>318</v>
      </c>
      <c r="E17" t="s">
        <v>1286</v>
      </c>
      <c r="G17" t="s">
        <v>1226</v>
      </c>
      <c r="H17" t="s">
        <v>907</v>
      </c>
      <c r="I17" t="s">
        <v>4210</v>
      </c>
      <c r="J17" t="s">
        <v>4211</v>
      </c>
    </row>
    <row r="18" spans="1:10" x14ac:dyDescent="0.25">
      <c r="A18" s="43" t="s">
        <v>4291</v>
      </c>
      <c r="B18" t="s">
        <v>432</v>
      </c>
      <c r="C18" t="s">
        <v>1177</v>
      </c>
      <c r="D18" t="s">
        <v>15</v>
      </c>
      <c r="E18" t="s">
        <v>1244</v>
      </c>
      <c r="G18" t="s">
        <v>1226</v>
      </c>
      <c r="H18" t="s">
        <v>907</v>
      </c>
      <c r="I18" t="s">
        <v>790</v>
      </c>
      <c r="J18" t="s">
        <v>1818</v>
      </c>
    </row>
    <row r="19" spans="1:10" x14ac:dyDescent="0.25">
      <c r="A19" s="43" t="s">
        <v>4365</v>
      </c>
      <c r="B19" t="s">
        <v>441</v>
      </c>
      <c r="C19" t="s">
        <v>1177</v>
      </c>
      <c r="D19" t="s">
        <v>15</v>
      </c>
      <c r="E19" t="s">
        <v>1249</v>
      </c>
      <c r="G19" t="s">
        <v>1226</v>
      </c>
      <c r="H19" t="s">
        <v>907</v>
      </c>
      <c r="I19" t="s">
        <v>321</v>
      </c>
      <c r="J19" t="s">
        <v>1971</v>
      </c>
    </row>
    <row r="20" spans="1:10" x14ac:dyDescent="0.25">
      <c r="A20" s="43" t="s">
        <v>2591</v>
      </c>
      <c r="B20" t="s">
        <v>465</v>
      </c>
      <c r="C20" t="s">
        <v>1184</v>
      </c>
      <c r="D20" t="s">
        <v>27</v>
      </c>
      <c r="E20" t="s">
        <v>1241</v>
      </c>
      <c r="G20" t="s">
        <v>1226</v>
      </c>
      <c r="H20" t="s">
        <v>907</v>
      </c>
      <c r="I20" t="s">
        <v>794</v>
      </c>
      <c r="J20" t="s">
        <v>1670</v>
      </c>
    </row>
    <row r="21" spans="1:10" x14ac:dyDescent="0.25">
      <c r="A21" s="43" t="s">
        <v>2497</v>
      </c>
      <c r="B21" t="s">
        <v>465</v>
      </c>
      <c r="C21" t="s">
        <v>1178</v>
      </c>
      <c r="D21" t="s">
        <v>27</v>
      </c>
      <c r="E21" t="s">
        <v>1221</v>
      </c>
      <c r="G21" t="s">
        <v>1226</v>
      </c>
      <c r="H21" t="s">
        <v>907</v>
      </c>
      <c r="I21" t="s">
        <v>1253</v>
      </c>
      <c r="J21" t="s">
        <v>1660</v>
      </c>
    </row>
    <row r="22" spans="1:10" x14ac:dyDescent="0.25">
      <c r="A22" s="43" t="s">
        <v>4492</v>
      </c>
      <c r="B22" t="s">
        <v>465</v>
      </c>
      <c r="C22" t="s">
        <v>1178</v>
      </c>
      <c r="D22" t="s">
        <v>27</v>
      </c>
      <c r="E22" t="s">
        <v>1261</v>
      </c>
      <c r="G22" t="s">
        <v>1226</v>
      </c>
      <c r="H22" t="s">
        <v>907</v>
      </c>
      <c r="I22" t="s">
        <v>119</v>
      </c>
      <c r="J22" t="s">
        <v>1679</v>
      </c>
    </row>
    <row r="23" spans="1:10" x14ac:dyDescent="0.25">
      <c r="A23" s="43" t="s">
        <v>2514</v>
      </c>
      <c r="B23" t="s">
        <v>479</v>
      </c>
      <c r="C23" t="s">
        <v>1177</v>
      </c>
      <c r="D23" t="s">
        <v>21</v>
      </c>
      <c r="E23" t="s">
        <v>1223</v>
      </c>
      <c r="G23" t="s">
        <v>1226</v>
      </c>
      <c r="H23" t="s">
        <v>907</v>
      </c>
      <c r="I23" t="s">
        <v>1227</v>
      </c>
      <c r="J23" t="s">
        <v>1638</v>
      </c>
    </row>
    <row r="24" spans="1:10" x14ac:dyDescent="0.25">
      <c r="A24" s="43" t="s">
        <v>2510</v>
      </c>
      <c r="B24" t="s">
        <v>479</v>
      </c>
      <c r="C24" t="s">
        <v>1178</v>
      </c>
      <c r="D24" t="s">
        <v>27</v>
      </c>
      <c r="E24" t="s">
        <v>1273</v>
      </c>
      <c r="G24" t="s">
        <v>1226</v>
      </c>
      <c r="H24" t="s">
        <v>907</v>
      </c>
      <c r="I24" t="s">
        <v>123</v>
      </c>
      <c r="J24" t="s">
        <v>1680</v>
      </c>
    </row>
    <row r="25" spans="1:10" x14ac:dyDescent="0.25">
      <c r="A25" s="43" t="s">
        <v>4216</v>
      </c>
      <c r="B25" t="s">
        <v>500</v>
      </c>
      <c r="C25" t="s">
        <v>1190</v>
      </c>
      <c r="D25" t="s">
        <v>56</v>
      </c>
      <c r="E25" t="s">
        <v>1244</v>
      </c>
      <c r="G25" t="s">
        <v>1226</v>
      </c>
      <c r="H25" t="s">
        <v>907</v>
      </c>
      <c r="I25" t="s">
        <v>825</v>
      </c>
      <c r="J25" t="s">
        <v>4217</v>
      </c>
    </row>
    <row r="26" spans="1:10" x14ac:dyDescent="0.25">
      <c r="A26" s="43" t="s">
        <v>2780</v>
      </c>
      <c r="B26" t="s">
        <v>505</v>
      </c>
      <c r="C26" t="s">
        <v>1188</v>
      </c>
      <c r="D26" t="s">
        <v>27</v>
      </c>
      <c r="E26" t="s">
        <v>1246</v>
      </c>
      <c r="G26" t="s">
        <v>1226</v>
      </c>
      <c r="H26" t="s">
        <v>907</v>
      </c>
      <c r="I26" t="s">
        <v>1382</v>
      </c>
      <c r="J26" t="s">
        <v>1859</v>
      </c>
    </row>
    <row r="27" spans="1:10" x14ac:dyDescent="0.25">
      <c r="A27" s="43" t="s">
        <v>2779</v>
      </c>
      <c r="B27" t="s">
        <v>505</v>
      </c>
      <c r="C27" t="s">
        <v>1177</v>
      </c>
      <c r="D27" t="s">
        <v>91</v>
      </c>
      <c r="E27" t="s">
        <v>1219</v>
      </c>
      <c r="G27" t="s">
        <v>1226</v>
      </c>
      <c r="H27" t="s">
        <v>907</v>
      </c>
      <c r="I27" t="s">
        <v>632</v>
      </c>
      <c r="J27" t="s">
        <v>2484</v>
      </c>
    </row>
    <row r="28" spans="1:10" x14ac:dyDescent="0.25">
      <c r="A28" s="43" t="s">
        <v>4215</v>
      </c>
      <c r="B28" t="s">
        <v>505</v>
      </c>
      <c r="C28" t="s">
        <v>1177</v>
      </c>
      <c r="D28" t="s">
        <v>91</v>
      </c>
      <c r="E28" t="s">
        <v>1244</v>
      </c>
      <c r="G28" t="s">
        <v>1226</v>
      </c>
      <c r="H28" t="s">
        <v>907</v>
      </c>
      <c r="I28" t="s">
        <v>442</v>
      </c>
      <c r="J28" t="s">
        <v>1972</v>
      </c>
    </row>
    <row r="29" spans="1:10" x14ac:dyDescent="0.25">
      <c r="A29" s="43" t="s">
        <v>4364</v>
      </c>
      <c r="B29" t="s">
        <v>2610</v>
      </c>
      <c r="C29" t="s">
        <v>1184</v>
      </c>
      <c r="D29" t="s">
        <v>15</v>
      </c>
      <c r="E29" t="s">
        <v>1217</v>
      </c>
      <c r="G29" t="s">
        <v>1226</v>
      </c>
      <c r="H29" t="s">
        <v>907</v>
      </c>
      <c r="I29" t="s">
        <v>64</v>
      </c>
      <c r="J29" t="s">
        <v>1821</v>
      </c>
    </row>
    <row r="30" spans="1:10" x14ac:dyDescent="0.25">
      <c r="A30" s="43" t="s">
        <v>4330</v>
      </c>
      <c r="B30" t="s">
        <v>535</v>
      </c>
      <c r="C30" t="s">
        <v>1184</v>
      </c>
      <c r="D30" t="s">
        <v>27</v>
      </c>
      <c r="E30" t="s">
        <v>1241</v>
      </c>
      <c r="G30" t="s">
        <v>1226</v>
      </c>
      <c r="H30" t="s">
        <v>907</v>
      </c>
      <c r="I30" t="s">
        <v>4331</v>
      </c>
      <c r="J30" t="s">
        <v>1790</v>
      </c>
    </row>
    <row r="31" spans="1:10" x14ac:dyDescent="0.25">
      <c r="A31" s="43" t="s">
        <v>4329</v>
      </c>
      <c r="B31" t="s">
        <v>552</v>
      </c>
      <c r="C31" t="s">
        <v>1180</v>
      </c>
      <c r="D31" t="s">
        <v>91</v>
      </c>
      <c r="E31" t="s">
        <v>1285</v>
      </c>
      <c r="G31" t="s">
        <v>1226</v>
      </c>
      <c r="H31" t="s">
        <v>907</v>
      </c>
      <c r="I31" t="s">
        <v>1291</v>
      </c>
      <c r="J31" t="s">
        <v>1819</v>
      </c>
    </row>
    <row r="32" spans="1:10" x14ac:dyDescent="0.25">
      <c r="A32" s="43" t="s">
        <v>2745</v>
      </c>
      <c r="B32" t="s">
        <v>552</v>
      </c>
      <c r="C32" t="s">
        <v>1177</v>
      </c>
      <c r="D32" t="s">
        <v>91</v>
      </c>
      <c r="E32" t="s">
        <v>1239</v>
      </c>
      <c r="G32" t="s">
        <v>1226</v>
      </c>
      <c r="H32" t="s">
        <v>907</v>
      </c>
      <c r="I32" t="s">
        <v>1316</v>
      </c>
      <c r="J32" t="s">
        <v>1810</v>
      </c>
    </row>
    <row r="33" spans="1:10" x14ac:dyDescent="0.25">
      <c r="A33" s="43" t="s">
        <v>4451</v>
      </c>
      <c r="B33" t="s">
        <v>572</v>
      </c>
      <c r="C33" t="s">
        <v>1177</v>
      </c>
      <c r="D33" t="s">
        <v>318</v>
      </c>
      <c r="E33" t="s">
        <v>1285</v>
      </c>
      <c r="G33" t="s">
        <v>1226</v>
      </c>
      <c r="H33" t="s">
        <v>907</v>
      </c>
      <c r="I33" t="s">
        <v>583</v>
      </c>
      <c r="J33" t="s">
        <v>1981</v>
      </c>
    </row>
    <row r="34" spans="1:10" x14ac:dyDescent="0.25">
      <c r="A34" s="43" t="s">
        <v>4290</v>
      </c>
      <c r="B34" t="s">
        <v>572</v>
      </c>
      <c r="C34" t="s">
        <v>1178</v>
      </c>
      <c r="D34" t="s">
        <v>27</v>
      </c>
      <c r="E34" t="s">
        <v>1221</v>
      </c>
      <c r="G34" t="s">
        <v>1226</v>
      </c>
      <c r="H34" t="s">
        <v>907</v>
      </c>
      <c r="I34" t="s">
        <v>2908</v>
      </c>
      <c r="J34" t="s">
        <v>1824</v>
      </c>
    </row>
    <row r="35" spans="1:10" x14ac:dyDescent="0.25">
      <c r="A35" s="43" t="s">
        <v>2590</v>
      </c>
      <c r="B35" t="s">
        <v>592</v>
      </c>
      <c r="C35" t="s">
        <v>1188</v>
      </c>
      <c r="D35" t="s">
        <v>15</v>
      </c>
      <c r="E35" t="s">
        <v>1223</v>
      </c>
      <c r="G35" t="s">
        <v>1226</v>
      </c>
      <c r="H35" t="s">
        <v>907</v>
      </c>
      <c r="I35" t="s">
        <v>399</v>
      </c>
      <c r="J35" t="s">
        <v>2452</v>
      </c>
    </row>
    <row r="36" spans="1:10" x14ac:dyDescent="0.25">
      <c r="A36" s="43" t="s">
        <v>4039</v>
      </c>
      <c r="B36" t="s">
        <v>592</v>
      </c>
      <c r="C36" t="s">
        <v>1188</v>
      </c>
      <c r="D36" t="s">
        <v>15</v>
      </c>
      <c r="E36" t="s">
        <v>1285</v>
      </c>
      <c r="G36" t="s">
        <v>1226</v>
      </c>
      <c r="H36" t="s">
        <v>907</v>
      </c>
      <c r="I36" t="s">
        <v>726</v>
      </c>
      <c r="J36" t="s">
        <v>374</v>
      </c>
    </row>
    <row r="37" spans="1:10" x14ac:dyDescent="0.25">
      <c r="A37" s="43" t="s">
        <v>2531</v>
      </c>
      <c r="B37" t="s">
        <v>592</v>
      </c>
      <c r="C37" t="s">
        <v>1183</v>
      </c>
      <c r="D37" t="s">
        <v>56</v>
      </c>
      <c r="E37" t="s">
        <v>1221</v>
      </c>
      <c r="G37" t="s">
        <v>1226</v>
      </c>
      <c r="H37" t="s">
        <v>907</v>
      </c>
      <c r="I37" t="s">
        <v>719</v>
      </c>
      <c r="J37" t="s">
        <v>1700</v>
      </c>
    </row>
    <row r="38" spans="1:10" x14ac:dyDescent="0.25">
      <c r="A38" s="43" t="s">
        <v>2741</v>
      </c>
      <c r="B38" t="s">
        <v>624</v>
      </c>
      <c r="C38" t="s">
        <v>1177</v>
      </c>
      <c r="D38" t="s">
        <v>318</v>
      </c>
      <c r="E38" t="s">
        <v>1246</v>
      </c>
      <c r="G38" t="s">
        <v>1226</v>
      </c>
      <c r="H38" t="s">
        <v>907</v>
      </c>
      <c r="I38" t="s">
        <v>2742</v>
      </c>
      <c r="J38" t="s">
        <v>1982</v>
      </c>
    </row>
    <row r="39" spans="1:10" x14ac:dyDescent="0.25">
      <c r="A39" s="43" t="s">
        <v>4207</v>
      </c>
      <c r="B39" t="s">
        <v>624</v>
      </c>
      <c r="C39" t="s">
        <v>1178</v>
      </c>
      <c r="D39" t="s">
        <v>318</v>
      </c>
      <c r="E39" t="s">
        <v>1228</v>
      </c>
      <c r="G39" t="s">
        <v>1226</v>
      </c>
      <c r="H39" t="s">
        <v>907</v>
      </c>
      <c r="I39" t="s">
        <v>4208</v>
      </c>
      <c r="J39" t="s">
        <v>2281</v>
      </c>
    </row>
    <row r="40" spans="1:10" x14ac:dyDescent="0.25">
      <c r="A40" s="43" t="s">
        <v>4206</v>
      </c>
      <c r="B40" t="s">
        <v>624</v>
      </c>
      <c r="C40" t="s">
        <v>1192</v>
      </c>
      <c r="D40" t="s">
        <v>27</v>
      </c>
      <c r="E40" t="s">
        <v>1286</v>
      </c>
      <c r="G40" t="s">
        <v>1226</v>
      </c>
      <c r="H40" t="s">
        <v>907</v>
      </c>
      <c r="I40" t="s">
        <v>3001</v>
      </c>
      <c r="J40" t="s">
        <v>2463</v>
      </c>
    </row>
    <row r="41" spans="1:10" x14ac:dyDescent="0.25">
      <c r="A41" s="43" t="s">
        <v>2744</v>
      </c>
      <c r="B41" t="s">
        <v>631</v>
      </c>
      <c r="C41" t="s">
        <v>1177</v>
      </c>
      <c r="D41" t="s">
        <v>318</v>
      </c>
      <c r="E41" t="s">
        <v>1285</v>
      </c>
      <c r="G41" t="s">
        <v>1226</v>
      </c>
      <c r="H41" t="s">
        <v>907</v>
      </c>
      <c r="I41" t="s">
        <v>1308</v>
      </c>
      <c r="J41" t="s">
        <v>1692</v>
      </c>
    </row>
    <row r="42" spans="1:10" x14ac:dyDescent="0.25">
      <c r="A42" s="43" t="s">
        <v>2739</v>
      </c>
      <c r="B42" t="s">
        <v>664</v>
      </c>
      <c r="C42" t="s">
        <v>1178</v>
      </c>
      <c r="D42" t="s">
        <v>318</v>
      </c>
      <c r="E42" t="s">
        <v>1230</v>
      </c>
      <c r="G42" t="s">
        <v>1226</v>
      </c>
      <c r="H42" t="s">
        <v>907</v>
      </c>
      <c r="I42" t="s">
        <v>2740</v>
      </c>
      <c r="J42" t="s">
        <v>2482</v>
      </c>
    </row>
    <row r="43" spans="1:10" x14ac:dyDescent="0.25">
      <c r="A43" s="43" t="s">
        <v>4424</v>
      </c>
      <c r="B43" t="s">
        <v>678</v>
      </c>
      <c r="C43" t="s">
        <v>1193</v>
      </c>
      <c r="D43" t="s">
        <v>15</v>
      </c>
      <c r="E43" t="s">
        <v>1230</v>
      </c>
      <c r="G43" t="s">
        <v>1226</v>
      </c>
      <c r="H43" t="s">
        <v>907</v>
      </c>
      <c r="I43" t="s">
        <v>726</v>
      </c>
      <c r="J43" t="s">
        <v>2427</v>
      </c>
    </row>
    <row r="44" spans="1:10" x14ac:dyDescent="0.25">
      <c r="A44" s="43" t="s">
        <v>4476</v>
      </c>
      <c r="B44" t="s">
        <v>678</v>
      </c>
      <c r="C44" t="s">
        <v>1188</v>
      </c>
      <c r="D44" t="s">
        <v>91</v>
      </c>
      <c r="E44" t="s">
        <v>1230</v>
      </c>
      <c r="G44" t="s">
        <v>1226</v>
      </c>
      <c r="H44" t="s">
        <v>907</v>
      </c>
      <c r="I44" t="s">
        <v>265</v>
      </c>
      <c r="J44" t="s">
        <v>1699</v>
      </c>
    </row>
    <row r="45" spans="1:10" x14ac:dyDescent="0.25">
      <c r="A45" s="43" t="s">
        <v>4423</v>
      </c>
      <c r="B45" t="s">
        <v>678</v>
      </c>
      <c r="C45" t="s">
        <v>1180</v>
      </c>
      <c r="D45" t="s">
        <v>318</v>
      </c>
      <c r="E45" t="s">
        <v>1230</v>
      </c>
      <c r="G45" t="s">
        <v>1226</v>
      </c>
      <c r="H45" t="s">
        <v>907</v>
      </c>
      <c r="I45" t="s">
        <v>1308</v>
      </c>
      <c r="J45" t="s">
        <v>2423</v>
      </c>
    </row>
    <row r="46" spans="1:10" x14ac:dyDescent="0.25">
      <c r="A46" s="43" t="s">
        <v>2519</v>
      </c>
      <c r="B46" t="s">
        <v>678</v>
      </c>
      <c r="C46" t="s">
        <v>1180</v>
      </c>
      <c r="D46" t="s">
        <v>1212</v>
      </c>
      <c r="E46" t="s">
        <v>1223</v>
      </c>
      <c r="G46" t="s">
        <v>1226</v>
      </c>
      <c r="H46" t="s">
        <v>907</v>
      </c>
      <c r="I46" t="s">
        <v>1238</v>
      </c>
      <c r="J46" t="s">
        <v>1647</v>
      </c>
    </row>
    <row r="47" spans="1:10" x14ac:dyDescent="0.25">
      <c r="A47" s="43" t="s">
        <v>2778</v>
      </c>
      <c r="B47" t="s">
        <v>678</v>
      </c>
      <c r="C47" t="s">
        <v>1203</v>
      </c>
      <c r="D47" t="s">
        <v>318</v>
      </c>
      <c r="E47" t="s">
        <v>1243</v>
      </c>
      <c r="G47" t="s">
        <v>1226</v>
      </c>
      <c r="H47" t="s">
        <v>907</v>
      </c>
      <c r="I47" t="s">
        <v>632</v>
      </c>
      <c r="J47" t="s">
        <v>1973</v>
      </c>
    </row>
    <row r="48" spans="1:10" x14ac:dyDescent="0.25">
      <c r="A48" s="43" t="s">
        <v>4405</v>
      </c>
      <c r="B48" t="s">
        <v>734</v>
      </c>
      <c r="C48" t="s">
        <v>1178</v>
      </c>
      <c r="D48" t="s">
        <v>318</v>
      </c>
      <c r="E48" t="s">
        <v>1230</v>
      </c>
      <c r="G48" t="s">
        <v>1226</v>
      </c>
      <c r="H48" t="s">
        <v>907</v>
      </c>
      <c r="I48" t="s">
        <v>4406</v>
      </c>
      <c r="J48" t="s">
        <v>1957</v>
      </c>
    </row>
    <row r="49" spans="1:10" x14ac:dyDescent="0.25">
      <c r="A49" s="43" t="s">
        <v>4504</v>
      </c>
      <c r="B49" t="s">
        <v>749</v>
      </c>
      <c r="C49" t="s">
        <v>1177</v>
      </c>
      <c r="D49" t="s">
        <v>27</v>
      </c>
      <c r="E49" t="s">
        <v>1223</v>
      </c>
      <c r="G49" t="s">
        <v>1226</v>
      </c>
      <c r="H49" t="s">
        <v>907</v>
      </c>
      <c r="I49" t="s">
        <v>2620</v>
      </c>
      <c r="J49" t="s">
        <v>1644</v>
      </c>
    </row>
    <row r="50" spans="1:10" x14ac:dyDescent="0.25">
      <c r="A50" s="43" t="s">
        <v>4362</v>
      </c>
      <c r="B50" t="s">
        <v>749</v>
      </c>
      <c r="C50" t="s">
        <v>1177</v>
      </c>
      <c r="D50" t="s">
        <v>27</v>
      </c>
      <c r="E50" t="s">
        <v>1244</v>
      </c>
      <c r="G50" t="s">
        <v>1226</v>
      </c>
      <c r="H50" t="s">
        <v>907</v>
      </c>
      <c r="I50" t="s">
        <v>4363</v>
      </c>
      <c r="J50" t="s">
        <v>1825</v>
      </c>
    </row>
    <row r="51" spans="1:10" x14ac:dyDescent="0.25">
      <c r="A51" s="43" t="s">
        <v>2589</v>
      </c>
      <c r="B51" t="s">
        <v>749</v>
      </c>
      <c r="C51" t="s">
        <v>1178</v>
      </c>
      <c r="D51" t="s">
        <v>56</v>
      </c>
      <c r="E51" t="s">
        <v>1237</v>
      </c>
      <c r="G51" t="s">
        <v>1226</v>
      </c>
      <c r="H51" t="s">
        <v>907</v>
      </c>
      <c r="I51" t="s">
        <v>399</v>
      </c>
      <c r="J51" t="s">
        <v>2428</v>
      </c>
    </row>
    <row r="52" spans="1:10" x14ac:dyDescent="0.25">
      <c r="A52" s="43" t="s">
        <v>4422</v>
      </c>
      <c r="B52" t="s">
        <v>749</v>
      </c>
      <c r="C52" t="s">
        <v>1178</v>
      </c>
      <c r="D52" t="s">
        <v>56</v>
      </c>
      <c r="E52" t="s">
        <v>1223</v>
      </c>
      <c r="G52" t="s">
        <v>1226</v>
      </c>
      <c r="H52" t="s">
        <v>907</v>
      </c>
      <c r="I52" t="s">
        <v>901</v>
      </c>
      <c r="J52" t="s">
        <v>2428</v>
      </c>
    </row>
    <row r="53" spans="1:10" x14ac:dyDescent="0.25">
      <c r="A53" s="43" t="s">
        <v>2530</v>
      </c>
      <c r="B53" t="s">
        <v>773</v>
      </c>
      <c r="C53" t="s">
        <v>1179</v>
      </c>
      <c r="D53" t="s">
        <v>56</v>
      </c>
      <c r="E53" t="s">
        <v>1268</v>
      </c>
      <c r="G53" t="s">
        <v>1226</v>
      </c>
      <c r="H53" t="s">
        <v>907</v>
      </c>
      <c r="I53" t="s">
        <v>370</v>
      </c>
      <c r="J53" t="s">
        <v>1714</v>
      </c>
    </row>
    <row r="54" spans="1:10" x14ac:dyDescent="0.25">
      <c r="A54" s="43" t="s">
        <v>4454</v>
      </c>
      <c r="B54" t="s">
        <v>773</v>
      </c>
      <c r="C54" t="s">
        <v>1179</v>
      </c>
      <c r="D54" t="s">
        <v>91</v>
      </c>
      <c r="E54" t="s">
        <v>1324</v>
      </c>
      <c r="G54" t="s">
        <v>1226</v>
      </c>
      <c r="H54" t="s">
        <v>907</v>
      </c>
      <c r="I54" t="s">
        <v>339</v>
      </c>
      <c r="J54" t="s">
        <v>2420</v>
      </c>
    </row>
    <row r="55" spans="1:10" x14ac:dyDescent="0.25">
      <c r="A55" s="43" t="s">
        <v>4421</v>
      </c>
      <c r="B55" t="s">
        <v>773</v>
      </c>
      <c r="C55" t="s">
        <v>1179</v>
      </c>
      <c r="D55" t="s">
        <v>56</v>
      </c>
      <c r="E55" t="s">
        <v>1223</v>
      </c>
      <c r="G55" t="s">
        <v>1226</v>
      </c>
      <c r="H55" t="s">
        <v>907</v>
      </c>
      <c r="I55" t="s">
        <v>2860</v>
      </c>
      <c r="J55" t="s">
        <v>2426</v>
      </c>
    </row>
    <row r="56" spans="1:10" x14ac:dyDescent="0.25">
      <c r="A56" s="43" t="s">
        <v>2714</v>
      </c>
      <c r="B56" t="s">
        <v>773</v>
      </c>
      <c r="C56" t="s">
        <v>1181</v>
      </c>
      <c r="D56" t="s">
        <v>91</v>
      </c>
      <c r="E56" t="s">
        <v>1217</v>
      </c>
      <c r="G56" t="s">
        <v>1226</v>
      </c>
      <c r="H56" t="s">
        <v>907</v>
      </c>
      <c r="I56" t="s">
        <v>1353</v>
      </c>
      <c r="J56" t="s">
        <v>1791</v>
      </c>
    </row>
    <row r="57" spans="1:10" x14ac:dyDescent="0.25">
      <c r="A57" s="43" t="s">
        <v>4407</v>
      </c>
      <c r="B57" t="s">
        <v>2650</v>
      </c>
      <c r="C57" t="s">
        <v>1179</v>
      </c>
      <c r="D57" t="s">
        <v>91</v>
      </c>
      <c r="E57" t="s">
        <v>1268</v>
      </c>
      <c r="G57" t="s">
        <v>1226</v>
      </c>
      <c r="H57" t="s">
        <v>907</v>
      </c>
      <c r="I57" t="s">
        <v>252</v>
      </c>
      <c r="J57" t="s">
        <v>1826</v>
      </c>
    </row>
    <row r="58" spans="1:10" x14ac:dyDescent="0.25">
      <c r="A58" s="43" t="s">
        <v>2777</v>
      </c>
      <c r="B58" t="s">
        <v>2650</v>
      </c>
      <c r="C58" t="s">
        <v>1179</v>
      </c>
      <c r="D58" t="s">
        <v>91</v>
      </c>
      <c r="E58" t="s">
        <v>1268</v>
      </c>
      <c r="G58" t="s">
        <v>1226</v>
      </c>
      <c r="H58" t="s">
        <v>907</v>
      </c>
      <c r="I58" t="s">
        <v>252</v>
      </c>
      <c r="J58" t="s">
        <v>1826</v>
      </c>
    </row>
    <row r="59" spans="1:10" x14ac:dyDescent="0.25">
      <c r="A59" s="43" t="s">
        <v>2667</v>
      </c>
      <c r="B59" t="s">
        <v>815</v>
      </c>
      <c r="C59" t="s">
        <v>1192</v>
      </c>
      <c r="D59" t="s">
        <v>318</v>
      </c>
      <c r="E59" t="s">
        <v>1249</v>
      </c>
      <c r="G59" t="s">
        <v>1226</v>
      </c>
      <c r="H59" t="s">
        <v>907</v>
      </c>
      <c r="I59" t="s">
        <v>2668</v>
      </c>
      <c r="J59" t="s">
        <v>1940</v>
      </c>
    </row>
    <row r="60" spans="1:10" x14ac:dyDescent="0.25">
      <c r="A60" s="43" t="s">
        <v>4214</v>
      </c>
      <c r="B60" t="s">
        <v>797</v>
      </c>
      <c r="C60" t="s">
        <v>1178</v>
      </c>
      <c r="E60" t="s">
        <v>1279</v>
      </c>
      <c r="G60" t="s">
        <v>1226</v>
      </c>
      <c r="H60" t="s">
        <v>907</v>
      </c>
      <c r="I60" t="s">
        <v>64</v>
      </c>
      <c r="J60" t="s">
        <v>2465</v>
      </c>
    </row>
    <row r="61" spans="1:10" x14ac:dyDescent="0.25">
      <c r="A61" s="43" t="s">
        <v>4453</v>
      </c>
      <c r="B61" t="s">
        <v>822</v>
      </c>
      <c r="C61" t="s">
        <v>1193</v>
      </c>
      <c r="D61" t="s">
        <v>15</v>
      </c>
      <c r="E61" t="s">
        <v>1235</v>
      </c>
      <c r="G61" t="s">
        <v>1226</v>
      </c>
      <c r="H61" t="s">
        <v>907</v>
      </c>
      <c r="I61" t="s">
        <v>770</v>
      </c>
      <c r="J61" t="s">
        <v>1729</v>
      </c>
    </row>
    <row r="62" spans="1:10" x14ac:dyDescent="0.25">
      <c r="A62" s="43" t="s">
        <v>4489</v>
      </c>
      <c r="B62" t="s">
        <v>822</v>
      </c>
      <c r="C62" t="s">
        <v>1188</v>
      </c>
      <c r="D62" t="s">
        <v>27</v>
      </c>
      <c r="E62" t="s">
        <v>1286</v>
      </c>
      <c r="G62" t="s">
        <v>1226</v>
      </c>
      <c r="H62" t="s">
        <v>907</v>
      </c>
      <c r="I62" t="s">
        <v>4490</v>
      </c>
      <c r="J62" t="s">
        <v>4491</v>
      </c>
    </row>
    <row r="63" spans="1:10" x14ac:dyDescent="0.25">
      <c r="A63" s="43" t="s">
        <v>4498</v>
      </c>
      <c r="B63" t="s">
        <v>822</v>
      </c>
      <c r="C63" t="s">
        <v>1180</v>
      </c>
      <c r="D63" t="s">
        <v>91</v>
      </c>
      <c r="E63" t="s">
        <v>1228</v>
      </c>
      <c r="G63" t="s">
        <v>1226</v>
      </c>
      <c r="H63" t="s">
        <v>907</v>
      </c>
      <c r="I63" t="s">
        <v>744</v>
      </c>
      <c r="J63" t="s">
        <v>1730</v>
      </c>
    </row>
    <row r="64" spans="1:10" x14ac:dyDescent="0.25">
      <c r="A64" s="43" t="s">
        <v>4420</v>
      </c>
      <c r="B64" t="s">
        <v>3938</v>
      </c>
      <c r="C64" t="s">
        <v>1179</v>
      </c>
      <c r="D64" t="s">
        <v>62</v>
      </c>
      <c r="E64" t="s">
        <v>1241</v>
      </c>
      <c r="G64" t="s">
        <v>1295</v>
      </c>
      <c r="H64" t="s">
        <v>898</v>
      </c>
      <c r="I64" t="s">
        <v>1366</v>
      </c>
      <c r="J64" t="s">
        <v>2433</v>
      </c>
    </row>
    <row r="65" spans="1:10" x14ac:dyDescent="0.25">
      <c r="A65" s="43" t="s">
        <v>2587</v>
      </c>
      <c r="B65" t="s">
        <v>2588</v>
      </c>
      <c r="C65" t="s">
        <v>1189</v>
      </c>
      <c r="D65" t="s">
        <v>1212</v>
      </c>
      <c r="E65" t="s">
        <v>1268</v>
      </c>
      <c r="G65" t="s">
        <v>1295</v>
      </c>
      <c r="H65" t="s">
        <v>898</v>
      </c>
      <c r="I65" t="s">
        <v>1308</v>
      </c>
      <c r="J65" t="s">
        <v>2477</v>
      </c>
    </row>
    <row r="66" spans="1:10" x14ac:dyDescent="0.25">
      <c r="A66" s="43" t="s">
        <v>2895</v>
      </c>
      <c r="B66" t="s">
        <v>2588</v>
      </c>
      <c r="C66" t="s">
        <v>1189</v>
      </c>
      <c r="D66" t="s">
        <v>1212</v>
      </c>
      <c r="E66" t="s">
        <v>1268</v>
      </c>
      <c r="G66" t="s">
        <v>1295</v>
      </c>
      <c r="H66" t="s">
        <v>898</v>
      </c>
      <c r="I66" t="s">
        <v>1308</v>
      </c>
      <c r="J66" t="s">
        <v>2477</v>
      </c>
    </row>
    <row r="67" spans="1:10" x14ac:dyDescent="0.25">
      <c r="A67" s="43" t="s">
        <v>2712</v>
      </c>
      <c r="B67" t="s">
        <v>2713</v>
      </c>
      <c r="C67" t="s">
        <v>1189</v>
      </c>
      <c r="D67" t="s">
        <v>62</v>
      </c>
      <c r="E67" t="s">
        <v>1223</v>
      </c>
      <c r="G67" t="s">
        <v>1295</v>
      </c>
      <c r="H67" t="s">
        <v>898</v>
      </c>
      <c r="I67" t="s">
        <v>716</v>
      </c>
      <c r="J67" t="s">
        <v>1720</v>
      </c>
    </row>
    <row r="68" spans="1:10" x14ac:dyDescent="0.25">
      <c r="A68" s="43" t="s">
        <v>2894</v>
      </c>
      <c r="B68" t="s">
        <v>2713</v>
      </c>
      <c r="C68" t="s">
        <v>1189</v>
      </c>
      <c r="D68" t="s">
        <v>62</v>
      </c>
      <c r="E68" t="s">
        <v>1223</v>
      </c>
      <c r="G68" t="s">
        <v>1295</v>
      </c>
      <c r="H68" t="s">
        <v>898</v>
      </c>
      <c r="I68" t="s">
        <v>716</v>
      </c>
      <c r="J68" t="s">
        <v>1720</v>
      </c>
    </row>
    <row r="69" spans="1:10" x14ac:dyDescent="0.25">
      <c r="A69" s="43" t="s">
        <v>4404</v>
      </c>
      <c r="B69" t="s">
        <v>378</v>
      </c>
      <c r="C69" t="s">
        <v>1184</v>
      </c>
      <c r="D69" t="s">
        <v>318</v>
      </c>
      <c r="E69" t="s">
        <v>1268</v>
      </c>
      <c r="G69" t="s">
        <v>1295</v>
      </c>
      <c r="H69" t="s">
        <v>898</v>
      </c>
      <c r="I69" t="s">
        <v>1254</v>
      </c>
      <c r="J69" t="s">
        <v>2159</v>
      </c>
    </row>
    <row r="70" spans="1:10" x14ac:dyDescent="0.25">
      <c r="A70" s="43" t="s">
        <v>2547</v>
      </c>
      <c r="B70" t="s">
        <v>1159</v>
      </c>
      <c r="C70" t="s">
        <v>1183</v>
      </c>
      <c r="D70" t="s">
        <v>931</v>
      </c>
      <c r="E70" t="s">
        <v>1223</v>
      </c>
      <c r="G70" t="s">
        <v>1295</v>
      </c>
      <c r="H70" t="s">
        <v>898</v>
      </c>
      <c r="I70" t="s">
        <v>1611</v>
      </c>
      <c r="J70" t="s">
        <v>2413</v>
      </c>
    </row>
    <row r="71" spans="1:10" x14ac:dyDescent="0.25">
      <c r="A71" s="43" t="s">
        <v>3108</v>
      </c>
      <c r="B71" t="s">
        <v>552</v>
      </c>
      <c r="C71" t="s">
        <v>1194</v>
      </c>
      <c r="D71" t="s">
        <v>931</v>
      </c>
      <c r="E71" t="s">
        <v>1622</v>
      </c>
      <c r="G71" t="s">
        <v>1295</v>
      </c>
      <c r="H71" t="s">
        <v>898</v>
      </c>
      <c r="I71" t="s">
        <v>1308</v>
      </c>
      <c r="J71" t="s">
        <v>2459</v>
      </c>
    </row>
    <row r="72" spans="1:10" x14ac:dyDescent="0.25">
      <c r="A72" s="43" t="s">
        <v>2738</v>
      </c>
      <c r="B72" t="s">
        <v>711</v>
      </c>
      <c r="C72" t="s">
        <v>1187</v>
      </c>
      <c r="D72" t="s">
        <v>318</v>
      </c>
      <c r="E72" t="s">
        <v>1223</v>
      </c>
      <c r="G72" t="s">
        <v>1295</v>
      </c>
      <c r="H72" t="s">
        <v>898</v>
      </c>
      <c r="I72" t="s">
        <v>1316</v>
      </c>
      <c r="J72" t="s">
        <v>1720</v>
      </c>
    </row>
    <row r="73" spans="1:10" x14ac:dyDescent="0.25">
      <c r="A73" s="43" t="s">
        <v>3107</v>
      </c>
      <c r="B73" t="s">
        <v>711</v>
      </c>
      <c r="C73" t="s">
        <v>1187</v>
      </c>
      <c r="D73" t="s">
        <v>318</v>
      </c>
      <c r="E73" t="s">
        <v>1223</v>
      </c>
      <c r="G73" t="s">
        <v>1295</v>
      </c>
      <c r="H73" t="s">
        <v>898</v>
      </c>
      <c r="I73" t="s">
        <v>1316</v>
      </c>
      <c r="J73" t="s">
        <v>1720</v>
      </c>
    </row>
    <row r="74" spans="1:10" x14ac:dyDescent="0.25">
      <c r="A74" s="43" t="s">
        <v>2737</v>
      </c>
      <c r="B74" t="s">
        <v>2526</v>
      </c>
      <c r="C74" t="s">
        <v>1181</v>
      </c>
      <c r="D74" t="s">
        <v>56</v>
      </c>
      <c r="E74" t="s">
        <v>1230</v>
      </c>
      <c r="G74" t="s">
        <v>1248</v>
      </c>
      <c r="H74" t="s">
        <v>898</v>
      </c>
      <c r="I74" t="s">
        <v>1276</v>
      </c>
      <c r="J74" t="s">
        <v>1688</v>
      </c>
    </row>
    <row r="75" spans="1:10" x14ac:dyDescent="0.25">
      <c r="A75" s="43" t="s">
        <v>2525</v>
      </c>
      <c r="B75" t="s">
        <v>2526</v>
      </c>
      <c r="C75" t="s">
        <v>1181</v>
      </c>
      <c r="D75" t="s">
        <v>56</v>
      </c>
      <c r="E75" t="s">
        <v>1230</v>
      </c>
      <c r="G75" t="s">
        <v>1248</v>
      </c>
      <c r="H75" t="s">
        <v>898</v>
      </c>
      <c r="I75" t="s">
        <v>1276</v>
      </c>
      <c r="J75" t="s">
        <v>1688</v>
      </c>
    </row>
    <row r="76" spans="1:10" x14ac:dyDescent="0.25">
      <c r="A76" s="43" t="s">
        <v>2585</v>
      </c>
      <c r="B76" t="s">
        <v>2586</v>
      </c>
      <c r="C76" t="s">
        <v>1190</v>
      </c>
      <c r="D76" t="s">
        <v>27</v>
      </c>
      <c r="E76" t="s">
        <v>1246</v>
      </c>
      <c r="G76" t="s">
        <v>1248</v>
      </c>
      <c r="H76" t="s">
        <v>898</v>
      </c>
      <c r="I76" t="s">
        <v>363</v>
      </c>
      <c r="J76" t="s">
        <v>1850</v>
      </c>
    </row>
    <row r="77" spans="1:10" x14ac:dyDescent="0.25">
      <c r="A77" s="43" t="s">
        <v>2583</v>
      </c>
      <c r="B77" t="s">
        <v>2584</v>
      </c>
      <c r="C77" t="s">
        <v>1184</v>
      </c>
      <c r="D77" t="s">
        <v>15</v>
      </c>
      <c r="E77" t="s">
        <v>1223</v>
      </c>
      <c r="G77" t="s">
        <v>1248</v>
      </c>
      <c r="H77" t="s">
        <v>898</v>
      </c>
      <c r="I77" t="s">
        <v>472</v>
      </c>
      <c r="J77" t="s">
        <v>1732</v>
      </c>
    </row>
    <row r="78" spans="1:10" x14ac:dyDescent="0.25">
      <c r="A78" s="43" t="s">
        <v>4419</v>
      </c>
      <c r="B78" t="s">
        <v>286</v>
      </c>
      <c r="C78" t="s">
        <v>1177</v>
      </c>
      <c r="D78" t="s">
        <v>27</v>
      </c>
      <c r="E78" t="s">
        <v>1246</v>
      </c>
      <c r="G78" t="s">
        <v>1248</v>
      </c>
      <c r="H78" t="s">
        <v>898</v>
      </c>
      <c r="I78" t="s">
        <v>555</v>
      </c>
      <c r="J78" t="s">
        <v>1733</v>
      </c>
    </row>
    <row r="79" spans="1:10" x14ac:dyDescent="0.25">
      <c r="A79" s="43" t="s">
        <v>2710</v>
      </c>
      <c r="B79" t="s">
        <v>2711</v>
      </c>
      <c r="C79" t="s">
        <v>1179</v>
      </c>
      <c r="D79" t="s">
        <v>56</v>
      </c>
      <c r="E79" t="s">
        <v>1239</v>
      </c>
      <c r="G79" t="s">
        <v>1248</v>
      </c>
      <c r="H79" t="s">
        <v>898</v>
      </c>
      <c r="I79" t="s">
        <v>100</v>
      </c>
      <c r="J79" t="s">
        <v>1851</v>
      </c>
    </row>
    <row r="80" spans="1:10" x14ac:dyDescent="0.25">
      <c r="A80" s="43" t="s">
        <v>2893</v>
      </c>
      <c r="B80" t="s">
        <v>2774</v>
      </c>
      <c r="C80" t="s">
        <v>1184</v>
      </c>
      <c r="D80" t="s">
        <v>56</v>
      </c>
      <c r="E80" t="s">
        <v>1223</v>
      </c>
      <c r="G80" t="s">
        <v>1248</v>
      </c>
      <c r="H80" t="s">
        <v>898</v>
      </c>
      <c r="I80" t="s">
        <v>297</v>
      </c>
      <c r="J80" t="s">
        <v>1880</v>
      </c>
    </row>
    <row r="81" spans="1:10" x14ac:dyDescent="0.25">
      <c r="A81" s="43" t="s">
        <v>4289</v>
      </c>
      <c r="B81" t="s">
        <v>2774</v>
      </c>
      <c r="C81" t="s">
        <v>1184</v>
      </c>
      <c r="D81" t="s">
        <v>56</v>
      </c>
      <c r="E81" t="s">
        <v>1250</v>
      </c>
      <c r="G81" t="s">
        <v>1248</v>
      </c>
      <c r="H81" t="s">
        <v>898</v>
      </c>
      <c r="I81" t="s">
        <v>252</v>
      </c>
      <c r="J81" t="s">
        <v>1701</v>
      </c>
    </row>
    <row r="82" spans="1:10" x14ac:dyDescent="0.25">
      <c r="A82" s="43" t="s">
        <v>4418</v>
      </c>
      <c r="B82" t="s">
        <v>2774</v>
      </c>
      <c r="C82" t="s">
        <v>1184</v>
      </c>
      <c r="D82" t="s">
        <v>56</v>
      </c>
      <c r="E82" t="s">
        <v>1250</v>
      </c>
      <c r="G82" t="s">
        <v>1248</v>
      </c>
      <c r="H82" t="s">
        <v>898</v>
      </c>
      <c r="I82" t="s">
        <v>252</v>
      </c>
      <c r="J82" t="s">
        <v>1701</v>
      </c>
    </row>
    <row r="83" spans="1:10" x14ac:dyDescent="0.25">
      <c r="A83" s="43" t="s">
        <v>4488</v>
      </c>
      <c r="B83" t="s">
        <v>2774</v>
      </c>
      <c r="C83" t="s">
        <v>1184</v>
      </c>
      <c r="D83" t="s">
        <v>56</v>
      </c>
      <c r="E83" t="s">
        <v>1250</v>
      </c>
      <c r="G83" t="s">
        <v>1248</v>
      </c>
      <c r="H83" t="s">
        <v>898</v>
      </c>
      <c r="I83" t="s">
        <v>1251</v>
      </c>
      <c r="J83" t="s">
        <v>1657</v>
      </c>
    </row>
    <row r="84" spans="1:10" x14ac:dyDescent="0.25">
      <c r="A84" s="43" t="s">
        <v>2582</v>
      </c>
      <c r="B84" t="s">
        <v>315</v>
      </c>
      <c r="C84" t="s">
        <v>1184</v>
      </c>
      <c r="D84" t="s">
        <v>15</v>
      </c>
      <c r="E84" t="s">
        <v>1221</v>
      </c>
      <c r="G84" t="s">
        <v>1248</v>
      </c>
      <c r="H84" t="s">
        <v>898</v>
      </c>
      <c r="I84" t="s">
        <v>123</v>
      </c>
      <c r="J84" t="s">
        <v>357</v>
      </c>
    </row>
    <row r="85" spans="1:10" x14ac:dyDescent="0.25">
      <c r="A85" s="43" t="s">
        <v>2892</v>
      </c>
      <c r="B85" t="s">
        <v>378</v>
      </c>
      <c r="C85" t="s">
        <v>1184</v>
      </c>
      <c r="D85" t="s">
        <v>91</v>
      </c>
      <c r="E85" t="s">
        <v>1279</v>
      </c>
      <c r="G85" t="s">
        <v>1248</v>
      </c>
      <c r="H85" t="s">
        <v>898</v>
      </c>
      <c r="I85" t="s">
        <v>597</v>
      </c>
      <c r="J85" t="s">
        <v>1799</v>
      </c>
    </row>
    <row r="86" spans="1:10" x14ac:dyDescent="0.25">
      <c r="A86" s="43" t="s">
        <v>3106</v>
      </c>
      <c r="B86" t="s">
        <v>378</v>
      </c>
      <c r="C86" t="s">
        <v>1184</v>
      </c>
      <c r="D86" t="s">
        <v>91</v>
      </c>
      <c r="E86" t="s">
        <v>1279</v>
      </c>
      <c r="G86" t="s">
        <v>1248</v>
      </c>
      <c r="H86" t="s">
        <v>898</v>
      </c>
      <c r="I86" t="s">
        <v>597</v>
      </c>
      <c r="J86" t="s">
        <v>1799</v>
      </c>
    </row>
    <row r="87" spans="1:10" x14ac:dyDescent="0.25">
      <c r="A87" s="43" t="s">
        <v>2546</v>
      </c>
      <c r="B87" t="s">
        <v>378</v>
      </c>
      <c r="C87" t="s">
        <v>1184</v>
      </c>
      <c r="D87" t="s">
        <v>91</v>
      </c>
      <c r="E87" t="s">
        <v>1421</v>
      </c>
      <c r="G87" t="s">
        <v>1248</v>
      </c>
      <c r="H87" t="s">
        <v>898</v>
      </c>
      <c r="I87" t="s">
        <v>383</v>
      </c>
      <c r="J87" t="s">
        <v>2408</v>
      </c>
    </row>
    <row r="88" spans="1:10" x14ac:dyDescent="0.25">
      <c r="A88" s="43" t="s">
        <v>937</v>
      </c>
      <c r="B88" t="s">
        <v>378</v>
      </c>
      <c r="C88" t="s">
        <v>1184</v>
      </c>
      <c r="D88" t="s">
        <v>91</v>
      </c>
      <c r="E88" t="s">
        <v>1223</v>
      </c>
      <c r="G88" t="s">
        <v>1248</v>
      </c>
      <c r="H88" t="s">
        <v>898</v>
      </c>
      <c r="I88" t="s">
        <v>689</v>
      </c>
      <c r="J88" t="s">
        <v>1852</v>
      </c>
    </row>
    <row r="89" spans="1:10" x14ac:dyDescent="0.25">
      <c r="A89" s="43" t="s">
        <v>2572</v>
      </c>
      <c r="B89" t="s">
        <v>378</v>
      </c>
      <c r="C89" t="s">
        <v>1179</v>
      </c>
      <c r="D89" t="s">
        <v>91</v>
      </c>
      <c r="E89" t="s">
        <v>1268</v>
      </c>
      <c r="G89" t="s">
        <v>1248</v>
      </c>
      <c r="H89" t="s">
        <v>898</v>
      </c>
      <c r="I89" t="s">
        <v>1419</v>
      </c>
      <c r="J89" t="s">
        <v>2453</v>
      </c>
    </row>
    <row r="90" spans="1:10" x14ac:dyDescent="0.25">
      <c r="A90" s="43" t="s">
        <v>4450</v>
      </c>
      <c r="B90" t="s">
        <v>505</v>
      </c>
      <c r="C90" t="s">
        <v>1177</v>
      </c>
      <c r="D90" t="s">
        <v>318</v>
      </c>
      <c r="G90" t="s">
        <v>1248</v>
      </c>
      <c r="H90" t="s">
        <v>898</v>
      </c>
      <c r="I90" t="s">
        <v>1252</v>
      </c>
      <c r="J90" t="s">
        <v>1692</v>
      </c>
    </row>
    <row r="91" spans="1:10" x14ac:dyDescent="0.25">
      <c r="A91" s="43" t="s">
        <v>4475</v>
      </c>
      <c r="B91" t="s">
        <v>592</v>
      </c>
      <c r="C91" t="s">
        <v>1177</v>
      </c>
      <c r="D91" t="s">
        <v>1212</v>
      </c>
      <c r="E91" t="s">
        <v>1247</v>
      </c>
      <c r="G91" t="s">
        <v>1248</v>
      </c>
      <c r="H91" t="s">
        <v>898</v>
      </c>
      <c r="I91" t="s">
        <v>689</v>
      </c>
      <c r="J91" t="s">
        <v>1653</v>
      </c>
    </row>
    <row r="92" spans="1:10" x14ac:dyDescent="0.25">
      <c r="A92" s="43" t="s">
        <v>4403</v>
      </c>
      <c r="B92" t="s">
        <v>2552</v>
      </c>
      <c r="C92" t="s">
        <v>1179</v>
      </c>
      <c r="D92" t="s">
        <v>91</v>
      </c>
      <c r="E92" t="s">
        <v>1232</v>
      </c>
      <c r="G92" t="s">
        <v>1248</v>
      </c>
      <c r="H92" t="s">
        <v>898</v>
      </c>
      <c r="I92" t="s">
        <v>395</v>
      </c>
      <c r="J92" t="s">
        <v>1800</v>
      </c>
    </row>
    <row r="93" spans="1:10" x14ac:dyDescent="0.25">
      <c r="A93" s="43" t="s">
        <v>2709</v>
      </c>
      <c r="B93" t="s">
        <v>2552</v>
      </c>
      <c r="C93" t="s">
        <v>1179</v>
      </c>
      <c r="D93" t="s">
        <v>91</v>
      </c>
      <c r="E93" t="s">
        <v>1232</v>
      </c>
      <c r="G93" t="s">
        <v>1248</v>
      </c>
      <c r="H93" t="s">
        <v>898</v>
      </c>
      <c r="I93" t="s">
        <v>395</v>
      </c>
      <c r="J93" t="s">
        <v>1800</v>
      </c>
    </row>
    <row r="94" spans="1:10" x14ac:dyDescent="0.25">
      <c r="A94" s="43" t="s">
        <v>2891</v>
      </c>
      <c r="B94" t="s">
        <v>2552</v>
      </c>
      <c r="C94" t="s">
        <v>1179</v>
      </c>
      <c r="D94" t="s">
        <v>91</v>
      </c>
      <c r="E94" t="s">
        <v>1281</v>
      </c>
      <c r="G94" t="s">
        <v>1248</v>
      </c>
      <c r="H94" t="s">
        <v>898</v>
      </c>
      <c r="I94" t="s">
        <v>1282</v>
      </c>
      <c r="J94" t="s">
        <v>1698</v>
      </c>
    </row>
    <row r="95" spans="1:10" x14ac:dyDescent="0.25">
      <c r="A95" s="43" t="s">
        <v>2551</v>
      </c>
      <c r="B95" t="s">
        <v>2552</v>
      </c>
      <c r="C95" t="s">
        <v>1179</v>
      </c>
      <c r="D95" t="s">
        <v>91</v>
      </c>
      <c r="E95" t="s">
        <v>1281</v>
      </c>
      <c r="G95" t="s">
        <v>1248</v>
      </c>
      <c r="H95" t="s">
        <v>898</v>
      </c>
      <c r="I95" t="s">
        <v>1282</v>
      </c>
      <c r="J95" t="s">
        <v>1698</v>
      </c>
    </row>
    <row r="96" spans="1:10" x14ac:dyDescent="0.25">
      <c r="A96" s="43" t="s">
        <v>2581</v>
      </c>
      <c r="B96" t="s">
        <v>741</v>
      </c>
      <c r="C96" t="s">
        <v>1177</v>
      </c>
      <c r="D96" t="s">
        <v>318</v>
      </c>
      <c r="E96" t="s">
        <v>1247</v>
      </c>
      <c r="G96" t="s">
        <v>1248</v>
      </c>
      <c r="H96" t="s">
        <v>898</v>
      </c>
      <c r="I96" t="s">
        <v>719</v>
      </c>
      <c r="J96" t="s">
        <v>2470</v>
      </c>
    </row>
    <row r="97" spans="1:10" x14ac:dyDescent="0.25">
      <c r="A97" s="43" t="s">
        <v>2708</v>
      </c>
      <c r="B97" t="s">
        <v>933</v>
      </c>
      <c r="C97" t="s">
        <v>1177</v>
      </c>
      <c r="D97" t="s">
        <v>91</v>
      </c>
      <c r="E97" t="s">
        <v>1369</v>
      </c>
      <c r="G97" t="s">
        <v>1226</v>
      </c>
      <c r="H97" t="s">
        <v>907</v>
      </c>
      <c r="I97" t="s">
        <v>513</v>
      </c>
      <c r="J97" t="s">
        <v>1827</v>
      </c>
    </row>
    <row r="98" spans="1:10" x14ac:dyDescent="0.25">
      <c r="A98" s="43" t="s">
        <v>1067</v>
      </c>
      <c r="B98" t="s">
        <v>148</v>
      </c>
      <c r="C98" t="s">
        <v>1488</v>
      </c>
      <c r="G98" t="s">
        <v>1226</v>
      </c>
      <c r="H98" t="s">
        <v>907</v>
      </c>
    </row>
    <row r="99" spans="1:10" x14ac:dyDescent="0.25">
      <c r="A99" s="43" t="s">
        <v>1068</v>
      </c>
      <c r="B99" t="s">
        <v>176</v>
      </c>
      <c r="C99" t="s">
        <v>1463</v>
      </c>
      <c r="G99" t="s">
        <v>1226</v>
      </c>
      <c r="H99" t="s">
        <v>907</v>
      </c>
    </row>
    <row r="100" spans="1:10" x14ac:dyDescent="0.25">
      <c r="A100" s="43" t="s">
        <v>1143</v>
      </c>
      <c r="B100" t="s">
        <v>3105</v>
      </c>
      <c r="C100" t="s">
        <v>1567</v>
      </c>
      <c r="G100" t="s">
        <v>1226</v>
      </c>
      <c r="H100" t="s">
        <v>907</v>
      </c>
      <c r="I100" t="s">
        <v>850</v>
      </c>
      <c r="J100" t="s">
        <v>2327</v>
      </c>
    </row>
    <row r="101" spans="1:10" x14ac:dyDescent="0.25">
      <c r="A101" s="43" t="s">
        <v>987</v>
      </c>
      <c r="B101" t="s">
        <v>505</v>
      </c>
      <c r="C101" t="s">
        <v>1462</v>
      </c>
      <c r="G101" t="s">
        <v>1226</v>
      </c>
      <c r="H101" t="s">
        <v>907</v>
      </c>
      <c r="I101" t="s">
        <v>850</v>
      </c>
      <c r="J101" t="s">
        <v>2085</v>
      </c>
    </row>
    <row r="102" spans="1:10" x14ac:dyDescent="0.25">
      <c r="A102" s="43" t="s">
        <v>3104</v>
      </c>
      <c r="B102" t="s">
        <v>592</v>
      </c>
      <c r="C102" t="s">
        <v>1462</v>
      </c>
      <c r="G102" t="s">
        <v>1226</v>
      </c>
      <c r="H102" t="s">
        <v>907</v>
      </c>
    </row>
    <row r="103" spans="1:10" x14ac:dyDescent="0.25">
      <c r="A103" s="43" t="s">
        <v>986</v>
      </c>
      <c r="B103" t="s">
        <v>678</v>
      </c>
      <c r="C103" t="s">
        <v>1465</v>
      </c>
      <c r="G103" t="s">
        <v>1226</v>
      </c>
      <c r="H103" t="s">
        <v>907</v>
      </c>
      <c r="I103" t="s">
        <v>193</v>
      </c>
      <c r="J103" t="s">
        <v>2085</v>
      </c>
    </row>
    <row r="104" spans="1:10" x14ac:dyDescent="0.25">
      <c r="A104" s="43" t="s">
        <v>985</v>
      </c>
      <c r="B104" t="s">
        <v>822</v>
      </c>
      <c r="C104" t="s">
        <v>1465</v>
      </c>
      <c r="G104" t="s">
        <v>1226</v>
      </c>
      <c r="H104" t="s">
        <v>907</v>
      </c>
      <c r="I104" t="s">
        <v>803</v>
      </c>
      <c r="J104" t="s">
        <v>2085</v>
      </c>
    </row>
    <row r="105" spans="1:10" x14ac:dyDescent="0.25">
      <c r="A105" s="43" t="s">
        <v>4284</v>
      </c>
      <c r="B105" t="s">
        <v>148</v>
      </c>
      <c r="C105" t="s">
        <v>1178</v>
      </c>
      <c r="D105" t="s">
        <v>21</v>
      </c>
      <c r="E105" t="s">
        <v>1243</v>
      </c>
      <c r="G105" t="s">
        <v>1226</v>
      </c>
      <c r="H105" t="s">
        <v>907</v>
      </c>
      <c r="I105" t="s">
        <v>193</v>
      </c>
      <c r="J105" t="s">
        <v>4285</v>
      </c>
    </row>
    <row r="106" spans="1:10" x14ac:dyDescent="0.25">
      <c r="A106" s="43" t="s">
        <v>4288</v>
      </c>
      <c r="B106" t="s">
        <v>924</v>
      </c>
      <c r="C106" t="s">
        <v>1178</v>
      </c>
      <c r="E106" t="s">
        <v>1249</v>
      </c>
      <c r="G106" t="s">
        <v>1226</v>
      </c>
      <c r="H106" t="s">
        <v>907</v>
      </c>
      <c r="I106" t="s">
        <v>226</v>
      </c>
      <c r="J106" t="s">
        <v>1992</v>
      </c>
    </row>
    <row r="107" spans="1:10" x14ac:dyDescent="0.25">
      <c r="A107" s="43" t="s">
        <v>2707</v>
      </c>
      <c r="B107" t="s">
        <v>505</v>
      </c>
      <c r="C107" t="s">
        <v>1194</v>
      </c>
      <c r="D107" t="s">
        <v>21</v>
      </c>
      <c r="E107" t="s">
        <v>1279</v>
      </c>
      <c r="G107" t="s">
        <v>1226</v>
      </c>
      <c r="H107" t="s">
        <v>907</v>
      </c>
      <c r="I107" t="s">
        <v>650</v>
      </c>
      <c r="J107" t="s">
        <v>2439</v>
      </c>
    </row>
    <row r="108" spans="1:10" x14ac:dyDescent="0.25">
      <c r="A108" s="43" t="s">
        <v>2890</v>
      </c>
      <c r="B108" t="s">
        <v>635</v>
      </c>
      <c r="C108" t="s">
        <v>1177</v>
      </c>
      <c r="D108" t="s">
        <v>15</v>
      </c>
      <c r="E108" t="s">
        <v>1244</v>
      </c>
      <c r="G108" t="s">
        <v>1226</v>
      </c>
      <c r="H108" t="s">
        <v>907</v>
      </c>
      <c r="I108" t="s">
        <v>555</v>
      </c>
      <c r="J108" t="s">
        <v>2238</v>
      </c>
    </row>
    <row r="109" spans="1:10" x14ac:dyDescent="0.25">
      <c r="A109" s="43" t="s">
        <v>2704</v>
      </c>
      <c r="B109" t="s">
        <v>678</v>
      </c>
      <c r="C109" t="s">
        <v>1177</v>
      </c>
      <c r="D109" t="s">
        <v>27</v>
      </c>
      <c r="E109" t="s">
        <v>1243</v>
      </c>
      <c r="G109" t="s">
        <v>1226</v>
      </c>
      <c r="H109" t="s">
        <v>907</v>
      </c>
      <c r="I109" t="s">
        <v>2705</v>
      </c>
      <c r="J109" t="s">
        <v>2706</v>
      </c>
    </row>
    <row r="110" spans="1:10" x14ac:dyDescent="0.25">
      <c r="A110" s="43" t="s">
        <v>4286</v>
      </c>
      <c r="B110" t="s">
        <v>863</v>
      </c>
      <c r="C110" t="s">
        <v>1177</v>
      </c>
      <c r="D110" t="s">
        <v>27</v>
      </c>
      <c r="E110" t="s">
        <v>1243</v>
      </c>
      <c r="G110" t="s">
        <v>1226</v>
      </c>
      <c r="H110" t="s">
        <v>907</v>
      </c>
      <c r="I110" t="s">
        <v>1394</v>
      </c>
      <c r="J110" t="s">
        <v>4287</v>
      </c>
    </row>
    <row r="111" spans="1:10" x14ac:dyDescent="0.25">
      <c r="A111" s="43" t="s">
        <v>3103</v>
      </c>
      <c r="B111" t="s">
        <v>863</v>
      </c>
      <c r="C111" t="s">
        <v>1177</v>
      </c>
      <c r="D111" t="s">
        <v>91</v>
      </c>
      <c r="E111" t="s">
        <v>1244</v>
      </c>
      <c r="G111" t="s">
        <v>1226</v>
      </c>
      <c r="H111" t="s">
        <v>907</v>
      </c>
      <c r="I111" t="s">
        <v>278</v>
      </c>
      <c r="J111" t="s">
        <v>1974</v>
      </c>
    </row>
    <row r="112" spans="1:10" x14ac:dyDescent="0.25">
      <c r="A112" s="43" t="s">
        <v>4282</v>
      </c>
      <c r="B112" t="s">
        <v>908</v>
      </c>
      <c r="C112" t="s">
        <v>1205</v>
      </c>
      <c r="G112" t="s">
        <v>1218</v>
      </c>
      <c r="H112" t="s">
        <v>898</v>
      </c>
      <c r="I112" t="s">
        <v>1366</v>
      </c>
      <c r="J112" t="s">
        <v>1867</v>
      </c>
    </row>
    <row r="113" spans="1:10" x14ac:dyDescent="0.25">
      <c r="A113" s="43" t="s">
        <v>2702</v>
      </c>
      <c r="B113" t="s">
        <v>2703</v>
      </c>
      <c r="C113" t="s">
        <v>1562</v>
      </c>
      <c r="D113" t="s">
        <v>56</v>
      </c>
      <c r="G113" t="s">
        <v>1559</v>
      </c>
      <c r="I113" t="s">
        <v>242</v>
      </c>
      <c r="J113" t="s">
        <v>2319</v>
      </c>
    </row>
    <row r="114" spans="1:10" x14ac:dyDescent="0.25">
      <c r="A114" s="43" t="s">
        <v>3102</v>
      </c>
      <c r="B114" t="s">
        <v>910</v>
      </c>
      <c r="C114" t="s">
        <v>1196</v>
      </c>
      <c r="G114" t="s">
        <v>1311</v>
      </c>
      <c r="H114" t="s">
        <v>898</v>
      </c>
      <c r="I114" t="s">
        <v>1366</v>
      </c>
      <c r="J114" t="s">
        <v>2321</v>
      </c>
    </row>
    <row r="115" spans="1:10" x14ac:dyDescent="0.25">
      <c r="A115" s="43" t="s">
        <v>3101</v>
      </c>
      <c r="B115" t="s">
        <v>856</v>
      </c>
      <c r="C115" t="s">
        <v>1194</v>
      </c>
      <c r="G115" t="s">
        <v>1226</v>
      </c>
      <c r="H115" t="s">
        <v>898</v>
      </c>
      <c r="I115" t="s">
        <v>327</v>
      </c>
    </row>
    <row r="116" spans="1:10" x14ac:dyDescent="0.25">
      <c r="A116" s="43" t="s">
        <v>3100</v>
      </c>
      <c r="B116" t="s">
        <v>856</v>
      </c>
      <c r="C116" t="s">
        <v>1194</v>
      </c>
      <c r="G116" t="s">
        <v>8</v>
      </c>
      <c r="H116" t="s">
        <v>898</v>
      </c>
      <c r="I116" t="s">
        <v>327</v>
      </c>
    </row>
    <row r="117" spans="1:10" x14ac:dyDescent="0.25">
      <c r="A117" s="43" t="s">
        <v>3099</v>
      </c>
      <c r="B117" t="s">
        <v>856</v>
      </c>
      <c r="C117" t="s">
        <v>1194</v>
      </c>
      <c r="G117" t="s">
        <v>1290</v>
      </c>
      <c r="H117" t="s">
        <v>898</v>
      </c>
      <c r="I117" t="s">
        <v>327</v>
      </c>
    </row>
    <row r="118" spans="1:10" x14ac:dyDescent="0.25">
      <c r="A118" s="43" t="s">
        <v>4283</v>
      </c>
      <c r="B118" t="s">
        <v>1140</v>
      </c>
      <c r="C118" t="s">
        <v>1196</v>
      </c>
      <c r="G118" t="s">
        <v>1224</v>
      </c>
      <c r="H118" t="s">
        <v>898</v>
      </c>
      <c r="I118" t="s">
        <v>1366</v>
      </c>
      <c r="J118" t="s">
        <v>2321</v>
      </c>
    </row>
    <row r="119" spans="1:10" x14ac:dyDescent="0.25">
      <c r="A119" s="43" t="s">
        <v>3098</v>
      </c>
      <c r="B119" t="s">
        <v>664</v>
      </c>
      <c r="C119" t="s">
        <v>1210</v>
      </c>
      <c r="D119" t="s">
        <v>203</v>
      </c>
      <c r="G119" t="s">
        <v>1559</v>
      </c>
      <c r="I119" t="s">
        <v>1561</v>
      </c>
      <c r="J119" t="s">
        <v>2317</v>
      </c>
    </row>
    <row r="120" spans="1:10" x14ac:dyDescent="0.25">
      <c r="A120" s="43" t="s">
        <v>3097</v>
      </c>
      <c r="B120" t="s">
        <v>664</v>
      </c>
      <c r="C120" t="s">
        <v>1196</v>
      </c>
      <c r="D120" t="s">
        <v>56</v>
      </c>
      <c r="G120" t="s">
        <v>1559</v>
      </c>
      <c r="I120" t="s">
        <v>370</v>
      </c>
      <c r="J120" t="s">
        <v>2315</v>
      </c>
    </row>
    <row r="121" spans="1:10" x14ac:dyDescent="0.25">
      <c r="A121" s="43" t="s">
        <v>2889</v>
      </c>
      <c r="B121" t="s">
        <v>664</v>
      </c>
      <c r="C121" t="s">
        <v>1196</v>
      </c>
      <c r="D121" t="s">
        <v>1560</v>
      </c>
      <c r="G121" t="s">
        <v>1559</v>
      </c>
      <c r="I121" t="s">
        <v>10</v>
      </c>
      <c r="J121" t="s">
        <v>2316</v>
      </c>
    </row>
    <row r="122" spans="1:10" x14ac:dyDescent="0.25">
      <c r="A122" s="43" t="s">
        <v>2886</v>
      </c>
      <c r="B122" t="s">
        <v>905</v>
      </c>
      <c r="C122" t="s">
        <v>1196</v>
      </c>
      <c r="D122" t="s">
        <v>203</v>
      </c>
      <c r="G122" t="s">
        <v>1559</v>
      </c>
      <c r="I122" t="s">
        <v>2887</v>
      </c>
      <c r="J122" t="s">
        <v>2888</v>
      </c>
    </row>
    <row r="123" spans="1:10" x14ac:dyDescent="0.25">
      <c r="A123" s="43" t="s">
        <v>2885</v>
      </c>
      <c r="B123" t="s">
        <v>1139</v>
      </c>
      <c r="C123" t="s">
        <v>1196</v>
      </c>
      <c r="D123" t="s">
        <v>75</v>
      </c>
      <c r="G123" t="s">
        <v>1559</v>
      </c>
      <c r="I123" t="s">
        <v>1253</v>
      </c>
      <c r="J123" t="s">
        <v>2318</v>
      </c>
    </row>
    <row r="124" spans="1:10" x14ac:dyDescent="0.25">
      <c r="A124" s="43" t="s">
        <v>988</v>
      </c>
      <c r="B124" t="s">
        <v>645</v>
      </c>
      <c r="C124" t="s">
        <v>1481</v>
      </c>
      <c r="D124" t="s">
        <v>21</v>
      </c>
      <c r="G124" t="s">
        <v>1218</v>
      </c>
      <c r="H124" t="s">
        <v>907</v>
      </c>
      <c r="I124" t="s">
        <v>1482</v>
      </c>
      <c r="J124" t="s">
        <v>2096</v>
      </c>
    </row>
    <row r="125" spans="1:10" x14ac:dyDescent="0.25">
      <c r="A125" s="43" t="s">
        <v>2666</v>
      </c>
      <c r="B125" t="s">
        <v>245</v>
      </c>
      <c r="C125" t="s">
        <v>1184</v>
      </c>
      <c r="D125" t="s">
        <v>91</v>
      </c>
      <c r="E125" t="s">
        <v>1230</v>
      </c>
      <c r="G125" t="s">
        <v>1283</v>
      </c>
      <c r="H125" t="s">
        <v>898</v>
      </c>
      <c r="I125" t="s">
        <v>380</v>
      </c>
      <c r="J125" t="s">
        <v>1956</v>
      </c>
    </row>
    <row r="126" spans="1:10" x14ac:dyDescent="0.25">
      <c r="A126" s="43" t="s">
        <v>2884</v>
      </c>
      <c r="B126" t="s">
        <v>245</v>
      </c>
      <c r="C126" t="s">
        <v>1184</v>
      </c>
      <c r="D126" t="s">
        <v>91</v>
      </c>
      <c r="E126" t="s">
        <v>1230</v>
      </c>
      <c r="G126" t="s">
        <v>1283</v>
      </c>
      <c r="H126" t="s">
        <v>898</v>
      </c>
      <c r="I126" t="s">
        <v>380</v>
      </c>
      <c r="J126" t="s">
        <v>1956</v>
      </c>
    </row>
    <row r="127" spans="1:10" x14ac:dyDescent="0.25">
      <c r="A127" s="43" t="s">
        <v>2883</v>
      </c>
      <c r="B127" t="s">
        <v>245</v>
      </c>
      <c r="C127" t="s">
        <v>1184</v>
      </c>
      <c r="D127" t="s">
        <v>91</v>
      </c>
      <c r="E127" t="s">
        <v>1230</v>
      </c>
      <c r="G127" t="s">
        <v>1283</v>
      </c>
      <c r="H127" t="s">
        <v>898</v>
      </c>
      <c r="I127" t="s">
        <v>380</v>
      </c>
      <c r="J127" t="s">
        <v>1956</v>
      </c>
    </row>
    <row r="128" spans="1:10" x14ac:dyDescent="0.25">
      <c r="A128" s="43" t="s">
        <v>4038</v>
      </c>
      <c r="B128" t="s">
        <v>245</v>
      </c>
      <c r="C128" t="s">
        <v>1184</v>
      </c>
      <c r="D128" t="s">
        <v>91</v>
      </c>
      <c r="E128" t="s">
        <v>1230</v>
      </c>
      <c r="G128" t="s">
        <v>1283</v>
      </c>
      <c r="H128" t="s">
        <v>898</v>
      </c>
      <c r="I128" t="s">
        <v>380</v>
      </c>
      <c r="J128" t="s">
        <v>1956</v>
      </c>
    </row>
    <row r="129" spans="1:10" x14ac:dyDescent="0.25">
      <c r="A129" s="43" t="s">
        <v>2882</v>
      </c>
      <c r="B129" t="s">
        <v>2665</v>
      </c>
      <c r="C129" t="s">
        <v>1211</v>
      </c>
      <c r="D129" t="s">
        <v>91</v>
      </c>
      <c r="E129" t="s">
        <v>1239</v>
      </c>
      <c r="G129" t="s">
        <v>1283</v>
      </c>
      <c r="H129" t="s">
        <v>898</v>
      </c>
      <c r="I129" t="s">
        <v>1282</v>
      </c>
      <c r="J129" t="s">
        <v>1698</v>
      </c>
    </row>
    <row r="130" spans="1:10" x14ac:dyDescent="0.25">
      <c r="A130" s="43" t="s">
        <v>948</v>
      </c>
      <c r="B130" t="s">
        <v>2665</v>
      </c>
      <c r="C130" t="s">
        <v>1211</v>
      </c>
      <c r="D130" t="s">
        <v>91</v>
      </c>
      <c r="E130" t="s">
        <v>1239</v>
      </c>
      <c r="G130" t="s">
        <v>1283</v>
      </c>
      <c r="H130" t="s">
        <v>898</v>
      </c>
      <c r="I130" t="s">
        <v>1282</v>
      </c>
      <c r="J130" t="s">
        <v>1698</v>
      </c>
    </row>
    <row r="131" spans="1:10" x14ac:dyDescent="0.25">
      <c r="A131" s="43" t="s">
        <v>949</v>
      </c>
      <c r="B131" t="s">
        <v>2665</v>
      </c>
      <c r="C131" t="s">
        <v>1211</v>
      </c>
      <c r="D131" t="s">
        <v>91</v>
      </c>
      <c r="E131" t="s">
        <v>1239</v>
      </c>
      <c r="G131" t="s">
        <v>1283</v>
      </c>
      <c r="H131" t="s">
        <v>898</v>
      </c>
      <c r="I131" t="s">
        <v>1282</v>
      </c>
      <c r="J131" t="s">
        <v>1698</v>
      </c>
    </row>
    <row r="132" spans="1:10" x14ac:dyDescent="0.25">
      <c r="A132" s="43" t="s">
        <v>4280</v>
      </c>
      <c r="B132" t="s">
        <v>54</v>
      </c>
      <c r="C132" t="s">
        <v>1181</v>
      </c>
      <c r="D132" t="s">
        <v>27</v>
      </c>
      <c r="E132" t="s">
        <v>1217</v>
      </c>
      <c r="G132" t="s">
        <v>1283</v>
      </c>
      <c r="H132" t="s">
        <v>898</v>
      </c>
      <c r="I132" t="s">
        <v>2662</v>
      </c>
      <c r="J132" t="s">
        <v>1757</v>
      </c>
    </row>
    <row r="133" spans="1:10" x14ac:dyDescent="0.25">
      <c r="A133" s="43" t="s">
        <v>2661</v>
      </c>
      <c r="B133" t="s">
        <v>54</v>
      </c>
      <c r="C133" t="s">
        <v>1181</v>
      </c>
      <c r="D133" t="s">
        <v>27</v>
      </c>
      <c r="E133" t="s">
        <v>1217</v>
      </c>
      <c r="G133" t="s">
        <v>1283</v>
      </c>
      <c r="H133" t="s">
        <v>898</v>
      </c>
      <c r="I133" t="s">
        <v>2662</v>
      </c>
      <c r="J133" t="s">
        <v>1757</v>
      </c>
    </row>
    <row r="134" spans="1:10" x14ac:dyDescent="0.25">
      <c r="A134" s="43" t="s">
        <v>2664</v>
      </c>
      <c r="B134" t="s">
        <v>31</v>
      </c>
      <c r="C134" t="s">
        <v>1178</v>
      </c>
      <c r="D134" t="s">
        <v>15</v>
      </c>
      <c r="E134" t="s">
        <v>1244</v>
      </c>
      <c r="G134" t="s">
        <v>1283</v>
      </c>
      <c r="H134" t="s">
        <v>898</v>
      </c>
      <c r="I134" t="s">
        <v>1284</v>
      </c>
      <c r="J134" t="s">
        <v>1702</v>
      </c>
    </row>
    <row r="135" spans="1:10" x14ac:dyDescent="0.25">
      <c r="A135" s="43" t="s">
        <v>4417</v>
      </c>
      <c r="B135" t="s">
        <v>176</v>
      </c>
      <c r="C135" t="s">
        <v>1177</v>
      </c>
      <c r="D135" t="s">
        <v>91</v>
      </c>
      <c r="E135" t="s">
        <v>1286</v>
      </c>
      <c r="G135" t="s">
        <v>1283</v>
      </c>
      <c r="H135" t="s">
        <v>898</v>
      </c>
      <c r="J135" t="s">
        <v>2430</v>
      </c>
    </row>
    <row r="136" spans="1:10" x14ac:dyDescent="0.25">
      <c r="A136" s="43" t="s">
        <v>1161</v>
      </c>
      <c r="B136" t="s">
        <v>2518</v>
      </c>
      <c r="C136" t="s">
        <v>1177</v>
      </c>
      <c r="D136" t="s">
        <v>27</v>
      </c>
      <c r="E136" t="s">
        <v>1244</v>
      </c>
      <c r="G136" t="s">
        <v>1283</v>
      </c>
      <c r="H136" t="s">
        <v>898</v>
      </c>
      <c r="I136" t="s">
        <v>1616</v>
      </c>
      <c r="J136" t="s">
        <v>2424</v>
      </c>
    </row>
    <row r="137" spans="1:10" x14ac:dyDescent="0.25">
      <c r="A137" s="43" t="s">
        <v>1167</v>
      </c>
      <c r="B137" t="s">
        <v>263</v>
      </c>
      <c r="C137" t="s">
        <v>1188</v>
      </c>
      <c r="D137" t="s">
        <v>56</v>
      </c>
      <c r="E137" t="s">
        <v>1223</v>
      </c>
      <c r="G137" t="s">
        <v>1283</v>
      </c>
      <c r="H137" t="s">
        <v>898</v>
      </c>
      <c r="I137" t="s">
        <v>1282</v>
      </c>
      <c r="J137" t="s">
        <v>2448</v>
      </c>
    </row>
    <row r="138" spans="1:10" x14ac:dyDescent="0.25">
      <c r="A138" s="43" t="s">
        <v>1164</v>
      </c>
      <c r="B138" t="s">
        <v>2774</v>
      </c>
      <c r="C138" t="s">
        <v>1184</v>
      </c>
      <c r="D138" t="s">
        <v>56</v>
      </c>
      <c r="E138" t="s">
        <v>1265</v>
      </c>
      <c r="G138" t="s">
        <v>1283</v>
      </c>
      <c r="H138" t="s">
        <v>898</v>
      </c>
      <c r="I138" t="s">
        <v>312</v>
      </c>
      <c r="J138" t="s">
        <v>2442</v>
      </c>
    </row>
    <row r="139" spans="1:10" x14ac:dyDescent="0.25">
      <c r="A139" s="43" t="s">
        <v>914</v>
      </c>
      <c r="B139" t="s">
        <v>378</v>
      </c>
      <c r="C139" t="s">
        <v>1182</v>
      </c>
      <c r="D139" t="s">
        <v>91</v>
      </c>
      <c r="E139" t="s">
        <v>1230</v>
      </c>
      <c r="G139" t="s">
        <v>1283</v>
      </c>
      <c r="H139" t="s">
        <v>898</v>
      </c>
      <c r="I139" t="s">
        <v>1291</v>
      </c>
      <c r="J139" t="s">
        <v>1713</v>
      </c>
    </row>
    <row r="140" spans="1:10" x14ac:dyDescent="0.25">
      <c r="A140" s="43" t="s">
        <v>4449</v>
      </c>
      <c r="B140" t="s">
        <v>407</v>
      </c>
      <c r="C140" t="s">
        <v>1183</v>
      </c>
      <c r="D140" t="s">
        <v>318</v>
      </c>
      <c r="E140" t="s">
        <v>1249</v>
      </c>
      <c r="G140" t="s">
        <v>1283</v>
      </c>
      <c r="H140" t="s">
        <v>898</v>
      </c>
      <c r="I140" t="s">
        <v>1270</v>
      </c>
      <c r="J140" t="s">
        <v>2483</v>
      </c>
    </row>
    <row r="141" spans="1:10" x14ac:dyDescent="0.25">
      <c r="A141" s="43" t="s">
        <v>2543</v>
      </c>
      <c r="B141" t="s">
        <v>923</v>
      </c>
      <c r="C141" t="s">
        <v>1188</v>
      </c>
      <c r="D141" t="s">
        <v>84</v>
      </c>
      <c r="E141" t="s">
        <v>1266</v>
      </c>
      <c r="G141" t="s">
        <v>1283</v>
      </c>
      <c r="H141" t="s">
        <v>898</v>
      </c>
      <c r="I141" t="s">
        <v>716</v>
      </c>
      <c r="J141" t="s">
        <v>2437</v>
      </c>
    </row>
    <row r="142" spans="1:10" x14ac:dyDescent="0.25">
      <c r="A142" s="43" t="s">
        <v>2545</v>
      </c>
      <c r="B142" t="s">
        <v>923</v>
      </c>
      <c r="C142" t="s">
        <v>1183</v>
      </c>
      <c r="D142" t="s">
        <v>931</v>
      </c>
      <c r="E142" t="s">
        <v>1228</v>
      </c>
      <c r="G142" t="s">
        <v>1283</v>
      </c>
      <c r="H142" t="s">
        <v>898</v>
      </c>
      <c r="I142" t="s">
        <v>1264</v>
      </c>
      <c r="J142" t="s">
        <v>1754</v>
      </c>
    </row>
    <row r="143" spans="1:10" x14ac:dyDescent="0.25">
      <c r="A143" s="43" t="s">
        <v>4281</v>
      </c>
      <c r="B143" t="s">
        <v>923</v>
      </c>
      <c r="C143" t="s">
        <v>1183</v>
      </c>
      <c r="D143" t="s">
        <v>931</v>
      </c>
      <c r="E143" t="s">
        <v>1228</v>
      </c>
      <c r="G143" t="s">
        <v>1283</v>
      </c>
      <c r="H143" t="s">
        <v>898</v>
      </c>
      <c r="I143" t="s">
        <v>1264</v>
      </c>
      <c r="J143" t="s">
        <v>1754</v>
      </c>
    </row>
    <row r="144" spans="1:10" x14ac:dyDescent="0.25">
      <c r="A144" s="43" t="s">
        <v>1168</v>
      </c>
      <c r="B144" t="s">
        <v>939</v>
      </c>
      <c r="C144" t="s">
        <v>1177</v>
      </c>
      <c r="D144" t="s">
        <v>1344</v>
      </c>
      <c r="E144" t="s">
        <v>1266</v>
      </c>
      <c r="G144" t="s">
        <v>1283</v>
      </c>
      <c r="H144" t="s">
        <v>898</v>
      </c>
      <c r="I144" t="s">
        <v>1379</v>
      </c>
      <c r="J144" t="s">
        <v>1854</v>
      </c>
    </row>
    <row r="145" spans="1:10" x14ac:dyDescent="0.25">
      <c r="A145" s="43" t="s">
        <v>938</v>
      </c>
      <c r="B145" t="s">
        <v>939</v>
      </c>
      <c r="C145" t="s">
        <v>1177</v>
      </c>
      <c r="D145" t="s">
        <v>1344</v>
      </c>
      <c r="E145" t="s">
        <v>1266</v>
      </c>
      <c r="G145" t="s">
        <v>1283</v>
      </c>
      <c r="H145" t="s">
        <v>898</v>
      </c>
      <c r="I145" t="s">
        <v>1379</v>
      </c>
      <c r="J145" t="s">
        <v>1854</v>
      </c>
    </row>
    <row r="146" spans="1:10" x14ac:dyDescent="0.25">
      <c r="A146" s="43" t="s">
        <v>4442</v>
      </c>
      <c r="B146" t="s">
        <v>592</v>
      </c>
      <c r="C146" t="s">
        <v>1188</v>
      </c>
      <c r="D146" t="s">
        <v>318</v>
      </c>
      <c r="E146" t="s">
        <v>1246</v>
      </c>
      <c r="G146" t="s">
        <v>1283</v>
      </c>
      <c r="H146" t="s">
        <v>898</v>
      </c>
      <c r="I146" t="s">
        <v>1615</v>
      </c>
      <c r="J146" t="s">
        <v>2419</v>
      </c>
    </row>
    <row r="147" spans="1:10" x14ac:dyDescent="0.25">
      <c r="A147" s="43" t="s">
        <v>916</v>
      </c>
      <c r="B147" t="s">
        <v>592</v>
      </c>
      <c r="C147" t="s">
        <v>1183</v>
      </c>
      <c r="D147" t="s">
        <v>931</v>
      </c>
      <c r="E147" t="s">
        <v>1305</v>
      </c>
      <c r="G147" t="s">
        <v>1283</v>
      </c>
      <c r="H147" t="s">
        <v>898</v>
      </c>
      <c r="I147" t="s">
        <v>1260</v>
      </c>
      <c r="J147" t="s">
        <v>1734</v>
      </c>
    </row>
    <row r="148" spans="1:10" x14ac:dyDescent="0.25">
      <c r="A148" s="43" t="s">
        <v>921</v>
      </c>
      <c r="B148" t="s">
        <v>592</v>
      </c>
      <c r="C148" t="s">
        <v>1183</v>
      </c>
      <c r="D148" t="s">
        <v>931</v>
      </c>
      <c r="E148" t="s">
        <v>1305</v>
      </c>
      <c r="G148" t="s">
        <v>1283</v>
      </c>
      <c r="H148" t="s">
        <v>898</v>
      </c>
      <c r="I148" t="s">
        <v>1260</v>
      </c>
      <c r="J148" t="s">
        <v>1734</v>
      </c>
    </row>
    <row r="149" spans="1:10" x14ac:dyDescent="0.25">
      <c r="A149" s="43" t="s">
        <v>2700</v>
      </c>
      <c r="B149" t="s">
        <v>2701</v>
      </c>
      <c r="C149" t="s">
        <v>1177</v>
      </c>
      <c r="D149" t="s">
        <v>15</v>
      </c>
      <c r="E149" t="s">
        <v>1286</v>
      </c>
      <c r="G149" t="s">
        <v>1283</v>
      </c>
      <c r="H149" t="s">
        <v>898</v>
      </c>
      <c r="I149" t="s">
        <v>1381</v>
      </c>
      <c r="J149" t="s">
        <v>1856</v>
      </c>
    </row>
    <row r="150" spans="1:10" x14ac:dyDescent="0.25">
      <c r="A150" s="43" t="s">
        <v>4461</v>
      </c>
      <c r="B150" t="s">
        <v>2701</v>
      </c>
      <c r="C150" t="s">
        <v>1177</v>
      </c>
      <c r="D150" t="s">
        <v>15</v>
      </c>
      <c r="E150" t="s">
        <v>1286</v>
      </c>
      <c r="G150" t="s">
        <v>1283</v>
      </c>
      <c r="H150" t="s">
        <v>898</v>
      </c>
      <c r="I150" t="s">
        <v>1381</v>
      </c>
      <c r="J150" t="s">
        <v>1856</v>
      </c>
    </row>
    <row r="151" spans="1:10" x14ac:dyDescent="0.25">
      <c r="A151" s="43" t="s">
        <v>4402</v>
      </c>
      <c r="B151" t="s">
        <v>678</v>
      </c>
      <c r="D151" t="s">
        <v>1213</v>
      </c>
      <c r="E151" t="s">
        <v>1230</v>
      </c>
      <c r="G151" t="s">
        <v>1283</v>
      </c>
      <c r="H151" t="s">
        <v>898</v>
      </c>
      <c r="I151" t="s">
        <v>597</v>
      </c>
      <c r="J151" t="s">
        <v>1955</v>
      </c>
    </row>
    <row r="152" spans="1:10" x14ac:dyDescent="0.25">
      <c r="A152" s="43" t="s">
        <v>4037</v>
      </c>
      <c r="B152" t="s">
        <v>678</v>
      </c>
      <c r="D152" t="s">
        <v>1213</v>
      </c>
      <c r="E152" t="s">
        <v>1230</v>
      </c>
      <c r="G152" t="s">
        <v>1283</v>
      </c>
      <c r="H152" t="s">
        <v>898</v>
      </c>
      <c r="I152" t="s">
        <v>597</v>
      </c>
      <c r="J152" t="s">
        <v>1955</v>
      </c>
    </row>
    <row r="153" spans="1:10" x14ac:dyDescent="0.25">
      <c r="A153" s="43" t="s">
        <v>912</v>
      </c>
      <c r="B153" t="s">
        <v>711</v>
      </c>
      <c r="C153" t="s">
        <v>1191</v>
      </c>
      <c r="D153" t="s">
        <v>84</v>
      </c>
      <c r="E153" t="s">
        <v>1285</v>
      </c>
      <c r="G153" t="s">
        <v>1283</v>
      </c>
      <c r="H153" t="s">
        <v>898</v>
      </c>
      <c r="I153" t="s">
        <v>726</v>
      </c>
      <c r="J153" t="s">
        <v>1704</v>
      </c>
    </row>
    <row r="154" spans="1:10" x14ac:dyDescent="0.25">
      <c r="A154" s="43" t="s">
        <v>1043</v>
      </c>
      <c r="B154" t="s">
        <v>951</v>
      </c>
      <c r="C154" t="s">
        <v>1193</v>
      </c>
      <c r="D154" t="s">
        <v>84</v>
      </c>
      <c r="E154" t="s">
        <v>1343</v>
      </c>
      <c r="G154" t="s">
        <v>1283</v>
      </c>
      <c r="H154" t="s">
        <v>898</v>
      </c>
      <c r="I154" t="s">
        <v>321</v>
      </c>
      <c r="J154" t="s">
        <v>389</v>
      </c>
    </row>
    <row r="155" spans="1:10" x14ac:dyDescent="0.25">
      <c r="A155" s="43" t="s">
        <v>4469</v>
      </c>
      <c r="B155" t="s">
        <v>951</v>
      </c>
      <c r="C155" t="s">
        <v>1193</v>
      </c>
      <c r="D155" t="s">
        <v>84</v>
      </c>
      <c r="E155" t="s">
        <v>1343</v>
      </c>
      <c r="G155" t="s">
        <v>1283</v>
      </c>
      <c r="H155" t="s">
        <v>898</v>
      </c>
      <c r="I155" t="s">
        <v>321</v>
      </c>
      <c r="J155" t="s">
        <v>389</v>
      </c>
    </row>
    <row r="156" spans="1:10" x14ac:dyDescent="0.25">
      <c r="A156" s="43" t="s">
        <v>2663</v>
      </c>
      <c r="B156" t="s">
        <v>741</v>
      </c>
      <c r="C156" t="s">
        <v>1201</v>
      </c>
      <c r="D156" t="s">
        <v>1344</v>
      </c>
      <c r="E156" t="s">
        <v>1243</v>
      </c>
      <c r="G156" t="s">
        <v>1283</v>
      </c>
      <c r="H156" t="s">
        <v>898</v>
      </c>
      <c r="I156" t="s">
        <v>1419</v>
      </c>
      <c r="J156" t="s">
        <v>1961</v>
      </c>
    </row>
    <row r="157" spans="1:10" x14ac:dyDescent="0.25">
      <c r="A157" s="43" t="s">
        <v>4439</v>
      </c>
      <c r="B157" t="s">
        <v>4440</v>
      </c>
      <c r="C157" t="s">
        <v>1177</v>
      </c>
      <c r="D157" t="s">
        <v>84</v>
      </c>
      <c r="E157" t="s">
        <v>1247</v>
      </c>
      <c r="G157" t="s">
        <v>1283</v>
      </c>
      <c r="H157" t="s">
        <v>898</v>
      </c>
      <c r="I157" t="s">
        <v>1373</v>
      </c>
      <c r="J157" t="s">
        <v>4441</v>
      </c>
    </row>
    <row r="158" spans="1:10" x14ac:dyDescent="0.25">
      <c r="A158" s="43" t="s">
        <v>962</v>
      </c>
      <c r="B158" t="s">
        <v>863</v>
      </c>
      <c r="C158" t="s">
        <v>1183</v>
      </c>
      <c r="D158" t="s">
        <v>84</v>
      </c>
      <c r="E158" t="s">
        <v>1239</v>
      </c>
      <c r="G158" t="s">
        <v>1283</v>
      </c>
      <c r="H158" t="s">
        <v>898</v>
      </c>
      <c r="I158" t="s">
        <v>64</v>
      </c>
      <c r="J158" t="s">
        <v>2019</v>
      </c>
    </row>
    <row r="159" spans="1:10" x14ac:dyDescent="0.25">
      <c r="A159" s="43" t="s">
        <v>4205</v>
      </c>
      <c r="B159" t="s">
        <v>631</v>
      </c>
      <c r="C159" t="s">
        <v>1535</v>
      </c>
      <c r="D159" t="s">
        <v>56</v>
      </c>
      <c r="E159" t="s">
        <v>1536</v>
      </c>
      <c r="G159" t="s">
        <v>1295</v>
      </c>
      <c r="H159" t="s">
        <v>898</v>
      </c>
      <c r="I159" t="s">
        <v>126</v>
      </c>
      <c r="J159" t="s">
        <v>2269</v>
      </c>
    </row>
    <row r="160" spans="1:10" x14ac:dyDescent="0.25">
      <c r="A160" s="43" t="s">
        <v>4036</v>
      </c>
      <c r="B160" t="s">
        <v>631</v>
      </c>
      <c r="C160" t="s">
        <v>1535</v>
      </c>
      <c r="D160" t="s">
        <v>56</v>
      </c>
      <c r="E160" t="s">
        <v>1536</v>
      </c>
      <c r="G160" t="s">
        <v>1283</v>
      </c>
      <c r="H160" t="s">
        <v>898</v>
      </c>
      <c r="I160" t="s">
        <v>126</v>
      </c>
      <c r="J160" t="s">
        <v>2269</v>
      </c>
    </row>
    <row r="161" spans="1:10" x14ac:dyDescent="0.25">
      <c r="A161" s="43" t="s">
        <v>4035</v>
      </c>
      <c r="B161" t="s">
        <v>631</v>
      </c>
      <c r="C161" t="s">
        <v>1535</v>
      </c>
      <c r="D161" t="s">
        <v>56</v>
      </c>
      <c r="E161" t="s">
        <v>1536</v>
      </c>
      <c r="G161" t="s">
        <v>1224</v>
      </c>
      <c r="H161" t="s">
        <v>1225</v>
      </c>
      <c r="I161" t="s">
        <v>126</v>
      </c>
      <c r="J161" t="s">
        <v>2269</v>
      </c>
    </row>
    <row r="162" spans="1:10" x14ac:dyDescent="0.25">
      <c r="A162" s="43" t="s">
        <v>4204</v>
      </c>
      <c r="B162" t="s">
        <v>631</v>
      </c>
      <c r="C162" t="s">
        <v>1535</v>
      </c>
      <c r="D162" t="s">
        <v>56</v>
      </c>
      <c r="E162" t="s">
        <v>1536</v>
      </c>
      <c r="G162" t="s">
        <v>1218</v>
      </c>
      <c r="H162" t="s">
        <v>898</v>
      </c>
      <c r="I162" t="s">
        <v>126</v>
      </c>
      <c r="J162" t="s">
        <v>2269</v>
      </c>
    </row>
    <row r="163" spans="1:10" x14ac:dyDescent="0.25">
      <c r="A163" s="43" t="s">
        <v>4203</v>
      </c>
      <c r="B163" t="s">
        <v>505</v>
      </c>
      <c r="C163" t="s">
        <v>1201</v>
      </c>
      <c r="D163" t="s">
        <v>1212</v>
      </c>
      <c r="G163" t="s">
        <v>1218</v>
      </c>
      <c r="H163" t="s">
        <v>907</v>
      </c>
      <c r="I163" t="s">
        <v>697</v>
      </c>
      <c r="J163" t="s">
        <v>2036</v>
      </c>
    </row>
    <row r="164" spans="1:10" x14ac:dyDescent="0.25">
      <c r="A164" s="43" t="s">
        <v>4034</v>
      </c>
      <c r="B164" t="s">
        <v>592</v>
      </c>
      <c r="C164" t="s">
        <v>1201</v>
      </c>
      <c r="D164" t="s">
        <v>1212</v>
      </c>
      <c r="G164" t="s">
        <v>1283</v>
      </c>
      <c r="H164" t="s">
        <v>907</v>
      </c>
      <c r="I164" t="s">
        <v>632</v>
      </c>
      <c r="J164" t="s">
        <v>2362</v>
      </c>
    </row>
    <row r="165" spans="1:10" x14ac:dyDescent="0.25">
      <c r="A165" s="43" t="s">
        <v>4033</v>
      </c>
      <c r="B165" t="s">
        <v>592</v>
      </c>
      <c r="C165" t="s">
        <v>1201</v>
      </c>
      <c r="D165" t="s">
        <v>1212</v>
      </c>
      <c r="G165" t="s">
        <v>1218</v>
      </c>
      <c r="H165" t="s">
        <v>907</v>
      </c>
      <c r="I165" t="s">
        <v>632</v>
      </c>
      <c r="J165" t="s">
        <v>2362</v>
      </c>
    </row>
    <row r="166" spans="1:10" x14ac:dyDescent="0.25">
      <c r="A166" s="43" t="s">
        <v>4032</v>
      </c>
      <c r="B166" t="s">
        <v>678</v>
      </c>
      <c r="C166" t="s">
        <v>1201</v>
      </c>
      <c r="D166" t="s">
        <v>1212</v>
      </c>
      <c r="G166" t="s">
        <v>1283</v>
      </c>
      <c r="H166" t="s">
        <v>907</v>
      </c>
      <c r="I166" t="s">
        <v>1291</v>
      </c>
      <c r="J166" t="s">
        <v>2374</v>
      </c>
    </row>
    <row r="167" spans="1:10" x14ac:dyDescent="0.25">
      <c r="A167" s="43" t="s">
        <v>4031</v>
      </c>
      <c r="B167" t="s">
        <v>678</v>
      </c>
      <c r="C167" t="s">
        <v>1201</v>
      </c>
      <c r="D167" t="s">
        <v>1212</v>
      </c>
      <c r="G167" t="s">
        <v>1218</v>
      </c>
      <c r="H167" t="s">
        <v>907</v>
      </c>
      <c r="I167" t="s">
        <v>1291</v>
      </c>
      <c r="J167" t="s">
        <v>2374</v>
      </c>
    </row>
    <row r="168" spans="1:10" x14ac:dyDescent="0.25">
      <c r="A168" s="43" t="s">
        <v>4200</v>
      </c>
      <c r="B168" t="s">
        <v>61</v>
      </c>
      <c r="C168" t="s">
        <v>1488</v>
      </c>
      <c r="D168" t="s">
        <v>27</v>
      </c>
      <c r="E168" t="s">
        <v>1383</v>
      </c>
      <c r="G168" t="s">
        <v>1582</v>
      </c>
      <c r="H168" t="s">
        <v>1445</v>
      </c>
      <c r="I168" t="s">
        <v>650</v>
      </c>
      <c r="J168" t="s">
        <v>2361</v>
      </c>
    </row>
    <row r="169" spans="1:10" x14ac:dyDescent="0.25">
      <c r="A169" s="43" t="s">
        <v>4201</v>
      </c>
      <c r="B169" t="s">
        <v>4202</v>
      </c>
      <c r="C169" t="s">
        <v>1190</v>
      </c>
      <c r="D169" t="s">
        <v>203</v>
      </c>
      <c r="E169" t="s">
        <v>1595</v>
      </c>
      <c r="G169" t="s">
        <v>1582</v>
      </c>
      <c r="H169" t="s">
        <v>1445</v>
      </c>
      <c r="I169" t="s">
        <v>2931</v>
      </c>
      <c r="J169" t="s">
        <v>2377</v>
      </c>
    </row>
    <row r="170" spans="1:10" x14ac:dyDescent="0.25">
      <c r="A170" s="43" t="s">
        <v>4030</v>
      </c>
      <c r="B170" t="s">
        <v>1157</v>
      </c>
      <c r="C170" t="s">
        <v>1177</v>
      </c>
      <c r="D170" t="s">
        <v>56</v>
      </c>
      <c r="E170" t="s">
        <v>1473</v>
      </c>
      <c r="G170" t="s">
        <v>1582</v>
      </c>
      <c r="H170" t="s">
        <v>1445</v>
      </c>
      <c r="I170" t="s">
        <v>100</v>
      </c>
      <c r="J170" t="s">
        <v>2376</v>
      </c>
    </row>
    <row r="171" spans="1:10" x14ac:dyDescent="0.25">
      <c r="A171" s="43" t="s">
        <v>4279</v>
      </c>
      <c r="B171" t="s">
        <v>1025</v>
      </c>
      <c r="C171" t="s">
        <v>1194</v>
      </c>
      <c r="D171" t="s">
        <v>27</v>
      </c>
      <c r="E171" t="s">
        <v>1243</v>
      </c>
      <c r="G171" t="s">
        <v>1592</v>
      </c>
      <c r="H171" t="s">
        <v>1445</v>
      </c>
      <c r="I171" t="s">
        <v>173</v>
      </c>
      <c r="J171" t="s">
        <v>2379</v>
      </c>
    </row>
    <row r="172" spans="1:10" x14ac:dyDescent="0.25">
      <c r="A172" s="43" t="s">
        <v>4199</v>
      </c>
      <c r="B172" t="s">
        <v>586</v>
      </c>
      <c r="C172" t="s">
        <v>1194</v>
      </c>
      <c r="D172" t="s">
        <v>27</v>
      </c>
      <c r="E172" t="s">
        <v>1594</v>
      </c>
      <c r="G172" t="s">
        <v>1592</v>
      </c>
      <c r="H172" t="s">
        <v>1445</v>
      </c>
      <c r="I172" t="s">
        <v>108</v>
      </c>
      <c r="J172" t="s">
        <v>2375</v>
      </c>
    </row>
    <row r="173" spans="1:10" x14ac:dyDescent="0.25">
      <c r="A173" s="43" t="s">
        <v>4029</v>
      </c>
      <c r="B173" t="s">
        <v>635</v>
      </c>
      <c r="C173" t="s">
        <v>1194</v>
      </c>
      <c r="D173" t="s">
        <v>56</v>
      </c>
      <c r="E173" t="s">
        <v>1461</v>
      </c>
      <c r="G173" t="s">
        <v>1592</v>
      </c>
      <c r="H173" t="s">
        <v>1445</v>
      </c>
      <c r="I173" t="s">
        <v>1593</v>
      </c>
      <c r="J173" t="s">
        <v>2373</v>
      </c>
    </row>
    <row r="174" spans="1:10" x14ac:dyDescent="0.25">
      <c r="A174" s="43" t="s">
        <v>4198</v>
      </c>
      <c r="B174" t="s">
        <v>863</v>
      </c>
      <c r="C174" t="s">
        <v>1204</v>
      </c>
      <c r="D174" t="s">
        <v>56</v>
      </c>
      <c r="E174" t="s">
        <v>1371</v>
      </c>
      <c r="G174" t="s">
        <v>1592</v>
      </c>
      <c r="H174" t="s">
        <v>1445</v>
      </c>
      <c r="I174" t="s">
        <v>1596</v>
      </c>
      <c r="J174" t="s">
        <v>2378</v>
      </c>
    </row>
    <row r="175" spans="1:10" x14ac:dyDescent="0.25">
      <c r="A175" s="43" t="s">
        <v>4278</v>
      </c>
      <c r="B175" t="s">
        <v>955</v>
      </c>
      <c r="C175" t="s">
        <v>1178</v>
      </c>
      <c r="D175" t="s">
        <v>1439</v>
      </c>
      <c r="G175" t="s">
        <v>1226</v>
      </c>
      <c r="H175" t="s">
        <v>907</v>
      </c>
      <c r="I175" t="s">
        <v>85</v>
      </c>
      <c r="J175" t="s">
        <v>1999</v>
      </c>
    </row>
    <row r="176" spans="1:10" x14ac:dyDescent="0.25">
      <c r="A176" s="43" t="s">
        <v>2736</v>
      </c>
      <c r="B176" t="s">
        <v>955</v>
      </c>
      <c r="C176" t="s">
        <v>1178</v>
      </c>
      <c r="D176" t="s">
        <v>1439</v>
      </c>
      <c r="G176" t="s">
        <v>8</v>
      </c>
      <c r="H176" t="s">
        <v>907</v>
      </c>
      <c r="I176" t="s">
        <v>85</v>
      </c>
      <c r="J176" t="s">
        <v>1999</v>
      </c>
    </row>
    <row r="177" spans="1:10" x14ac:dyDescent="0.25">
      <c r="A177" s="43" t="s">
        <v>2811</v>
      </c>
      <c r="B177" t="s">
        <v>955</v>
      </c>
      <c r="C177" t="s">
        <v>1178</v>
      </c>
      <c r="D177" t="s">
        <v>1439</v>
      </c>
      <c r="G177" t="s">
        <v>1328</v>
      </c>
      <c r="H177" t="s">
        <v>907</v>
      </c>
      <c r="I177" t="s">
        <v>85</v>
      </c>
      <c r="J177" t="s">
        <v>1999</v>
      </c>
    </row>
    <row r="178" spans="1:10" x14ac:dyDescent="0.25">
      <c r="A178" s="43" t="s">
        <v>4197</v>
      </c>
      <c r="B178" t="s">
        <v>955</v>
      </c>
      <c r="C178" t="s">
        <v>1178</v>
      </c>
      <c r="D178" t="s">
        <v>1439</v>
      </c>
      <c r="G178" t="s">
        <v>1226</v>
      </c>
      <c r="H178" t="s">
        <v>907</v>
      </c>
      <c r="I178" t="s">
        <v>85</v>
      </c>
      <c r="J178" t="s">
        <v>1999</v>
      </c>
    </row>
    <row r="179" spans="1:10" x14ac:dyDescent="0.25">
      <c r="A179" s="43" t="s">
        <v>2699</v>
      </c>
      <c r="B179" t="s">
        <v>955</v>
      </c>
      <c r="C179" t="s">
        <v>1178</v>
      </c>
      <c r="D179" t="s">
        <v>1439</v>
      </c>
      <c r="G179" t="s">
        <v>8</v>
      </c>
      <c r="H179" t="s">
        <v>907</v>
      </c>
      <c r="I179" t="s">
        <v>85</v>
      </c>
      <c r="J179" t="s">
        <v>1999</v>
      </c>
    </row>
    <row r="180" spans="1:10" x14ac:dyDescent="0.25">
      <c r="A180" s="43" t="s">
        <v>2810</v>
      </c>
      <c r="B180" t="s">
        <v>955</v>
      </c>
      <c r="C180" t="s">
        <v>1178</v>
      </c>
      <c r="D180" t="s">
        <v>1439</v>
      </c>
      <c r="G180" t="s">
        <v>1328</v>
      </c>
      <c r="H180" t="s">
        <v>907</v>
      </c>
      <c r="I180" t="s">
        <v>85</v>
      </c>
      <c r="J180" t="s">
        <v>1999</v>
      </c>
    </row>
    <row r="181" spans="1:10" x14ac:dyDescent="0.25">
      <c r="A181" s="43" t="s">
        <v>4028</v>
      </c>
      <c r="B181" t="s">
        <v>222</v>
      </c>
      <c r="C181" t="s">
        <v>1201</v>
      </c>
      <c r="D181" t="s">
        <v>1362</v>
      </c>
      <c r="G181" t="s">
        <v>1226</v>
      </c>
      <c r="H181" t="s">
        <v>907</v>
      </c>
      <c r="I181" t="s">
        <v>1367</v>
      </c>
      <c r="J181" t="s">
        <v>1804</v>
      </c>
    </row>
    <row r="182" spans="1:10" x14ac:dyDescent="0.25">
      <c r="A182" s="43" t="s">
        <v>4196</v>
      </c>
      <c r="B182" t="s">
        <v>222</v>
      </c>
      <c r="C182" t="s">
        <v>1201</v>
      </c>
      <c r="D182" t="s">
        <v>1362</v>
      </c>
      <c r="G182" t="s">
        <v>8</v>
      </c>
      <c r="H182" t="s">
        <v>907</v>
      </c>
      <c r="I182" t="s">
        <v>1363</v>
      </c>
      <c r="J182" t="s">
        <v>1804</v>
      </c>
    </row>
    <row r="183" spans="1:10" x14ac:dyDescent="0.25">
      <c r="A183" s="43" t="s">
        <v>4195</v>
      </c>
      <c r="B183" t="s">
        <v>222</v>
      </c>
      <c r="C183" t="s">
        <v>1201</v>
      </c>
      <c r="D183" t="s">
        <v>1362</v>
      </c>
      <c r="G183" t="s">
        <v>1328</v>
      </c>
      <c r="H183" t="s">
        <v>907</v>
      </c>
      <c r="J183" t="s">
        <v>1804</v>
      </c>
    </row>
    <row r="184" spans="1:10" x14ac:dyDescent="0.25">
      <c r="A184" s="43" t="s">
        <v>2809</v>
      </c>
      <c r="B184" t="s">
        <v>222</v>
      </c>
      <c r="C184" t="s">
        <v>1201</v>
      </c>
      <c r="D184" t="s">
        <v>1362</v>
      </c>
      <c r="G184" t="s">
        <v>1226</v>
      </c>
      <c r="H184" t="s">
        <v>907</v>
      </c>
      <c r="I184" t="s">
        <v>1416</v>
      </c>
      <c r="J184" t="s">
        <v>1804</v>
      </c>
    </row>
    <row r="185" spans="1:10" x14ac:dyDescent="0.25">
      <c r="A185" s="43" t="s">
        <v>4194</v>
      </c>
      <c r="B185" t="s">
        <v>222</v>
      </c>
      <c r="C185" t="s">
        <v>1201</v>
      </c>
      <c r="D185" t="s">
        <v>1362</v>
      </c>
      <c r="G185" t="s">
        <v>8</v>
      </c>
      <c r="H185" t="s">
        <v>907</v>
      </c>
      <c r="I185" t="s">
        <v>1452</v>
      </c>
      <c r="J185" t="s">
        <v>1804</v>
      </c>
    </row>
    <row r="186" spans="1:10" x14ac:dyDescent="0.25">
      <c r="A186" s="43" t="s">
        <v>2808</v>
      </c>
      <c r="B186" t="s">
        <v>222</v>
      </c>
      <c r="C186" t="s">
        <v>1201</v>
      </c>
      <c r="D186" t="s">
        <v>1362</v>
      </c>
      <c r="G186" t="s">
        <v>1328</v>
      </c>
      <c r="H186" t="s">
        <v>907</v>
      </c>
      <c r="J186" t="s">
        <v>1804</v>
      </c>
    </row>
    <row r="187" spans="1:10" x14ac:dyDescent="0.25">
      <c r="A187" s="43" t="s">
        <v>4027</v>
      </c>
      <c r="B187" t="s">
        <v>908</v>
      </c>
      <c r="C187" t="s">
        <v>1180</v>
      </c>
      <c r="D187" t="s">
        <v>15</v>
      </c>
      <c r="E187" t="s">
        <v>1266</v>
      </c>
      <c r="G187" t="s">
        <v>1224</v>
      </c>
      <c r="H187" t="s">
        <v>1225</v>
      </c>
      <c r="I187" t="s">
        <v>100</v>
      </c>
      <c r="J187" t="s">
        <v>2380</v>
      </c>
    </row>
    <row r="188" spans="1:10" x14ac:dyDescent="0.25">
      <c r="A188" s="43" t="s">
        <v>4026</v>
      </c>
      <c r="B188" t="s">
        <v>526</v>
      </c>
      <c r="C188" t="s">
        <v>1180</v>
      </c>
      <c r="D188" t="s">
        <v>62</v>
      </c>
      <c r="E188" t="s">
        <v>1473</v>
      </c>
      <c r="G188" t="s">
        <v>1224</v>
      </c>
      <c r="H188" t="s">
        <v>1225</v>
      </c>
      <c r="I188" t="s">
        <v>330</v>
      </c>
      <c r="J188" t="s">
        <v>2386</v>
      </c>
    </row>
    <row r="189" spans="1:10" x14ac:dyDescent="0.25">
      <c r="A189" s="43" t="s">
        <v>2807</v>
      </c>
      <c r="B189" t="s">
        <v>1088</v>
      </c>
      <c r="C189" t="s">
        <v>1177</v>
      </c>
      <c r="D189" t="s">
        <v>197</v>
      </c>
      <c r="E189" t="s">
        <v>1411</v>
      </c>
      <c r="G189" t="s">
        <v>1224</v>
      </c>
      <c r="H189" t="s">
        <v>1225</v>
      </c>
      <c r="I189" t="s">
        <v>37</v>
      </c>
      <c r="J189" t="s">
        <v>2356</v>
      </c>
    </row>
    <row r="190" spans="1:10" x14ac:dyDescent="0.25">
      <c r="A190" s="43" t="s">
        <v>1020</v>
      </c>
      <c r="B190" t="s">
        <v>75</v>
      </c>
      <c r="C190" t="s">
        <v>1183</v>
      </c>
      <c r="D190" t="s">
        <v>56</v>
      </c>
      <c r="E190" t="s">
        <v>1506</v>
      </c>
      <c r="G190" t="s">
        <v>1226</v>
      </c>
      <c r="H190" t="s">
        <v>907</v>
      </c>
      <c r="I190" t="s">
        <v>272</v>
      </c>
      <c r="J190" t="s">
        <v>2169</v>
      </c>
    </row>
    <row r="191" spans="1:10" x14ac:dyDescent="0.25">
      <c r="A191" s="43" t="s">
        <v>1021</v>
      </c>
      <c r="B191" t="s">
        <v>75</v>
      </c>
      <c r="C191" t="s">
        <v>1183</v>
      </c>
      <c r="D191" t="s">
        <v>56</v>
      </c>
      <c r="E191" t="s">
        <v>1506</v>
      </c>
      <c r="G191" t="s">
        <v>8</v>
      </c>
      <c r="H191" t="s">
        <v>907</v>
      </c>
      <c r="I191" t="s">
        <v>272</v>
      </c>
      <c r="J191" t="s">
        <v>2169</v>
      </c>
    </row>
    <row r="192" spans="1:10" x14ac:dyDescent="0.25">
      <c r="A192" s="43" t="s">
        <v>1022</v>
      </c>
      <c r="B192" t="s">
        <v>75</v>
      </c>
      <c r="C192" t="s">
        <v>1183</v>
      </c>
      <c r="D192" t="s">
        <v>56</v>
      </c>
      <c r="E192" t="s">
        <v>1506</v>
      </c>
      <c r="G192" t="s">
        <v>1328</v>
      </c>
      <c r="H192" t="s">
        <v>907</v>
      </c>
      <c r="I192" t="s">
        <v>272</v>
      </c>
      <c r="J192" t="s">
        <v>2169</v>
      </c>
    </row>
    <row r="193" spans="1:10" x14ac:dyDescent="0.25">
      <c r="A193" s="43" t="s">
        <v>1023</v>
      </c>
      <c r="B193" t="s">
        <v>75</v>
      </c>
      <c r="C193" t="s">
        <v>1183</v>
      </c>
      <c r="D193" t="s">
        <v>56</v>
      </c>
      <c r="E193" t="s">
        <v>1506</v>
      </c>
      <c r="G193" t="s">
        <v>1290</v>
      </c>
      <c r="H193" t="s">
        <v>907</v>
      </c>
      <c r="I193" t="s">
        <v>272</v>
      </c>
      <c r="J193" t="s">
        <v>2169</v>
      </c>
    </row>
    <row r="194" spans="1:10" x14ac:dyDescent="0.25">
      <c r="A194" s="43" t="s">
        <v>1024</v>
      </c>
      <c r="B194" t="s">
        <v>75</v>
      </c>
      <c r="C194" t="s">
        <v>1183</v>
      </c>
      <c r="D194" t="s">
        <v>56</v>
      </c>
      <c r="E194" t="s">
        <v>1506</v>
      </c>
      <c r="G194" t="s">
        <v>1218</v>
      </c>
      <c r="H194" t="s">
        <v>907</v>
      </c>
      <c r="I194" t="s">
        <v>272</v>
      </c>
      <c r="J194" t="s">
        <v>2169</v>
      </c>
    </row>
    <row r="195" spans="1:10" x14ac:dyDescent="0.25">
      <c r="A195" s="43" t="s">
        <v>1151</v>
      </c>
      <c r="B195" t="s">
        <v>908</v>
      </c>
      <c r="C195" t="s">
        <v>1177</v>
      </c>
      <c r="E195" t="s">
        <v>1239</v>
      </c>
      <c r="G195" t="s">
        <v>1226</v>
      </c>
      <c r="H195" t="s">
        <v>907</v>
      </c>
      <c r="I195" t="s">
        <v>1453</v>
      </c>
      <c r="J195" t="s">
        <v>2037</v>
      </c>
    </row>
    <row r="196" spans="1:10" x14ac:dyDescent="0.25">
      <c r="A196" s="43" t="s">
        <v>1154</v>
      </c>
      <c r="B196" t="s">
        <v>908</v>
      </c>
      <c r="C196" t="s">
        <v>1177</v>
      </c>
      <c r="E196" t="s">
        <v>1239</v>
      </c>
      <c r="G196" t="s">
        <v>8</v>
      </c>
      <c r="H196" t="s">
        <v>907</v>
      </c>
      <c r="I196" t="s">
        <v>1453</v>
      </c>
      <c r="J196" t="s">
        <v>2037</v>
      </c>
    </row>
    <row r="197" spans="1:10" x14ac:dyDescent="0.25">
      <c r="A197" s="43" t="s">
        <v>963</v>
      </c>
      <c r="B197" t="s">
        <v>908</v>
      </c>
      <c r="C197" t="s">
        <v>1177</v>
      </c>
      <c r="E197" t="s">
        <v>1239</v>
      </c>
      <c r="G197" t="s">
        <v>1328</v>
      </c>
      <c r="H197" t="s">
        <v>907</v>
      </c>
      <c r="I197" t="s">
        <v>1453</v>
      </c>
      <c r="J197" t="s">
        <v>2037</v>
      </c>
    </row>
    <row r="198" spans="1:10" x14ac:dyDescent="0.25">
      <c r="A198" s="43" t="s">
        <v>1156</v>
      </c>
      <c r="B198" t="s">
        <v>908</v>
      </c>
      <c r="C198" t="s">
        <v>1177</v>
      </c>
      <c r="E198" t="s">
        <v>1239</v>
      </c>
      <c r="G198" t="s">
        <v>1290</v>
      </c>
      <c r="H198" t="s">
        <v>907</v>
      </c>
      <c r="I198" t="s">
        <v>1453</v>
      </c>
      <c r="J198" t="s">
        <v>2037</v>
      </c>
    </row>
    <row r="199" spans="1:10" x14ac:dyDescent="0.25">
      <c r="A199" s="43" t="s">
        <v>1155</v>
      </c>
      <c r="B199" t="s">
        <v>908</v>
      </c>
      <c r="C199" t="s">
        <v>1177</v>
      </c>
      <c r="E199" t="s">
        <v>1239</v>
      </c>
      <c r="G199" t="s">
        <v>1218</v>
      </c>
      <c r="H199" t="s">
        <v>907</v>
      </c>
      <c r="I199" t="s">
        <v>1453</v>
      </c>
      <c r="J199" t="s">
        <v>2037</v>
      </c>
    </row>
    <row r="200" spans="1:10" x14ac:dyDescent="0.25">
      <c r="A200" s="43" t="s">
        <v>2659</v>
      </c>
      <c r="B200" t="s">
        <v>222</v>
      </c>
      <c r="C200" t="s">
        <v>1183</v>
      </c>
      <c r="D200" t="s">
        <v>15</v>
      </c>
      <c r="E200" t="s">
        <v>1268</v>
      </c>
      <c r="G200" t="s">
        <v>1218</v>
      </c>
      <c r="H200" t="s">
        <v>907</v>
      </c>
      <c r="I200" t="s">
        <v>562</v>
      </c>
      <c r="J200" t="s">
        <v>2660</v>
      </c>
    </row>
    <row r="201" spans="1:10" x14ac:dyDescent="0.25">
      <c r="A201" s="43" t="s">
        <v>1015</v>
      </c>
      <c r="B201" t="s">
        <v>222</v>
      </c>
      <c r="C201" t="s">
        <v>1178</v>
      </c>
      <c r="D201" t="s">
        <v>27</v>
      </c>
      <c r="E201" t="s">
        <v>1247</v>
      </c>
      <c r="G201" t="s">
        <v>1226</v>
      </c>
      <c r="H201" t="s">
        <v>907</v>
      </c>
      <c r="I201" t="s">
        <v>1284</v>
      </c>
      <c r="J201" t="s">
        <v>2168</v>
      </c>
    </row>
    <row r="202" spans="1:10" x14ac:dyDescent="0.25">
      <c r="A202" s="43" t="s">
        <v>1017</v>
      </c>
      <c r="B202" t="s">
        <v>222</v>
      </c>
      <c r="C202" t="s">
        <v>1178</v>
      </c>
      <c r="D202" t="s">
        <v>27</v>
      </c>
      <c r="E202" t="s">
        <v>1247</v>
      </c>
      <c r="G202" t="s">
        <v>8</v>
      </c>
      <c r="H202" t="s">
        <v>907</v>
      </c>
      <c r="I202" t="s">
        <v>1284</v>
      </c>
      <c r="J202" t="s">
        <v>2168</v>
      </c>
    </row>
    <row r="203" spans="1:10" x14ac:dyDescent="0.25">
      <c r="A203" s="43" t="s">
        <v>3120</v>
      </c>
      <c r="B203" t="s">
        <v>222</v>
      </c>
      <c r="C203" t="s">
        <v>1178</v>
      </c>
      <c r="D203" t="s">
        <v>27</v>
      </c>
      <c r="E203" t="s">
        <v>1247</v>
      </c>
      <c r="G203" t="s">
        <v>1328</v>
      </c>
      <c r="H203" t="s">
        <v>907</v>
      </c>
      <c r="I203" t="s">
        <v>1284</v>
      </c>
      <c r="J203" t="s">
        <v>2168</v>
      </c>
    </row>
    <row r="204" spans="1:10" x14ac:dyDescent="0.25">
      <c r="A204" s="43" t="s">
        <v>1019</v>
      </c>
      <c r="B204" t="s">
        <v>222</v>
      </c>
      <c r="C204" t="s">
        <v>1178</v>
      </c>
      <c r="D204" t="s">
        <v>27</v>
      </c>
      <c r="E204" t="s">
        <v>1247</v>
      </c>
      <c r="G204" t="s">
        <v>1290</v>
      </c>
      <c r="H204" t="s">
        <v>907</v>
      </c>
      <c r="I204" t="s">
        <v>1284</v>
      </c>
      <c r="J204" t="s">
        <v>2168</v>
      </c>
    </row>
    <row r="205" spans="1:10" x14ac:dyDescent="0.25">
      <c r="A205" s="43" t="s">
        <v>1018</v>
      </c>
      <c r="B205" t="s">
        <v>222</v>
      </c>
      <c r="C205" t="s">
        <v>1178</v>
      </c>
      <c r="D205" t="s">
        <v>27</v>
      </c>
      <c r="E205" t="s">
        <v>1247</v>
      </c>
      <c r="G205" t="s">
        <v>1218</v>
      </c>
      <c r="H205" t="s">
        <v>907</v>
      </c>
      <c r="I205" t="s">
        <v>1284</v>
      </c>
      <c r="J205" t="s">
        <v>2168</v>
      </c>
    </row>
    <row r="206" spans="1:10" x14ac:dyDescent="0.25">
      <c r="A206" s="43" t="s">
        <v>1174</v>
      </c>
      <c r="B206" t="s">
        <v>741</v>
      </c>
      <c r="C206" t="s">
        <v>1177</v>
      </c>
      <c r="D206" t="s">
        <v>84</v>
      </c>
      <c r="E206" t="s">
        <v>1504</v>
      </c>
      <c r="G206" t="s">
        <v>1226</v>
      </c>
      <c r="H206" t="s">
        <v>907</v>
      </c>
      <c r="I206" t="s">
        <v>1505</v>
      </c>
      <c r="J206" t="s">
        <v>2164</v>
      </c>
    </row>
    <row r="207" spans="1:10" x14ac:dyDescent="0.25">
      <c r="A207" s="43" t="s">
        <v>1012</v>
      </c>
      <c r="B207" t="s">
        <v>741</v>
      </c>
      <c r="C207" t="s">
        <v>1177</v>
      </c>
      <c r="D207" t="s">
        <v>84</v>
      </c>
      <c r="E207" t="s">
        <v>1504</v>
      </c>
      <c r="G207" t="s">
        <v>8</v>
      </c>
      <c r="H207" t="s">
        <v>907</v>
      </c>
      <c r="I207" t="s">
        <v>1505</v>
      </c>
      <c r="J207" t="s">
        <v>2164</v>
      </c>
    </row>
    <row r="208" spans="1:10" x14ac:dyDescent="0.25">
      <c r="A208" s="43" t="s">
        <v>1013</v>
      </c>
      <c r="B208" t="s">
        <v>741</v>
      </c>
      <c r="C208" t="s">
        <v>1177</v>
      </c>
      <c r="D208" t="s">
        <v>84</v>
      </c>
      <c r="E208" t="s">
        <v>1504</v>
      </c>
      <c r="G208" t="s">
        <v>1328</v>
      </c>
      <c r="H208" t="s">
        <v>907</v>
      </c>
      <c r="I208" t="s">
        <v>1505</v>
      </c>
      <c r="J208" t="s">
        <v>2164</v>
      </c>
    </row>
    <row r="209" spans="1:10" x14ac:dyDescent="0.25">
      <c r="A209" s="43" t="s">
        <v>1014</v>
      </c>
      <c r="B209" t="s">
        <v>741</v>
      </c>
      <c r="C209" t="s">
        <v>1177</v>
      </c>
      <c r="D209" t="s">
        <v>84</v>
      </c>
      <c r="E209" t="s">
        <v>1504</v>
      </c>
      <c r="G209" t="s">
        <v>1290</v>
      </c>
      <c r="H209" t="s">
        <v>907</v>
      </c>
      <c r="I209" t="s">
        <v>1505</v>
      </c>
      <c r="J209" t="s">
        <v>2164</v>
      </c>
    </row>
    <row r="210" spans="1:10" x14ac:dyDescent="0.25">
      <c r="A210" s="43" t="s">
        <v>1016</v>
      </c>
      <c r="B210" t="s">
        <v>741</v>
      </c>
      <c r="C210" t="s">
        <v>1177</v>
      </c>
      <c r="D210" t="s">
        <v>84</v>
      </c>
      <c r="E210" t="s">
        <v>1504</v>
      </c>
      <c r="G210" t="s">
        <v>1218</v>
      </c>
      <c r="H210" t="s">
        <v>907</v>
      </c>
      <c r="I210" t="s">
        <v>1505</v>
      </c>
      <c r="J210" t="s">
        <v>2164</v>
      </c>
    </row>
    <row r="211" spans="1:10" x14ac:dyDescent="0.25">
      <c r="A211" s="43" t="s">
        <v>909</v>
      </c>
      <c r="B211" t="s">
        <v>910</v>
      </c>
      <c r="C211" t="s">
        <v>1183</v>
      </c>
      <c r="D211" t="s">
        <v>1213</v>
      </c>
      <c r="E211" t="s">
        <v>1235</v>
      </c>
      <c r="G211" t="s">
        <v>1224</v>
      </c>
      <c r="H211" t="s">
        <v>1224</v>
      </c>
      <c r="I211" t="s">
        <v>1260</v>
      </c>
      <c r="J211" t="s">
        <v>1667</v>
      </c>
    </row>
    <row r="212" spans="1:10" x14ac:dyDescent="0.25">
      <c r="A212" s="43" t="s">
        <v>956</v>
      </c>
      <c r="B212" t="s">
        <v>910</v>
      </c>
      <c r="C212" t="s">
        <v>1183</v>
      </c>
      <c r="D212" t="s">
        <v>1213</v>
      </c>
      <c r="E212" t="s">
        <v>1235</v>
      </c>
      <c r="G212" t="s">
        <v>1224</v>
      </c>
      <c r="H212" t="s">
        <v>1224</v>
      </c>
      <c r="I212" t="s">
        <v>1260</v>
      </c>
      <c r="J212" t="s">
        <v>1667</v>
      </c>
    </row>
    <row r="213" spans="1:10" x14ac:dyDescent="0.25">
      <c r="A213" s="43" t="s">
        <v>958</v>
      </c>
      <c r="B213" t="s">
        <v>910</v>
      </c>
      <c r="C213" t="s">
        <v>1183</v>
      </c>
      <c r="D213" t="s">
        <v>1213</v>
      </c>
      <c r="E213" t="s">
        <v>1235</v>
      </c>
      <c r="G213" t="s">
        <v>1224</v>
      </c>
      <c r="H213" t="s">
        <v>1224</v>
      </c>
      <c r="I213" t="s">
        <v>1326</v>
      </c>
      <c r="J213" t="s">
        <v>1667</v>
      </c>
    </row>
    <row r="214" spans="1:10" x14ac:dyDescent="0.25">
      <c r="A214" s="43" t="s">
        <v>957</v>
      </c>
      <c r="B214" t="s">
        <v>910</v>
      </c>
      <c r="C214" t="s">
        <v>1183</v>
      </c>
      <c r="D214" t="s">
        <v>1213</v>
      </c>
      <c r="E214" t="s">
        <v>1235</v>
      </c>
      <c r="G214" t="s">
        <v>1224</v>
      </c>
      <c r="H214" t="s">
        <v>1224</v>
      </c>
      <c r="I214" t="s">
        <v>1326</v>
      </c>
      <c r="J214" t="s">
        <v>1667</v>
      </c>
    </row>
    <row r="215" spans="1:10" x14ac:dyDescent="0.25">
      <c r="A215" s="43" t="s">
        <v>3115</v>
      </c>
      <c r="B215" t="s">
        <v>3116</v>
      </c>
      <c r="C215" t="s">
        <v>1182</v>
      </c>
      <c r="D215" t="s">
        <v>21</v>
      </c>
      <c r="E215" t="s">
        <v>1237</v>
      </c>
      <c r="G215" t="s">
        <v>1414</v>
      </c>
      <c r="H215" t="s">
        <v>907</v>
      </c>
      <c r="I215" t="s">
        <v>3117</v>
      </c>
      <c r="J215" t="s">
        <v>2146</v>
      </c>
    </row>
    <row r="216" spans="1:10" x14ac:dyDescent="0.25">
      <c r="A216" s="43" t="s">
        <v>3119</v>
      </c>
      <c r="B216" t="s">
        <v>398</v>
      </c>
      <c r="C216" t="s">
        <v>1194</v>
      </c>
      <c r="D216" t="s">
        <v>15</v>
      </c>
      <c r="E216" t="s">
        <v>1400</v>
      </c>
      <c r="G216" t="s">
        <v>1510</v>
      </c>
      <c r="H216" t="s">
        <v>907</v>
      </c>
      <c r="I216" t="s">
        <v>126</v>
      </c>
      <c r="J216" t="s">
        <v>4511</v>
      </c>
    </row>
    <row r="217" spans="1:10" x14ac:dyDescent="0.25">
      <c r="A217" s="43" t="s">
        <v>3118</v>
      </c>
      <c r="B217" t="s">
        <v>398</v>
      </c>
      <c r="C217" t="s">
        <v>1194</v>
      </c>
      <c r="D217" t="s">
        <v>15</v>
      </c>
      <c r="E217" t="s">
        <v>1400</v>
      </c>
      <c r="G217" t="s">
        <v>1510</v>
      </c>
      <c r="H217" t="s">
        <v>907</v>
      </c>
      <c r="I217" t="s">
        <v>126</v>
      </c>
      <c r="J217" t="s">
        <v>4511</v>
      </c>
    </row>
    <row r="218" spans="1:10" x14ac:dyDescent="0.25">
      <c r="A218" s="43" t="s">
        <v>3114</v>
      </c>
      <c r="B218" t="s">
        <v>741</v>
      </c>
      <c r="C218" t="s">
        <v>1177</v>
      </c>
      <c r="D218" t="s">
        <v>741</v>
      </c>
      <c r="E218" t="s">
        <v>1247</v>
      </c>
      <c r="G218" t="s">
        <v>1414</v>
      </c>
      <c r="H218" t="s">
        <v>907</v>
      </c>
      <c r="I218" t="s">
        <v>697</v>
      </c>
      <c r="J218" t="s">
        <v>1949</v>
      </c>
    </row>
    <row r="219" spans="1:10" x14ac:dyDescent="0.25">
      <c r="A219" s="43" t="s">
        <v>3113</v>
      </c>
      <c r="B219" t="s">
        <v>741</v>
      </c>
      <c r="C219" t="s">
        <v>1177</v>
      </c>
      <c r="D219" t="s">
        <v>741</v>
      </c>
      <c r="E219" t="s">
        <v>1247</v>
      </c>
      <c r="G219" t="s">
        <v>1414</v>
      </c>
      <c r="H219" t="s">
        <v>907</v>
      </c>
      <c r="I219" t="s">
        <v>697</v>
      </c>
      <c r="J219" t="s">
        <v>1949</v>
      </c>
    </row>
    <row r="220" spans="1:10" x14ac:dyDescent="0.25">
      <c r="A220" s="43" t="s">
        <v>3112</v>
      </c>
      <c r="B220" t="s">
        <v>1025</v>
      </c>
      <c r="C220" t="s">
        <v>1203</v>
      </c>
      <c r="D220" t="s">
        <v>15</v>
      </c>
      <c r="E220" t="s">
        <v>1511</v>
      </c>
      <c r="G220" t="s">
        <v>1510</v>
      </c>
      <c r="H220" t="s">
        <v>907</v>
      </c>
      <c r="I220" t="s">
        <v>3111</v>
      </c>
      <c r="J220" t="s">
        <v>4512</v>
      </c>
    </row>
    <row r="221" spans="1:10" x14ac:dyDescent="0.25">
      <c r="A221" s="43" t="s">
        <v>3110</v>
      </c>
      <c r="B221" t="s">
        <v>1025</v>
      </c>
      <c r="C221" t="s">
        <v>1203</v>
      </c>
      <c r="D221" t="s">
        <v>15</v>
      </c>
      <c r="E221" t="s">
        <v>1511</v>
      </c>
      <c r="G221" t="s">
        <v>1510</v>
      </c>
      <c r="H221" t="s">
        <v>907</v>
      </c>
      <c r="I221" t="s">
        <v>3111</v>
      </c>
      <c r="J221" t="s">
        <v>4512</v>
      </c>
    </row>
    <row r="222" spans="1:10" x14ac:dyDescent="0.25">
      <c r="A222" s="43" t="s">
        <v>942</v>
      </c>
      <c r="B222" t="s">
        <v>678</v>
      </c>
      <c r="C222" t="s">
        <v>1183</v>
      </c>
      <c r="D222" t="s">
        <v>1344</v>
      </c>
      <c r="E222" t="s">
        <v>1345</v>
      </c>
      <c r="G222" t="s">
        <v>1340</v>
      </c>
      <c r="H222" t="s">
        <v>907</v>
      </c>
      <c r="I222" t="s">
        <v>716</v>
      </c>
      <c r="J222" t="s">
        <v>1776</v>
      </c>
    </row>
    <row r="223" spans="1:10" x14ac:dyDescent="0.25">
      <c r="A223" s="43" t="s">
        <v>929</v>
      </c>
      <c r="B223" t="s">
        <v>678</v>
      </c>
      <c r="C223" t="s">
        <v>1183</v>
      </c>
      <c r="D223" t="s">
        <v>1344</v>
      </c>
      <c r="E223" t="s">
        <v>1345</v>
      </c>
      <c r="G223" t="s">
        <v>1340</v>
      </c>
      <c r="H223" t="s">
        <v>907</v>
      </c>
      <c r="I223" t="s">
        <v>716</v>
      </c>
      <c r="J223" t="s">
        <v>1776</v>
      </c>
    </row>
    <row r="224" spans="1:10" x14ac:dyDescent="0.25">
      <c r="A224" s="43" t="s">
        <v>4025</v>
      </c>
      <c r="B224" t="s">
        <v>941</v>
      </c>
      <c r="C224" t="s">
        <v>1183</v>
      </c>
      <c r="D224" t="s">
        <v>1212</v>
      </c>
      <c r="E224" t="s">
        <v>1262</v>
      </c>
      <c r="G224" t="s">
        <v>1340</v>
      </c>
      <c r="H224" t="s">
        <v>907</v>
      </c>
      <c r="I224" t="s">
        <v>327</v>
      </c>
      <c r="J224" t="s">
        <v>2383</v>
      </c>
    </row>
    <row r="225" spans="1:10" x14ac:dyDescent="0.25">
      <c r="A225" s="43" t="s">
        <v>4024</v>
      </c>
      <c r="B225" t="s">
        <v>863</v>
      </c>
      <c r="C225" t="s">
        <v>1183</v>
      </c>
      <c r="D225" t="s">
        <v>62</v>
      </c>
      <c r="E225" t="s">
        <v>1420</v>
      </c>
      <c r="G225" t="s">
        <v>1340</v>
      </c>
      <c r="H225" t="s">
        <v>907</v>
      </c>
      <c r="I225" t="s">
        <v>562</v>
      </c>
      <c r="J225" t="s">
        <v>2101</v>
      </c>
    </row>
    <row r="226" spans="1:10" x14ac:dyDescent="0.25">
      <c r="A226" s="43" t="s">
        <v>4023</v>
      </c>
      <c r="B226" t="s">
        <v>148</v>
      </c>
      <c r="C226" t="s">
        <v>1583</v>
      </c>
      <c r="D226" t="s">
        <v>1212</v>
      </c>
      <c r="E226" t="s">
        <v>1420</v>
      </c>
      <c r="G226" t="s">
        <v>1340</v>
      </c>
      <c r="H226" t="s">
        <v>907</v>
      </c>
      <c r="I226" t="s">
        <v>92</v>
      </c>
      <c r="J226" t="s">
        <v>2381</v>
      </c>
    </row>
    <row r="227" spans="1:10" x14ac:dyDescent="0.25">
      <c r="A227" s="43" t="s">
        <v>4021</v>
      </c>
      <c r="B227" t="s">
        <v>4022</v>
      </c>
      <c r="C227" t="s">
        <v>1190</v>
      </c>
      <c r="D227" t="s">
        <v>741</v>
      </c>
      <c r="E227" t="s">
        <v>1570</v>
      </c>
      <c r="G227" t="s">
        <v>1523</v>
      </c>
      <c r="H227" t="s">
        <v>898</v>
      </c>
      <c r="I227" t="s">
        <v>562</v>
      </c>
      <c r="J227" t="s">
        <v>2329</v>
      </c>
    </row>
    <row r="228" spans="1:10" x14ac:dyDescent="0.25">
      <c r="A228" s="43" t="s">
        <v>4019</v>
      </c>
      <c r="B228" t="s">
        <v>552</v>
      </c>
      <c r="C228" t="s">
        <v>1177</v>
      </c>
      <c r="D228" t="s">
        <v>1344</v>
      </c>
      <c r="E228" t="s">
        <v>1597</v>
      </c>
      <c r="G228" t="s">
        <v>1340</v>
      </c>
      <c r="H228" t="s">
        <v>907</v>
      </c>
      <c r="I228" t="s">
        <v>1264</v>
      </c>
      <c r="J228" t="s">
        <v>2382</v>
      </c>
    </row>
    <row r="229" spans="1:10" x14ac:dyDescent="0.25">
      <c r="A229" s="43" t="s">
        <v>4016</v>
      </c>
      <c r="B229" t="s">
        <v>552</v>
      </c>
      <c r="C229" t="s">
        <v>1177</v>
      </c>
      <c r="D229" t="s">
        <v>1344</v>
      </c>
      <c r="E229" t="s">
        <v>4017</v>
      </c>
      <c r="G229" t="s">
        <v>1340</v>
      </c>
      <c r="H229" t="s">
        <v>907</v>
      </c>
      <c r="I229" t="s">
        <v>1430</v>
      </c>
      <c r="J229" t="s">
        <v>4018</v>
      </c>
    </row>
    <row r="230" spans="1:10" x14ac:dyDescent="0.25">
      <c r="A230" s="43" t="s">
        <v>4015</v>
      </c>
      <c r="B230" t="s">
        <v>586</v>
      </c>
      <c r="C230" t="s">
        <v>1177</v>
      </c>
      <c r="D230" t="s">
        <v>21</v>
      </c>
      <c r="E230" t="s">
        <v>1483</v>
      </c>
      <c r="G230" t="s">
        <v>1510</v>
      </c>
      <c r="H230" t="s">
        <v>907</v>
      </c>
      <c r="I230" t="s">
        <v>4014</v>
      </c>
      <c r="J230" t="s">
        <v>2272</v>
      </c>
    </row>
    <row r="231" spans="1:10" x14ac:dyDescent="0.25">
      <c r="A231" s="43" t="s">
        <v>4013</v>
      </c>
      <c r="B231" t="s">
        <v>586</v>
      </c>
      <c r="C231" t="s">
        <v>1177</v>
      </c>
      <c r="D231" t="s">
        <v>21</v>
      </c>
      <c r="E231" t="s">
        <v>1483</v>
      </c>
      <c r="G231" t="s">
        <v>1510</v>
      </c>
      <c r="H231" t="s">
        <v>907</v>
      </c>
      <c r="I231" t="s">
        <v>4014</v>
      </c>
      <c r="J231" t="s">
        <v>2272</v>
      </c>
    </row>
    <row r="232" spans="1:10" x14ac:dyDescent="0.25">
      <c r="A232" s="43" t="s">
        <v>4012</v>
      </c>
      <c r="B232" t="s">
        <v>635</v>
      </c>
      <c r="C232" t="s">
        <v>1177</v>
      </c>
      <c r="D232" t="s">
        <v>21</v>
      </c>
      <c r="E232" t="s">
        <v>1539</v>
      </c>
      <c r="G232" t="s">
        <v>1510</v>
      </c>
      <c r="H232" t="s">
        <v>907</v>
      </c>
      <c r="I232" t="s">
        <v>803</v>
      </c>
      <c r="J232" t="s">
        <v>2273</v>
      </c>
    </row>
    <row r="233" spans="1:10" x14ac:dyDescent="0.25">
      <c r="A233" s="43" t="s">
        <v>4011</v>
      </c>
      <c r="B233" t="s">
        <v>635</v>
      </c>
      <c r="C233" t="s">
        <v>1177</v>
      </c>
      <c r="D233" t="s">
        <v>21</v>
      </c>
      <c r="E233" t="s">
        <v>1539</v>
      </c>
      <c r="G233" t="s">
        <v>1510</v>
      </c>
      <c r="H233" t="s">
        <v>907</v>
      </c>
      <c r="I233" t="s">
        <v>803</v>
      </c>
      <c r="J233" t="s">
        <v>2273</v>
      </c>
    </row>
    <row r="234" spans="1:10" x14ac:dyDescent="0.25">
      <c r="A234" s="43" t="s">
        <v>4020</v>
      </c>
      <c r="B234" t="s">
        <v>505</v>
      </c>
      <c r="C234" t="s">
        <v>1460</v>
      </c>
      <c r="D234" t="s">
        <v>1344</v>
      </c>
      <c r="E234" t="s">
        <v>1598</v>
      </c>
      <c r="G234" t="s">
        <v>1340</v>
      </c>
      <c r="H234" t="s">
        <v>907</v>
      </c>
      <c r="I234" t="s">
        <v>1316</v>
      </c>
      <c r="J234" t="s">
        <v>2384</v>
      </c>
    </row>
    <row r="235" spans="1:10" x14ac:dyDescent="0.25">
      <c r="A235" s="43" t="s">
        <v>4010</v>
      </c>
      <c r="B235" t="s">
        <v>863</v>
      </c>
      <c r="C235" t="s">
        <v>1178</v>
      </c>
      <c r="D235" t="s">
        <v>1344</v>
      </c>
      <c r="E235" t="s">
        <v>1231</v>
      </c>
      <c r="G235" t="s">
        <v>1340</v>
      </c>
      <c r="H235" t="s">
        <v>907</v>
      </c>
      <c r="I235" t="s">
        <v>1276</v>
      </c>
      <c r="J235" t="s">
        <v>2385</v>
      </c>
    </row>
    <row r="236" spans="1:10" x14ac:dyDescent="0.25">
      <c r="A236" s="43" t="s">
        <v>4009</v>
      </c>
      <c r="B236" t="s">
        <v>863</v>
      </c>
      <c r="C236" t="s">
        <v>1178</v>
      </c>
      <c r="D236" t="s">
        <v>1344</v>
      </c>
      <c r="E236" t="s">
        <v>1231</v>
      </c>
      <c r="G236" t="s">
        <v>1340</v>
      </c>
      <c r="H236" t="s">
        <v>907</v>
      </c>
      <c r="I236" t="s">
        <v>1276</v>
      </c>
      <c r="J236" t="s">
        <v>2385</v>
      </c>
    </row>
    <row r="237" spans="1:10" x14ac:dyDescent="0.25">
      <c r="A237" s="43" t="s">
        <v>4008</v>
      </c>
      <c r="B237" t="s">
        <v>678</v>
      </c>
      <c r="C237" t="s">
        <v>1208</v>
      </c>
      <c r="D237" t="s">
        <v>741</v>
      </c>
      <c r="E237" t="s">
        <v>1449</v>
      </c>
      <c r="G237" t="s">
        <v>1340</v>
      </c>
      <c r="H237" t="s">
        <v>907</v>
      </c>
      <c r="I237" t="s">
        <v>486</v>
      </c>
      <c r="J237" t="s">
        <v>2034</v>
      </c>
    </row>
    <row r="238" spans="1:10" x14ac:dyDescent="0.25">
      <c r="A238" s="43" t="s">
        <v>2806</v>
      </c>
      <c r="B238" t="s">
        <v>678</v>
      </c>
      <c r="C238" t="s">
        <v>1208</v>
      </c>
      <c r="D238" t="s">
        <v>741</v>
      </c>
      <c r="E238" t="s">
        <v>1449</v>
      </c>
      <c r="G238" t="s">
        <v>1340</v>
      </c>
      <c r="H238" t="s">
        <v>907</v>
      </c>
      <c r="I238" t="s">
        <v>486</v>
      </c>
      <c r="J238" t="s">
        <v>2034</v>
      </c>
    </row>
    <row r="239" spans="1:10" x14ac:dyDescent="0.25">
      <c r="A239" s="43" t="s">
        <v>3136</v>
      </c>
      <c r="B239" t="s">
        <v>592</v>
      </c>
      <c r="C239" t="s">
        <v>1201</v>
      </c>
      <c r="G239" t="s">
        <v>1340</v>
      </c>
      <c r="H239" t="s">
        <v>907</v>
      </c>
      <c r="I239" t="s">
        <v>1321</v>
      </c>
      <c r="J239" t="s">
        <v>2030</v>
      </c>
    </row>
    <row r="240" spans="1:10" x14ac:dyDescent="0.25">
      <c r="A240" s="43" t="s">
        <v>3135</v>
      </c>
      <c r="B240" t="s">
        <v>592</v>
      </c>
      <c r="C240" t="s">
        <v>1201</v>
      </c>
      <c r="G240" t="s">
        <v>1340</v>
      </c>
      <c r="H240" t="s">
        <v>907</v>
      </c>
      <c r="I240" t="s">
        <v>1321</v>
      </c>
      <c r="J240" t="s">
        <v>2030</v>
      </c>
    </row>
    <row r="241" spans="1:10" x14ac:dyDescent="0.25">
      <c r="A241" s="43" t="s">
        <v>3134</v>
      </c>
      <c r="B241" t="s">
        <v>592</v>
      </c>
      <c r="C241" t="s">
        <v>1203</v>
      </c>
      <c r="E241" t="s">
        <v>1605</v>
      </c>
      <c r="G241" t="s">
        <v>1340</v>
      </c>
      <c r="H241" t="s">
        <v>907</v>
      </c>
      <c r="I241" t="s">
        <v>1366</v>
      </c>
      <c r="J241" t="s">
        <v>2392</v>
      </c>
    </row>
    <row r="242" spans="1:10" x14ac:dyDescent="0.25">
      <c r="A242" s="43" t="s">
        <v>3133</v>
      </c>
      <c r="B242" t="s">
        <v>678</v>
      </c>
      <c r="C242" t="s">
        <v>1201</v>
      </c>
      <c r="G242" t="s">
        <v>1340</v>
      </c>
      <c r="H242" t="s">
        <v>907</v>
      </c>
      <c r="I242" t="s">
        <v>689</v>
      </c>
      <c r="J242" t="s">
        <v>2031</v>
      </c>
    </row>
    <row r="243" spans="1:10" x14ac:dyDescent="0.25">
      <c r="A243" s="43" t="s">
        <v>3132</v>
      </c>
      <c r="B243" t="s">
        <v>678</v>
      </c>
      <c r="C243" t="s">
        <v>1201</v>
      </c>
      <c r="G243" t="s">
        <v>1340</v>
      </c>
      <c r="H243" t="s">
        <v>907</v>
      </c>
      <c r="I243" t="s">
        <v>689</v>
      </c>
      <c r="J243" t="s">
        <v>2031</v>
      </c>
    </row>
    <row r="244" spans="1:10" x14ac:dyDescent="0.25">
      <c r="A244" s="43" t="s">
        <v>3131</v>
      </c>
      <c r="B244" t="s">
        <v>678</v>
      </c>
      <c r="C244" t="s">
        <v>1203</v>
      </c>
      <c r="E244" t="s">
        <v>1586</v>
      </c>
      <c r="G244" t="s">
        <v>1340</v>
      </c>
      <c r="H244" t="s">
        <v>907</v>
      </c>
      <c r="I244" t="s">
        <v>17</v>
      </c>
      <c r="J244" t="s">
        <v>2364</v>
      </c>
    </row>
    <row r="245" spans="1:10" x14ac:dyDescent="0.25">
      <c r="A245" s="43" t="s">
        <v>3130</v>
      </c>
      <c r="B245" t="s">
        <v>941</v>
      </c>
      <c r="C245" t="s">
        <v>1201</v>
      </c>
      <c r="G245" t="s">
        <v>1340</v>
      </c>
      <c r="H245" t="s">
        <v>907</v>
      </c>
      <c r="I245" t="s">
        <v>1447</v>
      </c>
      <c r="J245" t="s">
        <v>2032</v>
      </c>
    </row>
    <row r="246" spans="1:10" x14ac:dyDescent="0.25">
      <c r="A246" s="43" t="s">
        <v>3129</v>
      </c>
      <c r="B246" t="s">
        <v>941</v>
      </c>
      <c r="C246" t="s">
        <v>1201</v>
      </c>
      <c r="G246" t="s">
        <v>1340</v>
      </c>
      <c r="H246" t="s">
        <v>907</v>
      </c>
      <c r="I246" t="s">
        <v>1447</v>
      </c>
      <c r="J246" t="s">
        <v>2032</v>
      </c>
    </row>
    <row r="247" spans="1:10" x14ac:dyDescent="0.25">
      <c r="A247" s="43" t="s">
        <v>3128</v>
      </c>
      <c r="B247" t="s">
        <v>941</v>
      </c>
      <c r="C247" t="s">
        <v>1203</v>
      </c>
      <c r="E247" t="s">
        <v>1602</v>
      </c>
      <c r="G247" t="s">
        <v>1340</v>
      </c>
      <c r="H247" t="s">
        <v>907</v>
      </c>
      <c r="I247" t="s">
        <v>1259</v>
      </c>
      <c r="J247" t="s">
        <v>2032</v>
      </c>
    </row>
    <row r="248" spans="1:10" x14ac:dyDescent="0.25">
      <c r="A248" s="43" t="s">
        <v>3127</v>
      </c>
      <c r="B248" t="s">
        <v>863</v>
      </c>
      <c r="C248" t="s">
        <v>1201</v>
      </c>
      <c r="G248" t="s">
        <v>1340</v>
      </c>
      <c r="H248" t="s">
        <v>907</v>
      </c>
      <c r="I248" t="s">
        <v>1448</v>
      </c>
      <c r="J248" t="s">
        <v>2033</v>
      </c>
    </row>
    <row r="249" spans="1:10" x14ac:dyDescent="0.25">
      <c r="A249" s="43" t="s">
        <v>3126</v>
      </c>
      <c r="B249" t="s">
        <v>863</v>
      </c>
      <c r="C249" t="s">
        <v>1201</v>
      </c>
      <c r="G249" t="s">
        <v>1340</v>
      </c>
      <c r="H249" t="s">
        <v>907</v>
      </c>
      <c r="I249" t="s">
        <v>1448</v>
      </c>
      <c r="J249" t="s">
        <v>2033</v>
      </c>
    </row>
    <row r="250" spans="1:10" x14ac:dyDescent="0.25">
      <c r="A250" s="43" t="s">
        <v>3125</v>
      </c>
      <c r="B250" t="s">
        <v>592</v>
      </c>
      <c r="C250" t="s">
        <v>1203</v>
      </c>
      <c r="D250" t="s">
        <v>21</v>
      </c>
      <c r="E250" t="s">
        <v>1603</v>
      </c>
      <c r="G250" t="s">
        <v>1510</v>
      </c>
      <c r="H250" t="s">
        <v>907</v>
      </c>
      <c r="I250" t="s">
        <v>1604</v>
      </c>
      <c r="J250" t="s">
        <v>2391</v>
      </c>
    </row>
    <row r="251" spans="1:10" x14ac:dyDescent="0.25">
      <c r="A251" s="43" t="s">
        <v>3124</v>
      </c>
      <c r="B251" t="s">
        <v>793</v>
      </c>
      <c r="C251" t="s">
        <v>1203</v>
      </c>
      <c r="D251" t="s">
        <v>21</v>
      </c>
      <c r="E251" t="s">
        <v>1509</v>
      </c>
      <c r="G251" t="s">
        <v>1510</v>
      </c>
      <c r="H251" t="s">
        <v>907</v>
      </c>
      <c r="I251" t="s">
        <v>636</v>
      </c>
      <c r="J251" t="s">
        <v>2201</v>
      </c>
    </row>
    <row r="252" spans="1:10" x14ac:dyDescent="0.25">
      <c r="A252" s="43" t="s">
        <v>3123</v>
      </c>
      <c r="B252" t="s">
        <v>793</v>
      </c>
      <c r="C252" t="s">
        <v>1203</v>
      </c>
      <c r="D252" t="s">
        <v>21</v>
      </c>
      <c r="E252" t="s">
        <v>1509</v>
      </c>
      <c r="G252" t="s">
        <v>1510</v>
      </c>
      <c r="H252" t="s">
        <v>907</v>
      </c>
      <c r="I252" t="s">
        <v>636</v>
      </c>
      <c r="J252" t="s">
        <v>2201</v>
      </c>
    </row>
    <row r="253" spans="1:10" x14ac:dyDescent="0.25">
      <c r="A253" s="43" t="s">
        <v>3122</v>
      </c>
      <c r="B253" t="s">
        <v>552</v>
      </c>
      <c r="C253" t="s">
        <v>1192</v>
      </c>
      <c r="D253" t="s">
        <v>1521</v>
      </c>
      <c r="E253" t="s">
        <v>1532</v>
      </c>
      <c r="G253" t="s">
        <v>1340</v>
      </c>
      <c r="H253" t="s">
        <v>907</v>
      </c>
      <c r="I253" t="s">
        <v>1386</v>
      </c>
      <c r="J253" t="s">
        <v>2268</v>
      </c>
    </row>
    <row r="254" spans="1:10" x14ac:dyDescent="0.25">
      <c r="A254" s="43" t="s">
        <v>3121</v>
      </c>
      <c r="B254" t="s">
        <v>552</v>
      </c>
      <c r="C254" t="s">
        <v>1183</v>
      </c>
      <c r="D254" t="s">
        <v>1213</v>
      </c>
      <c r="E254" t="s">
        <v>1597</v>
      </c>
      <c r="G254" t="s">
        <v>1340</v>
      </c>
      <c r="H254" t="s">
        <v>907</v>
      </c>
      <c r="I254" t="s">
        <v>442</v>
      </c>
      <c r="J254" t="s">
        <v>2390</v>
      </c>
    </row>
    <row r="255" spans="1:10" x14ac:dyDescent="0.25">
      <c r="A255" s="43" t="s">
        <v>4007</v>
      </c>
      <c r="B255" t="s">
        <v>592</v>
      </c>
      <c r="C255" t="s">
        <v>1183</v>
      </c>
      <c r="D255" t="s">
        <v>1344</v>
      </c>
      <c r="E255" t="s">
        <v>1480</v>
      </c>
      <c r="G255" t="s">
        <v>1340</v>
      </c>
      <c r="H255" t="s">
        <v>907</v>
      </c>
      <c r="I255" t="s">
        <v>712</v>
      </c>
      <c r="J255" t="s">
        <v>2094</v>
      </c>
    </row>
    <row r="256" spans="1:10" x14ac:dyDescent="0.25">
      <c r="A256" s="43" t="s">
        <v>4006</v>
      </c>
      <c r="B256" t="s">
        <v>592</v>
      </c>
      <c r="C256" t="s">
        <v>1183</v>
      </c>
      <c r="D256" t="s">
        <v>1344</v>
      </c>
      <c r="E256" t="s">
        <v>1339</v>
      </c>
      <c r="G256" t="s">
        <v>1340</v>
      </c>
      <c r="H256" t="s">
        <v>907</v>
      </c>
      <c r="I256" t="s">
        <v>4004</v>
      </c>
      <c r="J256" t="s">
        <v>4005</v>
      </c>
    </row>
    <row r="257" spans="1:10" x14ac:dyDescent="0.25">
      <c r="A257" s="43" t="s">
        <v>4003</v>
      </c>
      <c r="B257" t="s">
        <v>592</v>
      </c>
      <c r="C257" t="s">
        <v>1183</v>
      </c>
      <c r="D257" t="s">
        <v>1344</v>
      </c>
      <c r="E257" t="s">
        <v>1339</v>
      </c>
      <c r="G257" t="s">
        <v>1340</v>
      </c>
      <c r="H257" t="s">
        <v>907</v>
      </c>
      <c r="I257" t="s">
        <v>4004</v>
      </c>
      <c r="J257" t="s">
        <v>4005</v>
      </c>
    </row>
    <row r="258" spans="1:10" x14ac:dyDescent="0.25">
      <c r="A258" s="43" t="s">
        <v>4002</v>
      </c>
      <c r="B258" t="s">
        <v>678</v>
      </c>
      <c r="C258" t="s">
        <v>1183</v>
      </c>
      <c r="D258" t="s">
        <v>1344</v>
      </c>
      <c r="E258" t="s">
        <v>1345</v>
      </c>
      <c r="G258" t="s">
        <v>1340</v>
      </c>
      <c r="H258" t="s">
        <v>907</v>
      </c>
      <c r="I258" t="s">
        <v>719</v>
      </c>
      <c r="J258" t="s">
        <v>2095</v>
      </c>
    </row>
    <row r="259" spans="1:10" x14ac:dyDescent="0.25">
      <c r="A259" s="43" t="s">
        <v>4001</v>
      </c>
      <c r="B259" t="s">
        <v>61</v>
      </c>
      <c r="C259" t="s">
        <v>1183</v>
      </c>
      <c r="G259" t="s">
        <v>1510</v>
      </c>
      <c r="H259" t="s">
        <v>907</v>
      </c>
      <c r="I259" t="s">
        <v>1599</v>
      </c>
      <c r="J259" t="s">
        <v>2387</v>
      </c>
    </row>
    <row r="260" spans="1:10" x14ac:dyDescent="0.25">
      <c r="A260" s="43" t="s">
        <v>2905</v>
      </c>
      <c r="B260" t="s">
        <v>923</v>
      </c>
      <c r="C260" t="s">
        <v>1183</v>
      </c>
      <c r="D260" t="s">
        <v>318</v>
      </c>
      <c r="E260" t="s">
        <v>1522</v>
      </c>
      <c r="G260" t="s">
        <v>1523</v>
      </c>
      <c r="H260" t="s">
        <v>898</v>
      </c>
      <c r="I260" t="s">
        <v>1524</v>
      </c>
      <c r="J260" t="s">
        <v>2259</v>
      </c>
    </row>
    <row r="261" spans="1:10" x14ac:dyDescent="0.25">
      <c r="A261" s="43" t="s">
        <v>4000</v>
      </c>
      <c r="B261" t="s">
        <v>459</v>
      </c>
      <c r="C261" t="s">
        <v>1188</v>
      </c>
      <c r="E261" t="s">
        <v>1601</v>
      </c>
      <c r="G261" t="s">
        <v>1340</v>
      </c>
      <c r="H261" t="s">
        <v>907</v>
      </c>
      <c r="I261" t="s">
        <v>726</v>
      </c>
      <c r="J261" t="s">
        <v>2389</v>
      </c>
    </row>
    <row r="262" spans="1:10" x14ac:dyDescent="0.25">
      <c r="A262" s="43" t="s">
        <v>3999</v>
      </c>
      <c r="B262" t="s">
        <v>505</v>
      </c>
      <c r="C262" t="s">
        <v>1188</v>
      </c>
      <c r="E262" t="s">
        <v>1600</v>
      </c>
      <c r="G262" t="s">
        <v>1340</v>
      </c>
      <c r="H262" t="s">
        <v>907</v>
      </c>
      <c r="I262" t="s">
        <v>562</v>
      </c>
      <c r="J262" t="s">
        <v>2388</v>
      </c>
    </row>
    <row r="263" spans="1:10" x14ac:dyDescent="0.25">
      <c r="A263" s="43" t="s">
        <v>1000</v>
      </c>
      <c r="B263" t="s">
        <v>552</v>
      </c>
      <c r="C263" t="s">
        <v>1188</v>
      </c>
      <c r="D263" t="s">
        <v>1212</v>
      </c>
      <c r="E263" t="s">
        <v>1496</v>
      </c>
      <c r="G263" t="s">
        <v>1340</v>
      </c>
      <c r="H263" t="s">
        <v>907</v>
      </c>
      <c r="I263" t="s">
        <v>37</v>
      </c>
      <c r="J263" t="s">
        <v>2133</v>
      </c>
    </row>
    <row r="264" spans="1:10" x14ac:dyDescent="0.25">
      <c r="A264" s="43" t="s">
        <v>3998</v>
      </c>
      <c r="B264" t="s">
        <v>592</v>
      </c>
      <c r="C264" t="s">
        <v>1188</v>
      </c>
      <c r="D264" t="s">
        <v>1213</v>
      </c>
      <c r="E264" t="s">
        <v>1339</v>
      </c>
      <c r="G264" t="s">
        <v>1340</v>
      </c>
      <c r="H264" t="s">
        <v>907</v>
      </c>
      <c r="I264" t="s">
        <v>1341</v>
      </c>
      <c r="J264" t="s">
        <v>1770</v>
      </c>
    </row>
    <row r="265" spans="1:10" x14ac:dyDescent="0.25">
      <c r="A265" s="43" t="s">
        <v>3997</v>
      </c>
      <c r="B265" t="s">
        <v>592</v>
      </c>
      <c r="C265" t="s">
        <v>1188</v>
      </c>
      <c r="D265" t="s">
        <v>1213</v>
      </c>
      <c r="E265" t="s">
        <v>1339</v>
      </c>
      <c r="G265" t="s">
        <v>1340</v>
      </c>
      <c r="H265" t="s">
        <v>907</v>
      </c>
      <c r="I265" t="s">
        <v>697</v>
      </c>
      <c r="J265" t="s">
        <v>1703</v>
      </c>
    </row>
    <row r="266" spans="1:10" x14ac:dyDescent="0.25">
      <c r="A266" s="43" t="s">
        <v>3996</v>
      </c>
      <c r="B266" t="s">
        <v>678</v>
      </c>
      <c r="C266" t="s">
        <v>1188</v>
      </c>
      <c r="D266" t="s">
        <v>1213</v>
      </c>
      <c r="E266" t="s">
        <v>1483</v>
      </c>
      <c r="G266" t="s">
        <v>1340</v>
      </c>
      <c r="H266" t="s">
        <v>907</v>
      </c>
      <c r="I266" t="s">
        <v>719</v>
      </c>
      <c r="J266" t="s">
        <v>2097</v>
      </c>
    </row>
    <row r="267" spans="1:10" x14ac:dyDescent="0.25">
      <c r="A267" s="43" t="s">
        <v>3995</v>
      </c>
      <c r="B267" t="s">
        <v>678</v>
      </c>
      <c r="C267" t="s">
        <v>1188</v>
      </c>
      <c r="D267" t="s">
        <v>1213</v>
      </c>
      <c r="E267" t="s">
        <v>1483</v>
      </c>
      <c r="G267" t="s">
        <v>1340</v>
      </c>
      <c r="H267" t="s">
        <v>907</v>
      </c>
      <c r="I267" t="s">
        <v>719</v>
      </c>
      <c r="J267" t="s">
        <v>2097</v>
      </c>
    </row>
    <row r="268" spans="1:10" x14ac:dyDescent="0.25">
      <c r="A268" s="43" t="s">
        <v>2904</v>
      </c>
      <c r="B268" t="s">
        <v>678</v>
      </c>
      <c r="C268" t="s">
        <v>1188</v>
      </c>
      <c r="D268" t="s">
        <v>21</v>
      </c>
      <c r="E268" t="s">
        <v>1266</v>
      </c>
      <c r="G268" t="s">
        <v>1414</v>
      </c>
      <c r="H268" t="s">
        <v>907</v>
      </c>
      <c r="I268" t="s">
        <v>483</v>
      </c>
      <c r="J268" t="s">
        <v>2148</v>
      </c>
    </row>
    <row r="269" spans="1:10" x14ac:dyDescent="0.25">
      <c r="A269" s="43" t="s">
        <v>3994</v>
      </c>
      <c r="B269" t="s">
        <v>592</v>
      </c>
      <c r="C269" t="s">
        <v>1188</v>
      </c>
      <c r="D269" t="s">
        <v>741</v>
      </c>
      <c r="E269" t="s">
        <v>1417</v>
      </c>
      <c r="G269" t="s">
        <v>1414</v>
      </c>
      <c r="H269" t="s">
        <v>907</v>
      </c>
      <c r="I269" t="s">
        <v>1418</v>
      </c>
      <c r="J269" t="s">
        <v>1960</v>
      </c>
    </row>
    <row r="270" spans="1:10" x14ac:dyDescent="0.25">
      <c r="A270" s="43" t="s">
        <v>3993</v>
      </c>
      <c r="B270" t="s">
        <v>592</v>
      </c>
      <c r="C270" t="s">
        <v>1188</v>
      </c>
      <c r="D270" t="s">
        <v>741</v>
      </c>
      <c r="E270" t="s">
        <v>1417</v>
      </c>
      <c r="G270" t="s">
        <v>1414</v>
      </c>
      <c r="H270" t="s">
        <v>907</v>
      </c>
      <c r="I270" t="s">
        <v>1418</v>
      </c>
      <c r="J270" t="s">
        <v>1960</v>
      </c>
    </row>
    <row r="271" spans="1:10" x14ac:dyDescent="0.25">
      <c r="A271" s="43" t="s">
        <v>3157</v>
      </c>
      <c r="B271" t="s">
        <v>407</v>
      </c>
      <c r="C271" t="s">
        <v>1460</v>
      </c>
      <c r="D271" t="s">
        <v>27</v>
      </c>
      <c r="E271" t="s">
        <v>1606</v>
      </c>
      <c r="G271" t="s">
        <v>1340</v>
      </c>
      <c r="H271" t="s">
        <v>907</v>
      </c>
      <c r="I271" t="s">
        <v>1291</v>
      </c>
      <c r="J271" t="s">
        <v>2393</v>
      </c>
    </row>
    <row r="272" spans="1:10" x14ac:dyDescent="0.25">
      <c r="A272" s="43" t="s">
        <v>3156</v>
      </c>
      <c r="B272" t="s">
        <v>459</v>
      </c>
      <c r="C272" t="s">
        <v>1583</v>
      </c>
      <c r="D272" t="s">
        <v>1213</v>
      </c>
      <c r="E272" t="s">
        <v>1584</v>
      </c>
      <c r="G272" t="s">
        <v>1340</v>
      </c>
      <c r="H272" t="s">
        <v>907</v>
      </c>
      <c r="I272" t="s">
        <v>1585</v>
      </c>
      <c r="J272" t="s">
        <v>2363</v>
      </c>
    </row>
    <row r="273" spans="1:10" x14ac:dyDescent="0.25">
      <c r="A273" s="43" t="s">
        <v>3155</v>
      </c>
      <c r="B273" t="s">
        <v>505</v>
      </c>
      <c r="C273" t="s">
        <v>1194</v>
      </c>
      <c r="D273" t="s">
        <v>203</v>
      </c>
      <c r="E273" t="s">
        <v>1483</v>
      </c>
      <c r="G273" t="s">
        <v>1510</v>
      </c>
      <c r="H273" t="s">
        <v>907</v>
      </c>
      <c r="I273" t="s">
        <v>2624</v>
      </c>
      <c r="J273" t="s">
        <v>2394</v>
      </c>
    </row>
    <row r="274" spans="1:10" x14ac:dyDescent="0.25">
      <c r="A274" s="43" t="s">
        <v>3153</v>
      </c>
      <c r="B274" t="s">
        <v>3154</v>
      </c>
      <c r="C274" t="s">
        <v>1190</v>
      </c>
      <c r="D274" t="s">
        <v>56</v>
      </c>
      <c r="E274" t="s">
        <v>1568</v>
      </c>
      <c r="G274" t="s">
        <v>1523</v>
      </c>
      <c r="H274" t="s">
        <v>898</v>
      </c>
      <c r="I274" t="s">
        <v>1569</v>
      </c>
      <c r="J274" t="s">
        <v>2328</v>
      </c>
    </row>
    <row r="275" spans="1:10" x14ac:dyDescent="0.25">
      <c r="A275" s="43" t="s">
        <v>2902</v>
      </c>
      <c r="B275" t="s">
        <v>863</v>
      </c>
      <c r="C275" t="s">
        <v>1488</v>
      </c>
      <c r="D275" t="s">
        <v>1212</v>
      </c>
      <c r="E275" t="s">
        <v>1420</v>
      </c>
      <c r="G275" t="s">
        <v>1340</v>
      </c>
      <c r="H275" t="s">
        <v>907</v>
      </c>
      <c r="I275" t="s">
        <v>562</v>
      </c>
      <c r="J275" t="s">
        <v>2903</v>
      </c>
    </row>
    <row r="276" spans="1:10" x14ac:dyDescent="0.25">
      <c r="A276" s="43" t="s">
        <v>3152</v>
      </c>
      <c r="B276" t="s">
        <v>4510</v>
      </c>
      <c r="C276" t="s">
        <v>1178</v>
      </c>
      <c r="D276" t="s">
        <v>56</v>
      </c>
      <c r="E276" t="s">
        <v>1607</v>
      </c>
      <c r="G276" t="s">
        <v>1340</v>
      </c>
      <c r="H276" t="s">
        <v>907</v>
      </c>
      <c r="I276" t="s">
        <v>719</v>
      </c>
      <c r="J276" t="s">
        <v>2397</v>
      </c>
    </row>
    <row r="277" spans="1:10" x14ac:dyDescent="0.25">
      <c r="A277" s="43" t="s">
        <v>3151</v>
      </c>
      <c r="B277" t="s">
        <v>1025</v>
      </c>
      <c r="C277" t="s">
        <v>1192</v>
      </c>
      <c r="D277" t="s">
        <v>203</v>
      </c>
      <c r="E277" t="s">
        <v>1272</v>
      </c>
      <c r="G277" t="s">
        <v>1510</v>
      </c>
      <c r="H277" t="s">
        <v>907</v>
      </c>
      <c r="I277" t="s">
        <v>2624</v>
      </c>
      <c r="J277" t="s">
        <v>2395</v>
      </c>
    </row>
    <row r="278" spans="1:10" x14ac:dyDescent="0.25">
      <c r="A278" s="43" t="s">
        <v>3145</v>
      </c>
      <c r="B278" t="s">
        <v>3146</v>
      </c>
      <c r="C278" t="s">
        <v>1182</v>
      </c>
      <c r="D278" t="s">
        <v>21</v>
      </c>
      <c r="G278" t="s">
        <v>1414</v>
      </c>
      <c r="H278" t="s">
        <v>907</v>
      </c>
      <c r="I278" t="s">
        <v>3147</v>
      </c>
      <c r="J278" t="s">
        <v>2137</v>
      </c>
    </row>
    <row r="279" spans="1:10" x14ac:dyDescent="0.25">
      <c r="A279" s="43" t="s">
        <v>3148</v>
      </c>
      <c r="B279" t="s">
        <v>3149</v>
      </c>
      <c r="C279" t="s">
        <v>1184</v>
      </c>
      <c r="D279" t="s">
        <v>203</v>
      </c>
      <c r="E279" t="s">
        <v>1473</v>
      </c>
      <c r="G279" t="s">
        <v>1510</v>
      </c>
      <c r="H279" t="s">
        <v>907</v>
      </c>
      <c r="I279" t="s">
        <v>3150</v>
      </c>
      <c r="J279" t="s">
        <v>2396</v>
      </c>
    </row>
    <row r="280" spans="1:10" x14ac:dyDescent="0.25">
      <c r="A280" s="43" t="s">
        <v>2900</v>
      </c>
      <c r="B280" t="s">
        <v>2901</v>
      </c>
      <c r="C280" t="s">
        <v>1184</v>
      </c>
      <c r="D280" t="s">
        <v>318</v>
      </c>
      <c r="E280" t="s">
        <v>1356</v>
      </c>
      <c r="G280" t="s">
        <v>1523</v>
      </c>
      <c r="H280" t="s">
        <v>898</v>
      </c>
      <c r="I280" t="s">
        <v>1525</v>
      </c>
      <c r="J280" t="s">
        <v>2260</v>
      </c>
    </row>
    <row r="281" spans="1:10" x14ac:dyDescent="0.25">
      <c r="A281" s="43" t="s">
        <v>3144</v>
      </c>
      <c r="B281" t="s">
        <v>552</v>
      </c>
      <c r="C281" t="s">
        <v>1194</v>
      </c>
      <c r="D281" t="s">
        <v>1213</v>
      </c>
      <c r="G281" t="s">
        <v>1283</v>
      </c>
      <c r="H281" t="s">
        <v>907</v>
      </c>
      <c r="I281" t="s">
        <v>1574</v>
      </c>
      <c r="J281" t="s">
        <v>2346</v>
      </c>
    </row>
    <row r="282" spans="1:10" x14ac:dyDescent="0.25">
      <c r="A282" s="43" t="s">
        <v>3143</v>
      </c>
      <c r="B282" t="s">
        <v>552</v>
      </c>
      <c r="C282" t="s">
        <v>1194</v>
      </c>
      <c r="D282" t="s">
        <v>1213</v>
      </c>
      <c r="G282" t="s">
        <v>1224</v>
      </c>
      <c r="H282" t="s">
        <v>907</v>
      </c>
      <c r="I282" t="s">
        <v>1574</v>
      </c>
      <c r="J282" t="s">
        <v>2346</v>
      </c>
    </row>
    <row r="283" spans="1:10" x14ac:dyDescent="0.25">
      <c r="A283" s="43" t="s">
        <v>3142</v>
      </c>
      <c r="B283" t="s">
        <v>552</v>
      </c>
      <c r="C283" t="s">
        <v>1194</v>
      </c>
      <c r="D283" t="s">
        <v>1213</v>
      </c>
      <c r="G283" t="s">
        <v>1218</v>
      </c>
      <c r="H283" t="s">
        <v>907</v>
      </c>
      <c r="I283" t="s">
        <v>1574</v>
      </c>
      <c r="J283" t="s">
        <v>2346</v>
      </c>
    </row>
    <row r="284" spans="1:10" x14ac:dyDescent="0.25">
      <c r="A284" s="43" t="s">
        <v>3141</v>
      </c>
      <c r="B284" t="s">
        <v>741</v>
      </c>
      <c r="C284" t="s">
        <v>1203</v>
      </c>
      <c r="D284" t="s">
        <v>1213</v>
      </c>
      <c r="G284" t="s">
        <v>1226</v>
      </c>
      <c r="H284" t="s">
        <v>907</v>
      </c>
      <c r="I284" t="s">
        <v>597</v>
      </c>
    </row>
    <row r="285" spans="1:10" x14ac:dyDescent="0.25">
      <c r="A285" s="43" t="s">
        <v>3140</v>
      </c>
      <c r="B285" t="s">
        <v>741</v>
      </c>
      <c r="C285" t="s">
        <v>1203</v>
      </c>
      <c r="D285" t="s">
        <v>1213</v>
      </c>
      <c r="G285" t="s">
        <v>8</v>
      </c>
      <c r="H285" t="s">
        <v>907</v>
      </c>
      <c r="I285" t="s">
        <v>597</v>
      </c>
    </row>
    <row r="286" spans="1:10" x14ac:dyDescent="0.25">
      <c r="A286" s="43" t="s">
        <v>3139</v>
      </c>
      <c r="B286" t="s">
        <v>741</v>
      </c>
      <c r="C286" t="s">
        <v>1203</v>
      </c>
      <c r="D286" t="s">
        <v>1213</v>
      </c>
      <c r="G286" t="s">
        <v>1218</v>
      </c>
      <c r="H286" t="s">
        <v>907</v>
      </c>
      <c r="I286" t="s">
        <v>597</v>
      </c>
    </row>
    <row r="287" spans="1:10" x14ac:dyDescent="0.25">
      <c r="A287" s="43" t="s">
        <v>2805</v>
      </c>
      <c r="B287" t="s">
        <v>951</v>
      </c>
      <c r="C287" t="s">
        <v>1428</v>
      </c>
      <c r="D287" t="s">
        <v>84</v>
      </c>
      <c r="E287" t="s">
        <v>1243</v>
      </c>
      <c r="G287" t="s">
        <v>1226</v>
      </c>
      <c r="H287" t="s">
        <v>907</v>
      </c>
      <c r="I287" t="s">
        <v>330</v>
      </c>
      <c r="J287" t="s">
        <v>258</v>
      </c>
    </row>
    <row r="288" spans="1:10" x14ac:dyDescent="0.25">
      <c r="A288" s="43" t="s">
        <v>3138</v>
      </c>
      <c r="B288" t="s">
        <v>951</v>
      </c>
      <c r="C288" t="s">
        <v>1428</v>
      </c>
      <c r="D288" t="s">
        <v>84</v>
      </c>
      <c r="E288" t="s">
        <v>1243</v>
      </c>
      <c r="G288" t="s">
        <v>1226</v>
      </c>
      <c r="H288" t="s">
        <v>907</v>
      </c>
      <c r="I288" t="s">
        <v>330</v>
      </c>
      <c r="J288" t="s">
        <v>258</v>
      </c>
    </row>
    <row r="289" spans="1:10" x14ac:dyDescent="0.25">
      <c r="A289" s="43" t="s">
        <v>3137</v>
      </c>
      <c r="B289" t="s">
        <v>951</v>
      </c>
      <c r="C289" t="s">
        <v>1428</v>
      </c>
      <c r="D289" t="s">
        <v>84</v>
      </c>
      <c r="E289" t="s">
        <v>1243</v>
      </c>
      <c r="G289" t="s">
        <v>1283</v>
      </c>
      <c r="H289" t="s">
        <v>907</v>
      </c>
      <c r="I289" t="s">
        <v>330</v>
      </c>
      <c r="J289" t="s">
        <v>258</v>
      </c>
    </row>
    <row r="290" spans="1:10" x14ac:dyDescent="0.25">
      <c r="A290" s="43" t="s">
        <v>3992</v>
      </c>
      <c r="B290" t="s">
        <v>951</v>
      </c>
      <c r="C290" t="s">
        <v>1428</v>
      </c>
      <c r="D290" t="s">
        <v>84</v>
      </c>
      <c r="E290" t="s">
        <v>1243</v>
      </c>
      <c r="G290" t="s">
        <v>8</v>
      </c>
      <c r="H290" t="s">
        <v>907</v>
      </c>
      <c r="I290" t="s">
        <v>330</v>
      </c>
      <c r="J290" t="s">
        <v>258</v>
      </c>
    </row>
    <row r="291" spans="1:10" x14ac:dyDescent="0.25">
      <c r="A291" s="43" t="s">
        <v>3991</v>
      </c>
      <c r="B291" t="s">
        <v>951</v>
      </c>
      <c r="C291" t="s">
        <v>1428</v>
      </c>
      <c r="D291" t="s">
        <v>84</v>
      </c>
      <c r="E291" t="s">
        <v>1243</v>
      </c>
      <c r="G291" t="s">
        <v>8</v>
      </c>
      <c r="H291" t="s">
        <v>907</v>
      </c>
      <c r="I291" t="s">
        <v>330</v>
      </c>
      <c r="J291" t="s">
        <v>258</v>
      </c>
    </row>
    <row r="292" spans="1:10" x14ac:dyDescent="0.25">
      <c r="A292" s="43" t="s">
        <v>3990</v>
      </c>
      <c r="B292" t="s">
        <v>951</v>
      </c>
      <c r="C292" t="s">
        <v>1428</v>
      </c>
      <c r="D292" t="s">
        <v>84</v>
      </c>
      <c r="E292" t="s">
        <v>1243</v>
      </c>
      <c r="G292" t="s">
        <v>1328</v>
      </c>
      <c r="H292" t="s">
        <v>907</v>
      </c>
      <c r="I292" t="s">
        <v>330</v>
      </c>
      <c r="J292" t="s">
        <v>258</v>
      </c>
    </row>
    <row r="293" spans="1:10" x14ac:dyDescent="0.25">
      <c r="A293" s="43" t="s">
        <v>3989</v>
      </c>
      <c r="B293" t="s">
        <v>951</v>
      </c>
      <c r="C293" t="s">
        <v>1428</v>
      </c>
      <c r="D293" t="s">
        <v>84</v>
      </c>
      <c r="E293" t="s">
        <v>1243</v>
      </c>
      <c r="G293" t="s">
        <v>1330</v>
      </c>
      <c r="H293" t="s">
        <v>907</v>
      </c>
      <c r="I293" t="s">
        <v>330</v>
      </c>
      <c r="J293" t="s">
        <v>258</v>
      </c>
    </row>
    <row r="294" spans="1:10" x14ac:dyDescent="0.25">
      <c r="A294" s="43" t="s">
        <v>3988</v>
      </c>
      <c r="B294" t="s">
        <v>951</v>
      </c>
      <c r="C294" t="s">
        <v>1428</v>
      </c>
      <c r="D294" t="s">
        <v>84</v>
      </c>
      <c r="E294" t="s">
        <v>1243</v>
      </c>
      <c r="G294" t="s">
        <v>1290</v>
      </c>
      <c r="H294" t="s">
        <v>907</v>
      </c>
      <c r="I294" t="s">
        <v>330</v>
      </c>
      <c r="J294" t="s">
        <v>258</v>
      </c>
    </row>
    <row r="295" spans="1:10" x14ac:dyDescent="0.25">
      <c r="A295" s="43" t="s">
        <v>3987</v>
      </c>
      <c r="B295" t="s">
        <v>822</v>
      </c>
      <c r="C295" t="s">
        <v>1180</v>
      </c>
      <c r="D295" t="s">
        <v>1549</v>
      </c>
      <c r="E295" t="s">
        <v>1243</v>
      </c>
      <c r="G295" t="s">
        <v>1226</v>
      </c>
      <c r="H295" t="s">
        <v>907</v>
      </c>
      <c r="I295" t="s">
        <v>612</v>
      </c>
      <c r="J295" t="s">
        <v>304</v>
      </c>
    </row>
    <row r="296" spans="1:10" x14ac:dyDescent="0.25">
      <c r="A296" s="43" t="s">
        <v>3986</v>
      </c>
      <c r="B296" t="s">
        <v>822</v>
      </c>
      <c r="C296" t="s">
        <v>1180</v>
      </c>
      <c r="D296" t="s">
        <v>1549</v>
      </c>
      <c r="E296" t="s">
        <v>1243</v>
      </c>
      <c r="G296" t="s">
        <v>1283</v>
      </c>
      <c r="H296" t="s">
        <v>907</v>
      </c>
      <c r="I296" t="s">
        <v>612</v>
      </c>
      <c r="J296" t="s">
        <v>304</v>
      </c>
    </row>
    <row r="297" spans="1:10" x14ac:dyDescent="0.25">
      <c r="A297" s="43" t="s">
        <v>3985</v>
      </c>
      <c r="B297" t="s">
        <v>822</v>
      </c>
      <c r="C297" t="s">
        <v>1180</v>
      </c>
      <c r="D297" t="s">
        <v>1549</v>
      </c>
      <c r="E297" t="s">
        <v>1243</v>
      </c>
      <c r="G297" t="s">
        <v>1224</v>
      </c>
      <c r="H297" t="s">
        <v>907</v>
      </c>
      <c r="I297" t="s">
        <v>612</v>
      </c>
      <c r="J297" t="s">
        <v>304</v>
      </c>
    </row>
    <row r="298" spans="1:10" x14ac:dyDescent="0.25">
      <c r="A298" s="43" t="s">
        <v>3984</v>
      </c>
      <c r="B298" t="s">
        <v>822</v>
      </c>
      <c r="C298" t="s">
        <v>1180</v>
      </c>
      <c r="D298" t="s">
        <v>1549</v>
      </c>
      <c r="E298" t="s">
        <v>1243</v>
      </c>
      <c r="G298" t="s">
        <v>8</v>
      </c>
      <c r="H298" t="s">
        <v>907</v>
      </c>
      <c r="I298" t="s">
        <v>612</v>
      </c>
      <c r="J298" t="s">
        <v>304</v>
      </c>
    </row>
    <row r="299" spans="1:10" x14ac:dyDescent="0.25">
      <c r="A299" s="43" t="s">
        <v>3983</v>
      </c>
      <c r="B299" t="s">
        <v>822</v>
      </c>
      <c r="C299" t="s">
        <v>1180</v>
      </c>
      <c r="D299" t="s">
        <v>1549</v>
      </c>
      <c r="E299" t="s">
        <v>1243</v>
      </c>
      <c r="G299" t="s">
        <v>1328</v>
      </c>
      <c r="H299" t="s">
        <v>907</v>
      </c>
      <c r="I299" t="s">
        <v>612</v>
      </c>
      <c r="J299" t="s">
        <v>304</v>
      </c>
    </row>
    <row r="300" spans="1:10" x14ac:dyDescent="0.25">
      <c r="A300" s="43" t="s">
        <v>3982</v>
      </c>
      <c r="B300" t="s">
        <v>822</v>
      </c>
      <c r="C300" t="s">
        <v>1180</v>
      </c>
      <c r="D300" t="s">
        <v>1549</v>
      </c>
      <c r="E300" t="s">
        <v>1243</v>
      </c>
      <c r="G300" t="s">
        <v>1330</v>
      </c>
      <c r="H300" t="s">
        <v>907</v>
      </c>
      <c r="I300" t="s">
        <v>612</v>
      </c>
      <c r="J300" t="s">
        <v>304</v>
      </c>
    </row>
    <row r="301" spans="1:10" x14ac:dyDescent="0.25">
      <c r="A301" s="43" t="s">
        <v>3981</v>
      </c>
      <c r="B301" t="s">
        <v>822</v>
      </c>
      <c r="C301" t="s">
        <v>1180</v>
      </c>
      <c r="D301" t="s">
        <v>1549</v>
      </c>
      <c r="E301" t="s">
        <v>1243</v>
      </c>
      <c r="G301" t="s">
        <v>1290</v>
      </c>
      <c r="H301" t="s">
        <v>907</v>
      </c>
      <c r="I301" t="s">
        <v>612</v>
      </c>
      <c r="J301" t="s">
        <v>304</v>
      </c>
    </row>
    <row r="302" spans="1:10" x14ac:dyDescent="0.25">
      <c r="A302" s="43" t="s">
        <v>3980</v>
      </c>
      <c r="B302" t="s">
        <v>822</v>
      </c>
      <c r="C302" t="s">
        <v>1180</v>
      </c>
      <c r="D302" t="s">
        <v>1549</v>
      </c>
      <c r="E302" t="s">
        <v>1243</v>
      </c>
      <c r="G302" t="s">
        <v>1218</v>
      </c>
      <c r="H302" t="s">
        <v>907</v>
      </c>
      <c r="I302" t="s">
        <v>612</v>
      </c>
      <c r="J302" t="s">
        <v>304</v>
      </c>
    </row>
    <row r="303" spans="1:10" x14ac:dyDescent="0.25">
      <c r="A303" s="43" t="s">
        <v>3979</v>
      </c>
      <c r="B303" t="s">
        <v>91</v>
      </c>
      <c r="C303" t="s">
        <v>1199</v>
      </c>
      <c r="G303" t="s">
        <v>1226</v>
      </c>
      <c r="H303" t="s">
        <v>907</v>
      </c>
    </row>
    <row r="304" spans="1:10" x14ac:dyDescent="0.25">
      <c r="A304" s="43" t="s">
        <v>3173</v>
      </c>
      <c r="B304" t="s">
        <v>91</v>
      </c>
      <c r="C304" t="s">
        <v>1199</v>
      </c>
      <c r="G304" t="s">
        <v>8</v>
      </c>
      <c r="H304" t="s">
        <v>907</v>
      </c>
    </row>
    <row r="305" spans="1:10" x14ac:dyDescent="0.25">
      <c r="A305" s="43" t="s">
        <v>3170</v>
      </c>
      <c r="B305" t="s">
        <v>908</v>
      </c>
      <c r="C305" t="s">
        <v>1177</v>
      </c>
      <c r="D305" t="s">
        <v>15</v>
      </c>
      <c r="E305" t="s">
        <v>1466</v>
      </c>
      <c r="G305" t="s">
        <v>1283</v>
      </c>
      <c r="H305" t="s">
        <v>898</v>
      </c>
      <c r="I305" t="s">
        <v>1346</v>
      </c>
      <c r="J305" t="s">
        <v>2071</v>
      </c>
    </row>
    <row r="306" spans="1:10" x14ac:dyDescent="0.25">
      <c r="A306" s="43" t="s">
        <v>3169</v>
      </c>
      <c r="B306" t="s">
        <v>526</v>
      </c>
      <c r="C306" t="s">
        <v>1208</v>
      </c>
      <c r="D306" t="s">
        <v>62</v>
      </c>
      <c r="E306" t="s">
        <v>1305</v>
      </c>
      <c r="G306" t="s">
        <v>1311</v>
      </c>
      <c r="H306" t="s">
        <v>898</v>
      </c>
      <c r="I306" t="s">
        <v>64</v>
      </c>
      <c r="J306" t="s">
        <v>2121</v>
      </c>
    </row>
    <row r="307" spans="1:10" x14ac:dyDescent="0.25">
      <c r="A307" s="43" t="s">
        <v>2898</v>
      </c>
      <c r="B307" t="s">
        <v>526</v>
      </c>
      <c r="C307" t="s">
        <v>1208</v>
      </c>
      <c r="D307" t="s">
        <v>62</v>
      </c>
      <c r="E307" t="s">
        <v>1305</v>
      </c>
      <c r="G307" t="s">
        <v>1218</v>
      </c>
      <c r="H307" t="s">
        <v>898</v>
      </c>
      <c r="I307" t="s">
        <v>64</v>
      </c>
      <c r="J307" t="s">
        <v>2121</v>
      </c>
    </row>
    <row r="308" spans="1:10" x14ac:dyDescent="0.25">
      <c r="A308" s="43" t="s">
        <v>2897</v>
      </c>
      <c r="B308" t="s">
        <v>552</v>
      </c>
      <c r="C308" t="s">
        <v>1177</v>
      </c>
      <c r="D308" t="s">
        <v>1212</v>
      </c>
      <c r="E308" t="s">
        <v>1235</v>
      </c>
      <c r="G308" t="s">
        <v>1295</v>
      </c>
      <c r="H308" t="s">
        <v>898</v>
      </c>
      <c r="I308" t="s">
        <v>1489</v>
      </c>
      <c r="J308" t="s">
        <v>2122</v>
      </c>
    </row>
    <row r="309" spans="1:10" x14ac:dyDescent="0.25">
      <c r="A309" s="43" t="s">
        <v>3168</v>
      </c>
      <c r="B309" t="s">
        <v>552</v>
      </c>
      <c r="C309" t="s">
        <v>1177</v>
      </c>
      <c r="D309" t="s">
        <v>1212</v>
      </c>
      <c r="E309" t="s">
        <v>1235</v>
      </c>
      <c r="G309" t="s">
        <v>1283</v>
      </c>
      <c r="H309" t="s">
        <v>898</v>
      </c>
      <c r="I309" t="s">
        <v>1489</v>
      </c>
      <c r="J309" t="s">
        <v>2122</v>
      </c>
    </row>
    <row r="310" spans="1:10" x14ac:dyDescent="0.25">
      <c r="A310" s="43" t="s">
        <v>2896</v>
      </c>
      <c r="B310" t="s">
        <v>552</v>
      </c>
      <c r="C310" t="s">
        <v>1177</v>
      </c>
      <c r="D310" t="s">
        <v>1212</v>
      </c>
      <c r="E310" t="s">
        <v>1235</v>
      </c>
      <c r="G310" t="s">
        <v>1224</v>
      </c>
      <c r="H310" t="s">
        <v>898</v>
      </c>
      <c r="I310" t="s">
        <v>1489</v>
      </c>
      <c r="J310" t="s">
        <v>2122</v>
      </c>
    </row>
    <row r="311" spans="1:10" x14ac:dyDescent="0.25">
      <c r="A311" s="43" t="s">
        <v>2733</v>
      </c>
      <c r="B311" t="s">
        <v>552</v>
      </c>
      <c r="C311" t="s">
        <v>1177</v>
      </c>
      <c r="D311" t="s">
        <v>1212</v>
      </c>
      <c r="E311" t="s">
        <v>1235</v>
      </c>
      <c r="G311" t="s">
        <v>1218</v>
      </c>
      <c r="H311" t="s">
        <v>898</v>
      </c>
      <c r="I311" t="s">
        <v>1489</v>
      </c>
      <c r="J311" t="s">
        <v>2122</v>
      </c>
    </row>
    <row r="312" spans="1:10" x14ac:dyDescent="0.25">
      <c r="A312" s="43" t="s">
        <v>2732</v>
      </c>
      <c r="B312" t="s">
        <v>592</v>
      </c>
      <c r="C312" t="s">
        <v>1185</v>
      </c>
      <c r="D312" t="s">
        <v>1212</v>
      </c>
      <c r="E312" t="s">
        <v>1490</v>
      </c>
      <c r="G312" t="s">
        <v>1295</v>
      </c>
      <c r="H312" t="s">
        <v>898</v>
      </c>
      <c r="I312" t="s">
        <v>1491</v>
      </c>
      <c r="J312" t="s">
        <v>2123</v>
      </c>
    </row>
    <row r="313" spans="1:10" x14ac:dyDescent="0.25">
      <c r="A313" s="43" t="s">
        <v>4193</v>
      </c>
      <c r="B313" t="s">
        <v>592</v>
      </c>
      <c r="C313" t="s">
        <v>1185</v>
      </c>
      <c r="D313" t="s">
        <v>1212</v>
      </c>
      <c r="E313" t="s">
        <v>1490</v>
      </c>
      <c r="G313" t="s">
        <v>1283</v>
      </c>
      <c r="H313" t="s">
        <v>898</v>
      </c>
      <c r="I313" t="s">
        <v>1491</v>
      </c>
      <c r="J313" t="s">
        <v>2123</v>
      </c>
    </row>
    <row r="314" spans="1:10" x14ac:dyDescent="0.25">
      <c r="A314" s="43" t="s">
        <v>4192</v>
      </c>
      <c r="B314" t="s">
        <v>592</v>
      </c>
      <c r="C314" t="s">
        <v>1185</v>
      </c>
      <c r="D314" t="s">
        <v>1212</v>
      </c>
      <c r="E314" t="s">
        <v>1490</v>
      </c>
      <c r="G314" t="s">
        <v>1224</v>
      </c>
      <c r="H314" t="s">
        <v>898</v>
      </c>
      <c r="I314" t="s">
        <v>1491</v>
      </c>
      <c r="J314" t="s">
        <v>2123</v>
      </c>
    </row>
    <row r="315" spans="1:10" x14ac:dyDescent="0.25">
      <c r="A315" s="43" t="s">
        <v>2731</v>
      </c>
      <c r="B315" t="s">
        <v>592</v>
      </c>
      <c r="C315" t="s">
        <v>1185</v>
      </c>
      <c r="D315" t="s">
        <v>1212</v>
      </c>
      <c r="E315" t="s">
        <v>1490</v>
      </c>
      <c r="G315" t="s">
        <v>1311</v>
      </c>
      <c r="H315" t="s">
        <v>898</v>
      </c>
      <c r="I315" t="s">
        <v>1491</v>
      </c>
      <c r="J315" t="s">
        <v>2123</v>
      </c>
    </row>
    <row r="316" spans="1:10" x14ac:dyDescent="0.25">
      <c r="A316" s="43" t="s">
        <v>2803</v>
      </c>
      <c r="B316" t="s">
        <v>592</v>
      </c>
      <c r="C316" t="s">
        <v>1185</v>
      </c>
      <c r="D316" t="s">
        <v>1212</v>
      </c>
      <c r="E316" t="s">
        <v>1490</v>
      </c>
      <c r="G316" t="s">
        <v>1218</v>
      </c>
      <c r="H316" t="s">
        <v>898</v>
      </c>
      <c r="I316" t="s">
        <v>1491</v>
      </c>
      <c r="J316" t="s">
        <v>2123</v>
      </c>
    </row>
    <row r="317" spans="1:10" x14ac:dyDescent="0.25">
      <c r="A317" s="43" t="s">
        <v>4191</v>
      </c>
      <c r="B317" t="s">
        <v>678</v>
      </c>
      <c r="C317" t="s">
        <v>1183</v>
      </c>
      <c r="D317" t="s">
        <v>1212</v>
      </c>
      <c r="E317" t="s">
        <v>1411</v>
      </c>
      <c r="G317" t="s">
        <v>1295</v>
      </c>
      <c r="H317" t="s">
        <v>898</v>
      </c>
      <c r="I317" t="s">
        <v>1492</v>
      </c>
      <c r="J317" t="s">
        <v>2123</v>
      </c>
    </row>
    <row r="318" spans="1:10" x14ac:dyDescent="0.25">
      <c r="A318" s="43" t="s">
        <v>3167</v>
      </c>
      <c r="B318" t="s">
        <v>678</v>
      </c>
      <c r="C318" t="s">
        <v>1183</v>
      </c>
      <c r="D318" t="s">
        <v>1212</v>
      </c>
      <c r="E318" t="s">
        <v>1411</v>
      </c>
      <c r="G318" t="s">
        <v>1283</v>
      </c>
      <c r="H318" t="s">
        <v>898</v>
      </c>
      <c r="I318" t="s">
        <v>1492</v>
      </c>
      <c r="J318" t="s">
        <v>2123</v>
      </c>
    </row>
    <row r="319" spans="1:10" x14ac:dyDescent="0.25">
      <c r="A319" s="43" t="s">
        <v>4190</v>
      </c>
      <c r="B319" t="s">
        <v>678</v>
      </c>
      <c r="C319" t="s">
        <v>1183</v>
      </c>
      <c r="D319" t="s">
        <v>1212</v>
      </c>
      <c r="E319" t="s">
        <v>1411</v>
      </c>
      <c r="G319" t="s">
        <v>1224</v>
      </c>
      <c r="H319" t="s">
        <v>898</v>
      </c>
      <c r="I319" t="s">
        <v>1492</v>
      </c>
      <c r="J319" t="s">
        <v>2123</v>
      </c>
    </row>
    <row r="320" spans="1:10" x14ac:dyDescent="0.25">
      <c r="A320" s="43" t="s">
        <v>3166</v>
      </c>
      <c r="B320" t="s">
        <v>678</v>
      </c>
      <c r="C320" t="s">
        <v>1183</v>
      </c>
      <c r="D320" t="s">
        <v>1212</v>
      </c>
      <c r="E320" t="s">
        <v>1411</v>
      </c>
      <c r="G320" t="s">
        <v>1218</v>
      </c>
      <c r="H320" t="s">
        <v>898</v>
      </c>
      <c r="I320" t="s">
        <v>1492</v>
      </c>
      <c r="J320" t="s">
        <v>2123</v>
      </c>
    </row>
    <row r="321" spans="1:10" x14ac:dyDescent="0.25">
      <c r="A321" s="43" t="s">
        <v>3172</v>
      </c>
      <c r="B321" t="s">
        <v>984</v>
      </c>
      <c r="C321" t="s">
        <v>1183</v>
      </c>
      <c r="G321" t="s">
        <v>1283</v>
      </c>
      <c r="H321" t="s">
        <v>898</v>
      </c>
      <c r="I321" t="s">
        <v>716</v>
      </c>
      <c r="J321" t="s">
        <v>2072</v>
      </c>
    </row>
    <row r="322" spans="1:10" x14ac:dyDescent="0.25">
      <c r="A322" s="43" t="s">
        <v>2735</v>
      </c>
      <c r="B322" t="s">
        <v>984</v>
      </c>
      <c r="C322" t="s">
        <v>1183</v>
      </c>
      <c r="G322" t="s">
        <v>1224</v>
      </c>
      <c r="H322" t="s">
        <v>898</v>
      </c>
      <c r="I322" t="s">
        <v>716</v>
      </c>
      <c r="J322" t="s">
        <v>2072</v>
      </c>
    </row>
    <row r="323" spans="1:10" x14ac:dyDescent="0.25">
      <c r="A323" s="43" t="s">
        <v>2899</v>
      </c>
      <c r="B323" t="s">
        <v>984</v>
      </c>
      <c r="C323" t="s">
        <v>1183</v>
      </c>
      <c r="G323" t="s">
        <v>1218</v>
      </c>
      <c r="H323" t="s">
        <v>898</v>
      </c>
      <c r="I323" t="s">
        <v>716</v>
      </c>
      <c r="J323" t="s">
        <v>2072</v>
      </c>
    </row>
    <row r="324" spans="1:10" x14ac:dyDescent="0.25">
      <c r="A324" s="43" t="s">
        <v>2804</v>
      </c>
      <c r="B324" t="s">
        <v>856</v>
      </c>
      <c r="C324" t="s">
        <v>1194</v>
      </c>
      <c r="G324" t="s">
        <v>1226</v>
      </c>
      <c r="H324" t="s">
        <v>907</v>
      </c>
      <c r="I324" t="s">
        <v>1469</v>
      </c>
      <c r="J324" t="s">
        <v>2075</v>
      </c>
    </row>
    <row r="325" spans="1:10" x14ac:dyDescent="0.25">
      <c r="A325" s="43" t="s">
        <v>2734</v>
      </c>
      <c r="B325" t="s">
        <v>856</v>
      </c>
      <c r="C325" t="s">
        <v>1194</v>
      </c>
      <c r="G325" t="s">
        <v>1224</v>
      </c>
      <c r="H325" t="s">
        <v>898</v>
      </c>
      <c r="I325" t="s">
        <v>1468</v>
      </c>
      <c r="J325" t="s">
        <v>2074</v>
      </c>
    </row>
    <row r="326" spans="1:10" x14ac:dyDescent="0.25">
      <c r="A326" s="43" t="s">
        <v>3171</v>
      </c>
      <c r="B326" t="s">
        <v>856</v>
      </c>
      <c r="C326" t="s">
        <v>1194</v>
      </c>
      <c r="G326" t="s">
        <v>8</v>
      </c>
      <c r="H326" t="s">
        <v>907</v>
      </c>
      <c r="I326" t="s">
        <v>1469</v>
      </c>
      <c r="J326" t="s">
        <v>2075</v>
      </c>
    </row>
    <row r="327" spans="1:10" x14ac:dyDescent="0.25">
      <c r="A327" s="43" t="s">
        <v>3165</v>
      </c>
      <c r="B327" t="s">
        <v>592</v>
      </c>
      <c r="C327" t="s">
        <v>1183</v>
      </c>
      <c r="D327" t="s">
        <v>62</v>
      </c>
      <c r="G327" t="s">
        <v>1226</v>
      </c>
      <c r="H327" t="s">
        <v>907</v>
      </c>
      <c r="I327" t="s">
        <v>360</v>
      </c>
    </row>
    <row r="328" spans="1:10" x14ac:dyDescent="0.25">
      <c r="A328" s="43" t="s">
        <v>3164</v>
      </c>
      <c r="B328" t="s">
        <v>592</v>
      </c>
      <c r="C328" t="s">
        <v>1183</v>
      </c>
      <c r="D328" t="s">
        <v>62</v>
      </c>
      <c r="G328" t="s">
        <v>8</v>
      </c>
      <c r="H328" t="s">
        <v>907</v>
      </c>
      <c r="I328" t="s">
        <v>360</v>
      </c>
    </row>
    <row r="329" spans="1:10" x14ac:dyDescent="0.25">
      <c r="A329" s="43" t="s">
        <v>3163</v>
      </c>
      <c r="B329" t="s">
        <v>822</v>
      </c>
      <c r="C329" t="s">
        <v>1183</v>
      </c>
      <c r="D329" t="s">
        <v>62</v>
      </c>
      <c r="G329" t="s">
        <v>1226</v>
      </c>
      <c r="H329" t="s">
        <v>907</v>
      </c>
      <c r="I329" t="s">
        <v>744</v>
      </c>
    </row>
    <row r="330" spans="1:10" x14ac:dyDescent="0.25">
      <c r="A330" s="43" t="s">
        <v>3162</v>
      </c>
      <c r="B330" t="s">
        <v>822</v>
      </c>
      <c r="C330" t="s">
        <v>1183</v>
      </c>
      <c r="D330" t="s">
        <v>62</v>
      </c>
      <c r="G330" t="s">
        <v>8</v>
      </c>
      <c r="H330" t="s">
        <v>907</v>
      </c>
      <c r="I330" t="s">
        <v>744</v>
      </c>
    </row>
    <row r="331" spans="1:10" x14ac:dyDescent="0.25">
      <c r="A331" s="43" t="s">
        <v>3161</v>
      </c>
      <c r="B331" t="s">
        <v>592</v>
      </c>
      <c r="C331" t="s">
        <v>1208</v>
      </c>
      <c r="G331" t="s">
        <v>1283</v>
      </c>
      <c r="H331" t="s">
        <v>898</v>
      </c>
      <c r="I331" t="s">
        <v>242</v>
      </c>
    </row>
    <row r="332" spans="1:10" x14ac:dyDescent="0.25">
      <c r="A332" s="43" t="s">
        <v>4189</v>
      </c>
      <c r="B332" t="s">
        <v>592</v>
      </c>
      <c r="C332" t="s">
        <v>1208</v>
      </c>
      <c r="G332" t="s">
        <v>1224</v>
      </c>
      <c r="H332" t="s">
        <v>898</v>
      </c>
      <c r="I332" t="s">
        <v>242</v>
      </c>
    </row>
    <row r="333" spans="1:10" x14ac:dyDescent="0.25">
      <c r="A333" s="43" t="s">
        <v>4188</v>
      </c>
      <c r="B333" t="s">
        <v>592</v>
      </c>
      <c r="C333" t="s">
        <v>1208</v>
      </c>
      <c r="G333" t="s">
        <v>1218</v>
      </c>
      <c r="H333" t="s">
        <v>898</v>
      </c>
      <c r="I333" t="s">
        <v>242</v>
      </c>
    </row>
    <row r="334" spans="1:10" x14ac:dyDescent="0.25">
      <c r="A334" s="43" t="s">
        <v>3160</v>
      </c>
      <c r="B334" t="s">
        <v>678</v>
      </c>
      <c r="C334" t="s">
        <v>1208</v>
      </c>
      <c r="G334" t="s">
        <v>1218</v>
      </c>
      <c r="H334" t="s">
        <v>907</v>
      </c>
      <c r="I334" t="s">
        <v>1353</v>
      </c>
    </row>
    <row r="335" spans="1:10" x14ac:dyDescent="0.25">
      <c r="A335" s="43" t="s">
        <v>2802</v>
      </c>
      <c r="B335" t="s">
        <v>678</v>
      </c>
      <c r="C335" t="s">
        <v>1208</v>
      </c>
      <c r="D335" t="s">
        <v>56</v>
      </c>
      <c r="G335" t="s">
        <v>1218</v>
      </c>
      <c r="H335" t="s">
        <v>907</v>
      </c>
      <c r="I335" t="s">
        <v>242</v>
      </c>
    </row>
    <row r="336" spans="1:10" x14ac:dyDescent="0.25">
      <c r="A336" s="43" t="s">
        <v>3159</v>
      </c>
      <c r="B336" t="s">
        <v>91</v>
      </c>
      <c r="C336" t="s">
        <v>1199</v>
      </c>
      <c r="D336" t="s">
        <v>1216</v>
      </c>
      <c r="G336" t="s">
        <v>1226</v>
      </c>
      <c r="H336" t="s">
        <v>907</v>
      </c>
      <c r="I336" t="s">
        <v>597</v>
      </c>
    </row>
    <row r="337" spans="1:10" x14ac:dyDescent="0.25">
      <c r="A337" s="43" t="s">
        <v>3158</v>
      </c>
      <c r="B337" t="s">
        <v>91</v>
      </c>
      <c r="C337" t="s">
        <v>1199</v>
      </c>
      <c r="D337" t="s">
        <v>1216</v>
      </c>
      <c r="G337" t="s">
        <v>1283</v>
      </c>
      <c r="H337" t="s">
        <v>907</v>
      </c>
      <c r="I337" t="s">
        <v>597</v>
      </c>
    </row>
    <row r="338" spans="1:10" x14ac:dyDescent="0.25">
      <c r="A338" s="43" t="s">
        <v>3978</v>
      </c>
      <c r="B338" t="s">
        <v>91</v>
      </c>
      <c r="C338" t="s">
        <v>1199</v>
      </c>
      <c r="D338" t="s">
        <v>1216</v>
      </c>
      <c r="G338" t="s">
        <v>1414</v>
      </c>
      <c r="H338" t="s">
        <v>907</v>
      </c>
      <c r="I338" t="s">
        <v>597</v>
      </c>
    </row>
    <row r="339" spans="1:10" x14ac:dyDescent="0.25">
      <c r="A339" s="43" t="s">
        <v>3977</v>
      </c>
      <c r="B339" t="s">
        <v>91</v>
      </c>
      <c r="C339" t="s">
        <v>1199</v>
      </c>
      <c r="D339" t="s">
        <v>1216</v>
      </c>
      <c r="G339" t="s">
        <v>1340</v>
      </c>
      <c r="H339" t="s">
        <v>907</v>
      </c>
      <c r="I339" t="s">
        <v>597</v>
      </c>
    </row>
    <row r="340" spans="1:10" x14ac:dyDescent="0.25">
      <c r="A340" s="43" t="s">
        <v>3976</v>
      </c>
      <c r="B340" t="s">
        <v>91</v>
      </c>
      <c r="C340" t="s">
        <v>1199</v>
      </c>
      <c r="D340" t="s">
        <v>1216</v>
      </c>
      <c r="G340" t="s">
        <v>1608</v>
      </c>
      <c r="H340" t="s">
        <v>907</v>
      </c>
      <c r="I340" t="s">
        <v>597</v>
      </c>
    </row>
    <row r="341" spans="1:10" x14ac:dyDescent="0.25">
      <c r="A341" s="43" t="s">
        <v>4187</v>
      </c>
      <c r="B341" t="s">
        <v>91</v>
      </c>
      <c r="C341" t="s">
        <v>1199</v>
      </c>
      <c r="D341" t="s">
        <v>1216</v>
      </c>
      <c r="G341" t="s">
        <v>1224</v>
      </c>
      <c r="H341" t="s">
        <v>907</v>
      </c>
      <c r="I341" t="s">
        <v>597</v>
      </c>
    </row>
    <row r="342" spans="1:10" x14ac:dyDescent="0.25">
      <c r="A342" s="43" t="s">
        <v>3975</v>
      </c>
      <c r="B342" t="s">
        <v>91</v>
      </c>
      <c r="C342" t="s">
        <v>1199</v>
      </c>
      <c r="D342" t="s">
        <v>1216</v>
      </c>
      <c r="G342" t="s">
        <v>8</v>
      </c>
      <c r="H342" t="s">
        <v>907</v>
      </c>
      <c r="I342" t="s">
        <v>597</v>
      </c>
    </row>
    <row r="343" spans="1:10" x14ac:dyDescent="0.25">
      <c r="A343" s="43" t="s">
        <v>3974</v>
      </c>
      <c r="B343" t="s">
        <v>91</v>
      </c>
      <c r="C343" t="s">
        <v>1199</v>
      </c>
      <c r="D343" t="s">
        <v>1216</v>
      </c>
      <c r="G343" t="s">
        <v>1328</v>
      </c>
      <c r="H343" t="s">
        <v>907</v>
      </c>
      <c r="I343" t="s">
        <v>597</v>
      </c>
    </row>
    <row r="344" spans="1:10" x14ac:dyDescent="0.25">
      <c r="A344" s="43" t="s">
        <v>3973</v>
      </c>
      <c r="B344" t="s">
        <v>91</v>
      </c>
      <c r="C344" t="s">
        <v>1199</v>
      </c>
      <c r="D344" t="s">
        <v>1216</v>
      </c>
      <c r="G344" t="s">
        <v>1218</v>
      </c>
      <c r="H344" t="s">
        <v>907</v>
      </c>
      <c r="I344" t="s">
        <v>597</v>
      </c>
    </row>
    <row r="345" spans="1:10" x14ac:dyDescent="0.25">
      <c r="A345" s="43" t="s">
        <v>3972</v>
      </c>
      <c r="B345" t="s">
        <v>941</v>
      </c>
      <c r="C345" t="s">
        <v>1199</v>
      </c>
      <c r="D345" t="s">
        <v>318</v>
      </c>
      <c r="G345" t="s">
        <v>1226</v>
      </c>
      <c r="H345" t="s">
        <v>907</v>
      </c>
      <c r="I345" t="s">
        <v>716</v>
      </c>
      <c r="J345" t="s">
        <v>2365</v>
      </c>
    </row>
    <row r="346" spans="1:10" x14ac:dyDescent="0.25">
      <c r="A346" s="43" t="s">
        <v>3971</v>
      </c>
      <c r="B346" t="s">
        <v>941</v>
      </c>
      <c r="C346" t="s">
        <v>1199</v>
      </c>
      <c r="D346" t="s">
        <v>318</v>
      </c>
      <c r="G346" t="s">
        <v>1283</v>
      </c>
      <c r="H346" t="s">
        <v>907</v>
      </c>
      <c r="I346" t="s">
        <v>716</v>
      </c>
      <c r="J346" t="s">
        <v>2365</v>
      </c>
    </row>
    <row r="347" spans="1:10" x14ac:dyDescent="0.25">
      <c r="A347" s="43" t="s">
        <v>3970</v>
      </c>
      <c r="B347" t="s">
        <v>941</v>
      </c>
      <c r="C347" t="s">
        <v>1199</v>
      </c>
      <c r="D347" t="s">
        <v>318</v>
      </c>
      <c r="G347" t="s">
        <v>1414</v>
      </c>
      <c r="H347" t="s">
        <v>907</v>
      </c>
      <c r="I347" t="s">
        <v>716</v>
      </c>
      <c r="J347" t="s">
        <v>2365</v>
      </c>
    </row>
    <row r="348" spans="1:10" x14ac:dyDescent="0.25">
      <c r="A348" s="43" t="s">
        <v>3969</v>
      </c>
      <c r="B348" t="s">
        <v>941</v>
      </c>
      <c r="C348" t="s">
        <v>1199</v>
      </c>
      <c r="D348" t="s">
        <v>318</v>
      </c>
      <c r="G348" t="s">
        <v>1340</v>
      </c>
      <c r="H348" t="s">
        <v>907</v>
      </c>
      <c r="I348" t="s">
        <v>716</v>
      </c>
      <c r="J348" t="s">
        <v>2365</v>
      </c>
    </row>
    <row r="349" spans="1:10" x14ac:dyDescent="0.25">
      <c r="A349" s="43" t="s">
        <v>3968</v>
      </c>
      <c r="B349" t="s">
        <v>941</v>
      </c>
      <c r="C349" t="s">
        <v>1199</v>
      </c>
      <c r="D349" t="s">
        <v>318</v>
      </c>
      <c r="G349" t="s">
        <v>1608</v>
      </c>
      <c r="H349" t="s">
        <v>907</v>
      </c>
      <c r="I349" t="s">
        <v>716</v>
      </c>
      <c r="J349" t="s">
        <v>2365</v>
      </c>
    </row>
    <row r="350" spans="1:10" x14ac:dyDescent="0.25">
      <c r="A350" s="43" t="s">
        <v>3967</v>
      </c>
      <c r="B350" t="s">
        <v>941</v>
      </c>
      <c r="C350" t="s">
        <v>1199</v>
      </c>
      <c r="D350" t="s">
        <v>318</v>
      </c>
      <c r="G350" t="s">
        <v>1224</v>
      </c>
      <c r="H350" t="s">
        <v>907</v>
      </c>
      <c r="I350" t="s">
        <v>716</v>
      </c>
      <c r="J350" t="s">
        <v>2365</v>
      </c>
    </row>
    <row r="351" spans="1:10" x14ac:dyDescent="0.25">
      <c r="A351" s="43" t="s">
        <v>3966</v>
      </c>
      <c r="B351" t="s">
        <v>941</v>
      </c>
      <c r="C351" t="s">
        <v>1199</v>
      </c>
      <c r="D351" t="s">
        <v>318</v>
      </c>
      <c r="G351" t="s">
        <v>8</v>
      </c>
      <c r="H351" t="s">
        <v>907</v>
      </c>
      <c r="I351" t="s">
        <v>716</v>
      </c>
      <c r="J351" t="s">
        <v>2365</v>
      </c>
    </row>
    <row r="352" spans="1:10" x14ac:dyDescent="0.25">
      <c r="A352" s="43" t="s">
        <v>3965</v>
      </c>
      <c r="B352" t="s">
        <v>941</v>
      </c>
      <c r="C352" t="s">
        <v>1199</v>
      </c>
      <c r="D352" t="s">
        <v>318</v>
      </c>
      <c r="G352" t="s">
        <v>1328</v>
      </c>
      <c r="H352" t="s">
        <v>907</v>
      </c>
      <c r="I352" t="s">
        <v>716</v>
      </c>
      <c r="J352" t="s">
        <v>2365</v>
      </c>
    </row>
    <row r="353" spans="1:10" x14ac:dyDescent="0.25">
      <c r="A353" s="43" t="s">
        <v>3189</v>
      </c>
      <c r="B353" t="s">
        <v>941</v>
      </c>
      <c r="C353" t="s">
        <v>1199</v>
      </c>
      <c r="D353" t="s">
        <v>318</v>
      </c>
      <c r="G353" t="s">
        <v>1218</v>
      </c>
      <c r="H353" t="s">
        <v>907</v>
      </c>
      <c r="I353" t="s">
        <v>716</v>
      </c>
      <c r="J353" t="s">
        <v>2365</v>
      </c>
    </row>
    <row r="354" spans="1:10" x14ac:dyDescent="0.25">
      <c r="A354" s="43" t="s">
        <v>3188</v>
      </c>
      <c r="B354" t="s">
        <v>822</v>
      </c>
      <c r="C354" t="s">
        <v>1462</v>
      </c>
      <c r="D354" t="s">
        <v>56</v>
      </c>
      <c r="G354" t="s">
        <v>1226</v>
      </c>
      <c r="H354" t="s">
        <v>907</v>
      </c>
      <c r="I354" t="s">
        <v>414</v>
      </c>
    </row>
    <row r="355" spans="1:10" x14ac:dyDescent="0.25">
      <c r="A355" s="43" t="s">
        <v>3187</v>
      </c>
      <c r="B355" t="s">
        <v>822</v>
      </c>
      <c r="C355" t="s">
        <v>1462</v>
      </c>
      <c r="D355" t="s">
        <v>56</v>
      </c>
      <c r="G355" t="s">
        <v>1608</v>
      </c>
      <c r="H355" t="s">
        <v>907</v>
      </c>
      <c r="I355" t="s">
        <v>414</v>
      </c>
    </row>
    <row r="356" spans="1:10" x14ac:dyDescent="0.25">
      <c r="A356" s="43" t="s">
        <v>3186</v>
      </c>
      <c r="B356" t="s">
        <v>822</v>
      </c>
      <c r="C356" t="s">
        <v>1462</v>
      </c>
      <c r="D356" t="s">
        <v>56</v>
      </c>
      <c r="G356" t="s">
        <v>8</v>
      </c>
      <c r="H356" t="s">
        <v>907</v>
      </c>
      <c r="I356" t="s">
        <v>414</v>
      </c>
    </row>
    <row r="357" spans="1:10" x14ac:dyDescent="0.25">
      <c r="A357" s="43" t="s">
        <v>3185</v>
      </c>
      <c r="B357" t="s">
        <v>203</v>
      </c>
      <c r="C357" t="s">
        <v>1484</v>
      </c>
      <c r="D357" t="s">
        <v>318</v>
      </c>
      <c r="G357" t="s">
        <v>1226</v>
      </c>
      <c r="H357" t="s">
        <v>907</v>
      </c>
      <c r="I357" t="s">
        <v>825</v>
      </c>
      <c r="J357" t="s">
        <v>2246</v>
      </c>
    </row>
    <row r="358" spans="1:10" x14ac:dyDescent="0.25">
      <c r="A358" s="43" t="s">
        <v>3184</v>
      </c>
      <c r="B358" t="s">
        <v>203</v>
      </c>
      <c r="C358" t="s">
        <v>1484</v>
      </c>
      <c r="D358" t="s">
        <v>318</v>
      </c>
      <c r="G358" t="s">
        <v>1283</v>
      </c>
      <c r="H358" t="s">
        <v>907</v>
      </c>
      <c r="I358" t="s">
        <v>825</v>
      </c>
      <c r="J358" t="s">
        <v>2246</v>
      </c>
    </row>
    <row r="359" spans="1:10" x14ac:dyDescent="0.25">
      <c r="A359" s="43" t="s">
        <v>3183</v>
      </c>
      <c r="B359" t="s">
        <v>203</v>
      </c>
      <c r="C359" t="s">
        <v>1484</v>
      </c>
      <c r="D359" t="s">
        <v>318</v>
      </c>
      <c r="G359" t="s">
        <v>1414</v>
      </c>
      <c r="H359" t="s">
        <v>907</v>
      </c>
      <c r="I359" t="s">
        <v>825</v>
      </c>
      <c r="J359" t="s">
        <v>2246</v>
      </c>
    </row>
    <row r="360" spans="1:10" x14ac:dyDescent="0.25">
      <c r="A360" s="43" t="s">
        <v>3182</v>
      </c>
      <c r="B360" t="s">
        <v>203</v>
      </c>
      <c r="C360" t="s">
        <v>1484</v>
      </c>
      <c r="D360" t="s">
        <v>318</v>
      </c>
      <c r="G360" t="s">
        <v>1340</v>
      </c>
      <c r="H360" t="s">
        <v>907</v>
      </c>
      <c r="I360" t="s">
        <v>825</v>
      </c>
      <c r="J360" t="s">
        <v>2246</v>
      </c>
    </row>
    <row r="361" spans="1:10" x14ac:dyDescent="0.25">
      <c r="A361" s="43" t="s">
        <v>4186</v>
      </c>
      <c r="B361" t="s">
        <v>203</v>
      </c>
      <c r="C361" t="s">
        <v>1484</v>
      </c>
      <c r="D361" t="s">
        <v>318</v>
      </c>
      <c r="G361" t="s">
        <v>1224</v>
      </c>
      <c r="H361" t="s">
        <v>907</v>
      </c>
      <c r="I361" t="s">
        <v>825</v>
      </c>
      <c r="J361" t="s">
        <v>2246</v>
      </c>
    </row>
    <row r="362" spans="1:10" x14ac:dyDescent="0.25">
      <c r="A362" s="43" t="s">
        <v>3181</v>
      </c>
      <c r="B362" t="s">
        <v>203</v>
      </c>
      <c r="C362" t="s">
        <v>1484</v>
      </c>
      <c r="D362" t="s">
        <v>318</v>
      </c>
      <c r="G362" t="s">
        <v>8</v>
      </c>
      <c r="H362" t="s">
        <v>907</v>
      </c>
      <c r="I362" t="s">
        <v>825</v>
      </c>
      <c r="J362" t="s">
        <v>2246</v>
      </c>
    </row>
    <row r="363" spans="1:10" x14ac:dyDescent="0.25">
      <c r="A363" s="43" t="s">
        <v>3180</v>
      </c>
      <c r="B363" t="s">
        <v>203</v>
      </c>
      <c r="C363" t="s">
        <v>1484</v>
      </c>
      <c r="D363" t="s">
        <v>318</v>
      </c>
      <c r="G363" t="s">
        <v>1218</v>
      </c>
      <c r="H363" t="s">
        <v>907</v>
      </c>
      <c r="I363" t="s">
        <v>825</v>
      </c>
      <c r="J363" t="s">
        <v>2246</v>
      </c>
    </row>
    <row r="364" spans="1:10" x14ac:dyDescent="0.25">
      <c r="A364" s="43" t="s">
        <v>4185</v>
      </c>
      <c r="B364" t="s">
        <v>61</v>
      </c>
      <c r="C364" t="s">
        <v>1177</v>
      </c>
      <c r="D364" t="s">
        <v>318</v>
      </c>
      <c r="G364" t="s">
        <v>1226</v>
      </c>
      <c r="H364" t="s">
        <v>907</v>
      </c>
      <c r="I364" t="s">
        <v>536</v>
      </c>
    </row>
    <row r="365" spans="1:10" x14ac:dyDescent="0.25">
      <c r="A365" s="43" t="s">
        <v>3964</v>
      </c>
      <c r="B365" t="s">
        <v>61</v>
      </c>
      <c r="C365" t="s">
        <v>1177</v>
      </c>
      <c r="D365" t="s">
        <v>318</v>
      </c>
      <c r="G365" t="s">
        <v>1283</v>
      </c>
      <c r="H365" t="s">
        <v>907</v>
      </c>
      <c r="I365" t="s">
        <v>536</v>
      </c>
    </row>
    <row r="366" spans="1:10" x14ac:dyDescent="0.25">
      <c r="A366" s="43" t="s">
        <v>3963</v>
      </c>
      <c r="B366" t="s">
        <v>61</v>
      </c>
      <c r="C366" t="s">
        <v>1177</v>
      </c>
      <c r="D366" t="s">
        <v>318</v>
      </c>
      <c r="G366" t="s">
        <v>1340</v>
      </c>
      <c r="H366" t="s">
        <v>907</v>
      </c>
      <c r="I366" t="s">
        <v>536</v>
      </c>
    </row>
    <row r="367" spans="1:10" x14ac:dyDescent="0.25">
      <c r="A367" s="43" t="s">
        <v>3962</v>
      </c>
      <c r="B367" t="s">
        <v>61</v>
      </c>
      <c r="C367" t="s">
        <v>1177</v>
      </c>
      <c r="D367" t="s">
        <v>318</v>
      </c>
      <c r="G367" t="s">
        <v>1608</v>
      </c>
      <c r="H367" t="s">
        <v>907</v>
      </c>
      <c r="I367" t="s">
        <v>536</v>
      </c>
    </row>
    <row r="368" spans="1:10" x14ac:dyDescent="0.25">
      <c r="A368" s="43" t="s">
        <v>3961</v>
      </c>
      <c r="B368" t="s">
        <v>61</v>
      </c>
      <c r="C368" t="s">
        <v>1177</v>
      </c>
      <c r="D368" t="s">
        <v>318</v>
      </c>
      <c r="G368" t="s">
        <v>1224</v>
      </c>
      <c r="H368" t="s">
        <v>907</v>
      </c>
      <c r="I368" t="s">
        <v>536</v>
      </c>
    </row>
    <row r="369" spans="1:10" x14ac:dyDescent="0.25">
      <c r="A369" s="43" t="s">
        <v>3960</v>
      </c>
      <c r="B369" t="s">
        <v>61</v>
      </c>
      <c r="C369" t="s">
        <v>1177</v>
      </c>
      <c r="D369" t="s">
        <v>318</v>
      </c>
      <c r="G369" t="s">
        <v>8</v>
      </c>
      <c r="H369" t="s">
        <v>907</v>
      </c>
      <c r="I369" t="s">
        <v>536</v>
      </c>
    </row>
    <row r="370" spans="1:10" x14ac:dyDescent="0.25">
      <c r="A370" s="43" t="s">
        <v>3959</v>
      </c>
      <c r="B370" t="s">
        <v>61</v>
      </c>
      <c r="C370" t="s">
        <v>1177</v>
      </c>
      <c r="D370" t="s">
        <v>318</v>
      </c>
      <c r="G370" t="s">
        <v>1328</v>
      </c>
      <c r="H370" t="s">
        <v>907</v>
      </c>
      <c r="I370" t="s">
        <v>536</v>
      </c>
    </row>
    <row r="371" spans="1:10" x14ac:dyDescent="0.25">
      <c r="A371" s="43" t="s">
        <v>4184</v>
      </c>
      <c r="B371" t="s">
        <v>61</v>
      </c>
      <c r="C371" t="s">
        <v>1177</v>
      </c>
      <c r="D371" t="s">
        <v>318</v>
      </c>
      <c r="G371" t="s">
        <v>1218</v>
      </c>
      <c r="H371" t="s">
        <v>907</v>
      </c>
      <c r="I371" t="s">
        <v>536</v>
      </c>
    </row>
    <row r="372" spans="1:10" x14ac:dyDescent="0.25">
      <c r="A372" s="43" t="s">
        <v>3179</v>
      </c>
      <c r="B372" t="s">
        <v>678</v>
      </c>
      <c r="C372" t="s">
        <v>1481</v>
      </c>
      <c r="D372" t="s">
        <v>1587</v>
      </c>
      <c r="G372" t="s">
        <v>1226</v>
      </c>
      <c r="H372" t="s">
        <v>907</v>
      </c>
      <c r="I372" t="s">
        <v>597</v>
      </c>
    </row>
    <row r="373" spans="1:10" x14ac:dyDescent="0.25">
      <c r="A373" s="43" t="s">
        <v>3178</v>
      </c>
      <c r="B373" t="s">
        <v>678</v>
      </c>
      <c r="C373" t="s">
        <v>1481</v>
      </c>
      <c r="D373" t="s">
        <v>1587</v>
      </c>
      <c r="G373" t="s">
        <v>1283</v>
      </c>
      <c r="H373" t="s">
        <v>907</v>
      </c>
      <c r="I373" t="s">
        <v>597</v>
      </c>
    </row>
    <row r="374" spans="1:10" x14ac:dyDescent="0.25">
      <c r="A374" s="43" t="s">
        <v>3177</v>
      </c>
      <c r="B374" t="s">
        <v>678</v>
      </c>
      <c r="C374" t="s">
        <v>1481</v>
      </c>
      <c r="D374" t="s">
        <v>1587</v>
      </c>
      <c r="G374" t="s">
        <v>1340</v>
      </c>
      <c r="H374" t="s">
        <v>907</v>
      </c>
      <c r="I374" t="s">
        <v>597</v>
      </c>
    </row>
    <row r="375" spans="1:10" x14ac:dyDescent="0.25">
      <c r="A375" s="43" t="s">
        <v>3176</v>
      </c>
      <c r="B375" t="s">
        <v>678</v>
      </c>
      <c r="C375" t="s">
        <v>1481</v>
      </c>
      <c r="D375" t="s">
        <v>1587</v>
      </c>
      <c r="G375" t="s">
        <v>1608</v>
      </c>
      <c r="H375" t="s">
        <v>907</v>
      </c>
      <c r="I375" t="s">
        <v>597</v>
      </c>
    </row>
    <row r="376" spans="1:10" x14ac:dyDescent="0.25">
      <c r="A376" s="43" t="s">
        <v>3175</v>
      </c>
      <c r="B376" t="s">
        <v>678</v>
      </c>
      <c r="C376" t="s">
        <v>1481</v>
      </c>
      <c r="D376" t="s">
        <v>1587</v>
      </c>
      <c r="G376" t="s">
        <v>8</v>
      </c>
      <c r="H376" t="s">
        <v>907</v>
      </c>
      <c r="I376" t="s">
        <v>597</v>
      </c>
    </row>
    <row r="377" spans="1:10" x14ac:dyDescent="0.25">
      <c r="A377" s="43" t="s">
        <v>3174</v>
      </c>
      <c r="B377" t="s">
        <v>678</v>
      </c>
      <c r="C377" t="s">
        <v>1481</v>
      </c>
      <c r="D377" t="s">
        <v>1587</v>
      </c>
      <c r="G377" t="s">
        <v>1218</v>
      </c>
      <c r="H377" t="s">
        <v>907</v>
      </c>
      <c r="I377" t="s">
        <v>597</v>
      </c>
    </row>
    <row r="378" spans="1:10" x14ac:dyDescent="0.25">
      <c r="A378" s="43" t="s">
        <v>3957</v>
      </c>
      <c r="B378" t="s">
        <v>148</v>
      </c>
      <c r="C378" t="s">
        <v>1177</v>
      </c>
      <c r="G378" t="s">
        <v>1226</v>
      </c>
      <c r="H378" t="s">
        <v>907</v>
      </c>
      <c r="I378" t="s">
        <v>486</v>
      </c>
    </row>
    <row r="379" spans="1:10" x14ac:dyDescent="0.25">
      <c r="A379" s="43" t="s">
        <v>2801</v>
      </c>
      <c r="B379" t="s">
        <v>822</v>
      </c>
      <c r="C379" t="s">
        <v>1183</v>
      </c>
      <c r="G379" t="s">
        <v>1226</v>
      </c>
      <c r="H379" t="s">
        <v>907</v>
      </c>
      <c r="I379" t="s">
        <v>360</v>
      </c>
    </row>
    <row r="380" spans="1:10" x14ac:dyDescent="0.25">
      <c r="A380" s="43" t="s">
        <v>4183</v>
      </c>
      <c r="B380" t="s">
        <v>822</v>
      </c>
      <c r="C380" t="s">
        <v>1183</v>
      </c>
      <c r="G380" t="s">
        <v>8</v>
      </c>
      <c r="H380" t="s">
        <v>907</v>
      </c>
      <c r="I380" t="s">
        <v>360</v>
      </c>
    </row>
    <row r="381" spans="1:10" x14ac:dyDescent="0.25">
      <c r="A381" s="43" t="s">
        <v>3958</v>
      </c>
      <c r="B381" t="s">
        <v>822</v>
      </c>
      <c r="C381" t="s">
        <v>1183</v>
      </c>
      <c r="G381" t="s">
        <v>1328</v>
      </c>
      <c r="H381" t="s">
        <v>907</v>
      </c>
      <c r="I381" t="s">
        <v>360</v>
      </c>
    </row>
    <row r="382" spans="1:10" x14ac:dyDescent="0.25">
      <c r="A382" s="43" t="s">
        <v>4327</v>
      </c>
      <c r="B382" t="s">
        <v>526</v>
      </c>
      <c r="C382" t="s">
        <v>1208</v>
      </c>
      <c r="D382" t="s">
        <v>931</v>
      </c>
      <c r="G382" t="s">
        <v>1224</v>
      </c>
      <c r="H382" t="s">
        <v>1224</v>
      </c>
      <c r="I382" t="s">
        <v>17</v>
      </c>
      <c r="J382" t="s">
        <v>4328</v>
      </c>
    </row>
    <row r="383" spans="1:10" x14ac:dyDescent="0.25">
      <c r="A383" s="43" t="s">
        <v>4182</v>
      </c>
      <c r="B383" t="s">
        <v>592</v>
      </c>
      <c r="C383" t="s">
        <v>1208</v>
      </c>
      <c r="D383" t="s">
        <v>62</v>
      </c>
      <c r="G383" t="s">
        <v>1283</v>
      </c>
      <c r="H383" t="s">
        <v>898</v>
      </c>
      <c r="I383" t="s">
        <v>33</v>
      </c>
      <c r="J383" t="s">
        <v>2260</v>
      </c>
    </row>
    <row r="384" spans="1:10" x14ac:dyDescent="0.25">
      <c r="A384" s="43" t="s">
        <v>3956</v>
      </c>
      <c r="B384" t="s">
        <v>592</v>
      </c>
      <c r="C384" t="s">
        <v>1208</v>
      </c>
      <c r="D384" t="s">
        <v>62</v>
      </c>
      <c r="G384" t="s">
        <v>1218</v>
      </c>
      <c r="H384" t="s">
        <v>898</v>
      </c>
      <c r="I384" t="s">
        <v>33</v>
      </c>
      <c r="J384" t="s">
        <v>2260</v>
      </c>
    </row>
    <row r="385" spans="1:10" x14ac:dyDescent="0.25">
      <c r="A385" s="43" t="s">
        <v>4387</v>
      </c>
      <c r="B385" t="s">
        <v>678</v>
      </c>
      <c r="C385" t="s">
        <v>1208</v>
      </c>
      <c r="G385" t="s">
        <v>1218</v>
      </c>
      <c r="H385" t="s">
        <v>907</v>
      </c>
    </row>
    <row r="386" spans="1:10" x14ac:dyDescent="0.25">
      <c r="A386" s="43" t="s">
        <v>3955</v>
      </c>
      <c r="B386" t="s">
        <v>822</v>
      </c>
      <c r="C386" t="s">
        <v>1193</v>
      </c>
      <c r="D386" t="s">
        <v>27</v>
      </c>
      <c r="G386" t="s">
        <v>1226</v>
      </c>
      <c r="H386" t="s">
        <v>907</v>
      </c>
      <c r="I386" t="s">
        <v>1529</v>
      </c>
    </row>
    <row r="387" spans="1:10" x14ac:dyDescent="0.25">
      <c r="A387" s="43" t="s">
        <v>3954</v>
      </c>
      <c r="B387" t="s">
        <v>822</v>
      </c>
      <c r="C387" t="s">
        <v>1193</v>
      </c>
      <c r="D387" t="s">
        <v>27</v>
      </c>
      <c r="G387" t="s">
        <v>8</v>
      </c>
      <c r="H387" t="s">
        <v>907</v>
      </c>
      <c r="I387" t="s">
        <v>1529</v>
      </c>
    </row>
    <row r="388" spans="1:10" x14ac:dyDescent="0.25">
      <c r="A388" s="43" t="s">
        <v>4438</v>
      </c>
      <c r="B388" t="s">
        <v>822</v>
      </c>
      <c r="C388" t="s">
        <v>1193</v>
      </c>
      <c r="D388" t="s">
        <v>27</v>
      </c>
      <c r="G388" t="s">
        <v>1218</v>
      </c>
      <c r="H388" t="s">
        <v>907</v>
      </c>
      <c r="I388" t="s">
        <v>1529</v>
      </c>
    </row>
    <row r="389" spans="1:10" x14ac:dyDescent="0.25">
      <c r="A389" s="43" t="s">
        <v>4181</v>
      </c>
      <c r="B389" t="s">
        <v>95</v>
      </c>
      <c r="C389" t="s">
        <v>1177</v>
      </c>
      <c r="D389" t="s">
        <v>1214</v>
      </c>
      <c r="E389" t="s">
        <v>1314</v>
      </c>
      <c r="G389" t="s">
        <v>1311</v>
      </c>
      <c r="H389" t="s">
        <v>1312</v>
      </c>
      <c r="I389" t="s">
        <v>1502</v>
      </c>
      <c r="J389" t="s">
        <v>2160</v>
      </c>
    </row>
    <row r="390" spans="1:10" x14ac:dyDescent="0.25">
      <c r="A390" s="43" t="s">
        <v>4180</v>
      </c>
      <c r="B390" t="s">
        <v>95</v>
      </c>
      <c r="C390" t="s">
        <v>1177</v>
      </c>
      <c r="D390" t="s">
        <v>1214</v>
      </c>
      <c r="E390" t="s">
        <v>1314</v>
      </c>
      <c r="G390" t="s">
        <v>1311</v>
      </c>
      <c r="H390" t="s">
        <v>1312</v>
      </c>
      <c r="I390" t="s">
        <v>1502</v>
      </c>
      <c r="J390" t="s">
        <v>2160</v>
      </c>
    </row>
    <row r="391" spans="1:10" x14ac:dyDescent="0.25">
      <c r="A391" s="43" t="s">
        <v>3207</v>
      </c>
      <c r="B391" t="s">
        <v>3208</v>
      </c>
      <c r="C391" t="s">
        <v>1184</v>
      </c>
      <c r="D391" t="s">
        <v>1214</v>
      </c>
      <c r="E391" t="s">
        <v>1266</v>
      </c>
      <c r="G391" t="s">
        <v>1311</v>
      </c>
      <c r="H391" t="s">
        <v>1312</v>
      </c>
      <c r="I391" t="s">
        <v>1413</v>
      </c>
      <c r="J391" t="s">
        <v>1946</v>
      </c>
    </row>
    <row r="392" spans="1:10" x14ac:dyDescent="0.25">
      <c r="A392" s="43" t="s">
        <v>2926</v>
      </c>
      <c r="B392" t="s">
        <v>960</v>
      </c>
      <c r="C392" t="s">
        <v>1180</v>
      </c>
      <c r="D392" t="s">
        <v>1214</v>
      </c>
      <c r="E392" t="s">
        <v>1292</v>
      </c>
      <c r="G392" t="s">
        <v>1311</v>
      </c>
      <c r="H392" t="s">
        <v>1312</v>
      </c>
      <c r="I392" t="s">
        <v>1288</v>
      </c>
      <c r="J392" t="s">
        <v>2005</v>
      </c>
    </row>
    <row r="393" spans="1:10" x14ac:dyDescent="0.25">
      <c r="A393" s="43" t="s">
        <v>3206</v>
      </c>
      <c r="B393" t="s">
        <v>960</v>
      </c>
      <c r="C393" t="s">
        <v>1180</v>
      </c>
      <c r="D393" t="s">
        <v>1214</v>
      </c>
      <c r="E393" t="s">
        <v>1292</v>
      </c>
      <c r="G393" t="s">
        <v>1311</v>
      </c>
      <c r="H393" t="s">
        <v>1312</v>
      </c>
      <c r="I393" t="s">
        <v>1288</v>
      </c>
      <c r="J393" t="s">
        <v>2005</v>
      </c>
    </row>
    <row r="394" spans="1:10" x14ac:dyDescent="0.25">
      <c r="A394" s="43" t="s">
        <v>2925</v>
      </c>
      <c r="B394" t="s">
        <v>960</v>
      </c>
      <c r="C394" t="s">
        <v>1180</v>
      </c>
      <c r="D394" t="s">
        <v>1214</v>
      </c>
      <c r="E394" t="s">
        <v>1292</v>
      </c>
      <c r="G394" t="s">
        <v>1311</v>
      </c>
      <c r="H394" t="s">
        <v>1312</v>
      </c>
      <c r="I394" t="s">
        <v>1288</v>
      </c>
      <c r="J394" t="s">
        <v>2005</v>
      </c>
    </row>
    <row r="395" spans="1:10" x14ac:dyDescent="0.25">
      <c r="A395" s="43" t="s">
        <v>2698</v>
      </c>
      <c r="B395" t="s">
        <v>950</v>
      </c>
      <c r="C395" t="s">
        <v>1193</v>
      </c>
      <c r="D395" t="s">
        <v>318</v>
      </c>
      <c r="E395" t="s">
        <v>1429</v>
      </c>
      <c r="G395" t="s">
        <v>1311</v>
      </c>
      <c r="H395" t="s">
        <v>1312</v>
      </c>
      <c r="I395" t="s">
        <v>1410</v>
      </c>
      <c r="J395" t="s">
        <v>1983</v>
      </c>
    </row>
    <row r="396" spans="1:10" x14ac:dyDescent="0.25">
      <c r="A396" s="43" t="s">
        <v>2924</v>
      </c>
      <c r="B396" t="s">
        <v>950</v>
      </c>
      <c r="C396" t="s">
        <v>1193</v>
      </c>
      <c r="D396" t="s">
        <v>318</v>
      </c>
      <c r="E396" t="s">
        <v>1429</v>
      </c>
      <c r="G396" t="s">
        <v>1311</v>
      </c>
      <c r="H396" t="s">
        <v>1312</v>
      </c>
      <c r="I396" t="s">
        <v>1410</v>
      </c>
      <c r="J396" t="s">
        <v>1983</v>
      </c>
    </row>
    <row r="397" spans="1:10" x14ac:dyDescent="0.25">
      <c r="A397" s="43" t="s">
        <v>2799</v>
      </c>
      <c r="B397" t="s">
        <v>95</v>
      </c>
      <c r="C397" t="s">
        <v>1177</v>
      </c>
      <c r="D397" t="s">
        <v>1214</v>
      </c>
      <c r="E397" t="s">
        <v>1359</v>
      </c>
      <c r="G397" t="s">
        <v>1311</v>
      </c>
      <c r="H397" t="s">
        <v>1312</v>
      </c>
      <c r="I397" t="s">
        <v>1360</v>
      </c>
      <c r="J397" t="s">
        <v>1801</v>
      </c>
    </row>
    <row r="398" spans="1:10" x14ac:dyDescent="0.25">
      <c r="A398" s="43" t="s">
        <v>3204</v>
      </c>
      <c r="B398" t="s">
        <v>2921</v>
      </c>
      <c r="C398" t="s">
        <v>1179</v>
      </c>
      <c r="D398" t="s">
        <v>62</v>
      </c>
      <c r="E398" t="s">
        <v>1286</v>
      </c>
      <c r="G398" t="s">
        <v>1311</v>
      </c>
      <c r="H398" t="s">
        <v>1312</v>
      </c>
      <c r="I398" t="s">
        <v>1395</v>
      </c>
      <c r="J398" t="s">
        <v>1892</v>
      </c>
    </row>
    <row r="399" spans="1:10" x14ac:dyDescent="0.25">
      <c r="A399" s="43" t="s">
        <v>3203</v>
      </c>
      <c r="B399" t="s">
        <v>2921</v>
      </c>
      <c r="C399" t="s">
        <v>1179</v>
      </c>
      <c r="D399" t="s">
        <v>62</v>
      </c>
      <c r="E399" t="s">
        <v>1286</v>
      </c>
      <c r="G399" t="s">
        <v>1311</v>
      </c>
      <c r="H399" t="s">
        <v>1312</v>
      </c>
      <c r="I399" t="s">
        <v>1395</v>
      </c>
      <c r="J399" t="s">
        <v>1892</v>
      </c>
    </row>
    <row r="400" spans="1:10" x14ac:dyDescent="0.25">
      <c r="A400" s="43" t="s">
        <v>3202</v>
      </c>
      <c r="B400" t="s">
        <v>2921</v>
      </c>
      <c r="C400" t="s">
        <v>1179</v>
      </c>
      <c r="D400" t="s">
        <v>62</v>
      </c>
      <c r="E400" t="s">
        <v>1286</v>
      </c>
      <c r="G400" t="s">
        <v>1311</v>
      </c>
      <c r="H400" t="s">
        <v>1312</v>
      </c>
      <c r="I400" t="s">
        <v>1395</v>
      </c>
      <c r="J400" t="s">
        <v>1892</v>
      </c>
    </row>
    <row r="401" spans="1:10" x14ac:dyDescent="0.25">
      <c r="A401" s="43" t="s">
        <v>2920</v>
      </c>
      <c r="B401" t="s">
        <v>2921</v>
      </c>
      <c r="C401" t="s">
        <v>1181</v>
      </c>
      <c r="D401" t="s">
        <v>15</v>
      </c>
      <c r="E401" t="s">
        <v>1237</v>
      </c>
      <c r="G401" t="s">
        <v>1311</v>
      </c>
      <c r="H401" t="s">
        <v>1312</v>
      </c>
      <c r="I401" t="s">
        <v>612</v>
      </c>
      <c r="J401" t="s">
        <v>2161</v>
      </c>
    </row>
    <row r="402" spans="1:10" x14ac:dyDescent="0.25">
      <c r="A402" s="43" t="s">
        <v>3201</v>
      </c>
      <c r="B402" t="s">
        <v>2919</v>
      </c>
      <c r="C402" t="s">
        <v>1184</v>
      </c>
      <c r="G402" t="s">
        <v>1311</v>
      </c>
      <c r="H402" t="s">
        <v>1312</v>
      </c>
      <c r="I402" t="s">
        <v>1313</v>
      </c>
      <c r="J402" t="s">
        <v>1742</v>
      </c>
    </row>
    <row r="403" spans="1:10" x14ac:dyDescent="0.25">
      <c r="A403" s="43" t="s">
        <v>2918</v>
      </c>
      <c r="B403" t="s">
        <v>2919</v>
      </c>
      <c r="C403" t="s">
        <v>1184</v>
      </c>
      <c r="D403" t="s">
        <v>1214</v>
      </c>
      <c r="E403" t="s">
        <v>1237</v>
      </c>
      <c r="G403" t="s">
        <v>1311</v>
      </c>
      <c r="H403" t="s">
        <v>1312</v>
      </c>
      <c r="I403" t="s">
        <v>1352</v>
      </c>
      <c r="J403" t="s">
        <v>1788</v>
      </c>
    </row>
    <row r="404" spans="1:10" x14ac:dyDescent="0.25">
      <c r="A404" s="43" t="s">
        <v>3200</v>
      </c>
      <c r="B404" t="s">
        <v>3199</v>
      </c>
      <c r="C404" t="s">
        <v>1200</v>
      </c>
      <c r="D404" t="s">
        <v>1214</v>
      </c>
      <c r="E404" t="s">
        <v>1266</v>
      </c>
      <c r="G404" t="s">
        <v>1311</v>
      </c>
      <c r="H404" t="s">
        <v>1312</v>
      </c>
      <c r="I404" t="s">
        <v>1264</v>
      </c>
      <c r="J404" t="s">
        <v>1789</v>
      </c>
    </row>
    <row r="405" spans="1:10" x14ac:dyDescent="0.25">
      <c r="A405" s="43" t="s">
        <v>3198</v>
      </c>
      <c r="B405" t="s">
        <v>3199</v>
      </c>
      <c r="C405" t="s">
        <v>1200</v>
      </c>
      <c r="D405" t="s">
        <v>1214</v>
      </c>
      <c r="E405" t="s">
        <v>1266</v>
      </c>
      <c r="G405" t="s">
        <v>1311</v>
      </c>
      <c r="H405" t="s">
        <v>1312</v>
      </c>
      <c r="I405" t="s">
        <v>1264</v>
      </c>
      <c r="J405" t="s">
        <v>1789</v>
      </c>
    </row>
    <row r="406" spans="1:10" x14ac:dyDescent="0.25">
      <c r="A406" s="43" t="s">
        <v>2922</v>
      </c>
      <c r="B406" t="s">
        <v>2923</v>
      </c>
      <c r="C406" t="s">
        <v>1184</v>
      </c>
      <c r="D406" t="s">
        <v>318</v>
      </c>
      <c r="E406" t="s">
        <v>1444</v>
      </c>
      <c r="G406" t="s">
        <v>1311</v>
      </c>
      <c r="H406" t="s">
        <v>1312</v>
      </c>
      <c r="I406" t="s">
        <v>1252</v>
      </c>
      <c r="J406" t="s">
        <v>2015</v>
      </c>
    </row>
    <row r="407" spans="1:10" x14ac:dyDescent="0.25">
      <c r="A407" s="43" t="s">
        <v>3205</v>
      </c>
      <c r="B407" t="s">
        <v>2923</v>
      </c>
      <c r="C407" t="s">
        <v>1184</v>
      </c>
      <c r="D407" t="s">
        <v>318</v>
      </c>
      <c r="E407" t="s">
        <v>1444</v>
      </c>
      <c r="G407" t="s">
        <v>1311</v>
      </c>
      <c r="H407" t="s">
        <v>1312</v>
      </c>
      <c r="I407" t="s">
        <v>1252</v>
      </c>
      <c r="J407" t="s">
        <v>2015</v>
      </c>
    </row>
    <row r="408" spans="1:10" x14ac:dyDescent="0.25">
      <c r="A408" s="43" t="s">
        <v>2917</v>
      </c>
      <c r="B408" t="s">
        <v>773</v>
      </c>
      <c r="C408" t="s">
        <v>1181</v>
      </c>
      <c r="D408" t="s">
        <v>84</v>
      </c>
      <c r="E408" t="s">
        <v>1231</v>
      </c>
      <c r="G408" t="s">
        <v>1311</v>
      </c>
      <c r="H408" t="s">
        <v>1312</v>
      </c>
      <c r="I408" t="s">
        <v>108</v>
      </c>
      <c r="J408" t="s">
        <v>2233</v>
      </c>
    </row>
    <row r="409" spans="1:10" x14ac:dyDescent="0.25">
      <c r="A409" s="43" t="s">
        <v>3953</v>
      </c>
      <c r="B409" t="s">
        <v>441</v>
      </c>
      <c r="C409" t="s">
        <v>1177</v>
      </c>
      <c r="D409" t="s">
        <v>84</v>
      </c>
      <c r="G409" t="s">
        <v>8</v>
      </c>
      <c r="H409" t="s">
        <v>907</v>
      </c>
      <c r="I409" t="s">
        <v>1316</v>
      </c>
      <c r="J409" t="s">
        <v>1938</v>
      </c>
    </row>
    <row r="410" spans="1:10" x14ac:dyDescent="0.25">
      <c r="A410" s="43" t="s">
        <v>3952</v>
      </c>
      <c r="B410" t="s">
        <v>505</v>
      </c>
      <c r="C410" t="s">
        <v>1177</v>
      </c>
      <c r="D410" t="s">
        <v>318</v>
      </c>
      <c r="G410" t="s">
        <v>8</v>
      </c>
      <c r="H410" t="s">
        <v>907</v>
      </c>
      <c r="I410" t="s">
        <v>1341</v>
      </c>
      <c r="J410" t="s">
        <v>2120</v>
      </c>
    </row>
    <row r="411" spans="1:10" x14ac:dyDescent="0.25">
      <c r="A411" s="43" t="s">
        <v>2800</v>
      </c>
      <c r="B411" t="s">
        <v>592</v>
      </c>
      <c r="C411" t="s">
        <v>1188</v>
      </c>
      <c r="D411" t="s">
        <v>318</v>
      </c>
      <c r="G411" t="s">
        <v>8</v>
      </c>
      <c r="H411" t="s">
        <v>907</v>
      </c>
      <c r="I411" t="s">
        <v>330</v>
      </c>
      <c r="J411" t="s">
        <v>1937</v>
      </c>
    </row>
    <row r="412" spans="1:10" x14ac:dyDescent="0.25">
      <c r="A412" s="43" t="s">
        <v>4326</v>
      </c>
      <c r="B412" t="s">
        <v>678</v>
      </c>
      <c r="C412" t="s">
        <v>1193</v>
      </c>
      <c r="D412" t="s">
        <v>318</v>
      </c>
      <c r="G412" t="s">
        <v>8</v>
      </c>
      <c r="H412" t="s">
        <v>907</v>
      </c>
      <c r="I412" t="s">
        <v>1346</v>
      </c>
      <c r="J412" t="s">
        <v>1777</v>
      </c>
    </row>
    <row r="413" spans="1:10" x14ac:dyDescent="0.25">
      <c r="A413" s="43" t="s">
        <v>3209</v>
      </c>
      <c r="B413" t="s">
        <v>678</v>
      </c>
      <c r="C413" t="s">
        <v>1188</v>
      </c>
      <c r="D413" t="s">
        <v>318</v>
      </c>
      <c r="G413" t="s">
        <v>8</v>
      </c>
      <c r="H413" t="s">
        <v>907</v>
      </c>
      <c r="I413" t="s">
        <v>1341</v>
      </c>
      <c r="J413" t="s">
        <v>1936</v>
      </c>
    </row>
    <row r="414" spans="1:10" x14ac:dyDescent="0.25">
      <c r="A414" s="43" t="s">
        <v>3197</v>
      </c>
      <c r="B414" t="s">
        <v>176</v>
      </c>
      <c r="C414" t="s">
        <v>1177</v>
      </c>
      <c r="E414" t="s">
        <v>1427</v>
      </c>
      <c r="G414" t="s">
        <v>8</v>
      </c>
      <c r="H414" t="s">
        <v>907</v>
      </c>
      <c r="I414" t="s">
        <v>119</v>
      </c>
      <c r="J414" t="s">
        <v>1975</v>
      </c>
    </row>
    <row r="415" spans="1:10" x14ac:dyDescent="0.25">
      <c r="A415" s="43" t="s">
        <v>2916</v>
      </c>
      <c r="B415" t="s">
        <v>263</v>
      </c>
      <c r="C415" t="s">
        <v>1177</v>
      </c>
      <c r="E415" t="s">
        <v>1266</v>
      </c>
      <c r="G415" t="s">
        <v>8</v>
      </c>
      <c r="H415" t="s">
        <v>907</v>
      </c>
      <c r="I415" t="s">
        <v>265</v>
      </c>
      <c r="J415" t="s">
        <v>1976</v>
      </c>
    </row>
    <row r="416" spans="1:10" x14ac:dyDescent="0.25">
      <c r="A416" s="43" t="s">
        <v>3190</v>
      </c>
      <c r="B416" t="s">
        <v>398</v>
      </c>
      <c r="C416" t="s">
        <v>1177</v>
      </c>
      <c r="D416" t="s">
        <v>15</v>
      </c>
      <c r="E416" t="s">
        <v>1230</v>
      </c>
      <c r="G416" t="s">
        <v>8</v>
      </c>
      <c r="H416" t="s">
        <v>907</v>
      </c>
      <c r="I416" t="s">
        <v>399</v>
      </c>
      <c r="J416" t="s">
        <v>1830</v>
      </c>
    </row>
    <row r="417" spans="1:10" x14ac:dyDescent="0.25">
      <c r="A417" s="43" t="s">
        <v>2914</v>
      </c>
      <c r="B417" t="s">
        <v>359</v>
      </c>
      <c r="C417" t="s">
        <v>1190</v>
      </c>
      <c r="D417" t="s">
        <v>27</v>
      </c>
      <c r="E417" t="s">
        <v>1230</v>
      </c>
      <c r="G417" t="s">
        <v>8</v>
      </c>
      <c r="H417" t="s">
        <v>907</v>
      </c>
      <c r="I417" t="s">
        <v>360</v>
      </c>
      <c r="J417" t="s">
        <v>2915</v>
      </c>
    </row>
    <row r="418" spans="1:10" x14ac:dyDescent="0.25">
      <c r="A418" s="43" t="s">
        <v>3196</v>
      </c>
      <c r="B418" t="s">
        <v>441</v>
      </c>
      <c r="C418" t="s">
        <v>1177</v>
      </c>
      <c r="D418" t="s">
        <v>84</v>
      </c>
      <c r="E418" t="s">
        <v>1286</v>
      </c>
      <c r="G418" t="s">
        <v>8</v>
      </c>
      <c r="H418" t="s">
        <v>907</v>
      </c>
      <c r="I418" t="s">
        <v>442</v>
      </c>
      <c r="J418" t="s">
        <v>1977</v>
      </c>
    </row>
    <row r="419" spans="1:10" x14ac:dyDescent="0.25">
      <c r="A419" s="43" t="s">
        <v>2798</v>
      </c>
      <c r="B419" t="s">
        <v>500</v>
      </c>
      <c r="C419" t="s">
        <v>1182</v>
      </c>
      <c r="D419" t="s">
        <v>15</v>
      </c>
      <c r="E419" t="s">
        <v>1243</v>
      </c>
      <c r="G419" t="s">
        <v>8</v>
      </c>
      <c r="H419" t="s">
        <v>907</v>
      </c>
      <c r="I419" t="s">
        <v>501</v>
      </c>
      <c r="J419" t="s">
        <v>1831</v>
      </c>
    </row>
    <row r="420" spans="1:10" x14ac:dyDescent="0.25">
      <c r="A420" s="43" t="s">
        <v>3195</v>
      </c>
      <c r="B420" t="s">
        <v>505</v>
      </c>
      <c r="C420" t="s">
        <v>1177</v>
      </c>
      <c r="D420" t="s">
        <v>318</v>
      </c>
      <c r="E420" t="s">
        <v>1235</v>
      </c>
      <c r="G420" t="s">
        <v>8</v>
      </c>
      <c r="H420" t="s">
        <v>907</v>
      </c>
      <c r="I420" t="s">
        <v>442</v>
      </c>
      <c r="J420" t="s">
        <v>1978</v>
      </c>
    </row>
    <row r="421" spans="1:10" x14ac:dyDescent="0.25">
      <c r="A421" s="43" t="s">
        <v>3193</v>
      </c>
      <c r="B421" t="s">
        <v>3194</v>
      </c>
      <c r="C421" t="s">
        <v>1184</v>
      </c>
      <c r="D421" t="s">
        <v>84</v>
      </c>
      <c r="E421" t="s">
        <v>1239</v>
      </c>
      <c r="H421" t="s">
        <v>907</v>
      </c>
      <c r="I421" t="s">
        <v>1255</v>
      </c>
      <c r="J421" t="s">
        <v>1835</v>
      </c>
    </row>
    <row r="422" spans="1:10" x14ac:dyDescent="0.25">
      <c r="A422" s="43" t="s">
        <v>3191</v>
      </c>
      <c r="B422" t="s">
        <v>3192</v>
      </c>
      <c r="C422" t="s">
        <v>1197</v>
      </c>
      <c r="D422" t="s">
        <v>91</v>
      </c>
      <c r="H422" t="s">
        <v>907</v>
      </c>
      <c r="I422" t="s">
        <v>380</v>
      </c>
      <c r="J422" t="s">
        <v>1746</v>
      </c>
    </row>
    <row r="423" spans="1:10" x14ac:dyDescent="0.25">
      <c r="A423" s="43" t="s">
        <v>2913</v>
      </c>
      <c r="B423" t="s">
        <v>552</v>
      </c>
      <c r="C423" t="s">
        <v>1177</v>
      </c>
      <c r="D423" t="s">
        <v>318</v>
      </c>
      <c r="E423" t="s">
        <v>1223</v>
      </c>
      <c r="G423" t="s">
        <v>8</v>
      </c>
      <c r="H423" t="s">
        <v>907</v>
      </c>
      <c r="I423" t="s">
        <v>383</v>
      </c>
      <c r="J423" t="s">
        <v>1979</v>
      </c>
    </row>
    <row r="424" spans="1:10" x14ac:dyDescent="0.25">
      <c r="A424" s="43" t="s">
        <v>2912</v>
      </c>
      <c r="B424" t="s">
        <v>592</v>
      </c>
      <c r="C424" t="s">
        <v>1183</v>
      </c>
      <c r="D424" t="s">
        <v>318</v>
      </c>
      <c r="E424" t="s">
        <v>1219</v>
      </c>
      <c r="G424" t="s">
        <v>8</v>
      </c>
      <c r="H424" t="s">
        <v>907</v>
      </c>
      <c r="I424" t="s">
        <v>383</v>
      </c>
      <c r="J424" t="s">
        <v>1832</v>
      </c>
    </row>
    <row r="425" spans="1:10" x14ac:dyDescent="0.25">
      <c r="A425" s="43" t="s">
        <v>4276</v>
      </c>
      <c r="B425" t="s">
        <v>678</v>
      </c>
      <c r="C425" t="s">
        <v>1188</v>
      </c>
      <c r="D425" t="s">
        <v>318</v>
      </c>
      <c r="E425" t="s">
        <v>1249</v>
      </c>
      <c r="G425" t="s">
        <v>8</v>
      </c>
      <c r="H425" t="s">
        <v>907</v>
      </c>
      <c r="I425" t="s">
        <v>17</v>
      </c>
      <c r="J425" t="s">
        <v>4277</v>
      </c>
    </row>
    <row r="426" spans="1:10" x14ac:dyDescent="0.25">
      <c r="A426" s="43" t="s">
        <v>2658</v>
      </c>
      <c r="B426" t="s">
        <v>678</v>
      </c>
      <c r="C426" t="s">
        <v>1180</v>
      </c>
      <c r="D426" t="s">
        <v>318</v>
      </c>
      <c r="E426" t="s">
        <v>1249</v>
      </c>
      <c r="G426" t="s">
        <v>8</v>
      </c>
      <c r="H426" t="s">
        <v>907</v>
      </c>
      <c r="I426" t="s">
        <v>1617</v>
      </c>
      <c r="J426" t="s">
        <v>2425</v>
      </c>
    </row>
    <row r="427" spans="1:10" x14ac:dyDescent="0.25">
      <c r="A427" s="43" t="s">
        <v>2911</v>
      </c>
      <c r="B427" t="s">
        <v>773</v>
      </c>
      <c r="C427" t="s">
        <v>1179</v>
      </c>
      <c r="D427" t="s">
        <v>84</v>
      </c>
      <c r="E427" t="s">
        <v>1268</v>
      </c>
      <c r="G427" t="s">
        <v>8</v>
      </c>
      <c r="H427" t="s">
        <v>907</v>
      </c>
      <c r="I427" t="s">
        <v>28</v>
      </c>
      <c r="J427" t="s">
        <v>1747</v>
      </c>
    </row>
    <row r="428" spans="1:10" x14ac:dyDescent="0.25">
      <c r="A428" s="43" t="s">
        <v>4275</v>
      </c>
      <c r="B428" t="s">
        <v>822</v>
      </c>
      <c r="C428" t="s">
        <v>1180</v>
      </c>
      <c r="D428" t="s">
        <v>84</v>
      </c>
      <c r="E428" t="s">
        <v>1266</v>
      </c>
      <c r="G428" t="s">
        <v>8</v>
      </c>
      <c r="H428" t="s">
        <v>907</v>
      </c>
      <c r="I428" t="s">
        <v>825</v>
      </c>
      <c r="J428" t="s">
        <v>1834</v>
      </c>
    </row>
    <row r="429" spans="1:10" x14ac:dyDescent="0.25">
      <c r="A429" s="43" t="s">
        <v>2910</v>
      </c>
      <c r="B429" t="s">
        <v>75</v>
      </c>
      <c r="C429" t="s">
        <v>1183</v>
      </c>
      <c r="D429" t="s">
        <v>15</v>
      </c>
      <c r="G429" t="s">
        <v>8</v>
      </c>
      <c r="H429" t="s">
        <v>907</v>
      </c>
      <c r="I429" t="s">
        <v>77</v>
      </c>
      <c r="J429" t="s">
        <v>78</v>
      </c>
    </row>
    <row r="430" spans="1:10" x14ac:dyDescent="0.25">
      <c r="A430" s="43" t="s">
        <v>4325</v>
      </c>
      <c r="B430" t="s">
        <v>148</v>
      </c>
      <c r="C430" t="s">
        <v>1183</v>
      </c>
      <c r="D430" t="s">
        <v>15</v>
      </c>
      <c r="G430" t="s">
        <v>8</v>
      </c>
      <c r="H430" t="s">
        <v>907</v>
      </c>
      <c r="I430" t="s">
        <v>150</v>
      </c>
      <c r="J430" t="s">
        <v>151</v>
      </c>
    </row>
    <row r="431" spans="1:10" x14ac:dyDescent="0.25">
      <c r="A431" s="43" t="s">
        <v>2909</v>
      </c>
      <c r="B431" t="s">
        <v>43</v>
      </c>
      <c r="C431" t="s">
        <v>1177</v>
      </c>
      <c r="D431" t="s">
        <v>318</v>
      </c>
      <c r="E431" t="s">
        <v>1239</v>
      </c>
      <c r="G431" t="s">
        <v>8</v>
      </c>
      <c r="H431" t="s">
        <v>898</v>
      </c>
      <c r="I431" t="s">
        <v>716</v>
      </c>
      <c r="J431" t="s">
        <v>1894</v>
      </c>
    </row>
    <row r="432" spans="1:10" x14ac:dyDescent="0.25">
      <c r="A432" s="43" t="s">
        <v>2907</v>
      </c>
      <c r="B432" t="s">
        <v>432</v>
      </c>
      <c r="C432" t="s">
        <v>1178</v>
      </c>
      <c r="D432" t="s">
        <v>84</v>
      </c>
      <c r="E432" t="s">
        <v>1247</v>
      </c>
      <c r="G432" t="s">
        <v>8</v>
      </c>
      <c r="H432" t="s">
        <v>907</v>
      </c>
      <c r="I432" t="s">
        <v>2908</v>
      </c>
      <c r="J432" t="s">
        <v>434</v>
      </c>
    </row>
    <row r="433" spans="1:10" x14ac:dyDescent="0.25">
      <c r="A433" s="43" t="s">
        <v>4274</v>
      </c>
      <c r="B433" t="s">
        <v>741</v>
      </c>
      <c r="C433" t="s">
        <v>1177</v>
      </c>
      <c r="D433" t="s">
        <v>84</v>
      </c>
      <c r="E433" t="s">
        <v>1247</v>
      </c>
      <c r="G433" t="s">
        <v>8</v>
      </c>
      <c r="H433" t="s">
        <v>907</v>
      </c>
      <c r="I433" t="s">
        <v>37</v>
      </c>
      <c r="J433" t="s">
        <v>1980</v>
      </c>
    </row>
    <row r="434" spans="1:10" x14ac:dyDescent="0.25">
      <c r="A434" s="43" t="s">
        <v>2906</v>
      </c>
      <c r="B434" t="s">
        <v>378</v>
      </c>
      <c r="C434" t="s">
        <v>1184</v>
      </c>
      <c r="D434" t="s">
        <v>62</v>
      </c>
      <c r="E434" t="s">
        <v>1544</v>
      </c>
      <c r="G434" t="s">
        <v>8</v>
      </c>
      <c r="H434" t="s">
        <v>898</v>
      </c>
      <c r="I434" t="s">
        <v>380</v>
      </c>
      <c r="J434" t="s">
        <v>2278</v>
      </c>
    </row>
    <row r="435" spans="1:10" x14ac:dyDescent="0.25">
      <c r="A435" s="43" t="s">
        <v>4179</v>
      </c>
      <c r="B435" t="s">
        <v>773</v>
      </c>
      <c r="C435" t="s">
        <v>1187</v>
      </c>
      <c r="D435" t="s">
        <v>91</v>
      </c>
      <c r="E435" t="s">
        <v>1257</v>
      </c>
      <c r="G435" t="s">
        <v>8</v>
      </c>
      <c r="H435" t="s">
        <v>898</v>
      </c>
      <c r="I435" t="s">
        <v>330</v>
      </c>
      <c r="J435" t="s">
        <v>776</v>
      </c>
    </row>
    <row r="436" spans="1:10" x14ac:dyDescent="0.25">
      <c r="A436" s="43" t="s">
        <v>2657</v>
      </c>
      <c r="B436" t="s">
        <v>773</v>
      </c>
      <c r="C436" t="s">
        <v>1181</v>
      </c>
      <c r="D436" t="s">
        <v>56</v>
      </c>
      <c r="E436" t="s">
        <v>1268</v>
      </c>
      <c r="G436" t="s">
        <v>8</v>
      </c>
      <c r="H436" t="s">
        <v>907</v>
      </c>
      <c r="I436" t="s">
        <v>242</v>
      </c>
      <c r="J436" t="s">
        <v>2446</v>
      </c>
    </row>
    <row r="437" spans="1:10" x14ac:dyDescent="0.25">
      <c r="A437" s="43" t="s">
        <v>2542</v>
      </c>
      <c r="B437" t="s">
        <v>13</v>
      </c>
      <c r="C437" t="s">
        <v>1181</v>
      </c>
      <c r="D437" t="s">
        <v>15</v>
      </c>
      <c r="E437" t="s">
        <v>1246</v>
      </c>
      <c r="G437" t="s">
        <v>8</v>
      </c>
      <c r="H437" t="s">
        <v>898</v>
      </c>
      <c r="I437" t="s">
        <v>17</v>
      </c>
      <c r="J437" t="s">
        <v>18</v>
      </c>
    </row>
    <row r="438" spans="1:10" x14ac:dyDescent="0.25">
      <c r="A438" s="43" t="s">
        <v>4324</v>
      </c>
      <c r="B438" t="s">
        <v>378</v>
      </c>
      <c r="C438" t="s">
        <v>1184</v>
      </c>
      <c r="D438" t="s">
        <v>62</v>
      </c>
      <c r="E438" t="s">
        <v>1544</v>
      </c>
      <c r="G438" t="s">
        <v>8</v>
      </c>
      <c r="H438" t="s">
        <v>898</v>
      </c>
      <c r="I438" t="s">
        <v>383</v>
      </c>
      <c r="J438" t="s">
        <v>2278</v>
      </c>
    </row>
    <row r="439" spans="1:10" x14ac:dyDescent="0.25">
      <c r="A439" s="43" t="s">
        <v>2656</v>
      </c>
      <c r="B439" t="s">
        <v>773</v>
      </c>
      <c r="C439" t="s">
        <v>1187</v>
      </c>
      <c r="D439" t="s">
        <v>91</v>
      </c>
      <c r="E439" t="s">
        <v>1257</v>
      </c>
      <c r="G439" t="s">
        <v>8</v>
      </c>
      <c r="H439" t="s">
        <v>898</v>
      </c>
      <c r="I439" t="s">
        <v>778</v>
      </c>
      <c r="J439" t="s">
        <v>776</v>
      </c>
    </row>
    <row r="440" spans="1:10" x14ac:dyDescent="0.25">
      <c r="A440" s="43" t="s">
        <v>2570</v>
      </c>
      <c r="B440" t="s">
        <v>75</v>
      </c>
      <c r="C440" t="s">
        <v>1188</v>
      </c>
      <c r="D440" t="s">
        <v>21</v>
      </c>
      <c r="E440" t="s">
        <v>1298</v>
      </c>
      <c r="G440" t="s">
        <v>8</v>
      </c>
      <c r="H440" t="s">
        <v>907</v>
      </c>
      <c r="I440" t="s">
        <v>81</v>
      </c>
      <c r="J440" t="s">
        <v>1722</v>
      </c>
    </row>
    <row r="441" spans="1:10" x14ac:dyDescent="0.25">
      <c r="A441" s="43" t="s">
        <v>4415</v>
      </c>
      <c r="B441" t="s">
        <v>172</v>
      </c>
      <c r="C441" t="s">
        <v>1177</v>
      </c>
      <c r="E441" t="s">
        <v>1231</v>
      </c>
      <c r="G441" t="s">
        <v>8</v>
      </c>
      <c r="H441" t="s">
        <v>907</v>
      </c>
      <c r="I441" t="s">
        <v>842</v>
      </c>
      <c r="J441" t="s">
        <v>1705</v>
      </c>
    </row>
    <row r="442" spans="1:10" x14ac:dyDescent="0.25">
      <c r="A442" s="43" t="s">
        <v>4323</v>
      </c>
      <c r="B442" t="s">
        <v>271</v>
      </c>
      <c r="C442" t="s">
        <v>1177</v>
      </c>
      <c r="D442" t="s">
        <v>27</v>
      </c>
      <c r="E442" t="s">
        <v>1223</v>
      </c>
      <c r="G442" t="s">
        <v>8</v>
      </c>
      <c r="H442" t="s">
        <v>907</v>
      </c>
      <c r="I442" t="s">
        <v>1373</v>
      </c>
      <c r="J442" t="s">
        <v>273</v>
      </c>
    </row>
    <row r="443" spans="1:10" x14ac:dyDescent="0.25">
      <c r="A443" s="43" t="s">
        <v>2654</v>
      </c>
      <c r="B443" t="s">
        <v>359</v>
      </c>
      <c r="C443" t="s">
        <v>1190</v>
      </c>
      <c r="D443" t="s">
        <v>27</v>
      </c>
      <c r="E443" t="s">
        <v>2655</v>
      </c>
      <c r="G443" t="s">
        <v>8</v>
      </c>
      <c r="H443" t="s">
        <v>907</v>
      </c>
      <c r="I443" t="s">
        <v>363</v>
      </c>
      <c r="J443" t="s">
        <v>364</v>
      </c>
    </row>
    <row r="444" spans="1:10" x14ac:dyDescent="0.25">
      <c r="A444" s="43" t="s">
        <v>2571</v>
      </c>
      <c r="B444" t="s">
        <v>441</v>
      </c>
      <c r="C444" t="s">
        <v>1180</v>
      </c>
      <c r="D444" t="s">
        <v>27</v>
      </c>
      <c r="G444" t="s">
        <v>8</v>
      </c>
      <c r="H444" t="s">
        <v>907</v>
      </c>
      <c r="I444" t="s">
        <v>445</v>
      </c>
    </row>
    <row r="445" spans="1:10" x14ac:dyDescent="0.25">
      <c r="A445" s="43" t="s">
        <v>4386</v>
      </c>
      <c r="B445" t="s">
        <v>479</v>
      </c>
      <c r="C445" t="s">
        <v>1177</v>
      </c>
      <c r="D445" t="s">
        <v>27</v>
      </c>
      <c r="E445" t="s">
        <v>1265</v>
      </c>
      <c r="G445" t="s">
        <v>8</v>
      </c>
      <c r="H445" t="s">
        <v>907</v>
      </c>
      <c r="I445" t="s">
        <v>480</v>
      </c>
      <c r="J445" t="s">
        <v>481</v>
      </c>
    </row>
    <row r="446" spans="1:10" x14ac:dyDescent="0.25">
      <c r="A446" s="43" t="s">
        <v>4273</v>
      </c>
      <c r="B446" t="s">
        <v>505</v>
      </c>
      <c r="C446" t="s">
        <v>1188</v>
      </c>
      <c r="D446" t="s">
        <v>27</v>
      </c>
      <c r="E446" t="s">
        <v>1626</v>
      </c>
      <c r="G446" t="s">
        <v>8</v>
      </c>
      <c r="H446" t="s">
        <v>907</v>
      </c>
      <c r="I446" t="s">
        <v>508</v>
      </c>
      <c r="J446" t="s">
        <v>2473</v>
      </c>
    </row>
    <row r="447" spans="1:10" x14ac:dyDescent="0.25">
      <c r="A447" s="43" t="s">
        <v>4385</v>
      </c>
      <c r="B447" t="s">
        <v>505</v>
      </c>
      <c r="C447" t="s">
        <v>1180</v>
      </c>
      <c r="D447" t="s">
        <v>15</v>
      </c>
      <c r="E447" t="s">
        <v>1239</v>
      </c>
      <c r="G447" t="s">
        <v>8</v>
      </c>
      <c r="H447" t="s">
        <v>907</v>
      </c>
      <c r="I447" t="s">
        <v>445</v>
      </c>
      <c r="J447" t="s">
        <v>1693</v>
      </c>
    </row>
    <row r="448" spans="1:10" x14ac:dyDescent="0.25">
      <c r="A448" s="43" t="s">
        <v>4322</v>
      </c>
      <c r="B448" t="s">
        <v>552</v>
      </c>
      <c r="C448" t="s">
        <v>1188</v>
      </c>
      <c r="D448" t="s">
        <v>27</v>
      </c>
      <c r="E448" t="s">
        <v>1246</v>
      </c>
      <c r="G448" t="s">
        <v>8</v>
      </c>
      <c r="H448" t="s">
        <v>907</v>
      </c>
      <c r="I448" t="s">
        <v>555</v>
      </c>
      <c r="J448" t="s">
        <v>2454</v>
      </c>
    </row>
    <row r="449" spans="1:10" x14ac:dyDescent="0.25">
      <c r="A449" s="43" t="s">
        <v>2697</v>
      </c>
      <c r="B449" t="s">
        <v>552</v>
      </c>
      <c r="C449" t="s">
        <v>1180</v>
      </c>
      <c r="D449" t="s">
        <v>56</v>
      </c>
      <c r="E449" t="s">
        <v>1351</v>
      </c>
      <c r="G449" t="s">
        <v>8</v>
      </c>
      <c r="H449" t="s">
        <v>907</v>
      </c>
      <c r="I449" t="s">
        <v>223</v>
      </c>
      <c r="J449" t="s">
        <v>1847</v>
      </c>
    </row>
    <row r="450" spans="1:10" x14ac:dyDescent="0.25">
      <c r="A450" s="43" t="s">
        <v>3951</v>
      </c>
      <c r="B450" t="s">
        <v>572</v>
      </c>
      <c r="C450" t="s">
        <v>1178</v>
      </c>
      <c r="D450" t="s">
        <v>27</v>
      </c>
      <c r="E450" t="s">
        <v>1265</v>
      </c>
      <c r="G450" t="s">
        <v>8</v>
      </c>
      <c r="H450" t="s">
        <v>907</v>
      </c>
      <c r="I450" t="s">
        <v>575</v>
      </c>
      <c r="J450" t="s">
        <v>1748</v>
      </c>
    </row>
    <row r="451" spans="1:10" x14ac:dyDescent="0.25">
      <c r="A451" s="43" t="s">
        <v>4384</v>
      </c>
      <c r="B451" t="s">
        <v>592</v>
      </c>
      <c r="C451" t="s">
        <v>1188</v>
      </c>
      <c r="D451" t="s">
        <v>56</v>
      </c>
      <c r="E451" t="s">
        <v>1239</v>
      </c>
      <c r="G451" t="s">
        <v>8</v>
      </c>
      <c r="H451" t="s">
        <v>907</v>
      </c>
      <c r="I451" t="s">
        <v>123</v>
      </c>
      <c r="J451" t="s">
        <v>1899</v>
      </c>
    </row>
    <row r="452" spans="1:10" x14ac:dyDescent="0.25">
      <c r="A452" s="43" t="s">
        <v>4414</v>
      </c>
      <c r="B452" t="s">
        <v>592</v>
      </c>
      <c r="C452" t="s">
        <v>1180</v>
      </c>
      <c r="D452" t="s">
        <v>91</v>
      </c>
      <c r="E452" t="s">
        <v>1300</v>
      </c>
      <c r="G452" t="s">
        <v>8</v>
      </c>
      <c r="H452" t="s">
        <v>907</v>
      </c>
      <c r="I452" t="s">
        <v>45</v>
      </c>
      <c r="J452" t="s">
        <v>2410</v>
      </c>
    </row>
    <row r="453" spans="1:10" x14ac:dyDescent="0.25">
      <c r="A453" s="43" t="s">
        <v>4468</v>
      </c>
      <c r="B453" t="s">
        <v>678</v>
      </c>
      <c r="C453" t="s">
        <v>1188</v>
      </c>
      <c r="D453" t="s">
        <v>91</v>
      </c>
      <c r="E453" t="s">
        <v>1387</v>
      </c>
      <c r="G453" t="s">
        <v>8</v>
      </c>
      <c r="H453" t="s">
        <v>907</v>
      </c>
      <c r="I453" t="s">
        <v>632</v>
      </c>
      <c r="J453" t="s">
        <v>2469</v>
      </c>
    </row>
    <row r="454" spans="1:10" x14ac:dyDescent="0.25">
      <c r="A454" s="43" t="s">
        <v>4487</v>
      </c>
      <c r="B454" t="s">
        <v>678</v>
      </c>
      <c r="C454" t="s">
        <v>1180</v>
      </c>
      <c r="D454" t="s">
        <v>91</v>
      </c>
      <c r="E454" t="s">
        <v>1231</v>
      </c>
      <c r="G454" t="s">
        <v>8</v>
      </c>
      <c r="H454" t="s">
        <v>907</v>
      </c>
      <c r="I454" t="s">
        <v>686</v>
      </c>
      <c r="J454" t="s">
        <v>1640</v>
      </c>
    </row>
    <row r="455" spans="1:10" x14ac:dyDescent="0.25">
      <c r="A455" s="43" t="s">
        <v>4321</v>
      </c>
      <c r="B455" t="s">
        <v>678</v>
      </c>
      <c r="C455" t="s">
        <v>1180</v>
      </c>
      <c r="D455" t="s">
        <v>91</v>
      </c>
      <c r="E455" t="s">
        <v>1231</v>
      </c>
      <c r="G455" t="s">
        <v>8</v>
      </c>
      <c r="H455" t="s">
        <v>907</v>
      </c>
      <c r="I455" t="s">
        <v>689</v>
      </c>
      <c r="J455" t="s">
        <v>1858</v>
      </c>
    </row>
    <row r="456" spans="1:10" x14ac:dyDescent="0.25">
      <c r="A456" s="43" t="s">
        <v>2696</v>
      </c>
      <c r="B456" t="s">
        <v>91</v>
      </c>
      <c r="C456" t="s">
        <v>1188</v>
      </c>
      <c r="D456" t="s">
        <v>15</v>
      </c>
      <c r="E456" t="s">
        <v>1298</v>
      </c>
      <c r="G456" t="s">
        <v>8</v>
      </c>
      <c r="H456" t="s">
        <v>907</v>
      </c>
      <c r="I456" t="s">
        <v>363</v>
      </c>
      <c r="J456" t="s">
        <v>732</v>
      </c>
    </row>
    <row r="457" spans="1:10" x14ac:dyDescent="0.25">
      <c r="A457" s="43" t="s">
        <v>4416</v>
      </c>
      <c r="B457" t="s">
        <v>797</v>
      </c>
      <c r="C457" t="s">
        <v>1190</v>
      </c>
      <c r="D457" t="s">
        <v>1215</v>
      </c>
      <c r="E457" t="s">
        <v>1279</v>
      </c>
      <c r="G457" t="s">
        <v>8</v>
      </c>
      <c r="H457" t="s">
        <v>907</v>
      </c>
      <c r="I457" t="s">
        <v>257</v>
      </c>
      <c r="J457" t="s">
        <v>1693</v>
      </c>
    </row>
    <row r="458" spans="1:10" x14ac:dyDescent="0.25">
      <c r="A458" s="43" t="s">
        <v>2641</v>
      </c>
      <c r="B458" t="s">
        <v>822</v>
      </c>
      <c r="C458" t="s">
        <v>1188</v>
      </c>
      <c r="D458" t="s">
        <v>27</v>
      </c>
      <c r="E458" t="s">
        <v>1286</v>
      </c>
      <c r="G458" t="s">
        <v>8</v>
      </c>
      <c r="H458" t="s">
        <v>907</v>
      </c>
      <c r="I458" t="s">
        <v>1508</v>
      </c>
      <c r="J458" t="s">
        <v>2412</v>
      </c>
    </row>
    <row r="459" spans="1:10" x14ac:dyDescent="0.25">
      <c r="A459" s="43" t="s">
        <v>4460</v>
      </c>
      <c r="B459" t="s">
        <v>822</v>
      </c>
      <c r="C459" t="s">
        <v>1180</v>
      </c>
      <c r="D459" t="s">
        <v>56</v>
      </c>
      <c r="E459" t="s">
        <v>1297</v>
      </c>
      <c r="G459" t="s">
        <v>8</v>
      </c>
      <c r="H459" t="s">
        <v>907</v>
      </c>
      <c r="I459" t="s">
        <v>10</v>
      </c>
      <c r="J459" t="s">
        <v>823</v>
      </c>
    </row>
    <row r="460" spans="1:10" x14ac:dyDescent="0.25">
      <c r="A460" s="43" t="s">
        <v>2640</v>
      </c>
      <c r="B460" t="s">
        <v>31</v>
      </c>
      <c r="C460" t="s">
        <v>1190</v>
      </c>
      <c r="D460" t="s">
        <v>27</v>
      </c>
      <c r="E460" t="s">
        <v>1239</v>
      </c>
      <c r="G460" t="s">
        <v>8</v>
      </c>
      <c r="H460" t="s">
        <v>898</v>
      </c>
      <c r="I460" t="s">
        <v>33</v>
      </c>
      <c r="J460" t="s">
        <v>2461</v>
      </c>
    </row>
    <row r="461" spans="1:10" x14ac:dyDescent="0.25">
      <c r="A461" s="43" t="s">
        <v>4272</v>
      </c>
      <c r="B461" t="s">
        <v>114</v>
      </c>
      <c r="C461" t="s">
        <v>1178</v>
      </c>
      <c r="D461" t="s">
        <v>27</v>
      </c>
      <c r="E461" t="s">
        <v>1286</v>
      </c>
      <c r="G461" t="s">
        <v>8</v>
      </c>
      <c r="H461" t="s">
        <v>898</v>
      </c>
      <c r="I461" t="s">
        <v>257</v>
      </c>
      <c r="J461" t="s">
        <v>1948</v>
      </c>
    </row>
    <row r="462" spans="1:10" x14ac:dyDescent="0.25">
      <c r="A462" s="43" t="s">
        <v>2695</v>
      </c>
      <c r="B462" t="s">
        <v>286</v>
      </c>
      <c r="C462" t="s">
        <v>1177</v>
      </c>
      <c r="D462" t="s">
        <v>27</v>
      </c>
      <c r="E462" t="s">
        <v>1223</v>
      </c>
      <c r="G462" t="s">
        <v>8</v>
      </c>
      <c r="H462" t="s">
        <v>898</v>
      </c>
      <c r="I462" t="s">
        <v>287</v>
      </c>
      <c r="J462" t="s">
        <v>2415</v>
      </c>
    </row>
    <row r="463" spans="1:10" x14ac:dyDescent="0.25">
      <c r="A463" s="43" t="s">
        <v>3950</v>
      </c>
      <c r="B463" t="s">
        <v>2774</v>
      </c>
      <c r="C463" t="s">
        <v>1184</v>
      </c>
      <c r="D463" t="s">
        <v>56</v>
      </c>
      <c r="E463" t="s">
        <v>1221</v>
      </c>
      <c r="G463" t="s">
        <v>8</v>
      </c>
      <c r="H463" t="s">
        <v>898</v>
      </c>
      <c r="I463" t="s">
        <v>363</v>
      </c>
      <c r="J463" t="s">
        <v>1792</v>
      </c>
    </row>
    <row r="464" spans="1:10" x14ac:dyDescent="0.25">
      <c r="A464" s="43" t="s">
        <v>3949</v>
      </c>
      <c r="B464" t="s">
        <v>378</v>
      </c>
      <c r="C464" t="s">
        <v>1184</v>
      </c>
      <c r="D464" t="s">
        <v>318</v>
      </c>
      <c r="E464" t="s">
        <v>1232</v>
      </c>
      <c r="G464" t="s">
        <v>8</v>
      </c>
      <c r="H464" t="s">
        <v>898</v>
      </c>
      <c r="I464" t="s">
        <v>383</v>
      </c>
      <c r="J464" t="s">
        <v>1753</v>
      </c>
    </row>
    <row r="465" spans="1:10" x14ac:dyDescent="0.25">
      <c r="A465" s="43" t="s">
        <v>2550</v>
      </c>
      <c r="B465" t="s">
        <v>592</v>
      </c>
      <c r="C465" t="s">
        <v>1180</v>
      </c>
      <c r="D465" t="s">
        <v>318</v>
      </c>
      <c r="G465" t="s">
        <v>8</v>
      </c>
      <c r="H465" t="s">
        <v>898</v>
      </c>
      <c r="I465" t="s">
        <v>1254</v>
      </c>
      <c r="J465" t="s">
        <v>1661</v>
      </c>
    </row>
    <row r="466" spans="1:10" x14ac:dyDescent="0.25">
      <c r="A466" s="43" t="s">
        <v>3948</v>
      </c>
      <c r="B466" t="s">
        <v>711</v>
      </c>
      <c r="C466" t="s">
        <v>1179</v>
      </c>
      <c r="D466" t="s">
        <v>318</v>
      </c>
      <c r="G466" t="s">
        <v>8</v>
      </c>
      <c r="H466" t="s">
        <v>898</v>
      </c>
      <c r="I466" t="s">
        <v>712</v>
      </c>
      <c r="J466" t="s">
        <v>713</v>
      </c>
    </row>
    <row r="467" spans="1:10" x14ac:dyDescent="0.25">
      <c r="A467" s="43" t="s">
        <v>2653</v>
      </c>
      <c r="B467" t="s">
        <v>631</v>
      </c>
      <c r="C467" t="s">
        <v>1177</v>
      </c>
      <c r="D467" t="s">
        <v>318</v>
      </c>
      <c r="E467" t="s">
        <v>1247</v>
      </c>
      <c r="G467" t="s">
        <v>8</v>
      </c>
      <c r="H467" t="s">
        <v>898</v>
      </c>
      <c r="I467" t="s">
        <v>1410</v>
      </c>
      <c r="J467" t="s">
        <v>2407</v>
      </c>
    </row>
    <row r="468" spans="1:10" x14ac:dyDescent="0.25">
      <c r="A468" s="43" t="s">
        <v>4320</v>
      </c>
      <c r="B468" t="s">
        <v>741</v>
      </c>
      <c r="C468" t="s">
        <v>1177</v>
      </c>
      <c r="D468" t="s">
        <v>84</v>
      </c>
      <c r="E468" t="s">
        <v>1247</v>
      </c>
      <c r="G468" t="s">
        <v>8</v>
      </c>
      <c r="H468" t="s">
        <v>907</v>
      </c>
      <c r="I468" t="s">
        <v>744</v>
      </c>
      <c r="J468" t="s">
        <v>745</v>
      </c>
    </row>
    <row r="469" spans="1:10" x14ac:dyDescent="0.25">
      <c r="A469" s="43" t="s">
        <v>4383</v>
      </c>
      <c r="B469" t="s">
        <v>241</v>
      </c>
      <c r="C469" t="s">
        <v>1178</v>
      </c>
      <c r="D469" t="s">
        <v>27</v>
      </c>
      <c r="E469" t="s">
        <v>1268</v>
      </c>
      <c r="G469" t="s">
        <v>8</v>
      </c>
      <c r="H469" t="s">
        <v>907</v>
      </c>
      <c r="I469" t="s">
        <v>1367</v>
      </c>
      <c r="J469" t="s">
        <v>2431</v>
      </c>
    </row>
    <row r="470" spans="1:10" x14ac:dyDescent="0.25">
      <c r="A470" s="43" t="s">
        <v>4177</v>
      </c>
      <c r="B470" t="s">
        <v>417</v>
      </c>
      <c r="C470" t="s">
        <v>1178</v>
      </c>
      <c r="D470" t="s">
        <v>318</v>
      </c>
      <c r="E470" t="s">
        <v>1265</v>
      </c>
      <c r="G470" t="s">
        <v>8</v>
      </c>
      <c r="H470" t="s">
        <v>907</v>
      </c>
      <c r="I470" t="s">
        <v>418</v>
      </c>
      <c r="J470" t="s">
        <v>2007</v>
      </c>
    </row>
    <row r="471" spans="1:10" x14ac:dyDescent="0.25">
      <c r="A471" s="43" t="s">
        <v>2517</v>
      </c>
      <c r="B471" t="s">
        <v>421</v>
      </c>
      <c r="C471" t="s">
        <v>1192</v>
      </c>
      <c r="D471" t="s">
        <v>203</v>
      </c>
      <c r="E471" t="s">
        <v>1257</v>
      </c>
      <c r="G471" t="s">
        <v>8</v>
      </c>
      <c r="H471" t="s">
        <v>907</v>
      </c>
      <c r="I471" t="s">
        <v>423</v>
      </c>
      <c r="J471" t="s">
        <v>1706</v>
      </c>
    </row>
    <row r="472" spans="1:10" x14ac:dyDescent="0.25">
      <c r="A472" s="43" t="s">
        <v>4176</v>
      </c>
      <c r="B472" t="s">
        <v>432</v>
      </c>
      <c r="C472" t="s">
        <v>1183</v>
      </c>
      <c r="D472" t="s">
        <v>318</v>
      </c>
      <c r="E472" t="s">
        <v>1286</v>
      </c>
      <c r="G472" t="s">
        <v>8</v>
      </c>
      <c r="H472" t="s">
        <v>907</v>
      </c>
      <c r="I472" t="s">
        <v>436</v>
      </c>
      <c r="J472" t="s">
        <v>2020</v>
      </c>
    </row>
    <row r="473" spans="1:10" x14ac:dyDescent="0.25">
      <c r="A473" s="43" t="s">
        <v>4459</v>
      </c>
      <c r="B473" t="s">
        <v>469</v>
      </c>
      <c r="C473" t="s">
        <v>1178</v>
      </c>
      <c r="D473" t="s">
        <v>27</v>
      </c>
      <c r="E473" t="s">
        <v>1221</v>
      </c>
      <c r="G473" t="s">
        <v>8</v>
      </c>
      <c r="H473" t="s">
        <v>907</v>
      </c>
      <c r="I473" t="s">
        <v>370</v>
      </c>
      <c r="J473" t="s">
        <v>1658</v>
      </c>
    </row>
    <row r="474" spans="1:10" x14ac:dyDescent="0.25">
      <c r="A474" s="43" t="s">
        <v>4470</v>
      </c>
      <c r="B474" t="s">
        <v>479</v>
      </c>
      <c r="C474" t="s">
        <v>1177</v>
      </c>
      <c r="D474" t="s">
        <v>21</v>
      </c>
      <c r="E474" t="s">
        <v>1274</v>
      </c>
      <c r="G474" t="s">
        <v>8</v>
      </c>
      <c r="H474" t="s">
        <v>907</v>
      </c>
      <c r="I474" t="s">
        <v>483</v>
      </c>
      <c r="J474" t="s">
        <v>1681</v>
      </c>
    </row>
    <row r="475" spans="1:10" x14ac:dyDescent="0.25">
      <c r="A475" s="43" t="s">
        <v>4382</v>
      </c>
      <c r="B475" t="s">
        <v>500</v>
      </c>
      <c r="C475" t="s">
        <v>1190</v>
      </c>
      <c r="D475" t="s">
        <v>15</v>
      </c>
      <c r="E475" t="s">
        <v>1257</v>
      </c>
      <c r="G475" t="s">
        <v>8</v>
      </c>
      <c r="H475" t="s">
        <v>907</v>
      </c>
      <c r="I475" t="s">
        <v>115</v>
      </c>
      <c r="J475" t="s">
        <v>503</v>
      </c>
    </row>
    <row r="476" spans="1:10" x14ac:dyDescent="0.25">
      <c r="A476" s="43" t="s">
        <v>2694</v>
      </c>
      <c r="B476" t="s">
        <v>535</v>
      </c>
      <c r="C476" t="s">
        <v>1184</v>
      </c>
      <c r="D476" t="s">
        <v>27</v>
      </c>
      <c r="E476" t="s">
        <v>1397</v>
      </c>
      <c r="G476" t="s">
        <v>8</v>
      </c>
      <c r="H476" t="s">
        <v>907</v>
      </c>
      <c r="I476" t="s">
        <v>536</v>
      </c>
      <c r="J476" t="s">
        <v>2411</v>
      </c>
    </row>
    <row r="477" spans="1:10" x14ac:dyDescent="0.25">
      <c r="A477" s="43" t="s">
        <v>3947</v>
      </c>
      <c r="B477" t="s">
        <v>572</v>
      </c>
      <c r="C477" t="s">
        <v>1177</v>
      </c>
      <c r="D477" t="s">
        <v>318</v>
      </c>
      <c r="E477" t="s">
        <v>1244</v>
      </c>
      <c r="G477" t="s">
        <v>8</v>
      </c>
      <c r="H477" t="s">
        <v>907</v>
      </c>
      <c r="I477" t="s">
        <v>439</v>
      </c>
      <c r="J477" t="s">
        <v>4506</v>
      </c>
    </row>
    <row r="478" spans="1:10" x14ac:dyDescent="0.25">
      <c r="A478" s="43" t="s">
        <v>4448</v>
      </c>
      <c r="B478" t="s">
        <v>572</v>
      </c>
      <c r="C478" t="s">
        <v>1178</v>
      </c>
      <c r="D478" t="s">
        <v>27</v>
      </c>
      <c r="E478" t="s">
        <v>1300</v>
      </c>
      <c r="G478" t="s">
        <v>8</v>
      </c>
      <c r="H478" t="s">
        <v>907</v>
      </c>
      <c r="I478" t="s">
        <v>287</v>
      </c>
      <c r="J478" t="s">
        <v>1724</v>
      </c>
    </row>
    <row r="479" spans="1:10" x14ac:dyDescent="0.25">
      <c r="A479" s="43" t="s">
        <v>4318</v>
      </c>
      <c r="B479" t="s">
        <v>624</v>
      </c>
      <c r="C479" t="s">
        <v>1177</v>
      </c>
      <c r="D479" t="s">
        <v>1214</v>
      </c>
      <c r="E479" t="s">
        <v>1431</v>
      </c>
      <c r="G479" t="s">
        <v>8</v>
      </c>
      <c r="H479" t="s">
        <v>907</v>
      </c>
      <c r="I479" t="s">
        <v>625</v>
      </c>
      <c r="J479" t="s">
        <v>2221</v>
      </c>
    </row>
    <row r="480" spans="1:10" x14ac:dyDescent="0.25">
      <c r="A480" s="43" t="s">
        <v>3946</v>
      </c>
      <c r="B480" t="s">
        <v>624</v>
      </c>
      <c r="C480" t="s">
        <v>1177</v>
      </c>
      <c r="D480" t="s">
        <v>318</v>
      </c>
      <c r="E480" t="s">
        <v>1431</v>
      </c>
      <c r="G480" t="s">
        <v>8</v>
      </c>
      <c r="H480" t="s">
        <v>907</v>
      </c>
      <c r="I480" t="s">
        <v>628</v>
      </c>
      <c r="J480" t="s">
        <v>1987</v>
      </c>
    </row>
    <row r="481" spans="1:10" x14ac:dyDescent="0.25">
      <c r="A481" s="43" t="s">
        <v>4317</v>
      </c>
      <c r="B481" t="s">
        <v>664</v>
      </c>
      <c r="C481" t="s">
        <v>1178</v>
      </c>
      <c r="D481" t="s">
        <v>1214</v>
      </c>
      <c r="E481" t="s">
        <v>1231</v>
      </c>
      <c r="G481" t="s">
        <v>8</v>
      </c>
      <c r="H481" t="s">
        <v>907</v>
      </c>
      <c r="I481" t="s">
        <v>665</v>
      </c>
      <c r="J481" t="s">
        <v>666</v>
      </c>
    </row>
    <row r="482" spans="1:10" x14ac:dyDescent="0.25">
      <c r="A482" s="43" t="s">
        <v>4175</v>
      </c>
      <c r="B482" t="s">
        <v>664</v>
      </c>
      <c r="C482" t="s">
        <v>1178</v>
      </c>
      <c r="D482" t="s">
        <v>318</v>
      </c>
      <c r="E482" t="s">
        <v>1432</v>
      </c>
      <c r="G482" t="s">
        <v>8</v>
      </c>
      <c r="H482" t="s">
        <v>907</v>
      </c>
      <c r="I482" t="s">
        <v>668</v>
      </c>
      <c r="J482" t="s">
        <v>1988</v>
      </c>
    </row>
    <row r="483" spans="1:10" x14ac:dyDescent="0.25">
      <c r="A483" s="43" t="s">
        <v>4174</v>
      </c>
      <c r="B483" t="s">
        <v>734</v>
      </c>
      <c r="C483" t="s">
        <v>1178</v>
      </c>
      <c r="D483" t="s">
        <v>1214</v>
      </c>
      <c r="E483" t="s">
        <v>1329</v>
      </c>
      <c r="G483" t="s">
        <v>8</v>
      </c>
      <c r="H483" t="s">
        <v>907</v>
      </c>
      <c r="I483" t="s">
        <v>735</v>
      </c>
      <c r="J483" t="s">
        <v>736</v>
      </c>
    </row>
    <row r="484" spans="1:10" x14ac:dyDescent="0.25">
      <c r="A484" s="43" t="s">
        <v>4271</v>
      </c>
      <c r="B484" t="s">
        <v>734</v>
      </c>
      <c r="C484" t="s">
        <v>1178</v>
      </c>
      <c r="D484" t="s">
        <v>318</v>
      </c>
      <c r="E484" t="s">
        <v>1374</v>
      </c>
      <c r="G484" t="s">
        <v>8</v>
      </c>
      <c r="H484" t="s">
        <v>907</v>
      </c>
      <c r="I484" t="s">
        <v>738</v>
      </c>
      <c r="J484" t="s">
        <v>739</v>
      </c>
    </row>
    <row r="485" spans="1:10" x14ac:dyDescent="0.25">
      <c r="A485" s="43" t="s">
        <v>4178</v>
      </c>
      <c r="B485" t="s">
        <v>749</v>
      </c>
      <c r="C485" t="s">
        <v>1177</v>
      </c>
      <c r="D485" t="s">
        <v>27</v>
      </c>
      <c r="E485" t="s">
        <v>1237</v>
      </c>
      <c r="G485" t="s">
        <v>8</v>
      </c>
      <c r="H485" t="s">
        <v>907</v>
      </c>
      <c r="I485" t="s">
        <v>750</v>
      </c>
      <c r="J485" t="s">
        <v>1646</v>
      </c>
    </row>
    <row r="486" spans="1:10" x14ac:dyDescent="0.25">
      <c r="A486" s="43" t="s">
        <v>4467</v>
      </c>
      <c r="B486" t="s">
        <v>749</v>
      </c>
      <c r="C486" t="s">
        <v>1177</v>
      </c>
      <c r="D486" t="s">
        <v>27</v>
      </c>
      <c r="E486" t="s">
        <v>1237</v>
      </c>
      <c r="G486" t="s">
        <v>8</v>
      </c>
      <c r="H486" t="s">
        <v>907</v>
      </c>
      <c r="I486" t="s">
        <v>750</v>
      </c>
      <c r="J486" t="s">
        <v>1646</v>
      </c>
    </row>
    <row r="487" spans="1:10" x14ac:dyDescent="0.25">
      <c r="A487" s="43" t="s">
        <v>4361</v>
      </c>
      <c r="B487" t="s">
        <v>749</v>
      </c>
      <c r="C487" t="s">
        <v>1177</v>
      </c>
      <c r="D487" t="s">
        <v>27</v>
      </c>
      <c r="G487" t="s">
        <v>8</v>
      </c>
      <c r="H487" t="s">
        <v>907</v>
      </c>
      <c r="I487" t="s">
        <v>753</v>
      </c>
      <c r="J487" t="s">
        <v>1682</v>
      </c>
    </row>
    <row r="488" spans="1:10" x14ac:dyDescent="0.25">
      <c r="A488" s="43" t="s">
        <v>2639</v>
      </c>
      <c r="B488" t="s">
        <v>749</v>
      </c>
      <c r="C488" t="s">
        <v>1178</v>
      </c>
      <c r="D488" t="s">
        <v>56</v>
      </c>
      <c r="E488" t="s">
        <v>1299</v>
      </c>
      <c r="G488" t="s">
        <v>8</v>
      </c>
      <c r="H488" t="s">
        <v>907</v>
      </c>
      <c r="I488" t="s">
        <v>759</v>
      </c>
      <c r="J488" t="s">
        <v>760</v>
      </c>
    </row>
    <row r="489" spans="1:10" x14ac:dyDescent="0.25">
      <c r="A489" s="43" t="s">
        <v>4319</v>
      </c>
      <c r="B489" t="s">
        <v>773</v>
      </c>
      <c r="C489" t="s">
        <v>1181</v>
      </c>
      <c r="D489" t="s">
        <v>56</v>
      </c>
      <c r="E489" t="s">
        <v>1268</v>
      </c>
      <c r="G489" t="s">
        <v>8</v>
      </c>
      <c r="H489" t="s">
        <v>907</v>
      </c>
      <c r="I489" t="s">
        <v>272</v>
      </c>
      <c r="J489" t="s">
        <v>2414</v>
      </c>
    </row>
    <row r="490" spans="1:10" x14ac:dyDescent="0.25">
      <c r="A490" s="43" t="s">
        <v>4270</v>
      </c>
      <c r="B490" t="s">
        <v>815</v>
      </c>
      <c r="C490" t="s">
        <v>1192</v>
      </c>
      <c r="D490" t="s">
        <v>318</v>
      </c>
      <c r="E490" t="s">
        <v>1387</v>
      </c>
      <c r="G490" t="s">
        <v>8</v>
      </c>
      <c r="H490" t="s">
        <v>907</v>
      </c>
      <c r="I490" t="s">
        <v>816</v>
      </c>
      <c r="J490" t="s">
        <v>817</v>
      </c>
    </row>
    <row r="491" spans="1:10" x14ac:dyDescent="0.25">
      <c r="A491" s="43" t="s">
        <v>4359</v>
      </c>
      <c r="B491" t="s">
        <v>806</v>
      </c>
      <c r="C491" t="s">
        <v>1181</v>
      </c>
      <c r="D491" t="s">
        <v>27</v>
      </c>
      <c r="E491" t="s">
        <v>1239</v>
      </c>
      <c r="G491" t="s">
        <v>8</v>
      </c>
      <c r="H491" t="s">
        <v>907</v>
      </c>
      <c r="I491" t="s">
        <v>810</v>
      </c>
      <c r="J491" t="s">
        <v>4360</v>
      </c>
    </row>
    <row r="492" spans="1:10" x14ac:dyDescent="0.25">
      <c r="A492" s="43" t="s">
        <v>2562</v>
      </c>
      <c r="B492" t="s">
        <v>249</v>
      </c>
      <c r="C492" t="s">
        <v>1182</v>
      </c>
      <c r="D492" t="s">
        <v>15</v>
      </c>
      <c r="E492" t="s">
        <v>1257</v>
      </c>
      <c r="G492" t="s">
        <v>8</v>
      </c>
      <c r="H492" t="s">
        <v>898</v>
      </c>
      <c r="I492" t="s">
        <v>252</v>
      </c>
      <c r="J492" t="s">
        <v>1664</v>
      </c>
    </row>
    <row r="493" spans="1:10" x14ac:dyDescent="0.25">
      <c r="A493" s="43" t="s">
        <v>2638</v>
      </c>
      <c r="B493" t="s">
        <v>255</v>
      </c>
      <c r="C493" t="s">
        <v>1184</v>
      </c>
      <c r="D493" t="s">
        <v>56</v>
      </c>
      <c r="E493" t="s">
        <v>1378</v>
      </c>
      <c r="G493" t="s">
        <v>8</v>
      </c>
      <c r="H493" t="s">
        <v>898</v>
      </c>
      <c r="I493" t="s">
        <v>257</v>
      </c>
      <c r="J493" t="s">
        <v>258</v>
      </c>
    </row>
    <row r="494" spans="1:10" x14ac:dyDescent="0.25">
      <c r="A494" s="43" t="s">
        <v>2569</v>
      </c>
      <c r="B494" t="s">
        <v>302</v>
      </c>
      <c r="C494" t="s">
        <v>1184</v>
      </c>
      <c r="D494" t="s">
        <v>56</v>
      </c>
      <c r="E494" t="s">
        <v>1239</v>
      </c>
      <c r="G494" t="s">
        <v>8</v>
      </c>
      <c r="H494" t="s">
        <v>898</v>
      </c>
      <c r="I494" t="s">
        <v>303</v>
      </c>
      <c r="J494" t="s">
        <v>304</v>
      </c>
    </row>
    <row r="495" spans="1:10" x14ac:dyDescent="0.25">
      <c r="A495" s="43" t="s">
        <v>2652</v>
      </c>
      <c r="B495" t="s">
        <v>311</v>
      </c>
      <c r="C495" t="s">
        <v>1184</v>
      </c>
      <c r="D495" t="s">
        <v>56</v>
      </c>
      <c r="E495" t="s">
        <v>1261</v>
      </c>
      <c r="G495" t="s">
        <v>8</v>
      </c>
      <c r="H495" t="s">
        <v>898</v>
      </c>
      <c r="I495" t="s">
        <v>312</v>
      </c>
      <c r="J495" t="s">
        <v>313</v>
      </c>
    </row>
    <row r="496" spans="1:10" x14ac:dyDescent="0.25">
      <c r="A496" s="43" t="s">
        <v>4316</v>
      </c>
      <c r="B496" t="s">
        <v>315</v>
      </c>
      <c r="C496" t="s">
        <v>1184</v>
      </c>
      <c r="D496" t="s">
        <v>15</v>
      </c>
      <c r="E496" t="s">
        <v>1351</v>
      </c>
      <c r="G496" t="s">
        <v>8</v>
      </c>
      <c r="H496" t="s">
        <v>898</v>
      </c>
      <c r="I496" t="s">
        <v>278</v>
      </c>
      <c r="J496" t="s">
        <v>1787</v>
      </c>
    </row>
    <row r="497" spans="1:10" x14ac:dyDescent="0.25">
      <c r="A497" s="43" t="s">
        <v>4315</v>
      </c>
      <c r="B497" t="s">
        <v>315</v>
      </c>
      <c r="C497" t="s">
        <v>1184</v>
      </c>
      <c r="D497" t="s">
        <v>15</v>
      </c>
      <c r="E497" t="s">
        <v>1351</v>
      </c>
      <c r="G497" t="s">
        <v>8</v>
      </c>
      <c r="H497" t="s">
        <v>898</v>
      </c>
      <c r="I497" t="s">
        <v>111</v>
      </c>
      <c r="J497" t="s">
        <v>1787</v>
      </c>
    </row>
    <row r="498" spans="1:10" x14ac:dyDescent="0.25">
      <c r="A498" s="43" t="s">
        <v>4381</v>
      </c>
      <c r="B498" t="s">
        <v>348</v>
      </c>
      <c r="C498" t="s">
        <v>1184</v>
      </c>
      <c r="D498" t="s">
        <v>27</v>
      </c>
      <c r="E498" t="s">
        <v>1618</v>
      </c>
      <c r="G498" t="s">
        <v>8</v>
      </c>
      <c r="H498" t="s">
        <v>898</v>
      </c>
      <c r="I498" t="s">
        <v>153</v>
      </c>
      <c r="J498" t="s">
        <v>2128</v>
      </c>
    </row>
    <row r="499" spans="1:10" x14ac:dyDescent="0.25">
      <c r="A499" s="43" t="s">
        <v>4447</v>
      </c>
      <c r="B499" t="s">
        <v>348</v>
      </c>
      <c r="C499" t="s">
        <v>1189</v>
      </c>
      <c r="D499" t="s">
        <v>56</v>
      </c>
      <c r="G499" t="s">
        <v>8</v>
      </c>
      <c r="H499" t="s">
        <v>898</v>
      </c>
      <c r="I499" t="s">
        <v>108</v>
      </c>
      <c r="J499" t="s">
        <v>354</v>
      </c>
    </row>
    <row r="500" spans="1:10" x14ac:dyDescent="0.25">
      <c r="A500" s="43" t="s">
        <v>4173</v>
      </c>
      <c r="B500" t="s">
        <v>378</v>
      </c>
      <c r="C500" t="s">
        <v>1184</v>
      </c>
      <c r="D500" t="s">
        <v>318</v>
      </c>
      <c r="E500" t="s">
        <v>1618</v>
      </c>
      <c r="G500" t="s">
        <v>8</v>
      </c>
      <c r="H500" t="s">
        <v>898</v>
      </c>
      <c r="I500" t="s">
        <v>380</v>
      </c>
      <c r="J500" t="s">
        <v>2481</v>
      </c>
    </row>
    <row r="501" spans="1:10" x14ac:dyDescent="0.25">
      <c r="A501" s="43" t="s">
        <v>3945</v>
      </c>
      <c r="B501" t="s">
        <v>378</v>
      </c>
      <c r="C501" t="s">
        <v>1184</v>
      </c>
      <c r="D501" t="s">
        <v>318</v>
      </c>
      <c r="G501" t="s">
        <v>8</v>
      </c>
      <c r="H501" t="s">
        <v>898</v>
      </c>
      <c r="I501" t="s">
        <v>388</v>
      </c>
      <c r="J501" t="s">
        <v>1809</v>
      </c>
    </row>
    <row r="502" spans="1:10" x14ac:dyDescent="0.25">
      <c r="A502" s="43" t="s">
        <v>4269</v>
      </c>
      <c r="B502" t="s">
        <v>711</v>
      </c>
      <c r="C502" t="s">
        <v>1179</v>
      </c>
      <c r="D502" t="s">
        <v>318</v>
      </c>
      <c r="G502" t="s">
        <v>8</v>
      </c>
      <c r="H502" t="s">
        <v>898</v>
      </c>
      <c r="I502" t="s">
        <v>716</v>
      </c>
      <c r="J502" t="s">
        <v>1823</v>
      </c>
    </row>
    <row r="503" spans="1:10" x14ac:dyDescent="0.25">
      <c r="A503" s="43" t="s">
        <v>4171</v>
      </c>
      <c r="B503" t="s">
        <v>711</v>
      </c>
      <c r="C503" t="s">
        <v>1179</v>
      </c>
      <c r="D503" t="s">
        <v>318</v>
      </c>
      <c r="G503" t="s">
        <v>8</v>
      </c>
      <c r="H503" t="s">
        <v>898</v>
      </c>
      <c r="I503" t="s">
        <v>719</v>
      </c>
      <c r="J503" t="s">
        <v>4172</v>
      </c>
    </row>
    <row r="504" spans="1:10" x14ac:dyDescent="0.25">
      <c r="A504" s="43" t="s">
        <v>4437</v>
      </c>
      <c r="B504" t="s">
        <v>725</v>
      </c>
      <c r="C504" t="s">
        <v>1181</v>
      </c>
      <c r="D504" t="s">
        <v>91</v>
      </c>
      <c r="E504" t="s">
        <v>1250</v>
      </c>
      <c r="G504" t="s">
        <v>8</v>
      </c>
      <c r="H504" t="s">
        <v>898</v>
      </c>
      <c r="I504" t="s">
        <v>612</v>
      </c>
      <c r="J504" t="s">
        <v>2460</v>
      </c>
    </row>
    <row r="505" spans="1:10" x14ac:dyDescent="0.25">
      <c r="A505" s="43" t="s">
        <v>4170</v>
      </c>
      <c r="B505" t="s">
        <v>822</v>
      </c>
      <c r="C505" t="s">
        <v>1194</v>
      </c>
      <c r="D505" t="s">
        <v>318</v>
      </c>
      <c r="E505" t="s">
        <v>1247</v>
      </c>
      <c r="G505" t="s">
        <v>8</v>
      </c>
      <c r="H505" t="s">
        <v>898</v>
      </c>
      <c r="I505" t="s">
        <v>445</v>
      </c>
      <c r="J505" t="s">
        <v>1795</v>
      </c>
    </row>
    <row r="506" spans="1:10" x14ac:dyDescent="0.25">
      <c r="A506" s="43" t="s">
        <v>4380</v>
      </c>
      <c r="B506" t="s">
        <v>75</v>
      </c>
      <c r="C506" t="s">
        <v>1177</v>
      </c>
      <c r="D506" t="s">
        <v>84</v>
      </c>
      <c r="E506" t="s">
        <v>1247</v>
      </c>
      <c r="G506" t="s">
        <v>8</v>
      </c>
      <c r="H506" t="s">
        <v>907</v>
      </c>
      <c r="I506" t="s">
        <v>1373</v>
      </c>
      <c r="J506" t="s">
        <v>86</v>
      </c>
    </row>
    <row r="507" spans="1:10" x14ac:dyDescent="0.25">
      <c r="A507" s="43" t="s">
        <v>4169</v>
      </c>
      <c r="B507" t="s">
        <v>552</v>
      </c>
      <c r="C507" t="s">
        <v>1177</v>
      </c>
      <c r="D507" t="s">
        <v>318</v>
      </c>
      <c r="G507" t="s">
        <v>8</v>
      </c>
      <c r="H507" t="s">
        <v>907</v>
      </c>
      <c r="I507" t="s">
        <v>1341</v>
      </c>
      <c r="J507" t="s">
        <v>2119</v>
      </c>
    </row>
    <row r="508" spans="1:10" x14ac:dyDescent="0.25">
      <c r="A508" s="43" t="s">
        <v>3944</v>
      </c>
      <c r="B508" t="s">
        <v>62</v>
      </c>
      <c r="C508" t="s">
        <v>1177</v>
      </c>
      <c r="D508" t="s">
        <v>318</v>
      </c>
      <c r="G508" t="s">
        <v>8</v>
      </c>
      <c r="H508" t="s">
        <v>907</v>
      </c>
      <c r="I508" t="s">
        <v>1254</v>
      </c>
      <c r="J508" t="s">
        <v>1935</v>
      </c>
    </row>
    <row r="509" spans="1:10" x14ac:dyDescent="0.25">
      <c r="A509" s="43" t="s">
        <v>4268</v>
      </c>
      <c r="B509" t="s">
        <v>413</v>
      </c>
      <c r="C509" t="s">
        <v>1178</v>
      </c>
      <c r="E509" t="s">
        <v>1349</v>
      </c>
      <c r="G509" t="s">
        <v>8</v>
      </c>
      <c r="H509" t="s">
        <v>907</v>
      </c>
      <c r="I509" t="s">
        <v>414</v>
      </c>
      <c r="J509" t="s">
        <v>415</v>
      </c>
    </row>
    <row r="510" spans="1:10" x14ac:dyDescent="0.25">
      <c r="A510" s="43" t="s">
        <v>4267</v>
      </c>
      <c r="B510" t="s">
        <v>505</v>
      </c>
      <c r="C510" t="s">
        <v>1194</v>
      </c>
      <c r="D510" t="s">
        <v>27</v>
      </c>
      <c r="E510" t="s">
        <v>1393</v>
      </c>
      <c r="G510" t="s">
        <v>8</v>
      </c>
      <c r="H510" t="s">
        <v>907</v>
      </c>
      <c r="I510" t="s">
        <v>513</v>
      </c>
      <c r="J510" t="s">
        <v>1925</v>
      </c>
    </row>
    <row r="511" spans="1:10" x14ac:dyDescent="0.25">
      <c r="A511" s="43" t="s">
        <v>4168</v>
      </c>
      <c r="B511" t="s">
        <v>635</v>
      </c>
      <c r="C511" t="s">
        <v>1177</v>
      </c>
      <c r="D511" t="s">
        <v>27</v>
      </c>
      <c r="E511" t="s">
        <v>1243</v>
      </c>
      <c r="G511" t="s">
        <v>8</v>
      </c>
      <c r="H511" t="s">
        <v>907</v>
      </c>
      <c r="I511" t="s">
        <v>650</v>
      </c>
      <c r="J511" t="s">
        <v>2010</v>
      </c>
    </row>
    <row r="512" spans="1:10" x14ac:dyDescent="0.25">
      <c r="A512" s="43" t="s">
        <v>4167</v>
      </c>
      <c r="B512" t="s">
        <v>822</v>
      </c>
      <c r="C512" t="s">
        <v>1177</v>
      </c>
      <c r="D512" t="s">
        <v>27</v>
      </c>
      <c r="E512" t="s">
        <v>1243</v>
      </c>
      <c r="G512" t="s">
        <v>8</v>
      </c>
      <c r="H512" t="s">
        <v>907</v>
      </c>
      <c r="I512" t="s">
        <v>1382</v>
      </c>
      <c r="J512" t="s">
        <v>2011</v>
      </c>
    </row>
    <row r="513" spans="1:10" x14ac:dyDescent="0.25">
      <c r="A513" s="43" t="s">
        <v>4266</v>
      </c>
      <c r="B513" t="s">
        <v>2644</v>
      </c>
      <c r="C513" t="s">
        <v>1184</v>
      </c>
      <c r="D513" t="s">
        <v>1216</v>
      </c>
      <c r="E513" t="s">
        <v>1217</v>
      </c>
      <c r="G513" t="s">
        <v>1224</v>
      </c>
      <c r="H513" t="s">
        <v>1225</v>
      </c>
      <c r="I513" t="s">
        <v>1435</v>
      </c>
      <c r="J513" t="s">
        <v>1994</v>
      </c>
    </row>
    <row r="514" spans="1:10" x14ac:dyDescent="0.25">
      <c r="A514" s="43" t="s">
        <v>4165</v>
      </c>
      <c r="B514" t="s">
        <v>2644</v>
      </c>
      <c r="C514" t="s">
        <v>1184</v>
      </c>
      <c r="D514" t="s">
        <v>1216</v>
      </c>
      <c r="E514" t="s">
        <v>1217</v>
      </c>
      <c r="G514" t="s">
        <v>1224</v>
      </c>
      <c r="H514" t="s">
        <v>1225</v>
      </c>
      <c r="I514" t="s">
        <v>1435</v>
      </c>
      <c r="J514" t="s">
        <v>1994</v>
      </c>
    </row>
    <row r="515" spans="1:10" x14ac:dyDescent="0.25">
      <c r="A515" s="43" t="s">
        <v>3942</v>
      </c>
      <c r="B515" t="s">
        <v>222</v>
      </c>
      <c r="C515" t="s">
        <v>1196</v>
      </c>
      <c r="E515" t="s">
        <v>1314</v>
      </c>
      <c r="G515" t="s">
        <v>1224</v>
      </c>
      <c r="H515" t="s">
        <v>1225</v>
      </c>
      <c r="I515" t="s">
        <v>1315</v>
      </c>
      <c r="J515" t="s">
        <v>1743</v>
      </c>
    </row>
    <row r="516" spans="1:10" x14ac:dyDescent="0.25">
      <c r="A516" s="43" t="s">
        <v>2947</v>
      </c>
      <c r="B516" t="s">
        <v>222</v>
      </c>
      <c r="C516" t="s">
        <v>1196</v>
      </c>
      <c r="E516" t="s">
        <v>1314</v>
      </c>
      <c r="G516" t="s">
        <v>1224</v>
      </c>
      <c r="H516" t="s">
        <v>1225</v>
      </c>
      <c r="I516" t="s">
        <v>1315</v>
      </c>
      <c r="J516" t="s">
        <v>1743</v>
      </c>
    </row>
    <row r="517" spans="1:10" x14ac:dyDescent="0.25">
      <c r="A517" s="43" t="s">
        <v>3941</v>
      </c>
      <c r="B517" t="s">
        <v>222</v>
      </c>
      <c r="C517" t="s">
        <v>1196</v>
      </c>
      <c r="E517" t="s">
        <v>1314</v>
      </c>
      <c r="G517" t="s">
        <v>1224</v>
      </c>
      <c r="H517" t="s">
        <v>1225</v>
      </c>
      <c r="I517" t="s">
        <v>1315</v>
      </c>
      <c r="J517" t="s">
        <v>1743</v>
      </c>
    </row>
    <row r="518" spans="1:10" x14ac:dyDescent="0.25">
      <c r="A518" s="43" t="s">
        <v>4265</v>
      </c>
      <c r="B518" t="s">
        <v>222</v>
      </c>
      <c r="C518" t="s">
        <v>1196</v>
      </c>
      <c r="E518" t="s">
        <v>1314</v>
      </c>
      <c r="G518" t="s">
        <v>1224</v>
      </c>
      <c r="H518" t="s">
        <v>1225</v>
      </c>
      <c r="I518" t="s">
        <v>1315</v>
      </c>
      <c r="J518" t="s">
        <v>1743</v>
      </c>
    </row>
    <row r="519" spans="1:10" x14ac:dyDescent="0.25">
      <c r="A519" s="43" t="s">
        <v>4446</v>
      </c>
      <c r="B519" t="s">
        <v>924</v>
      </c>
      <c r="C519" t="s">
        <v>1180</v>
      </c>
      <c r="D519" t="s">
        <v>1213</v>
      </c>
      <c r="E519" t="s">
        <v>1411</v>
      </c>
      <c r="G519" t="s">
        <v>1224</v>
      </c>
      <c r="H519" t="s">
        <v>1225</v>
      </c>
      <c r="I519" t="s">
        <v>1302</v>
      </c>
      <c r="J519" t="s">
        <v>2023</v>
      </c>
    </row>
    <row r="520" spans="1:10" x14ac:dyDescent="0.25">
      <c r="A520" s="43" t="s">
        <v>4358</v>
      </c>
      <c r="B520" t="s">
        <v>924</v>
      </c>
      <c r="C520" t="s">
        <v>1180</v>
      </c>
      <c r="D520" t="s">
        <v>1213</v>
      </c>
      <c r="E520" t="s">
        <v>1411</v>
      </c>
      <c r="G520" t="s">
        <v>1224</v>
      </c>
      <c r="H520" t="s">
        <v>1225</v>
      </c>
      <c r="I520" t="s">
        <v>1302</v>
      </c>
      <c r="J520" t="s">
        <v>2023</v>
      </c>
    </row>
    <row r="521" spans="1:10" x14ac:dyDescent="0.25">
      <c r="A521" s="43" t="s">
        <v>2946</v>
      </c>
      <c r="B521" t="s">
        <v>924</v>
      </c>
      <c r="C521" t="s">
        <v>1177</v>
      </c>
      <c r="D521" t="s">
        <v>1216</v>
      </c>
      <c r="E521" t="s">
        <v>1235</v>
      </c>
      <c r="G521" t="s">
        <v>1224</v>
      </c>
      <c r="H521" t="s">
        <v>1225</v>
      </c>
      <c r="I521" t="s">
        <v>1327</v>
      </c>
      <c r="J521" t="s">
        <v>1756</v>
      </c>
    </row>
    <row r="522" spans="1:10" x14ac:dyDescent="0.25">
      <c r="A522" s="43" t="s">
        <v>2945</v>
      </c>
      <c r="B522" t="s">
        <v>924</v>
      </c>
      <c r="C522" t="s">
        <v>1177</v>
      </c>
      <c r="D522" t="s">
        <v>1216</v>
      </c>
      <c r="E522" t="s">
        <v>1235</v>
      </c>
      <c r="G522" t="s">
        <v>1224</v>
      </c>
      <c r="H522" t="s">
        <v>1225</v>
      </c>
      <c r="I522" t="s">
        <v>1327</v>
      </c>
      <c r="J522" t="s">
        <v>1756</v>
      </c>
    </row>
    <row r="523" spans="1:10" x14ac:dyDescent="0.25">
      <c r="A523" s="43" t="s">
        <v>2561</v>
      </c>
      <c r="B523" t="s">
        <v>526</v>
      </c>
      <c r="C523" t="s">
        <v>1180</v>
      </c>
      <c r="D523" t="s">
        <v>1213</v>
      </c>
      <c r="E523" t="s">
        <v>1221</v>
      </c>
      <c r="G523" t="s">
        <v>1224</v>
      </c>
      <c r="H523" t="s">
        <v>1225</v>
      </c>
      <c r="I523" t="s">
        <v>1415</v>
      </c>
      <c r="J523" t="s">
        <v>1954</v>
      </c>
    </row>
    <row r="524" spans="1:10" x14ac:dyDescent="0.25">
      <c r="A524" s="43" t="s">
        <v>3940</v>
      </c>
      <c r="B524" t="s">
        <v>526</v>
      </c>
      <c r="C524" t="s">
        <v>1180</v>
      </c>
      <c r="D524" t="s">
        <v>1213</v>
      </c>
      <c r="E524" t="s">
        <v>1221</v>
      </c>
      <c r="G524" t="s">
        <v>1224</v>
      </c>
      <c r="H524" t="s">
        <v>1225</v>
      </c>
      <c r="I524" t="s">
        <v>1415</v>
      </c>
      <c r="J524" t="s">
        <v>1954</v>
      </c>
    </row>
    <row r="525" spans="1:10" x14ac:dyDescent="0.25">
      <c r="A525" s="43" t="s">
        <v>4445</v>
      </c>
      <c r="B525" t="s">
        <v>635</v>
      </c>
      <c r="C525" t="s">
        <v>1180</v>
      </c>
      <c r="D525" t="s">
        <v>1216</v>
      </c>
      <c r="E525" t="s">
        <v>1235</v>
      </c>
      <c r="G525" t="s">
        <v>1224</v>
      </c>
      <c r="H525" t="s">
        <v>1225</v>
      </c>
      <c r="I525" t="s">
        <v>1270</v>
      </c>
      <c r="J525" t="s">
        <v>1703</v>
      </c>
    </row>
    <row r="526" spans="1:10" x14ac:dyDescent="0.25">
      <c r="A526" s="43" t="s">
        <v>2637</v>
      </c>
      <c r="B526" t="s">
        <v>635</v>
      </c>
      <c r="C526" t="s">
        <v>1180</v>
      </c>
      <c r="D526" t="s">
        <v>1216</v>
      </c>
      <c r="E526" t="s">
        <v>1235</v>
      </c>
      <c r="G526" t="s">
        <v>1224</v>
      </c>
      <c r="H526" t="s">
        <v>1225</v>
      </c>
      <c r="I526" t="s">
        <v>1270</v>
      </c>
      <c r="J526" t="s">
        <v>1703</v>
      </c>
    </row>
    <row r="527" spans="1:10" x14ac:dyDescent="0.25">
      <c r="A527" s="43" t="s">
        <v>4166</v>
      </c>
      <c r="B527" t="s">
        <v>922</v>
      </c>
      <c r="C527" t="s">
        <v>1196</v>
      </c>
      <c r="E527" t="s">
        <v>1318</v>
      </c>
      <c r="G527" t="s">
        <v>1224</v>
      </c>
      <c r="H527" t="s">
        <v>1225</v>
      </c>
      <c r="I527" t="s">
        <v>1319</v>
      </c>
      <c r="J527" t="s">
        <v>1745</v>
      </c>
    </row>
    <row r="528" spans="1:10" x14ac:dyDescent="0.25">
      <c r="A528" s="43" t="s">
        <v>3943</v>
      </c>
      <c r="B528" t="s">
        <v>922</v>
      </c>
      <c r="C528" t="s">
        <v>1196</v>
      </c>
      <c r="E528" t="s">
        <v>1318</v>
      </c>
      <c r="G528" t="s">
        <v>1224</v>
      </c>
      <c r="H528" t="s">
        <v>1225</v>
      </c>
      <c r="I528" t="s">
        <v>1319</v>
      </c>
      <c r="J528" t="s">
        <v>1745</v>
      </c>
    </row>
    <row r="529" spans="1:10" x14ac:dyDescent="0.25">
      <c r="A529" s="43" t="s">
        <v>4496</v>
      </c>
      <c r="B529" t="s">
        <v>4497</v>
      </c>
      <c r="C529" t="s">
        <v>1178</v>
      </c>
      <c r="D529" t="s">
        <v>15</v>
      </c>
      <c r="E529" t="s">
        <v>1241</v>
      </c>
      <c r="G529" t="s">
        <v>1224</v>
      </c>
      <c r="H529" t="s">
        <v>1225</v>
      </c>
      <c r="I529" t="s">
        <v>1296</v>
      </c>
      <c r="J529" t="s">
        <v>1721</v>
      </c>
    </row>
    <row r="530" spans="1:10" x14ac:dyDescent="0.25">
      <c r="A530" s="43" t="s">
        <v>2523</v>
      </c>
      <c r="B530" t="s">
        <v>2524</v>
      </c>
      <c r="C530" t="s">
        <v>1177</v>
      </c>
      <c r="D530" t="s">
        <v>84</v>
      </c>
      <c r="E530" t="s">
        <v>1241</v>
      </c>
      <c r="G530" t="s">
        <v>1224</v>
      </c>
      <c r="H530" t="s">
        <v>1225</v>
      </c>
      <c r="I530" t="s">
        <v>1242</v>
      </c>
      <c r="J530" t="s">
        <v>1650</v>
      </c>
    </row>
    <row r="531" spans="1:10" x14ac:dyDescent="0.25">
      <c r="A531" s="43" t="s">
        <v>2943</v>
      </c>
      <c r="B531" t="s">
        <v>2944</v>
      </c>
      <c r="C531" t="s">
        <v>1189</v>
      </c>
      <c r="D531" t="s">
        <v>318</v>
      </c>
      <c r="E531" t="s">
        <v>1421</v>
      </c>
      <c r="G531" t="s">
        <v>1224</v>
      </c>
      <c r="H531" t="s">
        <v>1225</v>
      </c>
      <c r="I531" t="s">
        <v>1422</v>
      </c>
      <c r="J531" t="s">
        <v>1963</v>
      </c>
    </row>
    <row r="532" spans="1:10" x14ac:dyDescent="0.25">
      <c r="A532" s="43" t="s">
        <v>3939</v>
      </c>
      <c r="B532" t="s">
        <v>2944</v>
      </c>
      <c r="C532" t="s">
        <v>1189</v>
      </c>
      <c r="D532" t="s">
        <v>318</v>
      </c>
      <c r="E532" t="s">
        <v>1421</v>
      </c>
      <c r="G532" t="s">
        <v>1224</v>
      </c>
      <c r="H532" t="s">
        <v>1225</v>
      </c>
      <c r="I532" t="s">
        <v>1422</v>
      </c>
      <c r="J532" t="s">
        <v>1963</v>
      </c>
    </row>
    <row r="533" spans="1:10" x14ac:dyDescent="0.25">
      <c r="A533" s="43" t="s">
        <v>4378</v>
      </c>
      <c r="B533" t="s">
        <v>908</v>
      </c>
      <c r="C533" t="s">
        <v>1183</v>
      </c>
      <c r="D533" t="s">
        <v>1213</v>
      </c>
      <c r="E533" t="s">
        <v>1411</v>
      </c>
      <c r="G533" t="s">
        <v>1224</v>
      </c>
      <c r="H533" t="s">
        <v>1225</v>
      </c>
      <c r="I533" t="s">
        <v>1308</v>
      </c>
      <c r="J533" t="s">
        <v>1947</v>
      </c>
    </row>
    <row r="534" spans="1:10" x14ac:dyDescent="0.25">
      <c r="A534" s="43" t="s">
        <v>2651</v>
      </c>
      <c r="B534" t="s">
        <v>908</v>
      </c>
      <c r="C534" t="s">
        <v>1183</v>
      </c>
      <c r="D534" t="s">
        <v>1213</v>
      </c>
      <c r="E534" t="s">
        <v>1411</v>
      </c>
      <c r="G534" t="s">
        <v>1224</v>
      </c>
      <c r="H534" t="s">
        <v>1225</v>
      </c>
      <c r="I534" t="s">
        <v>1308</v>
      </c>
      <c r="J534" t="s">
        <v>1947</v>
      </c>
    </row>
    <row r="535" spans="1:10" x14ac:dyDescent="0.25">
      <c r="A535" s="43" t="s">
        <v>2635</v>
      </c>
      <c r="B535" t="s">
        <v>2636</v>
      </c>
      <c r="C535" t="s">
        <v>1179</v>
      </c>
      <c r="D535" t="s">
        <v>91</v>
      </c>
      <c r="E535" t="s">
        <v>1221</v>
      </c>
      <c r="G535" t="s">
        <v>1224</v>
      </c>
      <c r="H535" t="s">
        <v>1225</v>
      </c>
      <c r="I535" t="s">
        <v>1398</v>
      </c>
      <c r="J535" t="s">
        <v>1950</v>
      </c>
    </row>
    <row r="536" spans="1:10" x14ac:dyDescent="0.25">
      <c r="A536" s="43" t="s">
        <v>4357</v>
      </c>
      <c r="B536" t="s">
        <v>2644</v>
      </c>
      <c r="C536" t="s">
        <v>1184</v>
      </c>
      <c r="D536" t="s">
        <v>1216</v>
      </c>
      <c r="E536" t="s">
        <v>1219</v>
      </c>
      <c r="G536" t="s">
        <v>1224</v>
      </c>
      <c r="H536" t="s">
        <v>1225</v>
      </c>
      <c r="I536" t="s">
        <v>1317</v>
      </c>
      <c r="J536" t="s">
        <v>1744</v>
      </c>
    </row>
    <row r="537" spans="1:10" x14ac:dyDescent="0.25">
      <c r="A537" s="43" t="s">
        <v>4377</v>
      </c>
      <c r="B537" t="s">
        <v>2644</v>
      </c>
      <c r="C537" t="s">
        <v>1184</v>
      </c>
      <c r="D537" t="s">
        <v>1216</v>
      </c>
      <c r="E537" t="s">
        <v>1219</v>
      </c>
      <c r="G537" t="s">
        <v>1224</v>
      </c>
      <c r="H537" t="s">
        <v>1225</v>
      </c>
      <c r="I537" t="s">
        <v>1317</v>
      </c>
      <c r="J537" t="s">
        <v>1744</v>
      </c>
    </row>
    <row r="538" spans="1:10" x14ac:dyDescent="0.25">
      <c r="A538" s="43" t="s">
        <v>2528</v>
      </c>
      <c r="B538" t="s">
        <v>924</v>
      </c>
      <c r="C538" t="s">
        <v>1193</v>
      </c>
      <c r="D538" t="s">
        <v>84</v>
      </c>
      <c r="E538" t="s">
        <v>1230</v>
      </c>
      <c r="G538" t="s">
        <v>1224</v>
      </c>
      <c r="H538" t="s">
        <v>1225</v>
      </c>
      <c r="I538" t="s">
        <v>395</v>
      </c>
      <c r="J538" t="s">
        <v>2529</v>
      </c>
    </row>
    <row r="539" spans="1:10" x14ac:dyDescent="0.25">
      <c r="A539" s="43" t="s">
        <v>4474</v>
      </c>
      <c r="B539" t="s">
        <v>526</v>
      </c>
      <c r="C539" t="s">
        <v>1193</v>
      </c>
      <c r="D539" t="s">
        <v>84</v>
      </c>
      <c r="E539" t="s">
        <v>1235</v>
      </c>
      <c r="G539" t="s">
        <v>1224</v>
      </c>
      <c r="H539" t="s">
        <v>1225</v>
      </c>
      <c r="I539" t="s">
        <v>1284</v>
      </c>
      <c r="J539" t="s">
        <v>1707</v>
      </c>
    </row>
    <row r="540" spans="1:10" x14ac:dyDescent="0.25">
      <c r="A540" s="43" t="s">
        <v>4435</v>
      </c>
      <c r="B540" t="s">
        <v>572</v>
      </c>
      <c r="C540" t="s">
        <v>1178</v>
      </c>
      <c r="D540" t="s">
        <v>27</v>
      </c>
      <c r="E540" t="s">
        <v>1325</v>
      </c>
      <c r="G540" t="s">
        <v>1224</v>
      </c>
      <c r="H540" t="s">
        <v>1225</v>
      </c>
      <c r="I540" t="s">
        <v>3150</v>
      </c>
      <c r="J540" t="s">
        <v>2441</v>
      </c>
    </row>
    <row r="541" spans="1:10" x14ac:dyDescent="0.25">
      <c r="A541" s="43" t="s">
        <v>2942</v>
      </c>
      <c r="B541" t="s">
        <v>586</v>
      </c>
      <c r="C541" t="s">
        <v>1194</v>
      </c>
      <c r="D541" t="s">
        <v>1213</v>
      </c>
      <c r="E541" t="s">
        <v>1402</v>
      </c>
      <c r="G541" t="s">
        <v>1224</v>
      </c>
      <c r="H541" t="s">
        <v>1225</v>
      </c>
      <c r="I541" t="s">
        <v>1403</v>
      </c>
      <c r="J541" t="s">
        <v>1920</v>
      </c>
    </row>
    <row r="542" spans="1:10" x14ac:dyDescent="0.25">
      <c r="A542" s="43" t="s">
        <v>2567</v>
      </c>
      <c r="B542" t="s">
        <v>2568</v>
      </c>
      <c r="C542" t="s">
        <v>1177</v>
      </c>
      <c r="D542" t="s">
        <v>15</v>
      </c>
      <c r="E542" t="s">
        <v>1223</v>
      </c>
      <c r="G542" t="s">
        <v>1224</v>
      </c>
      <c r="H542" t="s">
        <v>1225</v>
      </c>
      <c r="I542" t="s">
        <v>399</v>
      </c>
      <c r="J542" t="s">
        <v>1995</v>
      </c>
    </row>
    <row r="543" spans="1:10" x14ac:dyDescent="0.25">
      <c r="A543" s="43" t="s">
        <v>2941</v>
      </c>
      <c r="B543" t="s">
        <v>2568</v>
      </c>
      <c r="C543" t="s">
        <v>1177</v>
      </c>
      <c r="D543" t="s">
        <v>15</v>
      </c>
      <c r="E543" t="s">
        <v>1223</v>
      </c>
      <c r="G543" t="s">
        <v>1224</v>
      </c>
      <c r="H543" t="s">
        <v>1225</v>
      </c>
      <c r="I543" t="s">
        <v>399</v>
      </c>
      <c r="J543" t="s">
        <v>1995</v>
      </c>
    </row>
    <row r="544" spans="1:10" x14ac:dyDescent="0.25">
      <c r="A544" s="43" t="s">
        <v>4436</v>
      </c>
      <c r="B544" t="s">
        <v>2568</v>
      </c>
      <c r="C544" t="s">
        <v>1179</v>
      </c>
      <c r="D544" t="s">
        <v>91</v>
      </c>
      <c r="E544" t="s">
        <v>1244</v>
      </c>
      <c r="G544" t="s">
        <v>1224</v>
      </c>
      <c r="H544" t="s">
        <v>1225</v>
      </c>
      <c r="I544" t="s">
        <v>689</v>
      </c>
      <c r="J544" t="s">
        <v>1950</v>
      </c>
    </row>
    <row r="545" spans="1:10" x14ac:dyDescent="0.25">
      <c r="A545" s="43" t="s">
        <v>2940</v>
      </c>
      <c r="B545" t="s">
        <v>2568</v>
      </c>
      <c r="C545" t="s">
        <v>1179</v>
      </c>
      <c r="D545" t="s">
        <v>91</v>
      </c>
      <c r="E545" t="s">
        <v>1244</v>
      </c>
      <c r="G545" t="s">
        <v>1224</v>
      </c>
      <c r="H545" t="s">
        <v>1225</v>
      </c>
      <c r="I545" t="s">
        <v>689</v>
      </c>
      <c r="J545" t="s">
        <v>1950</v>
      </c>
    </row>
    <row r="546" spans="1:10" x14ac:dyDescent="0.25">
      <c r="A546" s="43" t="s">
        <v>2939</v>
      </c>
      <c r="B546" t="s">
        <v>2568</v>
      </c>
      <c r="C546" t="s">
        <v>1179</v>
      </c>
      <c r="D546" t="s">
        <v>91</v>
      </c>
      <c r="E546" t="s">
        <v>1244</v>
      </c>
      <c r="G546" t="s">
        <v>1224</v>
      </c>
      <c r="H546" t="s">
        <v>1225</v>
      </c>
      <c r="J546" t="s">
        <v>1950</v>
      </c>
    </row>
    <row r="547" spans="1:10" x14ac:dyDescent="0.25">
      <c r="A547" s="43" t="s">
        <v>2501</v>
      </c>
      <c r="B547" t="s">
        <v>635</v>
      </c>
      <c r="C547" t="s">
        <v>1193</v>
      </c>
      <c r="D547" t="s">
        <v>84</v>
      </c>
      <c r="E547" t="s">
        <v>1266</v>
      </c>
      <c r="G547" t="s">
        <v>1224</v>
      </c>
      <c r="H547" t="s">
        <v>1225</v>
      </c>
      <c r="I547" t="s">
        <v>1284</v>
      </c>
      <c r="J547" t="s">
        <v>2502</v>
      </c>
    </row>
    <row r="548" spans="1:10" x14ac:dyDescent="0.25">
      <c r="A548" s="43" t="s">
        <v>4466</v>
      </c>
      <c r="B548" t="s">
        <v>741</v>
      </c>
      <c r="C548" t="s">
        <v>1177</v>
      </c>
      <c r="D548" t="s">
        <v>1213</v>
      </c>
      <c r="E548" t="s">
        <v>1247</v>
      </c>
      <c r="G548" t="s">
        <v>1224</v>
      </c>
      <c r="H548" t="s">
        <v>1225</v>
      </c>
      <c r="I548" t="s">
        <v>686</v>
      </c>
      <c r="J548" t="s">
        <v>1694</v>
      </c>
    </row>
    <row r="549" spans="1:10" x14ac:dyDescent="0.25">
      <c r="A549" s="43" t="s">
        <v>915</v>
      </c>
      <c r="B549" t="s">
        <v>2541</v>
      </c>
      <c r="C549" t="s">
        <v>1177</v>
      </c>
      <c r="E549" t="s">
        <v>1286</v>
      </c>
      <c r="G549" t="s">
        <v>1224</v>
      </c>
      <c r="H549" t="s">
        <v>1225</v>
      </c>
      <c r="I549" t="s">
        <v>1301</v>
      </c>
      <c r="J549" t="s">
        <v>1725</v>
      </c>
    </row>
    <row r="550" spans="1:10" x14ac:dyDescent="0.25">
      <c r="A550" s="43" t="s">
        <v>2649</v>
      </c>
      <c r="B550" t="s">
        <v>2650</v>
      </c>
      <c r="C550" t="s">
        <v>1628</v>
      </c>
      <c r="D550" t="s">
        <v>91</v>
      </c>
      <c r="E550" t="s">
        <v>1285</v>
      </c>
      <c r="G550" t="s">
        <v>1224</v>
      </c>
      <c r="H550" t="s">
        <v>1225</v>
      </c>
      <c r="I550" t="s">
        <v>1629</v>
      </c>
      <c r="J550" t="s">
        <v>2476</v>
      </c>
    </row>
    <row r="551" spans="1:10" x14ac:dyDescent="0.25">
      <c r="A551" s="43" t="s">
        <v>2648</v>
      </c>
      <c r="B551" t="s">
        <v>941</v>
      </c>
      <c r="C551" t="s">
        <v>1180</v>
      </c>
      <c r="D551" t="s">
        <v>91</v>
      </c>
      <c r="E551" t="s">
        <v>1266</v>
      </c>
      <c r="G551" t="s">
        <v>1224</v>
      </c>
      <c r="H551" t="s">
        <v>1225</v>
      </c>
      <c r="I551" t="s">
        <v>45</v>
      </c>
      <c r="J551" t="s">
        <v>1877</v>
      </c>
    </row>
    <row r="552" spans="1:10" x14ac:dyDescent="0.25">
      <c r="A552" s="43" t="s">
        <v>2938</v>
      </c>
      <c r="B552" t="s">
        <v>941</v>
      </c>
      <c r="C552" t="s">
        <v>1180</v>
      </c>
      <c r="D552" t="s">
        <v>91</v>
      </c>
      <c r="E552" t="s">
        <v>1266</v>
      </c>
      <c r="G552" t="s">
        <v>1224</v>
      </c>
      <c r="H552" t="s">
        <v>1225</v>
      </c>
      <c r="I552" t="s">
        <v>45</v>
      </c>
      <c r="J552" t="s">
        <v>1877</v>
      </c>
    </row>
    <row r="553" spans="1:10" x14ac:dyDescent="0.25">
      <c r="A553" s="43" t="s">
        <v>1169</v>
      </c>
      <c r="B553" t="s">
        <v>856</v>
      </c>
      <c r="C553" t="s">
        <v>1180</v>
      </c>
      <c r="E553" t="s">
        <v>1239</v>
      </c>
      <c r="G553" t="s">
        <v>1224</v>
      </c>
      <c r="H553" t="s">
        <v>1225</v>
      </c>
      <c r="I553" t="s">
        <v>1293</v>
      </c>
      <c r="J553" t="s">
        <v>2467</v>
      </c>
    </row>
    <row r="554" spans="1:10" x14ac:dyDescent="0.25">
      <c r="A554" s="43" t="s">
        <v>4379</v>
      </c>
      <c r="B554" t="s">
        <v>2935</v>
      </c>
      <c r="C554" t="s">
        <v>1179</v>
      </c>
      <c r="D554" t="s">
        <v>318</v>
      </c>
      <c r="E554" t="s">
        <v>1266</v>
      </c>
      <c r="G554" t="s">
        <v>1224</v>
      </c>
      <c r="H554" t="s">
        <v>1225</v>
      </c>
      <c r="I554" t="s">
        <v>681</v>
      </c>
      <c r="J554" t="s">
        <v>2418</v>
      </c>
    </row>
    <row r="555" spans="1:10" x14ac:dyDescent="0.25">
      <c r="A555" s="43" t="s">
        <v>3937</v>
      </c>
      <c r="B555" t="s">
        <v>3938</v>
      </c>
      <c r="C555" t="s">
        <v>1206</v>
      </c>
      <c r="D555" t="s">
        <v>15</v>
      </c>
      <c r="E555" t="s">
        <v>1228</v>
      </c>
      <c r="G555" t="s">
        <v>1225</v>
      </c>
      <c r="H555" t="s">
        <v>1225</v>
      </c>
      <c r="I555" t="s">
        <v>257</v>
      </c>
      <c r="J555" t="s">
        <v>1953</v>
      </c>
    </row>
    <row r="556" spans="1:10" x14ac:dyDescent="0.25">
      <c r="A556" s="43" t="s">
        <v>4263</v>
      </c>
      <c r="B556" t="s">
        <v>4264</v>
      </c>
      <c r="C556" t="s">
        <v>1206</v>
      </c>
      <c r="D556" t="s">
        <v>56</v>
      </c>
      <c r="E556" t="s">
        <v>1307</v>
      </c>
      <c r="G556" t="s">
        <v>1225</v>
      </c>
      <c r="H556" t="s">
        <v>1225</v>
      </c>
      <c r="I556" t="s">
        <v>37</v>
      </c>
      <c r="J556" t="s">
        <v>1951</v>
      </c>
    </row>
    <row r="557" spans="1:10" x14ac:dyDescent="0.25">
      <c r="A557" s="43" t="s">
        <v>2937</v>
      </c>
      <c r="B557" t="s">
        <v>526</v>
      </c>
      <c r="C557" t="s">
        <v>1177</v>
      </c>
      <c r="D557" t="s">
        <v>931</v>
      </c>
      <c r="E557" t="s">
        <v>1217</v>
      </c>
      <c r="G557" t="s">
        <v>1225</v>
      </c>
      <c r="H557" t="s">
        <v>1225</v>
      </c>
      <c r="I557" t="s">
        <v>1322</v>
      </c>
      <c r="J557" t="s">
        <v>2021</v>
      </c>
    </row>
    <row r="558" spans="1:10" x14ac:dyDescent="0.25">
      <c r="A558" s="43" t="s">
        <v>4262</v>
      </c>
      <c r="B558" t="s">
        <v>592</v>
      </c>
      <c r="C558" t="s">
        <v>1194</v>
      </c>
      <c r="D558" t="s">
        <v>318</v>
      </c>
      <c r="E558" t="s">
        <v>1247</v>
      </c>
      <c r="G558" t="s">
        <v>1225</v>
      </c>
      <c r="H558" t="s">
        <v>1225</v>
      </c>
      <c r="I558" t="s">
        <v>1386</v>
      </c>
      <c r="J558" t="s">
        <v>1866</v>
      </c>
    </row>
    <row r="559" spans="1:10" x14ac:dyDescent="0.25">
      <c r="A559" s="43" t="s">
        <v>2828</v>
      </c>
      <c r="B559" t="s">
        <v>2513</v>
      </c>
      <c r="C559" t="s">
        <v>1182</v>
      </c>
      <c r="D559" t="s">
        <v>15</v>
      </c>
      <c r="E559" t="s">
        <v>1250</v>
      </c>
      <c r="G559" t="s">
        <v>1225</v>
      </c>
      <c r="H559" t="s">
        <v>1225</v>
      </c>
      <c r="I559" t="s">
        <v>472</v>
      </c>
      <c r="J559" t="s">
        <v>1889</v>
      </c>
    </row>
    <row r="560" spans="1:10" x14ac:dyDescent="0.25">
      <c r="A560" s="43" t="s">
        <v>4355</v>
      </c>
      <c r="B560" t="s">
        <v>4356</v>
      </c>
      <c r="C560" t="s">
        <v>1183</v>
      </c>
      <c r="D560" t="s">
        <v>27</v>
      </c>
      <c r="E560" t="s">
        <v>1286</v>
      </c>
      <c r="G560" t="s">
        <v>1225</v>
      </c>
      <c r="H560" t="s">
        <v>1225</v>
      </c>
      <c r="I560" t="s">
        <v>1394</v>
      </c>
      <c r="J560" t="s">
        <v>1891</v>
      </c>
    </row>
    <row r="561" spans="1:10" x14ac:dyDescent="0.25">
      <c r="A561" s="43" t="s">
        <v>2927</v>
      </c>
      <c r="B561" t="s">
        <v>216</v>
      </c>
      <c r="C561" t="s">
        <v>1183</v>
      </c>
      <c r="D561" t="s">
        <v>21</v>
      </c>
      <c r="E561" t="s">
        <v>1228</v>
      </c>
      <c r="G561" t="s">
        <v>1225</v>
      </c>
      <c r="H561" t="s">
        <v>1225</v>
      </c>
      <c r="I561" t="s">
        <v>2928</v>
      </c>
      <c r="J561" t="s">
        <v>1934</v>
      </c>
    </row>
    <row r="562" spans="1:10" x14ac:dyDescent="0.25">
      <c r="A562" s="43" t="s">
        <v>2932</v>
      </c>
      <c r="B562" t="s">
        <v>2933</v>
      </c>
      <c r="C562" t="s">
        <v>1189</v>
      </c>
      <c r="D562" t="s">
        <v>84</v>
      </c>
      <c r="E562" t="s">
        <v>1219</v>
      </c>
      <c r="G562" t="s">
        <v>1225</v>
      </c>
      <c r="H562" t="s">
        <v>1225</v>
      </c>
      <c r="I562" t="s">
        <v>589</v>
      </c>
      <c r="J562" t="s">
        <v>1865</v>
      </c>
    </row>
    <row r="563" spans="1:10" x14ac:dyDescent="0.25">
      <c r="A563" s="43" t="s">
        <v>3222</v>
      </c>
      <c r="B563" t="s">
        <v>572</v>
      </c>
      <c r="C563" t="s">
        <v>1177</v>
      </c>
      <c r="D563" t="s">
        <v>931</v>
      </c>
      <c r="E563" t="s">
        <v>1230</v>
      </c>
      <c r="G563" t="s">
        <v>1225</v>
      </c>
      <c r="H563" t="s">
        <v>1225</v>
      </c>
      <c r="I563" t="s">
        <v>3223</v>
      </c>
      <c r="J563" t="s">
        <v>3224</v>
      </c>
    </row>
    <row r="564" spans="1:10" x14ac:dyDescent="0.25">
      <c r="A564" s="43" t="s">
        <v>2930</v>
      </c>
      <c r="B564" t="s">
        <v>2824</v>
      </c>
      <c r="C564" t="s">
        <v>1183</v>
      </c>
      <c r="D564" t="s">
        <v>27</v>
      </c>
      <c r="E564" t="s">
        <v>1343</v>
      </c>
      <c r="G564" t="s">
        <v>1225</v>
      </c>
      <c r="H564" t="s">
        <v>1225</v>
      </c>
      <c r="I564" t="s">
        <v>2931</v>
      </c>
      <c r="J564" t="s">
        <v>1775</v>
      </c>
    </row>
    <row r="565" spans="1:10" x14ac:dyDescent="0.25">
      <c r="A565" s="43" t="s">
        <v>3227</v>
      </c>
      <c r="B565" t="s">
        <v>2568</v>
      </c>
      <c r="C565" t="s">
        <v>1179</v>
      </c>
      <c r="D565" t="s">
        <v>91</v>
      </c>
      <c r="E565" t="s">
        <v>1244</v>
      </c>
      <c r="G565" t="s">
        <v>1225</v>
      </c>
      <c r="H565" t="s">
        <v>1225</v>
      </c>
      <c r="I565" t="s">
        <v>1366</v>
      </c>
      <c r="J565" t="s">
        <v>2002</v>
      </c>
    </row>
    <row r="566" spans="1:10" x14ac:dyDescent="0.25">
      <c r="A566" s="43" t="s">
        <v>3226</v>
      </c>
      <c r="B566" t="s">
        <v>655</v>
      </c>
      <c r="C566" t="s">
        <v>1206</v>
      </c>
      <c r="D566" t="s">
        <v>56</v>
      </c>
      <c r="E566" t="s">
        <v>1223</v>
      </c>
      <c r="G566" t="s">
        <v>1225</v>
      </c>
      <c r="H566" t="s">
        <v>1225</v>
      </c>
      <c r="I566" t="s">
        <v>1381</v>
      </c>
      <c r="J566" t="s">
        <v>1890</v>
      </c>
    </row>
    <row r="567" spans="1:10" x14ac:dyDescent="0.25">
      <c r="A567" s="43" t="s">
        <v>2929</v>
      </c>
      <c r="B567" t="s">
        <v>678</v>
      </c>
      <c r="C567" t="s">
        <v>1183</v>
      </c>
      <c r="D567" t="s">
        <v>318</v>
      </c>
      <c r="E567" t="s">
        <v>1354</v>
      </c>
      <c r="G567" t="s">
        <v>1225</v>
      </c>
      <c r="H567" t="s">
        <v>1225</v>
      </c>
      <c r="I567" t="s">
        <v>716</v>
      </c>
      <c r="J567" t="s">
        <v>1793</v>
      </c>
    </row>
    <row r="568" spans="1:10" x14ac:dyDescent="0.25">
      <c r="A568" s="43" t="s">
        <v>3225</v>
      </c>
      <c r="B568" t="s">
        <v>773</v>
      </c>
      <c r="C568" t="s">
        <v>1179</v>
      </c>
      <c r="D568" t="s">
        <v>91</v>
      </c>
      <c r="E568" t="s">
        <v>1243</v>
      </c>
      <c r="G568" t="s">
        <v>1225</v>
      </c>
      <c r="H568" t="s">
        <v>1225</v>
      </c>
      <c r="I568" t="s">
        <v>508</v>
      </c>
      <c r="J568" t="s">
        <v>1844</v>
      </c>
    </row>
    <row r="569" spans="1:10" x14ac:dyDescent="0.25">
      <c r="A569" s="43" t="s">
        <v>2936</v>
      </c>
      <c r="B569" t="s">
        <v>2541</v>
      </c>
      <c r="C569" t="s">
        <v>1178</v>
      </c>
      <c r="E569" t="s">
        <v>1235</v>
      </c>
      <c r="G569" t="s">
        <v>1225</v>
      </c>
      <c r="H569" t="s">
        <v>1225</v>
      </c>
      <c r="I569" t="s">
        <v>650</v>
      </c>
      <c r="J569" t="s">
        <v>1774</v>
      </c>
    </row>
    <row r="570" spans="1:10" x14ac:dyDescent="0.25">
      <c r="A570" s="43" t="s">
        <v>3228</v>
      </c>
      <c r="B570" t="s">
        <v>856</v>
      </c>
      <c r="C570" t="s">
        <v>1194</v>
      </c>
      <c r="E570" t="s">
        <v>1351</v>
      </c>
      <c r="G570" t="s">
        <v>1225</v>
      </c>
      <c r="H570" t="s">
        <v>1225</v>
      </c>
      <c r="I570" t="s">
        <v>297</v>
      </c>
      <c r="J570" t="s">
        <v>2000</v>
      </c>
    </row>
    <row r="571" spans="1:10" x14ac:dyDescent="0.25">
      <c r="A571" s="43" t="s">
        <v>2934</v>
      </c>
      <c r="B571" t="s">
        <v>2935</v>
      </c>
      <c r="C571" t="s">
        <v>1179</v>
      </c>
      <c r="D571" t="s">
        <v>15</v>
      </c>
      <c r="E571" t="s">
        <v>1286</v>
      </c>
      <c r="G571" t="s">
        <v>1225</v>
      </c>
      <c r="H571" t="s">
        <v>1225</v>
      </c>
      <c r="I571" t="s">
        <v>632</v>
      </c>
      <c r="J571" t="s">
        <v>1809</v>
      </c>
    </row>
    <row r="572" spans="1:10" x14ac:dyDescent="0.25">
      <c r="A572" s="43" t="s">
        <v>2758</v>
      </c>
      <c r="B572" t="s">
        <v>1095</v>
      </c>
      <c r="C572" s="33">
        <v>4.9999999999999996E-2</v>
      </c>
      <c r="E572" t="s">
        <v>1546</v>
      </c>
      <c r="G572" t="s">
        <v>1224</v>
      </c>
      <c r="H572" t="s">
        <v>1225</v>
      </c>
      <c r="I572" t="s">
        <v>1547</v>
      </c>
    </row>
    <row r="573" spans="1:10" x14ac:dyDescent="0.25">
      <c r="A573" s="43" t="s">
        <v>4376</v>
      </c>
      <c r="B573" t="s">
        <v>176</v>
      </c>
      <c r="C573" t="s">
        <v>1203</v>
      </c>
      <c r="D573" t="s">
        <v>1213</v>
      </c>
      <c r="E573" t="s">
        <v>1266</v>
      </c>
      <c r="G573" t="s">
        <v>1224</v>
      </c>
      <c r="H573" t="s">
        <v>1225</v>
      </c>
      <c r="I573" t="s">
        <v>1377</v>
      </c>
      <c r="J573" t="s">
        <v>1849</v>
      </c>
    </row>
    <row r="574" spans="1:10" x14ac:dyDescent="0.25">
      <c r="A574" s="43" t="s">
        <v>2826</v>
      </c>
      <c r="B574" t="s">
        <v>176</v>
      </c>
      <c r="C574" t="s">
        <v>1203</v>
      </c>
      <c r="D574" t="s">
        <v>1213</v>
      </c>
      <c r="E574" t="s">
        <v>1266</v>
      </c>
      <c r="G574" t="s">
        <v>1224</v>
      </c>
      <c r="H574" t="s">
        <v>1225</v>
      </c>
      <c r="I574" t="s">
        <v>1377</v>
      </c>
      <c r="J574" t="s">
        <v>1849</v>
      </c>
    </row>
    <row r="575" spans="1:10" x14ac:dyDescent="0.25">
      <c r="A575" s="43" t="s">
        <v>3221</v>
      </c>
      <c r="B575" t="s">
        <v>176</v>
      </c>
      <c r="C575" t="s">
        <v>1203</v>
      </c>
      <c r="D575" t="s">
        <v>1213</v>
      </c>
      <c r="G575" t="s">
        <v>1224</v>
      </c>
      <c r="H575" t="s">
        <v>1225</v>
      </c>
      <c r="I575" t="s">
        <v>1377</v>
      </c>
    </row>
    <row r="576" spans="1:10" x14ac:dyDescent="0.25">
      <c r="A576" s="43" t="s">
        <v>4163</v>
      </c>
      <c r="B576" t="s">
        <v>441</v>
      </c>
      <c r="C576" t="s">
        <v>1185</v>
      </c>
      <c r="D576" t="s">
        <v>1213</v>
      </c>
      <c r="E576" t="s">
        <v>1228</v>
      </c>
      <c r="G576" t="s">
        <v>1224</v>
      </c>
      <c r="H576" t="s">
        <v>1225</v>
      </c>
      <c r="I576" t="s">
        <v>4164</v>
      </c>
      <c r="J576" t="s">
        <v>1735</v>
      </c>
    </row>
    <row r="577" spans="1:10" x14ac:dyDescent="0.25">
      <c r="A577" s="43" t="s">
        <v>2540</v>
      </c>
      <c r="B577" t="s">
        <v>441</v>
      </c>
      <c r="C577" t="s">
        <v>1185</v>
      </c>
      <c r="D577" t="s">
        <v>1213</v>
      </c>
      <c r="E577" t="s">
        <v>1228</v>
      </c>
      <c r="G577" t="s">
        <v>1224</v>
      </c>
      <c r="H577" t="s">
        <v>1225</v>
      </c>
      <c r="I577" t="s">
        <v>1306</v>
      </c>
      <c r="J577" t="s">
        <v>1735</v>
      </c>
    </row>
    <row r="578" spans="1:10" x14ac:dyDescent="0.25">
      <c r="A578" s="43" t="s">
        <v>2825</v>
      </c>
      <c r="B578" t="s">
        <v>441</v>
      </c>
      <c r="C578" t="s">
        <v>1185</v>
      </c>
      <c r="D578" t="s">
        <v>1213</v>
      </c>
      <c r="E578" t="s">
        <v>1228</v>
      </c>
      <c r="G578" t="s">
        <v>1224</v>
      </c>
      <c r="H578" t="s">
        <v>1225</v>
      </c>
      <c r="I578" t="s">
        <v>1306</v>
      </c>
      <c r="J578" t="s">
        <v>1735</v>
      </c>
    </row>
    <row r="579" spans="1:10" x14ac:dyDescent="0.25">
      <c r="A579" s="43" t="s">
        <v>2539</v>
      </c>
      <c r="B579" t="s">
        <v>526</v>
      </c>
      <c r="C579" t="s">
        <v>1185</v>
      </c>
      <c r="D579" t="s">
        <v>1213</v>
      </c>
      <c r="E579" t="s">
        <v>1249</v>
      </c>
      <c r="G579" t="s">
        <v>1224</v>
      </c>
      <c r="H579" t="s">
        <v>1225</v>
      </c>
      <c r="I579" t="s">
        <v>1252</v>
      </c>
      <c r="J579" t="s">
        <v>1659</v>
      </c>
    </row>
    <row r="580" spans="1:10" x14ac:dyDescent="0.25">
      <c r="A580" s="43" t="s">
        <v>4162</v>
      </c>
      <c r="B580" t="s">
        <v>526</v>
      </c>
      <c r="C580" t="s">
        <v>1185</v>
      </c>
      <c r="D580" t="s">
        <v>1213</v>
      </c>
      <c r="E580" t="s">
        <v>1249</v>
      </c>
      <c r="G580" t="s">
        <v>1224</v>
      </c>
      <c r="H580" t="s">
        <v>1225</v>
      </c>
      <c r="I580" t="s">
        <v>1252</v>
      </c>
      <c r="J580" t="s">
        <v>1659</v>
      </c>
    </row>
    <row r="581" spans="1:10" x14ac:dyDescent="0.25">
      <c r="A581" s="43" t="s">
        <v>2647</v>
      </c>
      <c r="B581" t="s">
        <v>586</v>
      </c>
      <c r="C581" t="s">
        <v>1177</v>
      </c>
      <c r="D581" t="s">
        <v>1213</v>
      </c>
      <c r="E581" t="s">
        <v>1247</v>
      </c>
      <c r="G581" t="s">
        <v>1224</v>
      </c>
      <c r="H581" t="s">
        <v>1225</v>
      </c>
      <c r="I581" t="s">
        <v>1264</v>
      </c>
      <c r="J581" t="s">
        <v>1671</v>
      </c>
    </row>
    <row r="582" spans="1:10" x14ac:dyDescent="0.25">
      <c r="A582" s="43" t="s">
        <v>2549</v>
      </c>
      <c r="B582" t="s">
        <v>918</v>
      </c>
      <c r="C582" t="s">
        <v>1185</v>
      </c>
      <c r="D582" t="s">
        <v>1216</v>
      </c>
      <c r="E582" t="s">
        <v>1239</v>
      </c>
      <c r="G582" t="s">
        <v>1224</v>
      </c>
      <c r="H582" t="s">
        <v>1225</v>
      </c>
      <c r="I582" t="s">
        <v>1308</v>
      </c>
      <c r="J582" t="s">
        <v>1667</v>
      </c>
    </row>
    <row r="583" spans="1:10" x14ac:dyDescent="0.25">
      <c r="A583" s="43" t="s">
        <v>2827</v>
      </c>
      <c r="B583" t="s">
        <v>856</v>
      </c>
      <c r="C583" t="s">
        <v>1194</v>
      </c>
      <c r="E583" t="s">
        <v>1239</v>
      </c>
      <c r="G583" t="s">
        <v>1224</v>
      </c>
      <c r="H583" t="s">
        <v>1225</v>
      </c>
      <c r="I583" t="s">
        <v>1386</v>
      </c>
      <c r="J583" t="s">
        <v>2132</v>
      </c>
    </row>
    <row r="584" spans="1:10" x14ac:dyDescent="0.25">
      <c r="A584" s="43" t="s">
        <v>2538</v>
      </c>
      <c r="B584" t="s">
        <v>48</v>
      </c>
      <c r="C584" t="s">
        <v>1179</v>
      </c>
      <c r="D584" t="s">
        <v>56</v>
      </c>
      <c r="E584" t="s">
        <v>1223</v>
      </c>
      <c r="G584" t="s">
        <v>1224</v>
      </c>
      <c r="H584" t="s">
        <v>1225</v>
      </c>
      <c r="I584" t="s">
        <v>23</v>
      </c>
      <c r="J584" t="s">
        <v>1637</v>
      </c>
    </row>
    <row r="585" spans="1:10" x14ac:dyDescent="0.25">
      <c r="A585" s="43" t="s">
        <v>4153</v>
      </c>
      <c r="B585" t="s">
        <v>48</v>
      </c>
      <c r="C585" t="s">
        <v>1179</v>
      </c>
      <c r="D585" t="s">
        <v>56</v>
      </c>
      <c r="E585" t="s">
        <v>1223</v>
      </c>
      <c r="G585" t="s">
        <v>1224</v>
      </c>
      <c r="H585" t="s">
        <v>1225</v>
      </c>
      <c r="I585" t="s">
        <v>23</v>
      </c>
      <c r="J585" t="s">
        <v>2474</v>
      </c>
    </row>
    <row r="586" spans="1:10" x14ac:dyDescent="0.25">
      <c r="A586" s="43" t="s">
        <v>2645</v>
      </c>
      <c r="B586" t="s">
        <v>2646</v>
      </c>
      <c r="C586" t="s">
        <v>1184</v>
      </c>
      <c r="D586" t="s">
        <v>1216</v>
      </c>
      <c r="E586" t="s">
        <v>1228</v>
      </c>
      <c r="G586" t="s">
        <v>1224</v>
      </c>
      <c r="H586" t="s">
        <v>1225</v>
      </c>
      <c r="I586" t="s">
        <v>1288</v>
      </c>
      <c r="J586" t="s">
        <v>1710</v>
      </c>
    </row>
    <row r="587" spans="1:10" x14ac:dyDescent="0.25">
      <c r="A587" s="43" t="s">
        <v>4161</v>
      </c>
      <c r="B587" t="s">
        <v>2646</v>
      </c>
      <c r="C587" t="s">
        <v>1184</v>
      </c>
      <c r="D587" t="s">
        <v>1216</v>
      </c>
      <c r="E587" t="s">
        <v>1228</v>
      </c>
      <c r="G587" t="s">
        <v>1224</v>
      </c>
      <c r="H587" t="s">
        <v>1225</v>
      </c>
      <c r="I587" t="s">
        <v>1288</v>
      </c>
      <c r="J587" t="s">
        <v>1710</v>
      </c>
    </row>
    <row r="588" spans="1:10" x14ac:dyDescent="0.25">
      <c r="A588" s="43" t="s">
        <v>2512</v>
      </c>
      <c r="B588" t="s">
        <v>2513</v>
      </c>
      <c r="C588" t="s">
        <v>1184</v>
      </c>
      <c r="D588" t="s">
        <v>91</v>
      </c>
      <c r="E588" t="s">
        <v>1265</v>
      </c>
      <c r="G588" t="s">
        <v>1224</v>
      </c>
      <c r="H588" t="s">
        <v>1225</v>
      </c>
      <c r="I588" t="s">
        <v>1254</v>
      </c>
      <c r="J588" t="s">
        <v>1673</v>
      </c>
    </row>
    <row r="589" spans="1:10" x14ac:dyDescent="0.25">
      <c r="A589" s="43" t="s">
        <v>2559</v>
      </c>
      <c r="B589" t="s">
        <v>2560</v>
      </c>
      <c r="C589" t="s">
        <v>1184</v>
      </c>
      <c r="D589" t="s">
        <v>91</v>
      </c>
      <c r="E589" t="s">
        <v>1268</v>
      </c>
      <c r="G589" t="s">
        <v>1224</v>
      </c>
      <c r="H589" t="s">
        <v>1225</v>
      </c>
      <c r="I589" t="s">
        <v>388</v>
      </c>
      <c r="J589" t="s">
        <v>1675</v>
      </c>
    </row>
    <row r="590" spans="1:10" x14ac:dyDescent="0.25">
      <c r="A590" s="43" t="s">
        <v>2643</v>
      </c>
      <c r="B590" t="s">
        <v>2644</v>
      </c>
      <c r="C590" t="s">
        <v>1184</v>
      </c>
      <c r="D590" t="s">
        <v>318</v>
      </c>
      <c r="E590" t="s">
        <v>1244</v>
      </c>
      <c r="G590" t="s">
        <v>1224</v>
      </c>
      <c r="H590" t="s">
        <v>1225</v>
      </c>
      <c r="I590" t="s">
        <v>1386</v>
      </c>
    </row>
    <row r="591" spans="1:10" x14ac:dyDescent="0.25">
      <c r="A591" s="43" t="s">
        <v>4354</v>
      </c>
      <c r="B591" t="s">
        <v>2644</v>
      </c>
      <c r="C591" t="s">
        <v>1184</v>
      </c>
      <c r="D591" t="s">
        <v>1213</v>
      </c>
      <c r="E591" t="s">
        <v>1279</v>
      </c>
      <c r="G591" t="s">
        <v>1224</v>
      </c>
      <c r="H591" t="s">
        <v>1225</v>
      </c>
      <c r="I591" t="s">
        <v>1620</v>
      </c>
      <c r="J591" t="s">
        <v>2455</v>
      </c>
    </row>
    <row r="592" spans="1:10" x14ac:dyDescent="0.25">
      <c r="A592" s="43" t="s">
        <v>4160</v>
      </c>
      <c r="B592" t="s">
        <v>2644</v>
      </c>
      <c r="C592" t="s">
        <v>1184</v>
      </c>
      <c r="D592" t="s">
        <v>1213</v>
      </c>
      <c r="E592" t="s">
        <v>1279</v>
      </c>
      <c r="G592" t="s">
        <v>1224</v>
      </c>
      <c r="H592" t="s">
        <v>1225</v>
      </c>
      <c r="I592" t="s">
        <v>1620</v>
      </c>
      <c r="J592" t="s">
        <v>2455</v>
      </c>
    </row>
    <row r="593" spans="1:10" x14ac:dyDescent="0.25">
      <c r="A593" s="43" t="s">
        <v>4158</v>
      </c>
      <c r="B593" t="s">
        <v>4159</v>
      </c>
      <c r="C593" t="s">
        <v>1184</v>
      </c>
      <c r="G593" t="s">
        <v>1224</v>
      </c>
      <c r="H593" t="s">
        <v>1225</v>
      </c>
      <c r="I593" t="s">
        <v>1267</v>
      </c>
      <c r="J593" t="s">
        <v>1894</v>
      </c>
    </row>
    <row r="594" spans="1:10" x14ac:dyDescent="0.25">
      <c r="A594" s="43" t="s">
        <v>2823</v>
      </c>
      <c r="B594" t="s">
        <v>2824</v>
      </c>
      <c r="C594" t="s">
        <v>1179</v>
      </c>
      <c r="D594" t="s">
        <v>1213</v>
      </c>
      <c r="E594" t="s">
        <v>1390</v>
      </c>
      <c r="G594" t="s">
        <v>1224</v>
      </c>
      <c r="H594" t="s">
        <v>1225</v>
      </c>
      <c r="I594" t="s">
        <v>1436</v>
      </c>
      <c r="J594" t="s">
        <v>1997</v>
      </c>
    </row>
    <row r="595" spans="1:10" x14ac:dyDescent="0.25">
      <c r="A595" s="43" t="s">
        <v>3220</v>
      </c>
      <c r="B595" t="s">
        <v>2824</v>
      </c>
      <c r="C595" t="s">
        <v>1179</v>
      </c>
      <c r="D595" t="s">
        <v>1213</v>
      </c>
      <c r="E595" t="s">
        <v>1390</v>
      </c>
      <c r="G595" t="s">
        <v>1224</v>
      </c>
      <c r="H595" t="s">
        <v>1225</v>
      </c>
      <c r="I595" t="s">
        <v>1436</v>
      </c>
      <c r="J595" t="s">
        <v>1997</v>
      </c>
    </row>
    <row r="596" spans="1:10" x14ac:dyDescent="0.25">
      <c r="A596" s="43" t="s">
        <v>4444</v>
      </c>
      <c r="B596" t="s">
        <v>4157</v>
      </c>
      <c r="C596" t="s">
        <v>1179</v>
      </c>
      <c r="D596" t="s">
        <v>318</v>
      </c>
      <c r="E596" t="s">
        <v>1246</v>
      </c>
      <c r="G596" t="s">
        <v>1224</v>
      </c>
      <c r="H596" t="s">
        <v>1225</v>
      </c>
      <c r="I596" t="s">
        <v>597</v>
      </c>
      <c r="J596" t="s">
        <v>1762</v>
      </c>
    </row>
    <row r="597" spans="1:10" x14ac:dyDescent="0.25">
      <c r="A597" s="43" t="s">
        <v>4156</v>
      </c>
      <c r="B597" t="s">
        <v>4157</v>
      </c>
      <c r="C597" t="s">
        <v>1179</v>
      </c>
      <c r="D597" t="s">
        <v>318</v>
      </c>
      <c r="E597" t="s">
        <v>1246</v>
      </c>
      <c r="G597" t="s">
        <v>1224</v>
      </c>
      <c r="H597" t="s">
        <v>1225</v>
      </c>
      <c r="I597" t="s">
        <v>597</v>
      </c>
      <c r="J597" t="s">
        <v>1762</v>
      </c>
    </row>
    <row r="598" spans="1:10" x14ac:dyDescent="0.25">
      <c r="A598" s="43" t="s">
        <v>4375</v>
      </c>
      <c r="B598" t="s">
        <v>4155</v>
      </c>
      <c r="C598" t="s">
        <v>1179</v>
      </c>
      <c r="D598" t="s">
        <v>318</v>
      </c>
      <c r="E598" t="s">
        <v>1217</v>
      </c>
      <c r="G598" t="s">
        <v>1224</v>
      </c>
      <c r="H598" t="s">
        <v>1225</v>
      </c>
      <c r="I598" t="s">
        <v>360</v>
      </c>
      <c r="J598" t="s">
        <v>1683</v>
      </c>
    </row>
    <row r="599" spans="1:10" x14ac:dyDescent="0.25">
      <c r="A599" s="43" t="s">
        <v>4154</v>
      </c>
      <c r="B599" t="s">
        <v>4155</v>
      </c>
      <c r="C599" t="s">
        <v>1179</v>
      </c>
      <c r="D599" t="s">
        <v>318</v>
      </c>
      <c r="G599" t="s">
        <v>1224</v>
      </c>
      <c r="H599" t="s">
        <v>1225</v>
      </c>
      <c r="I599" t="s">
        <v>825</v>
      </c>
      <c r="J599" t="s">
        <v>1683</v>
      </c>
    </row>
    <row r="600" spans="1:10" x14ac:dyDescent="0.25">
      <c r="A600" s="43" t="s">
        <v>4483</v>
      </c>
      <c r="B600" t="s">
        <v>2541</v>
      </c>
      <c r="C600" t="s">
        <v>1178</v>
      </c>
      <c r="E600" t="s">
        <v>1239</v>
      </c>
      <c r="G600" t="s">
        <v>1224</v>
      </c>
      <c r="H600" t="s">
        <v>1225</v>
      </c>
      <c r="I600" t="s">
        <v>716</v>
      </c>
      <c r="J600" t="s">
        <v>1716</v>
      </c>
    </row>
    <row r="601" spans="1:10" x14ac:dyDescent="0.25">
      <c r="A601" s="43" t="s">
        <v>4482</v>
      </c>
      <c r="B601" t="s">
        <v>4434</v>
      </c>
      <c r="C601" t="s">
        <v>1177</v>
      </c>
      <c r="D601" t="s">
        <v>91</v>
      </c>
      <c r="E601" t="s">
        <v>1246</v>
      </c>
      <c r="G601" t="s">
        <v>1224</v>
      </c>
      <c r="H601" t="s">
        <v>1225</v>
      </c>
      <c r="I601" t="s">
        <v>45</v>
      </c>
      <c r="J601" t="s">
        <v>1711</v>
      </c>
    </row>
    <row r="602" spans="1:10" x14ac:dyDescent="0.25">
      <c r="A602" s="43" t="s">
        <v>4433</v>
      </c>
      <c r="B602" t="s">
        <v>4434</v>
      </c>
      <c r="C602" t="s">
        <v>1177</v>
      </c>
      <c r="D602" t="s">
        <v>91</v>
      </c>
      <c r="E602" t="s">
        <v>1246</v>
      </c>
      <c r="G602" t="s">
        <v>1224</v>
      </c>
      <c r="H602" t="s">
        <v>1225</v>
      </c>
      <c r="I602" t="s">
        <v>45</v>
      </c>
      <c r="J602" t="s">
        <v>2416</v>
      </c>
    </row>
    <row r="603" spans="1:10" x14ac:dyDescent="0.25">
      <c r="A603" s="43" t="s">
        <v>4432</v>
      </c>
      <c r="B603" t="s">
        <v>2824</v>
      </c>
      <c r="C603" t="s">
        <v>1177</v>
      </c>
      <c r="D603" t="s">
        <v>91</v>
      </c>
      <c r="E603" t="s">
        <v>1266</v>
      </c>
      <c r="G603" t="s">
        <v>1224</v>
      </c>
      <c r="H603" t="s">
        <v>1225</v>
      </c>
      <c r="I603" t="s">
        <v>1303</v>
      </c>
      <c r="J603" t="s">
        <v>1728</v>
      </c>
    </row>
    <row r="604" spans="1:10" x14ac:dyDescent="0.25">
      <c r="A604" s="43" t="s">
        <v>4443</v>
      </c>
      <c r="B604" t="s">
        <v>2824</v>
      </c>
      <c r="C604" t="s">
        <v>1177</v>
      </c>
      <c r="D604" t="s">
        <v>91</v>
      </c>
      <c r="E604" t="s">
        <v>1266</v>
      </c>
      <c r="G604" t="s">
        <v>1224</v>
      </c>
      <c r="H604" t="s">
        <v>1225</v>
      </c>
      <c r="I604" t="s">
        <v>1346</v>
      </c>
      <c r="J604" t="s">
        <v>1728</v>
      </c>
    </row>
    <row r="605" spans="1:10" x14ac:dyDescent="0.25">
      <c r="A605" s="43" t="s">
        <v>2822</v>
      </c>
      <c r="B605" t="s">
        <v>2644</v>
      </c>
      <c r="C605" t="s">
        <v>1184</v>
      </c>
      <c r="D605" t="s">
        <v>1216</v>
      </c>
      <c r="E605" t="s">
        <v>1246</v>
      </c>
      <c r="G605" t="s">
        <v>1224</v>
      </c>
      <c r="H605" t="s">
        <v>1225</v>
      </c>
      <c r="I605" t="s">
        <v>1322</v>
      </c>
      <c r="J605" t="s">
        <v>1751</v>
      </c>
    </row>
    <row r="606" spans="1:10" x14ac:dyDescent="0.25">
      <c r="A606" s="43" t="s">
        <v>3219</v>
      </c>
      <c r="B606" t="s">
        <v>2644</v>
      </c>
      <c r="C606" t="s">
        <v>1184</v>
      </c>
      <c r="D606" t="s">
        <v>1216</v>
      </c>
      <c r="E606" t="s">
        <v>1246</v>
      </c>
      <c r="G606" t="s">
        <v>1224</v>
      </c>
      <c r="H606" t="s">
        <v>1225</v>
      </c>
      <c r="I606" t="s">
        <v>1322</v>
      </c>
      <c r="J606" t="s">
        <v>1751</v>
      </c>
    </row>
    <row r="607" spans="1:10" x14ac:dyDescent="0.25">
      <c r="A607" s="43" t="s">
        <v>4352</v>
      </c>
      <c r="B607" t="s">
        <v>4353</v>
      </c>
      <c r="C607" t="s">
        <v>1179</v>
      </c>
      <c r="D607" t="s">
        <v>1213</v>
      </c>
      <c r="E607" t="s">
        <v>1239</v>
      </c>
      <c r="G607" t="s">
        <v>1224</v>
      </c>
      <c r="H607" t="s">
        <v>1225</v>
      </c>
      <c r="I607" t="s">
        <v>1254</v>
      </c>
      <c r="J607" t="s">
        <v>2001</v>
      </c>
    </row>
    <row r="608" spans="1:10" x14ac:dyDescent="0.25">
      <c r="A608" s="43" t="s">
        <v>2821</v>
      </c>
      <c r="B608" t="s">
        <v>635</v>
      </c>
      <c r="C608" t="s">
        <v>1177</v>
      </c>
      <c r="E608" t="s">
        <v>1247</v>
      </c>
      <c r="G608" t="s">
        <v>1224</v>
      </c>
      <c r="H608" t="s">
        <v>1225</v>
      </c>
      <c r="I608" t="s">
        <v>1267</v>
      </c>
      <c r="J608" t="s">
        <v>1894</v>
      </c>
    </row>
    <row r="609" spans="1:10" x14ac:dyDescent="0.25">
      <c r="A609" s="43" t="s">
        <v>4473</v>
      </c>
      <c r="B609" t="s">
        <v>918</v>
      </c>
      <c r="C609" t="s">
        <v>1193</v>
      </c>
      <c r="D609" t="s">
        <v>56</v>
      </c>
      <c r="E609" t="s">
        <v>1239</v>
      </c>
      <c r="G609" t="s">
        <v>1224</v>
      </c>
      <c r="H609" t="s">
        <v>1225</v>
      </c>
      <c r="I609" t="s">
        <v>744</v>
      </c>
      <c r="J609" t="s">
        <v>2471</v>
      </c>
    </row>
    <row r="610" spans="1:10" x14ac:dyDescent="0.25">
      <c r="A610" s="43" t="s">
        <v>4458</v>
      </c>
      <c r="B610" t="s">
        <v>908</v>
      </c>
      <c r="C610" t="s">
        <v>1188</v>
      </c>
      <c r="D610" t="s">
        <v>84</v>
      </c>
      <c r="E610" t="s">
        <v>1266</v>
      </c>
      <c r="G610" t="s">
        <v>1224</v>
      </c>
      <c r="H610" t="s">
        <v>1225</v>
      </c>
      <c r="I610" t="s">
        <v>719</v>
      </c>
      <c r="J610" t="s">
        <v>2449</v>
      </c>
    </row>
    <row r="611" spans="1:10" x14ac:dyDescent="0.25">
      <c r="A611" s="43" t="s">
        <v>2537</v>
      </c>
      <c r="B611" t="s">
        <v>222</v>
      </c>
      <c r="C611" t="s">
        <v>1185</v>
      </c>
      <c r="D611" t="s">
        <v>1213</v>
      </c>
      <c r="E611" t="s">
        <v>1266</v>
      </c>
      <c r="G611" t="s">
        <v>1224</v>
      </c>
      <c r="H611" t="s">
        <v>1225</v>
      </c>
      <c r="I611" t="s">
        <v>1352</v>
      </c>
      <c r="J611" t="s">
        <v>2023</v>
      </c>
    </row>
    <row r="612" spans="1:10" x14ac:dyDescent="0.25">
      <c r="A612" s="43" t="s">
        <v>4152</v>
      </c>
      <c r="B612" t="s">
        <v>222</v>
      </c>
      <c r="C612" t="s">
        <v>1185</v>
      </c>
      <c r="D612" t="s">
        <v>1213</v>
      </c>
      <c r="E612" t="s">
        <v>1266</v>
      </c>
      <c r="G612" t="s">
        <v>1224</v>
      </c>
      <c r="H612" t="s">
        <v>1225</v>
      </c>
      <c r="I612" t="s">
        <v>1352</v>
      </c>
      <c r="J612" t="s">
        <v>2023</v>
      </c>
    </row>
    <row r="613" spans="1:10" x14ac:dyDescent="0.25">
      <c r="A613" s="43" t="s">
        <v>4465</v>
      </c>
      <c r="B613" t="s">
        <v>526</v>
      </c>
      <c r="C613" t="s">
        <v>1188</v>
      </c>
      <c r="D613" t="s">
        <v>1213</v>
      </c>
      <c r="E613" t="s">
        <v>1235</v>
      </c>
      <c r="G613" t="s">
        <v>1224</v>
      </c>
      <c r="H613" t="s">
        <v>1225</v>
      </c>
      <c r="I613" t="s">
        <v>597</v>
      </c>
      <c r="J613" t="s">
        <v>1709</v>
      </c>
    </row>
    <row r="614" spans="1:10" x14ac:dyDescent="0.25">
      <c r="A614" s="43" t="s">
        <v>2511</v>
      </c>
      <c r="B614" t="s">
        <v>54</v>
      </c>
      <c r="C614" t="s">
        <v>1186</v>
      </c>
      <c r="D614" t="s">
        <v>15</v>
      </c>
      <c r="E614" t="s">
        <v>1243</v>
      </c>
      <c r="G614" t="s">
        <v>1224</v>
      </c>
      <c r="H614" t="s">
        <v>1225</v>
      </c>
      <c r="I614" t="s">
        <v>81</v>
      </c>
      <c r="J614" t="s">
        <v>1665</v>
      </c>
    </row>
    <row r="615" spans="1:10" x14ac:dyDescent="0.25">
      <c r="A615" s="43" t="s">
        <v>4501</v>
      </c>
      <c r="B615" t="s">
        <v>2513</v>
      </c>
      <c r="C615" t="s">
        <v>1182</v>
      </c>
      <c r="D615" t="s">
        <v>84</v>
      </c>
      <c r="E615" t="s">
        <v>1243</v>
      </c>
      <c r="G615" t="s">
        <v>1224</v>
      </c>
      <c r="H615" t="s">
        <v>1225</v>
      </c>
      <c r="I615" t="s">
        <v>697</v>
      </c>
      <c r="J615" t="s">
        <v>1651</v>
      </c>
    </row>
    <row r="616" spans="1:10" x14ac:dyDescent="0.25">
      <c r="A616" s="43" t="s">
        <v>4502</v>
      </c>
      <c r="B616" t="s">
        <v>4503</v>
      </c>
      <c r="C616" t="s">
        <v>1182</v>
      </c>
      <c r="D616" t="s">
        <v>56</v>
      </c>
      <c r="E616" t="s">
        <v>1292</v>
      </c>
      <c r="G616" t="s">
        <v>1224</v>
      </c>
      <c r="H616" t="s">
        <v>1225</v>
      </c>
      <c r="I616" t="s">
        <v>1293</v>
      </c>
      <c r="J616" t="s">
        <v>1717</v>
      </c>
    </row>
    <row r="617" spans="1:10" x14ac:dyDescent="0.25">
      <c r="A617" s="43" t="s">
        <v>3218</v>
      </c>
      <c r="B617" t="s">
        <v>222</v>
      </c>
      <c r="C617" t="s">
        <v>1178</v>
      </c>
      <c r="D617" t="s">
        <v>1212</v>
      </c>
      <c r="E617" t="s">
        <v>1230</v>
      </c>
      <c r="G617" t="s">
        <v>1328</v>
      </c>
      <c r="H617" t="s">
        <v>898</v>
      </c>
      <c r="I617" t="s">
        <v>1426</v>
      </c>
      <c r="J617" t="s">
        <v>1885</v>
      </c>
    </row>
    <row r="618" spans="1:10" x14ac:dyDescent="0.25">
      <c r="A618" s="43" t="s">
        <v>3217</v>
      </c>
      <c r="B618" t="s">
        <v>222</v>
      </c>
      <c r="C618" t="s">
        <v>1178</v>
      </c>
      <c r="D618" t="s">
        <v>1212</v>
      </c>
      <c r="E618" t="s">
        <v>1230</v>
      </c>
      <c r="G618" t="s">
        <v>1328</v>
      </c>
      <c r="H618" t="s">
        <v>898</v>
      </c>
      <c r="I618" t="s">
        <v>1426</v>
      </c>
      <c r="J618" t="s">
        <v>1885</v>
      </c>
    </row>
    <row r="619" spans="1:10" x14ac:dyDescent="0.25">
      <c r="A619" s="43" t="s">
        <v>2693</v>
      </c>
      <c r="B619" t="s">
        <v>255</v>
      </c>
      <c r="C619" t="s">
        <v>1184</v>
      </c>
      <c r="D619" t="s">
        <v>15</v>
      </c>
      <c r="E619" t="s">
        <v>1324</v>
      </c>
      <c r="G619" t="s">
        <v>1328</v>
      </c>
      <c r="H619" t="s">
        <v>898</v>
      </c>
      <c r="I619" t="s">
        <v>448</v>
      </c>
      <c r="J619" t="s">
        <v>2478</v>
      </c>
    </row>
    <row r="620" spans="1:10" x14ac:dyDescent="0.25">
      <c r="A620" s="43" t="s">
        <v>3216</v>
      </c>
      <c r="B620" t="s">
        <v>373</v>
      </c>
      <c r="C620" t="s">
        <v>1179</v>
      </c>
      <c r="D620" t="s">
        <v>91</v>
      </c>
      <c r="E620" t="s">
        <v>1219</v>
      </c>
      <c r="G620" t="s">
        <v>1328</v>
      </c>
      <c r="H620" t="s">
        <v>898</v>
      </c>
      <c r="I620" t="s">
        <v>1573</v>
      </c>
      <c r="J620" t="s">
        <v>2344</v>
      </c>
    </row>
    <row r="621" spans="1:10" x14ac:dyDescent="0.25">
      <c r="A621" s="43" t="s">
        <v>3215</v>
      </c>
      <c r="B621" t="s">
        <v>3214</v>
      </c>
      <c r="C621" t="s">
        <v>1182</v>
      </c>
      <c r="D621" t="s">
        <v>62</v>
      </c>
      <c r="E621" t="s">
        <v>1239</v>
      </c>
      <c r="G621" t="s">
        <v>1328</v>
      </c>
      <c r="H621" t="s">
        <v>898</v>
      </c>
      <c r="I621" t="s">
        <v>1443</v>
      </c>
      <c r="J621" t="s">
        <v>2012</v>
      </c>
    </row>
    <row r="622" spans="1:10" x14ac:dyDescent="0.25">
      <c r="A622" s="43" t="s">
        <v>3213</v>
      </c>
      <c r="B622" t="s">
        <v>3214</v>
      </c>
      <c r="C622" t="s">
        <v>1182</v>
      </c>
      <c r="D622" t="s">
        <v>62</v>
      </c>
      <c r="E622" t="s">
        <v>1239</v>
      </c>
      <c r="G622" t="s">
        <v>1328</v>
      </c>
      <c r="H622" t="s">
        <v>898</v>
      </c>
      <c r="I622" t="s">
        <v>1443</v>
      </c>
      <c r="J622" t="s">
        <v>2012</v>
      </c>
    </row>
    <row r="623" spans="1:10" x14ac:dyDescent="0.25">
      <c r="A623" s="43" t="s">
        <v>4151</v>
      </c>
      <c r="B623" t="s">
        <v>459</v>
      </c>
      <c r="C623" t="s">
        <v>1204</v>
      </c>
      <c r="D623" t="s">
        <v>1212</v>
      </c>
      <c r="E623" t="s">
        <v>1246</v>
      </c>
      <c r="G623" t="s">
        <v>1328</v>
      </c>
      <c r="H623" t="s">
        <v>898</v>
      </c>
      <c r="I623" t="s">
        <v>1425</v>
      </c>
      <c r="J623" t="s">
        <v>1864</v>
      </c>
    </row>
    <row r="624" spans="1:10" x14ac:dyDescent="0.25">
      <c r="A624" s="43" t="s">
        <v>3212</v>
      </c>
      <c r="B624" t="s">
        <v>459</v>
      </c>
      <c r="C624" t="s">
        <v>1204</v>
      </c>
      <c r="D624" t="s">
        <v>1212</v>
      </c>
      <c r="E624" t="s">
        <v>1246</v>
      </c>
      <c r="G624" t="s">
        <v>1328</v>
      </c>
      <c r="H624" t="s">
        <v>898</v>
      </c>
      <c r="I624" t="s">
        <v>1425</v>
      </c>
      <c r="J624" t="s">
        <v>1864</v>
      </c>
    </row>
    <row r="625" spans="1:10" x14ac:dyDescent="0.25">
      <c r="A625" s="43" t="s">
        <v>3211</v>
      </c>
      <c r="B625" t="s">
        <v>592</v>
      </c>
      <c r="C625" t="s">
        <v>1177</v>
      </c>
      <c r="E625" t="s">
        <v>1247</v>
      </c>
      <c r="G625" t="s">
        <v>1328</v>
      </c>
      <c r="H625" t="s">
        <v>898</v>
      </c>
      <c r="I625" t="s">
        <v>1424</v>
      </c>
      <c r="J625" t="s">
        <v>1966</v>
      </c>
    </row>
    <row r="626" spans="1:10" x14ac:dyDescent="0.25">
      <c r="A626" s="43" t="s">
        <v>3210</v>
      </c>
      <c r="B626" t="s">
        <v>592</v>
      </c>
      <c r="C626" t="s">
        <v>1177</v>
      </c>
      <c r="E626" t="s">
        <v>1247</v>
      </c>
      <c r="G626" t="s">
        <v>1328</v>
      </c>
      <c r="H626" t="s">
        <v>898</v>
      </c>
      <c r="I626" t="s">
        <v>1424</v>
      </c>
      <c r="J626" t="s">
        <v>1966</v>
      </c>
    </row>
    <row r="627" spans="1:10" x14ac:dyDescent="0.25">
      <c r="A627" s="43" t="s">
        <v>4150</v>
      </c>
      <c r="B627" t="s">
        <v>631</v>
      </c>
      <c r="C627" t="s">
        <v>1177</v>
      </c>
      <c r="D627" t="s">
        <v>1212</v>
      </c>
      <c r="E627" t="s">
        <v>1228</v>
      </c>
      <c r="G627" t="s">
        <v>1328</v>
      </c>
      <c r="H627" t="s">
        <v>898</v>
      </c>
      <c r="I627" t="s">
        <v>1365</v>
      </c>
      <c r="J627" t="s">
        <v>1811</v>
      </c>
    </row>
    <row r="628" spans="1:10" x14ac:dyDescent="0.25">
      <c r="A628" s="43" t="s">
        <v>3936</v>
      </c>
      <c r="B628" t="s">
        <v>631</v>
      </c>
      <c r="C628" t="s">
        <v>1177</v>
      </c>
      <c r="D628" t="s">
        <v>1212</v>
      </c>
      <c r="E628" t="s">
        <v>1228</v>
      </c>
      <c r="G628" t="s">
        <v>1328</v>
      </c>
      <c r="H628" t="s">
        <v>898</v>
      </c>
      <c r="I628" t="s">
        <v>1365</v>
      </c>
      <c r="J628" t="s">
        <v>1811</v>
      </c>
    </row>
    <row r="629" spans="1:10" x14ac:dyDescent="0.25">
      <c r="A629" s="43" t="s">
        <v>4351</v>
      </c>
      <c r="B629" t="s">
        <v>725</v>
      </c>
      <c r="C629" t="s">
        <v>1207</v>
      </c>
      <c r="D629" t="s">
        <v>91</v>
      </c>
      <c r="E629" t="s">
        <v>1250</v>
      </c>
      <c r="G629" t="s">
        <v>1328</v>
      </c>
      <c r="H629" t="s">
        <v>898</v>
      </c>
      <c r="I629" t="s">
        <v>1625</v>
      </c>
      <c r="J629" t="s">
        <v>2472</v>
      </c>
    </row>
    <row r="630" spans="1:10" x14ac:dyDescent="0.25">
      <c r="A630" s="43" t="s">
        <v>4350</v>
      </c>
      <c r="B630" t="s">
        <v>725</v>
      </c>
      <c r="C630" t="s">
        <v>1187</v>
      </c>
      <c r="D630" t="s">
        <v>91</v>
      </c>
      <c r="E630" t="s">
        <v>1241</v>
      </c>
      <c r="G630" t="s">
        <v>1328</v>
      </c>
      <c r="H630" t="s">
        <v>898</v>
      </c>
      <c r="I630" t="s">
        <v>1631</v>
      </c>
      <c r="J630" t="s">
        <v>2487</v>
      </c>
    </row>
    <row r="631" spans="1:10" x14ac:dyDescent="0.25">
      <c r="A631" s="43" t="s">
        <v>4147</v>
      </c>
      <c r="B631" t="s">
        <v>4148</v>
      </c>
      <c r="C631" t="s">
        <v>1446</v>
      </c>
      <c r="D631" t="s">
        <v>21</v>
      </c>
      <c r="E631" t="s">
        <v>1223</v>
      </c>
      <c r="G631" t="s">
        <v>1470</v>
      </c>
      <c r="H631" t="s">
        <v>898</v>
      </c>
      <c r="I631" t="s">
        <v>2761</v>
      </c>
      <c r="J631" t="s">
        <v>2354</v>
      </c>
    </row>
    <row r="632" spans="1:10" x14ac:dyDescent="0.25">
      <c r="A632" s="43" t="s">
        <v>4149</v>
      </c>
      <c r="B632" t="s">
        <v>793</v>
      </c>
      <c r="C632" t="s">
        <v>1201</v>
      </c>
      <c r="D632" t="s">
        <v>1212</v>
      </c>
      <c r="E632" t="s">
        <v>1286</v>
      </c>
      <c r="G632" t="s">
        <v>1328</v>
      </c>
      <c r="H632" t="s">
        <v>898</v>
      </c>
      <c r="I632" t="s">
        <v>1423</v>
      </c>
      <c r="J632" t="s">
        <v>1964</v>
      </c>
    </row>
    <row r="633" spans="1:10" x14ac:dyDescent="0.25">
      <c r="A633" s="43" t="s">
        <v>3935</v>
      </c>
      <c r="B633" t="s">
        <v>793</v>
      </c>
      <c r="C633" t="s">
        <v>1201</v>
      </c>
      <c r="D633" t="s">
        <v>1212</v>
      </c>
      <c r="E633" t="s">
        <v>1286</v>
      </c>
      <c r="G633" t="s">
        <v>1328</v>
      </c>
      <c r="H633" t="s">
        <v>898</v>
      </c>
      <c r="I633" t="s">
        <v>1423</v>
      </c>
      <c r="J633" t="s">
        <v>1964</v>
      </c>
    </row>
    <row r="634" spans="1:10" x14ac:dyDescent="0.25">
      <c r="A634" s="43" t="s">
        <v>4346</v>
      </c>
      <c r="B634" t="s">
        <v>4347</v>
      </c>
      <c r="C634" t="s">
        <v>1181</v>
      </c>
      <c r="D634" t="s">
        <v>197</v>
      </c>
      <c r="E634" t="s">
        <v>1351</v>
      </c>
      <c r="G634" t="s">
        <v>1328</v>
      </c>
      <c r="H634" t="s">
        <v>907</v>
      </c>
      <c r="I634" t="s">
        <v>491</v>
      </c>
      <c r="J634" t="s">
        <v>4348</v>
      </c>
    </row>
    <row r="635" spans="1:10" x14ac:dyDescent="0.25">
      <c r="A635" s="43" t="s">
        <v>2756</v>
      </c>
      <c r="B635" t="s">
        <v>192</v>
      </c>
      <c r="C635" t="s">
        <v>1177</v>
      </c>
      <c r="E635" t="s">
        <v>1239</v>
      </c>
      <c r="G635" t="s">
        <v>1328</v>
      </c>
      <c r="H635" t="s">
        <v>907</v>
      </c>
      <c r="I635" t="s">
        <v>2757</v>
      </c>
      <c r="J635" t="s">
        <v>1996</v>
      </c>
    </row>
    <row r="636" spans="1:10" x14ac:dyDescent="0.25">
      <c r="A636" s="43" t="s">
        <v>2692</v>
      </c>
      <c r="B636" t="s">
        <v>479</v>
      </c>
      <c r="C636" t="s">
        <v>1177</v>
      </c>
      <c r="D636" t="s">
        <v>21</v>
      </c>
      <c r="E636" t="s">
        <v>1239</v>
      </c>
      <c r="G636" t="s">
        <v>1328</v>
      </c>
      <c r="H636" t="s">
        <v>907</v>
      </c>
      <c r="I636" t="s">
        <v>1404</v>
      </c>
      <c r="J636" t="s">
        <v>1921</v>
      </c>
    </row>
    <row r="637" spans="1:10" x14ac:dyDescent="0.25">
      <c r="A637" s="43" t="s">
        <v>4349</v>
      </c>
      <c r="B637" t="s">
        <v>4117</v>
      </c>
      <c r="C637" t="s">
        <v>1184</v>
      </c>
      <c r="D637" t="s">
        <v>84</v>
      </c>
      <c r="E637" t="s">
        <v>1351</v>
      </c>
      <c r="G637" t="s">
        <v>1328</v>
      </c>
      <c r="H637" t="s">
        <v>907</v>
      </c>
      <c r="I637" t="s">
        <v>37</v>
      </c>
      <c r="J637" t="s">
        <v>2488</v>
      </c>
    </row>
    <row r="638" spans="1:10" x14ac:dyDescent="0.25">
      <c r="A638" s="43" t="s">
        <v>4145</v>
      </c>
      <c r="B638" t="s">
        <v>749</v>
      </c>
      <c r="C638" t="s">
        <v>1177</v>
      </c>
      <c r="D638" t="s">
        <v>27</v>
      </c>
      <c r="E638" t="s">
        <v>1228</v>
      </c>
      <c r="G638" t="s">
        <v>1328</v>
      </c>
      <c r="H638" t="s">
        <v>907</v>
      </c>
      <c r="I638" t="s">
        <v>4146</v>
      </c>
      <c r="J638" t="s">
        <v>2355</v>
      </c>
    </row>
    <row r="639" spans="1:10" x14ac:dyDescent="0.25">
      <c r="A639" s="43" t="s">
        <v>3934</v>
      </c>
      <c r="B639" t="s">
        <v>1088</v>
      </c>
      <c r="C639" t="s">
        <v>1199</v>
      </c>
      <c r="D639" t="s">
        <v>1214</v>
      </c>
      <c r="E639" t="s">
        <v>1536</v>
      </c>
      <c r="G639" t="s">
        <v>1479</v>
      </c>
      <c r="H639" t="s">
        <v>1479</v>
      </c>
      <c r="I639" t="s">
        <v>1537</v>
      </c>
      <c r="J639" t="s">
        <v>2270</v>
      </c>
    </row>
    <row r="640" spans="1:10" x14ac:dyDescent="0.25">
      <c r="A640" s="43" t="s">
        <v>3932</v>
      </c>
      <c r="B640" t="s">
        <v>3933</v>
      </c>
      <c r="C640" t="s">
        <v>1202</v>
      </c>
      <c r="D640" t="s">
        <v>1214</v>
      </c>
      <c r="E640" t="s">
        <v>1314</v>
      </c>
      <c r="G640" t="s">
        <v>1479</v>
      </c>
      <c r="H640" t="s">
        <v>1479</v>
      </c>
      <c r="I640" t="s">
        <v>1538</v>
      </c>
      <c r="J640" t="s">
        <v>2271</v>
      </c>
    </row>
    <row r="641" spans="1:10" x14ac:dyDescent="0.25">
      <c r="A641" s="43" t="s">
        <v>3931</v>
      </c>
      <c r="B641" t="s">
        <v>1090</v>
      </c>
      <c r="C641" t="s">
        <v>1192</v>
      </c>
      <c r="E641" t="s">
        <v>1314</v>
      </c>
      <c r="G641" t="s">
        <v>1479</v>
      </c>
      <c r="H641" t="s">
        <v>1479</v>
      </c>
      <c r="I641" t="s">
        <v>1540</v>
      </c>
      <c r="J641" t="s">
        <v>2275</v>
      </c>
    </row>
    <row r="642" spans="1:10" x14ac:dyDescent="0.25">
      <c r="A642" s="43" t="s">
        <v>2964</v>
      </c>
      <c r="B642" t="s">
        <v>1091</v>
      </c>
      <c r="C642" t="s">
        <v>1541</v>
      </c>
      <c r="E642" t="s">
        <v>1230</v>
      </c>
      <c r="G642" t="s">
        <v>1479</v>
      </c>
      <c r="H642" t="s">
        <v>1479</v>
      </c>
      <c r="I642" t="s">
        <v>1542</v>
      </c>
      <c r="J642" t="s">
        <v>2276</v>
      </c>
    </row>
    <row r="643" spans="1:10" x14ac:dyDescent="0.25">
      <c r="A643" s="43" t="s">
        <v>3930</v>
      </c>
      <c r="B643" t="s">
        <v>407</v>
      </c>
      <c r="C643" t="s">
        <v>1196</v>
      </c>
      <c r="E643" t="s">
        <v>1411</v>
      </c>
      <c r="G643" t="s">
        <v>1479</v>
      </c>
      <c r="H643" t="s">
        <v>1479</v>
      </c>
      <c r="I643" t="s">
        <v>1543</v>
      </c>
      <c r="J643" t="s">
        <v>2277</v>
      </c>
    </row>
    <row r="644" spans="1:10" x14ac:dyDescent="0.25">
      <c r="A644" s="43" t="s">
        <v>3929</v>
      </c>
      <c r="B644" t="s">
        <v>2588</v>
      </c>
      <c r="C644" t="s">
        <v>1177</v>
      </c>
      <c r="D644" t="s">
        <v>1214</v>
      </c>
      <c r="E644" s="33" t="s">
        <v>4507</v>
      </c>
      <c r="F644" s="33"/>
      <c r="G644" t="s">
        <v>1479</v>
      </c>
      <c r="H644" t="s">
        <v>1479</v>
      </c>
      <c r="I644" t="s">
        <v>1358</v>
      </c>
      <c r="J644" t="s">
        <v>2087</v>
      </c>
    </row>
    <row r="645" spans="1:10" x14ac:dyDescent="0.25">
      <c r="A645" s="43" t="s">
        <v>3927</v>
      </c>
      <c r="B645" t="s">
        <v>3928</v>
      </c>
      <c r="C645" t="s">
        <v>1571</v>
      </c>
      <c r="D645" t="s">
        <v>1212</v>
      </c>
      <c r="E645" t="s">
        <v>1572</v>
      </c>
      <c r="G645" t="s">
        <v>1479</v>
      </c>
      <c r="H645" t="s">
        <v>1479</v>
      </c>
      <c r="I645" t="s">
        <v>1412</v>
      </c>
      <c r="J645" t="s">
        <v>2343</v>
      </c>
    </row>
    <row r="646" spans="1:10" x14ac:dyDescent="0.25">
      <c r="A646" s="43" t="s">
        <v>2642</v>
      </c>
      <c r="B646" t="s">
        <v>4</v>
      </c>
      <c r="C646" t="s">
        <v>1190</v>
      </c>
      <c r="E646" t="s">
        <v>1437</v>
      </c>
      <c r="G646" t="s">
        <v>1328</v>
      </c>
      <c r="H646" t="s">
        <v>898</v>
      </c>
      <c r="I646" t="s">
        <v>697</v>
      </c>
      <c r="J646" t="s">
        <v>1998</v>
      </c>
    </row>
    <row r="647" spans="1:10" x14ac:dyDescent="0.25">
      <c r="A647" s="43" t="s">
        <v>2755</v>
      </c>
      <c r="B647" t="s">
        <v>114</v>
      </c>
      <c r="C647" t="s">
        <v>1178</v>
      </c>
      <c r="D647" t="s">
        <v>27</v>
      </c>
      <c r="E647" t="s">
        <v>1286</v>
      </c>
      <c r="G647" t="s">
        <v>1328</v>
      </c>
      <c r="H647" t="s">
        <v>898</v>
      </c>
      <c r="I647" t="s">
        <v>327</v>
      </c>
      <c r="J647" t="s">
        <v>1802</v>
      </c>
    </row>
    <row r="648" spans="1:10" x14ac:dyDescent="0.25">
      <c r="A648" s="43" t="s">
        <v>2962</v>
      </c>
      <c r="B648" t="s">
        <v>2963</v>
      </c>
      <c r="C648" t="s">
        <v>1178</v>
      </c>
      <c r="D648" t="s">
        <v>56</v>
      </c>
      <c r="E648" t="s">
        <v>1307</v>
      </c>
      <c r="G648" t="s">
        <v>1328</v>
      </c>
      <c r="H648" t="s">
        <v>898</v>
      </c>
      <c r="I648" t="s">
        <v>1350</v>
      </c>
      <c r="J648" t="s">
        <v>1783</v>
      </c>
    </row>
    <row r="649" spans="1:10" x14ac:dyDescent="0.25">
      <c r="A649" s="43" t="s">
        <v>2820</v>
      </c>
      <c r="B649" t="s">
        <v>245</v>
      </c>
      <c r="C649" t="s">
        <v>1177</v>
      </c>
      <c r="D649" t="s">
        <v>27</v>
      </c>
      <c r="E649" t="s">
        <v>1223</v>
      </c>
      <c r="G649" t="s">
        <v>1328</v>
      </c>
      <c r="H649" t="s">
        <v>898</v>
      </c>
      <c r="I649" t="s">
        <v>278</v>
      </c>
      <c r="J649" t="s">
        <v>1969</v>
      </c>
    </row>
    <row r="650" spans="1:10" x14ac:dyDescent="0.25">
      <c r="A650" s="43" t="s">
        <v>2961</v>
      </c>
      <c r="B650" t="s">
        <v>290</v>
      </c>
      <c r="C650" t="s">
        <v>1178</v>
      </c>
      <c r="D650" t="s">
        <v>56</v>
      </c>
      <c r="E650" t="s">
        <v>1232</v>
      </c>
      <c r="G650" t="s">
        <v>1328</v>
      </c>
      <c r="H650" t="s">
        <v>898</v>
      </c>
      <c r="I650" t="s">
        <v>257</v>
      </c>
      <c r="J650" t="s">
        <v>1773</v>
      </c>
    </row>
    <row r="651" spans="1:10" x14ac:dyDescent="0.25">
      <c r="A651" s="43" t="s">
        <v>2960</v>
      </c>
      <c r="B651" t="s">
        <v>2774</v>
      </c>
      <c r="C651" t="s">
        <v>1184</v>
      </c>
      <c r="D651" t="s">
        <v>84</v>
      </c>
      <c r="E651" t="s">
        <v>1221</v>
      </c>
      <c r="G651" t="s">
        <v>1328</v>
      </c>
      <c r="H651" t="s">
        <v>898</v>
      </c>
      <c r="I651" t="s">
        <v>321</v>
      </c>
      <c r="J651" t="s">
        <v>1779</v>
      </c>
    </row>
    <row r="652" spans="1:10" x14ac:dyDescent="0.25">
      <c r="A652" s="43" t="s">
        <v>2819</v>
      </c>
      <c r="B652" t="s">
        <v>342</v>
      </c>
      <c r="C652" t="s">
        <v>1189</v>
      </c>
      <c r="D652" t="s">
        <v>84</v>
      </c>
      <c r="E652" t="s">
        <v>1307</v>
      </c>
      <c r="G652" t="s">
        <v>1328</v>
      </c>
      <c r="H652" t="s">
        <v>898</v>
      </c>
      <c r="I652" t="s">
        <v>1441</v>
      </c>
      <c r="J652" t="s">
        <v>304</v>
      </c>
    </row>
    <row r="653" spans="1:10" x14ac:dyDescent="0.25">
      <c r="A653" s="43" t="s">
        <v>2959</v>
      </c>
      <c r="B653" t="s">
        <v>378</v>
      </c>
      <c r="C653" t="s">
        <v>1184</v>
      </c>
      <c r="D653" t="s">
        <v>318</v>
      </c>
      <c r="E653" t="s">
        <v>1279</v>
      </c>
      <c r="G653" t="s">
        <v>1328</v>
      </c>
      <c r="H653" t="s">
        <v>898</v>
      </c>
      <c r="I653" t="s">
        <v>17</v>
      </c>
      <c r="J653" t="s">
        <v>1786</v>
      </c>
    </row>
    <row r="654" spans="1:10" x14ac:dyDescent="0.25">
      <c r="A654" s="43" t="s">
        <v>2957</v>
      </c>
      <c r="B654" t="s">
        <v>432</v>
      </c>
      <c r="C654" t="s">
        <v>1177</v>
      </c>
      <c r="D654" t="s">
        <v>27</v>
      </c>
      <c r="E654" t="s">
        <v>1239</v>
      </c>
      <c r="G654" t="s">
        <v>1328</v>
      </c>
      <c r="H654" t="s">
        <v>898</v>
      </c>
      <c r="I654" t="s">
        <v>494</v>
      </c>
      <c r="J654" t="s">
        <v>1902</v>
      </c>
    </row>
    <row r="655" spans="1:10" x14ac:dyDescent="0.25">
      <c r="A655" s="43" t="s">
        <v>3926</v>
      </c>
      <c r="B655" t="s">
        <v>459</v>
      </c>
      <c r="C655" t="s">
        <v>1204</v>
      </c>
      <c r="D655" t="s">
        <v>1212</v>
      </c>
      <c r="E655" t="s">
        <v>1246</v>
      </c>
      <c r="G655" t="s">
        <v>1328</v>
      </c>
      <c r="H655" t="s">
        <v>898</v>
      </c>
      <c r="I655" t="s">
        <v>1385</v>
      </c>
      <c r="J655" t="s">
        <v>1864</v>
      </c>
    </row>
    <row r="656" spans="1:10" x14ac:dyDescent="0.25">
      <c r="A656" s="43" t="s">
        <v>3920</v>
      </c>
      <c r="B656" t="s">
        <v>572</v>
      </c>
      <c r="C656" t="s">
        <v>1178</v>
      </c>
      <c r="D656" t="s">
        <v>27</v>
      </c>
      <c r="E656" t="s">
        <v>1221</v>
      </c>
      <c r="G656" t="s">
        <v>1328</v>
      </c>
      <c r="H656" t="s">
        <v>898</v>
      </c>
      <c r="I656" t="s">
        <v>483</v>
      </c>
      <c r="J656" t="s">
        <v>2026</v>
      </c>
    </row>
    <row r="657" spans="1:10" x14ac:dyDescent="0.25">
      <c r="A657" s="43" t="s">
        <v>2958</v>
      </c>
      <c r="B657" t="s">
        <v>592</v>
      </c>
      <c r="C657" t="s">
        <v>1201</v>
      </c>
      <c r="E657" t="s">
        <v>1246</v>
      </c>
      <c r="G657" t="s">
        <v>1328</v>
      </c>
      <c r="H657" t="s">
        <v>898</v>
      </c>
      <c r="I657" t="s">
        <v>1624</v>
      </c>
      <c r="J657" t="s">
        <v>2468</v>
      </c>
    </row>
    <row r="658" spans="1:10" x14ac:dyDescent="0.25">
      <c r="A658" s="43" t="s">
        <v>3925</v>
      </c>
      <c r="B658" t="s">
        <v>631</v>
      </c>
      <c r="C658" t="s">
        <v>1177</v>
      </c>
      <c r="D658" t="s">
        <v>939</v>
      </c>
      <c r="E658" t="s">
        <v>1228</v>
      </c>
      <c r="G658" t="s">
        <v>1328</v>
      </c>
      <c r="H658" t="s">
        <v>898</v>
      </c>
      <c r="I658" t="s">
        <v>1514</v>
      </c>
      <c r="J658" t="s">
        <v>2207</v>
      </c>
    </row>
    <row r="659" spans="1:10" x14ac:dyDescent="0.25">
      <c r="A659" s="43" t="s">
        <v>3924</v>
      </c>
      <c r="B659" t="s">
        <v>645</v>
      </c>
      <c r="C659" t="s">
        <v>1177</v>
      </c>
      <c r="D659" t="s">
        <v>56</v>
      </c>
      <c r="E659" t="s">
        <v>1246</v>
      </c>
      <c r="G659" t="s">
        <v>1328</v>
      </c>
      <c r="H659" t="s">
        <v>898</v>
      </c>
      <c r="I659" t="s">
        <v>1367</v>
      </c>
      <c r="J659" t="s">
        <v>1815</v>
      </c>
    </row>
    <row r="660" spans="1:10" x14ac:dyDescent="0.25">
      <c r="A660" s="43" t="s">
        <v>3923</v>
      </c>
      <c r="B660" t="s">
        <v>655</v>
      </c>
      <c r="C660" t="s">
        <v>1179</v>
      </c>
      <c r="D660" t="s">
        <v>1212</v>
      </c>
      <c r="E660" t="s">
        <v>1221</v>
      </c>
      <c r="G660" t="s">
        <v>1328</v>
      </c>
      <c r="H660" t="s">
        <v>898</v>
      </c>
      <c r="I660" t="s">
        <v>1398</v>
      </c>
      <c r="J660" t="s">
        <v>1943</v>
      </c>
    </row>
    <row r="661" spans="1:10" x14ac:dyDescent="0.25">
      <c r="A661" s="43" t="s">
        <v>2691</v>
      </c>
      <c r="B661" t="s">
        <v>678</v>
      </c>
      <c r="C661" t="s">
        <v>1180</v>
      </c>
      <c r="D661" t="s">
        <v>318</v>
      </c>
      <c r="E661" t="s">
        <v>1230</v>
      </c>
      <c r="G661" t="s">
        <v>1328</v>
      </c>
      <c r="H661" t="s">
        <v>898</v>
      </c>
      <c r="I661" t="s">
        <v>1370</v>
      </c>
      <c r="J661" t="s">
        <v>1828</v>
      </c>
    </row>
    <row r="662" spans="1:10" x14ac:dyDescent="0.25">
      <c r="A662" s="43" t="s">
        <v>2818</v>
      </c>
      <c r="B662" t="s">
        <v>725</v>
      </c>
      <c r="C662" t="s">
        <v>1207</v>
      </c>
      <c r="D662" t="s">
        <v>91</v>
      </c>
      <c r="E662" t="s">
        <v>1250</v>
      </c>
      <c r="G662" t="s">
        <v>1328</v>
      </c>
      <c r="H662" t="s">
        <v>898</v>
      </c>
      <c r="I662" t="s">
        <v>37</v>
      </c>
      <c r="J662" t="s">
        <v>1901</v>
      </c>
    </row>
    <row r="663" spans="1:10" x14ac:dyDescent="0.25">
      <c r="A663" s="43" t="s">
        <v>2754</v>
      </c>
      <c r="B663" t="s">
        <v>62</v>
      </c>
      <c r="C663" t="s">
        <v>1188</v>
      </c>
      <c r="D663" t="s">
        <v>91</v>
      </c>
      <c r="E663" t="s">
        <v>1246</v>
      </c>
      <c r="G663" t="s">
        <v>1328</v>
      </c>
      <c r="H663" t="s">
        <v>898</v>
      </c>
      <c r="I663" t="s">
        <v>1282</v>
      </c>
      <c r="J663" t="s">
        <v>2022</v>
      </c>
    </row>
    <row r="664" spans="1:10" x14ac:dyDescent="0.25">
      <c r="A664" s="43" t="s">
        <v>2816</v>
      </c>
      <c r="B664" t="s">
        <v>1116</v>
      </c>
      <c r="C664" t="s">
        <v>1192</v>
      </c>
      <c r="D664" t="s">
        <v>1556</v>
      </c>
      <c r="E664" t="s">
        <v>1266</v>
      </c>
      <c r="G664" t="s">
        <v>1328</v>
      </c>
      <c r="H664" t="s">
        <v>898</v>
      </c>
      <c r="I664" t="s">
        <v>2817</v>
      </c>
      <c r="J664" t="s">
        <v>2297</v>
      </c>
    </row>
    <row r="665" spans="1:10" x14ac:dyDescent="0.25">
      <c r="A665" s="43" t="s">
        <v>3921</v>
      </c>
      <c r="B665" t="s">
        <v>3922</v>
      </c>
      <c r="C665" t="s">
        <v>1178</v>
      </c>
      <c r="D665" t="s">
        <v>56</v>
      </c>
      <c r="E665" t="s">
        <v>1230</v>
      </c>
      <c r="G665" t="s">
        <v>1328</v>
      </c>
      <c r="H665" t="s">
        <v>898</v>
      </c>
      <c r="I665" t="s">
        <v>2757</v>
      </c>
      <c r="J665" t="s">
        <v>1900</v>
      </c>
    </row>
    <row r="666" spans="1:10" x14ac:dyDescent="0.25">
      <c r="A666" s="43" t="s">
        <v>1053</v>
      </c>
      <c r="B666" t="s">
        <v>526</v>
      </c>
      <c r="C666" t="s">
        <v>1178</v>
      </c>
      <c r="D666" t="s">
        <v>1214</v>
      </c>
      <c r="E666" t="s">
        <v>1235</v>
      </c>
      <c r="G666" t="s">
        <v>1470</v>
      </c>
      <c r="H666" t="s">
        <v>898</v>
      </c>
      <c r="I666" t="s">
        <v>2757</v>
      </c>
      <c r="J666" t="s">
        <v>2231</v>
      </c>
    </row>
    <row r="667" spans="1:10" x14ac:dyDescent="0.25">
      <c r="A667" s="43" t="s">
        <v>3250</v>
      </c>
      <c r="B667" t="s">
        <v>655</v>
      </c>
      <c r="C667" t="s">
        <v>1179</v>
      </c>
      <c r="D667" t="s">
        <v>318</v>
      </c>
      <c r="E667" t="s">
        <v>1221</v>
      </c>
      <c r="G667" t="s">
        <v>1328</v>
      </c>
      <c r="H667" t="s">
        <v>898</v>
      </c>
      <c r="I667" t="s">
        <v>1410</v>
      </c>
      <c r="J667" t="s">
        <v>1905</v>
      </c>
    </row>
    <row r="668" spans="1:10" x14ac:dyDescent="0.25">
      <c r="A668" s="43" t="s">
        <v>4345</v>
      </c>
      <c r="B668" t="s">
        <v>61</v>
      </c>
      <c r="C668" t="s">
        <v>1177</v>
      </c>
      <c r="D668" t="s">
        <v>1212</v>
      </c>
      <c r="E668" t="s">
        <v>1247</v>
      </c>
      <c r="G668" t="s">
        <v>1328</v>
      </c>
      <c r="H668" t="s">
        <v>907</v>
      </c>
      <c r="I668" t="s">
        <v>607</v>
      </c>
      <c r="J668" t="s">
        <v>2479</v>
      </c>
    </row>
    <row r="669" spans="1:10" x14ac:dyDescent="0.25">
      <c r="A669" s="43" t="s">
        <v>2956</v>
      </c>
      <c r="B669" t="s">
        <v>678</v>
      </c>
      <c r="C669" t="s">
        <v>1177</v>
      </c>
      <c r="D669" t="s">
        <v>1212</v>
      </c>
      <c r="E669" t="s">
        <v>1247</v>
      </c>
      <c r="G669" t="s">
        <v>1328</v>
      </c>
      <c r="H669" t="s">
        <v>907</v>
      </c>
      <c r="I669" t="s">
        <v>388</v>
      </c>
      <c r="J669" t="s">
        <v>1759</v>
      </c>
    </row>
    <row r="670" spans="1:10" x14ac:dyDescent="0.25">
      <c r="A670" s="43" t="s">
        <v>3249</v>
      </c>
      <c r="B670" t="s">
        <v>592</v>
      </c>
      <c r="C670" t="s">
        <v>1194</v>
      </c>
      <c r="D670" t="s">
        <v>21</v>
      </c>
      <c r="E670" t="s">
        <v>1268</v>
      </c>
      <c r="G670" t="s">
        <v>1470</v>
      </c>
      <c r="H670" t="s">
        <v>907</v>
      </c>
      <c r="I670" t="s">
        <v>105</v>
      </c>
      <c r="J670" t="s">
        <v>2197</v>
      </c>
    </row>
    <row r="671" spans="1:10" x14ac:dyDescent="0.25">
      <c r="A671" s="43" t="s">
        <v>3248</v>
      </c>
      <c r="B671" t="s">
        <v>62</v>
      </c>
      <c r="C671" t="s">
        <v>1177</v>
      </c>
      <c r="D671" t="s">
        <v>56</v>
      </c>
      <c r="E671" t="s">
        <v>1246</v>
      </c>
      <c r="G671" t="s">
        <v>1470</v>
      </c>
      <c r="H671" t="s">
        <v>907</v>
      </c>
      <c r="I671" t="s">
        <v>1471</v>
      </c>
      <c r="J671" t="s">
        <v>2076</v>
      </c>
    </row>
    <row r="672" spans="1:10" x14ac:dyDescent="0.25">
      <c r="A672" s="43" t="s">
        <v>3247</v>
      </c>
      <c r="B672" t="s">
        <v>863</v>
      </c>
      <c r="C672" t="s">
        <v>1177</v>
      </c>
      <c r="D672" t="s">
        <v>56</v>
      </c>
      <c r="E672" t="s">
        <v>1243</v>
      </c>
      <c r="G672" t="s">
        <v>1470</v>
      </c>
      <c r="H672" t="s">
        <v>907</v>
      </c>
      <c r="I672" t="s">
        <v>2757</v>
      </c>
      <c r="J672" t="s">
        <v>2295</v>
      </c>
    </row>
    <row r="673" spans="1:10" x14ac:dyDescent="0.25">
      <c r="A673" s="43" t="s">
        <v>2955</v>
      </c>
      <c r="B673" t="s">
        <v>930</v>
      </c>
      <c r="C673" t="s">
        <v>1180</v>
      </c>
      <c r="D673" t="s">
        <v>91</v>
      </c>
      <c r="E673" t="s">
        <v>1244</v>
      </c>
      <c r="G673" t="s">
        <v>1328</v>
      </c>
      <c r="H673" t="s">
        <v>907</v>
      </c>
      <c r="I673" t="s">
        <v>1259</v>
      </c>
      <c r="J673" t="s">
        <v>1784</v>
      </c>
    </row>
    <row r="674" spans="1:10" x14ac:dyDescent="0.25">
      <c r="A674" s="43" t="s">
        <v>2690</v>
      </c>
      <c r="B674" t="s">
        <v>592</v>
      </c>
      <c r="C674" t="s">
        <v>1183</v>
      </c>
      <c r="D674" t="s">
        <v>1212</v>
      </c>
      <c r="G674" t="s">
        <v>1328</v>
      </c>
      <c r="H674" t="s">
        <v>907</v>
      </c>
      <c r="I674" t="s">
        <v>380</v>
      </c>
      <c r="J674" t="s">
        <v>1944</v>
      </c>
    </row>
    <row r="675" spans="1:10" x14ac:dyDescent="0.25">
      <c r="A675" s="43" t="s">
        <v>3243</v>
      </c>
      <c r="B675" t="s">
        <v>624</v>
      </c>
      <c r="E675" t="s">
        <v>4508</v>
      </c>
      <c r="H675" t="s">
        <v>907</v>
      </c>
      <c r="I675" t="s">
        <v>3147</v>
      </c>
      <c r="J675" t="s">
        <v>3244</v>
      </c>
    </row>
    <row r="676" spans="1:10" x14ac:dyDescent="0.25">
      <c r="A676" s="43" t="s">
        <v>2954</v>
      </c>
      <c r="B676" t="s">
        <v>931</v>
      </c>
      <c r="C676" t="s">
        <v>1199</v>
      </c>
      <c r="D676" t="s">
        <v>1212</v>
      </c>
      <c r="E676" t="s">
        <v>1286</v>
      </c>
      <c r="G676" t="s">
        <v>1328</v>
      </c>
      <c r="H676" t="s">
        <v>907</v>
      </c>
      <c r="I676" t="s">
        <v>681</v>
      </c>
      <c r="J676" t="s">
        <v>1785</v>
      </c>
    </row>
    <row r="677" spans="1:10" x14ac:dyDescent="0.25">
      <c r="A677" s="43" t="s">
        <v>3246</v>
      </c>
      <c r="B677" t="s">
        <v>678</v>
      </c>
      <c r="C677" t="s">
        <v>1188</v>
      </c>
      <c r="D677" t="s">
        <v>1212</v>
      </c>
      <c r="G677" t="s">
        <v>1328</v>
      </c>
      <c r="H677" t="s">
        <v>907</v>
      </c>
      <c r="I677" t="s">
        <v>1366</v>
      </c>
      <c r="J677" t="s">
        <v>1896</v>
      </c>
    </row>
    <row r="678" spans="1:10" x14ac:dyDescent="0.25">
      <c r="A678" s="43" t="s">
        <v>3231</v>
      </c>
      <c r="B678" t="s">
        <v>1025</v>
      </c>
      <c r="C678" t="s">
        <v>1178</v>
      </c>
      <c r="D678" t="s">
        <v>56</v>
      </c>
      <c r="E678" t="s">
        <v>1247</v>
      </c>
      <c r="G678" t="s">
        <v>1470</v>
      </c>
      <c r="H678" t="s">
        <v>907</v>
      </c>
      <c r="I678" t="s">
        <v>462</v>
      </c>
      <c r="J678" t="s">
        <v>2180</v>
      </c>
    </row>
    <row r="679" spans="1:10" x14ac:dyDescent="0.25">
      <c r="A679" s="43" t="s">
        <v>3229</v>
      </c>
      <c r="B679" t="s">
        <v>3230</v>
      </c>
      <c r="C679" t="s">
        <v>1192</v>
      </c>
      <c r="D679" t="s">
        <v>56</v>
      </c>
      <c r="E679" t="s">
        <v>1285</v>
      </c>
      <c r="G679" t="s">
        <v>1470</v>
      </c>
      <c r="H679" t="s">
        <v>907</v>
      </c>
      <c r="I679" t="s">
        <v>163</v>
      </c>
      <c r="J679" t="s">
        <v>2173</v>
      </c>
    </row>
    <row r="680" spans="1:10" x14ac:dyDescent="0.25">
      <c r="A680" s="43" t="s">
        <v>3919</v>
      </c>
      <c r="B680" t="s">
        <v>216</v>
      </c>
      <c r="C680" t="s">
        <v>1177</v>
      </c>
      <c r="D680" t="s">
        <v>56</v>
      </c>
      <c r="G680" t="s">
        <v>1470</v>
      </c>
      <c r="H680" t="s">
        <v>907</v>
      </c>
      <c r="I680" t="s">
        <v>562</v>
      </c>
      <c r="J680" t="s">
        <v>2176</v>
      </c>
    </row>
    <row r="681" spans="1:10" x14ac:dyDescent="0.25">
      <c r="A681" s="43" t="s">
        <v>3918</v>
      </c>
      <c r="B681" t="s">
        <v>432</v>
      </c>
      <c r="C681" t="s">
        <v>1178</v>
      </c>
      <c r="D681" t="s">
        <v>91</v>
      </c>
      <c r="E681" t="s">
        <v>1244</v>
      </c>
      <c r="G681" t="s">
        <v>1470</v>
      </c>
      <c r="H681" t="s">
        <v>907</v>
      </c>
      <c r="I681" t="s">
        <v>96</v>
      </c>
      <c r="J681" t="s">
        <v>2177</v>
      </c>
    </row>
    <row r="682" spans="1:10" x14ac:dyDescent="0.25">
      <c r="A682" s="43" t="s">
        <v>3917</v>
      </c>
      <c r="B682" t="s">
        <v>572</v>
      </c>
      <c r="C682" t="s">
        <v>1178</v>
      </c>
      <c r="D682" t="s">
        <v>27</v>
      </c>
      <c r="E682" t="s">
        <v>1235</v>
      </c>
      <c r="G682" t="s">
        <v>1470</v>
      </c>
      <c r="H682" t="s">
        <v>907</v>
      </c>
      <c r="I682" t="s">
        <v>2620</v>
      </c>
      <c r="J682" t="s">
        <v>2178</v>
      </c>
    </row>
    <row r="683" spans="1:10" x14ac:dyDescent="0.25">
      <c r="A683" s="43" t="s">
        <v>3240</v>
      </c>
      <c r="B683" t="s">
        <v>3241</v>
      </c>
      <c r="C683" t="s">
        <v>1446</v>
      </c>
      <c r="D683" t="s">
        <v>21</v>
      </c>
      <c r="E683" t="s">
        <v>1223</v>
      </c>
      <c r="G683" t="s">
        <v>1470</v>
      </c>
      <c r="H683" t="s">
        <v>907</v>
      </c>
      <c r="I683" t="s">
        <v>356</v>
      </c>
      <c r="J683" t="s">
        <v>3242</v>
      </c>
    </row>
    <row r="684" spans="1:10" x14ac:dyDescent="0.25">
      <c r="A684" s="43" t="s">
        <v>3915</v>
      </c>
      <c r="B684" t="s">
        <v>624</v>
      </c>
      <c r="C684" t="s">
        <v>1192</v>
      </c>
      <c r="D684" t="s">
        <v>27</v>
      </c>
      <c r="E684" t="s">
        <v>1230</v>
      </c>
      <c r="G684" t="s">
        <v>1470</v>
      </c>
      <c r="H684" t="s">
        <v>907</v>
      </c>
      <c r="I684" t="s">
        <v>3916</v>
      </c>
      <c r="J684" t="s">
        <v>2179</v>
      </c>
    </row>
    <row r="685" spans="1:10" x14ac:dyDescent="0.25">
      <c r="A685" s="43" t="s">
        <v>3238</v>
      </c>
      <c r="B685" t="s">
        <v>3239</v>
      </c>
      <c r="C685" t="s">
        <v>1446</v>
      </c>
      <c r="D685" t="s">
        <v>27</v>
      </c>
      <c r="E685" t="s">
        <v>1351</v>
      </c>
      <c r="G685" t="s">
        <v>1470</v>
      </c>
      <c r="H685" t="s">
        <v>907</v>
      </c>
      <c r="I685" t="s">
        <v>1507</v>
      </c>
      <c r="J685" t="s">
        <v>2172</v>
      </c>
    </row>
    <row r="686" spans="1:10" x14ac:dyDescent="0.25">
      <c r="A686" s="43" t="s">
        <v>3237</v>
      </c>
      <c r="B686" t="s">
        <v>635</v>
      </c>
      <c r="C686" t="s">
        <v>1177</v>
      </c>
      <c r="D686" t="s">
        <v>56</v>
      </c>
      <c r="E686" t="s">
        <v>1230</v>
      </c>
      <c r="G686" t="s">
        <v>1470</v>
      </c>
      <c r="H686" t="s">
        <v>907</v>
      </c>
      <c r="I686" t="s">
        <v>100</v>
      </c>
      <c r="J686" t="s">
        <v>2174</v>
      </c>
    </row>
    <row r="687" spans="1:10" x14ac:dyDescent="0.25">
      <c r="A687" s="43" t="s">
        <v>3235</v>
      </c>
      <c r="B687" t="s">
        <v>3236</v>
      </c>
      <c r="C687" t="s">
        <v>1192</v>
      </c>
      <c r="D687" t="s">
        <v>21</v>
      </c>
      <c r="E687" t="s">
        <v>1244</v>
      </c>
      <c r="G687" t="s">
        <v>1470</v>
      </c>
      <c r="H687" t="s">
        <v>907</v>
      </c>
      <c r="I687" t="s">
        <v>562</v>
      </c>
      <c r="J687" t="s">
        <v>2171</v>
      </c>
    </row>
    <row r="688" spans="1:10" x14ac:dyDescent="0.25">
      <c r="A688" s="43" t="s">
        <v>3234</v>
      </c>
      <c r="B688" t="s">
        <v>941</v>
      </c>
      <c r="C688" t="s">
        <v>1177</v>
      </c>
      <c r="D688" t="s">
        <v>91</v>
      </c>
      <c r="E688" t="s">
        <v>1285</v>
      </c>
      <c r="G688" t="s">
        <v>1470</v>
      </c>
      <c r="H688" t="s">
        <v>907</v>
      </c>
      <c r="I688" t="s">
        <v>1419</v>
      </c>
      <c r="J688" t="s">
        <v>2175</v>
      </c>
    </row>
    <row r="689" spans="1:10" x14ac:dyDescent="0.25">
      <c r="A689" s="43" t="s">
        <v>3232</v>
      </c>
      <c r="B689" t="s">
        <v>3233</v>
      </c>
      <c r="C689" t="s">
        <v>1446</v>
      </c>
      <c r="D689" t="s">
        <v>27</v>
      </c>
      <c r="E689" t="s">
        <v>1246</v>
      </c>
      <c r="G689" t="s">
        <v>1470</v>
      </c>
      <c r="H689" t="s">
        <v>907</v>
      </c>
      <c r="I689" t="s">
        <v>497</v>
      </c>
      <c r="J689" t="s">
        <v>2170</v>
      </c>
    </row>
    <row r="690" spans="1:10" x14ac:dyDescent="0.25">
      <c r="A690" s="43" t="s">
        <v>3245</v>
      </c>
      <c r="B690" t="s">
        <v>27</v>
      </c>
      <c r="C690" t="s">
        <v>1180</v>
      </c>
      <c r="D690" t="s">
        <v>1212</v>
      </c>
      <c r="E690" t="s">
        <v>1249</v>
      </c>
      <c r="G690" t="s">
        <v>1328</v>
      </c>
      <c r="H690" t="s">
        <v>907</v>
      </c>
      <c r="I690" t="s">
        <v>442</v>
      </c>
      <c r="J690" t="s">
        <v>1942</v>
      </c>
    </row>
    <row r="691" spans="1:10" x14ac:dyDescent="0.25">
      <c r="A691" s="43" t="s">
        <v>2953</v>
      </c>
      <c r="B691" t="s">
        <v>856</v>
      </c>
      <c r="C691" t="s">
        <v>1518</v>
      </c>
      <c r="G691" t="s">
        <v>1218</v>
      </c>
      <c r="H691" t="s">
        <v>898</v>
      </c>
      <c r="I691" t="s">
        <v>1255</v>
      </c>
      <c r="J691" t="s">
        <v>2227</v>
      </c>
    </row>
    <row r="692" spans="1:10" x14ac:dyDescent="0.25">
      <c r="A692" s="43" t="s">
        <v>2815</v>
      </c>
      <c r="B692" t="s">
        <v>245</v>
      </c>
      <c r="C692" t="s">
        <v>1209</v>
      </c>
      <c r="E692" t="s">
        <v>1217</v>
      </c>
      <c r="G692" t="s">
        <v>1330</v>
      </c>
      <c r="H692" t="s">
        <v>898</v>
      </c>
      <c r="I692" t="s">
        <v>1401</v>
      </c>
      <c r="J692" t="s">
        <v>1919</v>
      </c>
    </row>
    <row r="693" spans="1:10" x14ac:dyDescent="0.25">
      <c r="A693" s="43" t="s">
        <v>2952</v>
      </c>
      <c r="B693" t="s">
        <v>378</v>
      </c>
      <c r="C693" t="s">
        <v>1184</v>
      </c>
      <c r="E693" t="s">
        <v>1390</v>
      </c>
      <c r="G693" t="s">
        <v>1330</v>
      </c>
      <c r="H693" t="s">
        <v>898</v>
      </c>
      <c r="I693" t="s">
        <v>1391</v>
      </c>
      <c r="J693" t="s">
        <v>1882</v>
      </c>
    </row>
    <row r="694" spans="1:10" x14ac:dyDescent="0.25">
      <c r="A694" s="43" t="s">
        <v>2814</v>
      </c>
      <c r="B694" t="s">
        <v>441</v>
      </c>
      <c r="C694" t="s">
        <v>1177</v>
      </c>
      <c r="E694" t="s">
        <v>1285</v>
      </c>
      <c r="G694" t="s">
        <v>1330</v>
      </c>
      <c r="H694" t="s">
        <v>898</v>
      </c>
      <c r="I694" t="s">
        <v>1365</v>
      </c>
      <c r="J694" t="s">
        <v>2332</v>
      </c>
    </row>
    <row r="695" spans="1:10" x14ac:dyDescent="0.25">
      <c r="A695" s="43" t="s">
        <v>2813</v>
      </c>
      <c r="B695" t="s">
        <v>741</v>
      </c>
      <c r="C695" t="s">
        <v>1177</v>
      </c>
      <c r="E695" t="s">
        <v>1247</v>
      </c>
      <c r="G695" t="s">
        <v>1330</v>
      </c>
      <c r="H695" t="s">
        <v>898</v>
      </c>
      <c r="I695" t="s">
        <v>92</v>
      </c>
      <c r="J695" t="s">
        <v>543</v>
      </c>
    </row>
    <row r="696" spans="1:10" x14ac:dyDescent="0.25">
      <c r="A696" s="43" t="s">
        <v>1141</v>
      </c>
      <c r="B696" t="s">
        <v>922</v>
      </c>
      <c r="C696" t="s">
        <v>1194</v>
      </c>
      <c r="E696" t="s">
        <v>1235</v>
      </c>
      <c r="G696" t="s">
        <v>1565</v>
      </c>
      <c r="H696" t="s">
        <v>898</v>
      </c>
      <c r="I696" t="s">
        <v>1566</v>
      </c>
      <c r="J696" t="s">
        <v>2323</v>
      </c>
    </row>
    <row r="697" spans="1:10" x14ac:dyDescent="0.25">
      <c r="A697" s="43" t="s">
        <v>3307</v>
      </c>
      <c r="B697" t="s">
        <v>61</v>
      </c>
      <c r="C697" t="s">
        <v>1177</v>
      </c>
      <c r="D697" t="s">
        <v>56</v>
      </c>
      <c r="E697" t="s">
        <v>1247</v>
      </c>
      <c r="G697" t="s">
        <v>1226</v>
      </c>
      <c r="H697" t="s">
        <v>907</v>
      </c>
      <c r="I697" t="s">
        <v>1353</v>
      </c>
      <c r="J697" t="s">
        <v>2135</v>
      </c>
    </row>
    <row r="698" spans="1:10" x14ac:dyDescent="0.25">
      <c r="A698" s="43" t="s">
        <v>3306</v>
      </c>
      <c r="B698" t="s">
        <v>61</v>
      </c>
      <c r="C698" t="s">
        <v>1177</v>
      </c>
      <c r="D698" t="s">
        <v>56</v>
      </c>
      <c r="E698" t="s">
        <v>1247</v>
      </c>
      <c r="G698" t="s">
        <v>1295</v>
      </c>
      <c r="H698" t="s">
        <v>898</v>
      </c>
      <c r="I698" t="s">
        <v>513</v>
      </c>
      <c r="J698" t="s">
        <v>2136</v>
      </c>
    </row>
    <row r="699" spans="1:10" x14ac:dyDescent="0.25">
      <c r="A699" s="43" t="s">
        <v>3305</v>
      </c>
      <c r="B699" t="s">
        <v>61</v>
      </c>
      <c r="C699" t="s">
        <v>1177</v>
      </c>
      <c r="D699" t="s">
        <v>56</v>
      </c>
      <c r="E699" t="s">
        <v>1247</v>
      </c>
      <c r="G699" t="s">
        <v>1225</v>
      </c>
      <c r="H699" t="s">
        <v>1225</v>
      </c>
      <c r="I699" t="s">
        <v>462</v>
      </c>
      <c r="J699" t="s">
        <v>2143</v>
      </c>
    </row>
    <row r="700" spans="1:10" x14ac:dyDescent="0.25">
      <c r="A700" s="43" t="s">
        <v>2981</v>
      </c>
      <c r="B700" t="s">
        <v>61</v>
      </c>
      <c r="C700" t="s">
        <v>1177</v>
      </c>
      <c r="D700" t="s">
        <v>56</v>
      </c>
      <c r="E700" t="s">
        <v>1247</v>
      </c>
      <c r="G700" t="s">
        <v>1283</v>
      </c>
      <c r="H700" t="s">
        <v>898</v>
      </c>
      <c r="I700" t="s">
        <v>1498</v>
      </c>
      <c r="J700" t="s">
        <v>2138</v>
      </c>
    </row>
    <row r="701" spans="1:10" x14ac:dyDescent="0.25">
      <c r="A701" s="43" t="s">
        <v>3304</v>
      </c>
      <c r="B701" t="s">
        <v>61</v>
      </c>
      <c r="C701" t="s">
        <v>1177</v>
      </c>
      <c r="D701" t="s">
        <v>56</v>
      </c>
      <c r="E701" t="s">
        <v>1247</v>
      </c>
      <c r="G701" t="s">
        <v>1224</v>
      </c>
      <c r="H701" t="s">
        <v>1225</v>
      </c>
      <c r="I701" t="s">
        <v>88</v>
      </c>
      <c r="J701" t="s">
        <v>2144</v>
      </c>
    </row>
    <row r="702" spans="1:10" x14ac:dyDescent="0.25">
      <c r="A702" s="43" t="s">
        <v>3303</v>
      </c>
      <c r="B702" t="s">
        <v>61</v>
      </c>
      <c r="C702" t="s">
        <v>1177</v>
      </c>
      <c r="D702" t="s">
        <v>56</v>
      </c>
      <c r="E702" t="s">
        <v>1247</v>
      </c>
      <c r="G702" t="s">
        <v>8</v>
      </c>
      <c r="H702" t="s">
        <v>907</v>
      </c>
      <c r="I702" t="s">
        <v>901</v>
      </c>
      <c r="J702" t="s">
        <v>2139</v>
      </c>
    </row>
    <row r="703" spans="1:10" x14ac:dyDescent="0.25">
      <c r="A703" s="43" t="s">
        <v>3302</v>
      </c>
      <c r="B703" t="s">
        <v>61</v>
      </c>
      <c r="C703" t="s">
        <v>1177</v>
      </c>
      <c r="D703" t="s">
        <v>56</v>
      </c>
      <c r="E703" t="s">
        <v>1247</v>
      </c>
      <c r="G703" t="s">
        <v>1328</v>
      </c>
      <c r="H703" t="s">
        <v>907</v>
      </c>
      <c r="I703" t="s">
        <v>370</v>
      </c>
      <c r="J703" t="s">
        <v>2140</v>
      </c>
    </row>
    <row r="704" spans="1:10" x14ac:dyDescent="0.25">
      <c r="A704" s="43" t="s">
        <v>3301</v>
      </c>
      <c r="B704" t="s">
        <v>61</v>
      </c>
      <c r="C704" t="s">
        <v>1177</v>
      </c>
      <c r="D704" t="s">
        <v>56</v>
      </c>
      <c r="E704" t="s">
        <v>1247</v>
      </c>
      <c r="G704" t="s">
        <v>1330</v>
      </c>
      <c r="H704" t="s">
        <v>898</v>
      </c>
      <c r="I704" t="s">
        <v>1353</v>
      </c>
      <c r="J704" t="s">
        <v>2134</v>
      </c>
    </row>
    <row r="705" spans="1:10" x14ac:dyDescent="0.25">
      <c r="A705" s="43" t="s">
        <v>3300</v>
      </c>
      <c r="B705" t="s">
        <v>61</v>
      </c>
      <c r="C705" t="s">
        <v>1177</v>
      </c>
      <c r="D705" t="s">
        <v>56</v>
      </c>
      <c r="E705" t="s">
        <v>1247</v>
      </c>
      <c r="G705" t="s">
        <v>1290</v>
      </c>
      <c r="H705" t="s">
        <v>907</v>
      </c>
      <c r="I705" t="s">
        <v>1499</v>
      </c>
      <c r="J705" t="s">
        <v>2141</v>
      </c>
    </row>
    <row r="706" spans="1:10" x14ac:dyDescent="0.25">
      <c r="A706" s="43" t="s">
        <v>2980</v>
      </c>
      <c r="B706" t="s">
        <v>61</v>
      </c>
      <c r="C706" t="s">
        <v>1177</v>
      </c>
      <c r="D706" t="s">
        <v>56</v>
      </c>
      <c r="E706" t="s">
        <v>1247</v>
      </c>
      <c r="G706" t="s">
        <v>1218</v>
      </c>
      <c r="H706" t="s">
        <v>907</v>
      </c>
      <c r="I706" t="s">
        <v>513</v>
      </c>
      <c r="J706" t="s">
        <v>2142</v>
      </c>
    </row>
    <row r="707" spans="1:10" x14ac:dyDescent="0.25">
      <c r="A707" s="43" t="s">
        <v>1001</v>
      </c>
      <c r="B707" t="s">
        <v>61</v>
      </c>
      <c r="C707" t="s">
        <v>1463</v>
      </c>
      <c r="D707" t="s">
        <v>56</v>
      </c>
      <c r="E707" t="s">
        <v>1247</v>
      </c>
      <c r="G707" t="s">
        <v>1226</v>
      </c>
      <c r="H707" t="s">
        <v>907</v>
      </c>
      <c r="I707" t="s">
        <v>1500</v>
      </c>
      <c r="J707" t="s">
        <v>2145</v>
      </c>
    </row>
    <row r="708" spans="1:10" x14ac:dyDescent="0.25">
      <c r="A708" s="43" t="s">
        <v>1002</v>
      </c>
      <c r="B708" t="s">
        <v>61</v>
      </c>
      <c r="C708" t="s">
        <v>1463</v>
      </c>
      <c r="D708" t="s">
        <v>56</v>
      </c>
      <c r="E708" t="s">
        <v>1247</v>
      </c>
      <c r="G708" t="s">
        <v>1295</v>
      </c>
      <c r="H708" t="s">
        <v>898</v>
      </c>
      <c r="I708" t="s">
        <v>462</v>
      </c>
      <c r="J708" t="s">
        <v>2147</v>
      </c>
    </row>
    <row r="709" spans="1:10" x14ac:dyDescent="0.25">
      <c r="A709" s="43" t="s">
        <v>1003</v>
      </c>
      <c r="B709" t="s">
        <v>61</v>
      </c>
      <c r="C709" t="s">
        <v>1463</v>
      </c>
      <c r="D709" t="s">
        <v>56</v>
      </c>
      <c r="E709" t="s">
        <v>1247</v>
      </c>
      <c r="G709" t="s">
        <v>1225</v>
      </c>
      <c r="H709" t="s">
        <v>1225</v>
      </c>
      <c r="I709" t="s">
        <v>636</v>
      </c>
      <c r="J709" t="s">
        <v>2149</v>
      </c>
    </row>
    <row r="710" spans="1:10" x14ac:dyDescent="0.25">
      <c r="A710" s="43" t="s">
        <v>1005</v>
      </c>
      <c r="B710" t="s">
        <v>61</v>
      </c>
      <c r="C710" t="s">
        <v>1463</v>
      </c>
      <c r="D710" t="s">
        <v>56</v>
      </c>
      <c r="E710" t="s">
        <v>1247</v>
      </c>
      <c r="G710" t="s">
        <v>1283</v>
      </c>
      <c r="H710" t="s">
        <v>898</v>
      </c>
      <c r="I710" t="s">
        <v>1501</v>
      </c>
      <c r="J710" t="s">
        <v>2151</v>
      </c>
    </row>
    <row r="711" spans="1:10" x14ac:dyDescent="0.25">
      <c r="A711" s="43" t="s">
        <v>1004</v>
      </c>
      <c r="B711" t="s">
        <v>61</v>
      </c>
      <c r="C711" t="s">
        <v>1463</v>
      </c>
      <c r="D711" t="s">
        <v>56</v>
      </c>
      <c r="E711" t="s">
        <v>1247</v>
      </c>
      <c r="G711" t="s">
        <v>1224</v>
      </c>
      <c r="H711" t="s">
        <v>1225</v>
      </c>
      <c r="I711" t="s">
        <v>513</v>
      </c>
      <c r="J711" t="s">
        <v>2150</v>
      </c>
    </row>
    <row r="712" spans="1:10" x14ac:dyDescent="0.25">
      <c r="A712" s="43" t="s">
        <v>1006</v>
      </c>
      <c r="B712" t="s">
        <v>61</v>
      </c>
      <c r="C712" t="s">
        <v>1463</v>
      </c>
      <c r="D712" t="s">
        <v>56</v>
      </c>
      <c r="E712" t="s">
        <v>1247</v>
      </c>
      <c r="G712" t="s">
        <v>8</v>
      </c>
      <c r="H712" t="s">
        <v>907</v>
      </c>
      <c r="I712" t="s">
        <v>370</v>
      </c>
      <c r="J712" t="s">
        <v>2153</v>
      </c>
    </row>
    <row r="713" spans="1:10" x14ac:dyDescent="0.25">
      <c r="A713" s="43" t="s">
        <v>3859</v>
      </c>
      <c r="B713" t="s">
        <v>61</v>
      </c>
      <c r="C713" t="s">
        <v>1463</v>
      </c>
      <c r="D713" t="s">
        <v>56</v>
      </c>
      <c r="E713" t="s">
        <v>1247</v>
      </c>
      <c r="G713" t="s">
        <v>1328</v>
      </c>
      <c r="H713" t="s">
        <v>907</v>
      </c>
      <c r="I713" t="s">
        <v>1499</v>
      </c>
      <c r="J713" t="s">
        <v>2154</v>
      </c>
    </row>
    <row r="714" spans="1:10" x14ac:dyDescent="0.25">
      <c r="A714" s="43" t="s">
        <v>2979</v>
      </c>
      <c r="B714" t="s">
        <v>61</v>
      </c>
      <c r="C714" t="s">
        <v>1463</v>
      </c>
      <c r="D714" t="s">
        <v>56</v>
      </c>
      <c r="E714" t="s">
        <v>1247</v>
      </c>
      <c r="G714" t="s">
        <v>1330</v>
      </c>
      <c r="H714" t="s">
        <v>898</v>
      </c>
      <c r="I714" t="s">
        <v>88</v>
      </c>
      <c r="J714" t="s">
        <v>2155</v>
      </c>
    </row>
    <row r="715" spans="1:10" x14ac:dyDescent="0.25">
      <c r="A715" s="43" t="s">
        <v>1008</v>
      </c>
      <c r="B715" t="s">
        <v>61</v>
      </c>
      <c r="C715" t="s">
        <v>1463</v>
      </c>
      <c r="D715" t="s">
        <v>56</v>
      </c>
      <c r="E715" t="s">
        <v>1247</v>
      </c>
      <c r="G715" t="s">
        <v>1290</v>
      </c>
      <c r="H715" t="s">
        <v>907</v>
      </c>
      <c r="I715" t="s">
        <v>1353</v>
      </c>
      <c r="J715" t="s">
        <v>2157</v>
      </c>
    </row>
    <row r="716" spans="1:10" x14ac:dyDescent="0.25">
      <c r="A716" s="43" t="s">
        <v>1007</v>
      </c>
      <c r="B716" t="s">
        <v>61</v>
      </c>
      <c r="C716" t="s">
        <v>1463</v>
      </c>
      <c r="D716" t="s">
        <v>56</v>
      </c>
      <c r="E716" t="s">
        <v>1247</v>
      </c>
      <c r="G716" t="s">
        <v>1218</v>
      </c>
      <c r="H716" t="s">
        <v>907</v>
      </c>
      <c r="I716" t="s">
        <v>462</v>
      </c>
      <c r="J716" t="s">
        <v>2156</v>
      </c>
    </row>
    <row r="717" spans="1:10" x14ac:dyDescent="0.25">
      <c r="A717" s="43" t="s">
        <v>952</v>
      </c>
      <c r="B717" t="s">
        <v>95</v>
      </c>
      <c r="C717" t="s">
        <v>1177</v>
      </c>
      <c r="G717" t="s">
        <v>1226</v>
      </c>
      <c r="H717" t="s">
        <v>898</v>
      </c>
      <c r="I717" t="s">
        <v>1434</v>
      </c>
      <c r="J717" t="s">
        <v>1993</v>
      </c>
    </row>
    <row r="718" spans="1:10" x14ac:dyDescent="0.25">
      <c r="A718" s="43" t="s">
        <v>1071</v>
      </c>
      <c r="B718" t="s">
        <v>95</v>
      </c>
      <c r="C718" t="s">
        <v>1177</v>
      </c>
      <c r="G718" t="s">
        <v>1295</v>
      </c>
      <c r="H718" t="s">
        <v>898</v>
      </c>
      <c r="I718" t="s">
        <v>508</v>
      </c>
      <c r="J718" t="s">
        <v>1993</v>
      </c>
    </row>
    <row r="719" spans="1:10" x14ac:dyDescent="0.25">
      <c r="A719" s="43" t="s">
        <v>1072</v>
      </c>
      <c r="B719" t="s">
        <v>95</v>
      </c>
      <c r="C719" t="s">
        <v>1177</v>
      </c>
      <c r="G719" t="s">
        <v>1225</v>
      </c>
      <c r="H719" t="s">
        <v>1225</v>
      </c>
      <c r="I719" t="s">
        <v>246</v>
      </c>
      <c r="J719" t="s">
        <v>2261</v>
      </c>
    </row>
    <row r="720" spans="1:10" x14ac:dyDescent="0.25">
      <c r="A720" s="43" t="s">
        <v>1076</v>
      </c>
      <c r="B720" t="s">
        <v>95</v>
      </c>
      <c r="C720" t="s">
        <v>1177</v>
      </c>
      <c r="G720" t="s">
        <v>1283</v>
      </c>
      <c r="H720" t="s">
        <v>898</v>
      </c>
      <c r="I720" t="s">
        <v>96</v>
      </c>
      <c r="J720" t="s">
        <v>2265</v>
      </c>
    </row>
    <row r="721" spans="1:10" x14ac:dyDescent="0.25">
      <c r="A721" s="43" t="s">
        <v>1176</v>
      </c>
      <c r="B721" t="s">
        <v>95</v>
      </c>
      <c r="C721" t="s">
        <v>1177</v>
      </c>
      <c r="G721" t="s">
        <v>1224</v>
      </c>
      <c r="H721" t="s">
        <v>1225</v>
      </c>
      <c r="I721" t="s">
        <v>508</v>
      </c>
      <c r="J721" t="s">
        <v>2486</v>
      </c>
    </row>
    <row r="722" spans="1:10" x14ac:dyDescent="0.25">
      <c r="A722" s="43" t="s">
        <v>1073</v>
      </c>
      <c r="B722" t="s">
        <v>95</v>
      </c>
      <c r="C722" t="s">
        <v>1177</v>
      </c>
      <c r="G722" t="s">
        <v>8</v>
      </c>
      <c r="H722" t="s">
        <v>898</v>
      </c>
      <c r="I722" t="s">
        <v>726</v>
      </c>
      <c r="J722" t="s">
        <v>2262</v>
      </c>
    </row>
    <row r="723" spans="1:10" x14ac:dyDescent="0.25">
      <c r="A723" s="43" t="s">
        <v>1074</v>
      </c>
      <c r="B723" t="s">
        <v>95</v>
      </c>
      <c r="C723" t="s">
        <v>1177</v>
      </c>
      <c r="G723" t="s">
        <v>1328</v>
      </c>
      <c r="H723" t="s">
        <v>898</v>
      </c>
      <c r="I723" t="s">
        <v>726</v>
      </c>
      <c r="J723" t="s">
        <v>2263</v>
      </c>
    </row>
    <row r="724" spans="1:10" x14ac:dyDescent="0.25">
      <c r="A724" s="43" t="s">
        <v>1075</v>
      </c>
      <c r="B724" t="s">
        <v>95</v>
      </c>
      <c r="C724" t="s">
        <v>1177</v>
      </c>
      <c r="G724" t="s">
        <v>1330</v>
      </c>
      <c r="H724" t="s">
        <v>898</v>
      </c>
      <c r="I724" t="s">
        <v>268</v>
      </c>
      <c r="J724" t="s">
        <v>2264</v>
      </c>
    </row>
    <row r="725" spans="1:10" x14ac:dyDescent="0.25">
      <c r="A725" s="43" t="s">
        <v>1077</v>
      </c>
      <c r="B725" t="s">
        <v>95</v>
      </c>
      <c r="C725" t="s">
        <v>1177</v>
      </c>
      <c r="G725" t="s">
        <v>1290</v>
      </c>
      <c r="H725" t="s">
        <v>898</v>
      </c>
      <c r="I725" t="s">
        <v>356</v>
      </c>
      <c r="J725" t="s">
        <v>1993</v>
      </c>
    </row>
    <row r="726" spans="1:10" x14ac:dyDescent="0.25">
      <c r="A726" s="43" t="s">
        <v>1078</v>
      </c>
      <c r="B726" t="s">
        <v>95</v>
      </c>
      <c r="C726" t="s">
        <v>1177</v>
      </c>
      <c r="G726" t="s">
        <v>1218</v>
      </c>
      <c r="H726" t="s">
        <v>898</v>
      </c>
      <c r="I726" t="s">
        <v>508</v>
      </c>
      <c r="J726" t="s">
        <v>2267</v>
      </c>
    </row>
    <row r="727" spans="1:10" x14ac:dyDescent="0.25">
      <c r="A727" s="43" t="s">
        <v>3904</v>
      </c>
      <c r="B727" t="s">
        <v>95</v>
      </c>
      <c r="C727" t="s">
        <v>1463</v>
      </c>
      <c r="G727" t="s">
        <v>1295</v>
      </c>
      <c r="H727" t="s">
        <v>907</v>
      </c>
      <c r="I727" t="s">
        <v>339</v>
      </c>
      <c r="J727" t="s">
        <v>97</v>
      </c>
    </row>
    <row r="728" spans="1:10" x14ac:dyDescent="0.25">
      <c r="A728" s="43" t="s">
        <v>3903</v>
      </c>
      <c r="B728" t="s">
        <v>95</v>
      </c>
      <c r="C728" t="s">
        <v>1463</v>
      </c>
      <c r="G728" t="s">
        <v>1225</v>
      </c>
      <c r="H728" t="s">
        <v>1225</v>
      </c>
      <c r="I728" t="s">
        <v>508</v>
      </c>
      <c r="J728" t="s">
        <v>2217</v>
      </c>
    </row>
    <row r="729" spans="1:10" x14ac:dyDescent="0.25">
      <c r="A729" s="43" t="s">
        <v>1129</v>
      </c>
      <c r="B729" t="s">
        <v>95</v>
      </c>
      <c r="C729" t="s">
        <v>1463</v>
      </c>
      <c r="G729" t="s">
        <v>1328</v>
      </c>
      <c r="H729" t="s">
        <v>898</v>
      </c>
      <c r="I729" t="s">
        <v>1434</v>
      </c>
      <c r="J729" t="s">
        <v>2306</v>
      </c>
    </row>
    <row r="730" spans="1:10" x14ac:dyDescent="0.25">
      <c r="A730" s="43" t="s">
        <v>4143</v>
      </c>
      <c r="B730" t="s">
        <v>95</v>
      </c>
      <c r="C730" t="s">
        <v>1463</v>
      </c>
      <c r="G730" t="s">
        <v>1226</v>
      </c>
      <c r="H730" t="s">
        <v>907</v>
      </c>
      <c r="I730" t="s">
        <v>123</v>
      </c>
      <c r="J730" t="s">
        <v>2215</v>
      </c>
    </row>
    <row r="731" spans="1:10" x14ac:dyDescent="0.25">
      <c r="A731" s="43" t="s">
        <v>3902</v>
      </c>
      <c r="B731" t="s">
        <v>95</v>
      </c>
      <c r="C731" t="s">
        <v>1463</v>
      </c>
      <c r="G731" t="s">
        <v>1295</v>
      </c>
      <c r="H731" t="s">
        <v>898</v>
      </c>
      <c r="I731" t="s">
        <v>339</v>
      </c>
      <c r="J731" t="s">
        <v>97</v>
      </c>
    </row>
    <row r="732" spans="1:10" x14ac:dyDescent="0.25">
      <c r="A732" s="43" t="s">
        <v>3901</v>
      </c>
      <c r="B732" t="s">
        <v>95</v>
      </c>
      <c r="C732" t="s">
        <v>1463</v>
      </c>
      <c r="G732" t="s">
        <v>1225</v>
      </c>
      <c r="H732" t="s">
        <v>1225</v>
      </c>
      <c r="I732" t="s">
        <v>508</v>
      </c>
      <c r="J732" t="s">
        <v>2217</v>
      </c>
    </row>
    <row r="733" spans="1:10" x14ac:dyDescent="0.25">
      <c r="A733" s="43" t="s">
        <v>4142</v>
      </c>
      <c r="B733" t="s">
        <v>95</v>
      </c>
      <c r="C733" t="s">
        <v>1463</v>
      </c>
      <c r="G733" t="s">
        <v>1283</v>
      </c>
      <c r="H733" t="s">
        <v>898</v>
      </c>
      <c r="I733" t="s">
        <v>834</v>
      </c>
      <c r="J733" t="s">
        <v>2216</v>
      </c>
    </row>
    <row r="734" spans="1:10" x14ac:dyDescent="0.25">
      <c r="A734" s="43" t="s">
        <v>4141</v>
      </c>
      <c r="B734" t="s">
        <v>95</v>
      </c>
      <c r="C734" t="s">
        <v>1463</v>
      </c>
      <c r="G734" t="s">
        <v>1224</v>
      </c>
      <c r="H734" t="s">
        <v>1225</v>
      </c>
      <c r="I734" t="s">
        <v>508</v>
      </c>
      <c r="J734" t="s">
        <v>2217</v>
      </c>
    </row>
    <row r="735" spans="1:10" x14ac:dyDescent="0.25">
      <c r="A735" s="43" t="s">
        <v>3272</v>
      </c>
      <c r="B735" t="s">
        <v>95</v>
      </c>
      <c r="C735" t="s">
        <v>1463</v>
      </c>
      <c r="G735" t="s">
        <v>8</v>
      </c>
      <c r="H735" t="s">
        <v>907</v>
      </c>
      <c r="I735" t="s">
        <v>1434</v>
      </c>
      <c r="J735" t="s">
        <v>2167</v>
      </c>
    </row>
    <row r="736" spans="1:10" x14ac:dyDescent="0.25">
      <c r="A736" s="43" t="s">
        <v>1051</v>
      </c>
      <c r="B736" t="s">
        <v>95</v>
      </c>
      <c r="C736" t="s">
        <v>1463</v>
      </c>
      <c r="G736" t="s">
        <v>1330</v>
      </c>
      <c r="H736" t="s">
        <v>898</v>
      </c>
      <c r="I736" t="s">
        <v>96</v>
      </c>
      <c r="J736" t="s">
        <v>2218</v>
      </c>
    </row>
    <row r="737" spans="1:10" x14ac:dyDescent="0.25">
      <c r="A737" s="43" t="s">
        <v>3271</v>
      </c>
      <c r="B737" t="s">
        <v>95</v>
      </c>
      <c r="C737" t="s">
        <v>1463</v>
      </c>
      <c r="G737" t="s">
        <v>1290</v>
      </c>
      <c r="H737" t="s">
        <v>907</v>
      </c>
      <c r="I737" t="s">
        <v>1508</v>
      </c>
      <c r="J737" t="s">
        <v>2220</v>
      </c>
    </row>
    <row r="738" spans="1:10" x14ac:dyDescent="0.25">
      <c r="A738" s="43" t="s">
        <v>4140</v>
      </c>
      <c r="B738" t="s">
        <v>95</v>
      </c>
      <c r="C738" t="s">
        <v>1463</v>
      </c>
      <c r="G738" t="s">
        <v>1218</v>
      </c>
      <c r="H738" t="s">
        <v>907</v>
      </c>
      <c r="I738" t="s">
        <v>339</v>
      </c>
      <c r="J738" t="s">
        <v>2219</v>
      </c>
    </row>
    <row r="739" spans="1:10" x14ac:dyDescent="0.25">
      <c r="A739" s="43" t="s">
        <v>3270</v>
      </c>
      <c r="B739" t="s">
        <v>908</v>
      </c>
      <c r="C739" t="s">
        <v>1183</v>
      </c>
      <c r="D739" t="s">
        <v>56</v>
      </c>
      <c r="G739" t="s">
        <v>1295</v>
      </c>
      <c r="H739" t="s">
        <v>898</v>
      </c>
      <c r="I739" t="s">
        <v>1255</v>
      </c>
      <c r="J739" t="s">
        <v>1662</v>
      </c>
    </row>
    <row r="740" spans="1:10" x14ac:dyDescent="0.25">
      <c r="A740" s="43" t="s">
        <v>3269</v>
      </c>
      <c r="B740" t="s">
        <v>908</v>
      </c>
      <c r="C740" t="s">
        <v>1183</v>
      </c>
      <c r="D740" t="s">
        <v>56</v>
      </c>
      <c r="G740" t="s">
        <v>1295</v>
      </c>
      <c r="H740" t="s">
        <v>898</v>
      </c>
      <c r="I740" t="s">
        <v>1255</v>
      </c>
      <c r="J740" t="s">
        <v>1662</v>
      </c>
    </row>
    <row r="741" spans="1:10" x14ac:dyDescent="0.25">
      <c r="A741" s="43" t="s">
        <v>4260</v>
      </c>
      <c r="B741" t="s">
        <v>908</v>
      </c>
      <c r="C741" t="s">
        <v>1183</v>
      </c>
      <c r="D741" t="s">
        <v>56</v>
      </c>
      <c r="G741" t="s">
        <v>1283</v>
      </c>
      <c r="H741" t="s">
        <v>898</v>
      </c>
      <c r="I741" t="s">
        <v>1316</v>
      </c>
      <c r="J741" t="s">
        <v>1662</v>
      </c>
    </row>
    <row r="742" spans="1:10" x14ac:dyDescent="0.25">
      <c r="A742" s="43" t="s">
        <v>4139</v>
      </c>
      <c r="B742" t="s">
        <v>908</v>
      </c>
      <c r="C742" t="s">
        <v>1183</v>
      </c>
      <c r="D742" t="s">
        <v>56</v>
      </c>
      <c r="G742" t="s">
        <v>1283</v>
      </c>
      <c r="H742" t="s">
        <v>898</v>
      </c>
      <c r="I742" t="s">
        <v>1316</v>
      </c>
      <c r="J742" t="s">
        <v>1662</v>
      </c>
    </row>
    <row r="743" spans="1:10" x14ac:dyDescent="0.25">
      <c r="A743" s="43" t="s">
        <v>4344</v>
      </c>
      <c r="B743" t="s">
        <v>908</v>
      </c>
      <c r="C743" t="s">
        <v>1183</v>
      </c>
      <c r="D743" t="s">
        <v>56</v>
      </c>
      <c r="G743" t="s">
        <v>1224</v>
      </c>
      <c r="H743" t="s">
        <v>1225</v>
      </c>
      <c r="I743" t="s">
        <v>712</v>
      </c>
      <c r="J743" t="s">
        <v>1933</v>
      </c>
    </row>
    <row r="744" spans="1:10" x14ac:dyDescent="0.25">
      <c r="A744" s="43" t="s">
        <v>4138</v>
      </c>
      <c r="B744" t="s">
        <v>908</v>
      </c>
      <c r="C744" t="s">
        <v>1183</v>
      </c>
      <c r="D744" t="s">
        <v>56</v>
      </c>
      <c r="G744" t="s">
        <v>1224</v>
      </c>
      <c r="H744" t="s">
        <v>1225</v>
      </c>
      <c r="I744" t="s">
        <v>712</v>
      </c>
      <c r="J744" t="s">
        <v>1933</v>
      </c>
    </row>
    <row r="745" spans="1:10" x14ac:dyDescent="0.25">
      <c r="A745" s="43" t="s">
        <v>2978</v>
      </c>
      <c r="B745" t="s">
        <v>908</v>
      </c>
      <c r="C745" t="s">
        <v>1183</v>
      </c>
      <c r="D745" t="s">
        <v>56</v>
      </c>
      <c r="G745" t="s">
        <v>1330</v>
      </c>
      <c r="H745" t="s">
        <v>898</v>
      </c>
      <c r="I745" t="s">
        <v>1410</v>
      </c>
      <c r="J745" t="s">
        <v>1932</v>
      </c>
    </row>
    <row r="746" spans="1:10" x14ac:dyDescent="0.25">
      <c r="A746" s="43" t="s">
        <v>2752</v>
      </c>
      <c r="B746" t="s">
        <v>908</v>
      </c>
      <c r="C746" t="s">
        <v>1183</v>
      </c>
      <c r="D746" t="s">
        <v>56</v>
      </c>
      <c r="G746" t="s">
        <v>1330</v>
      </c>
      <c r="H746" t="s">
        <v>898</v>
      </c>
      <c r="I746" t="s">
        <v>1410</v>
      </c>
      <c r="J746" t="s">
        <v>1932</v>
      </c>
    </row>
    <row r="747" spans="1:10" x14ac:dyDescent="0.25">
      <c r="A747" s="43" t="s">
        <v>4457</v>
      </c>
      <c r="B747" t="s">
        <v>908</v>
      </c>
      <c r="C747" t="s">
        <v>1183</v>
      </c>
      <c r="D747" t="s">
        <v>56</v>
      </c>
      <c r="G747" t="s">
        <v>1218</v>
      </c>
      <c r="H747" t="s">
        <v>898</v>
      </c>
      <c r="I747" t="s">
        <v>1255</v>
      </c>
      <c r="J747" t="s">
        <v>1662</v>
      </c>
    </row>
    <row r="748" spans="1:10" x14ac:dyDescent="0.25">
      <c r="A748" s="43" t="s">
        <v>4431</v>
      </c>
      <c r="B748" t="s">
        <v>908</v>
      </c>
      <c r="C748" t="s">
        <v>1183</v>
      </c>
      <c r="D748" t="s">
        <v>56</v>
      </c>
      <c r="G748" t="s">
        <v>1218</v>
      </c>
      <c r="H748" t="s">
        <v>898</v>
      </c>
      <c r="I748" t="s">
        <v>1255</v>
      </c>
      <c r="J748" t="s">
        <v>1662</v>
      </c>
    </row>
    <row r="749" spans="1:10" x14ac:dyDescent="0.25">
      <c r="A749" s="43" t="s">
        <v>1130</v>
      </c>
      <c r="B749" t="s">
        <v>908</v>
      </c>
      <c r="C749" t="s">
        <v>1488</v>
      </c>
      <c r="D749" t="s">
        <v>56</v>
      </c>
      <c r="G749" t="s">
        <v>1295</v>
      </c>
      <c r="H749" t="s">
        <v>898</v>
      </c>
      <c r="I749" t="s">
        <v>1341</v>
      </c>
      <c r="J749" t="s">
        <v>2307</v>
      </c>
    </row>
    <row r="750" spans="1:10" x14ac:dyDescent="0.25">
      <c r="A750" s="43" t="s">
        <v>1132</v>
      </c>
      <c r="B750" t="s">
        <v>908</v>
      </c>
      <c r="C750" t="s">
        <v>1488</v>
      </c>
      <c r="D750" t="s">
        <v>56</v>
      </c>
      <c r="G750" t="s">
        <v>1283</v>
      </c>
      <c r="H750" t="s">
        <v>898</v>
      </c>
      <c r="I750" t="s">
        <v>388</v>
      </c>
      <c r="J750" t="s">
        <v>2309</v>
      </c>
    </row>
    <row r="751" spans="1:10" x14ac:dyDescent="0.25">
      <c r="A751" s="43" t="s">
        <v>1131</v>
      </c>
      <c r="B751" t="s">
        <v>908</v>
      </c>
      <c r="C751" t="s">
        <v>1488</v>
      </c>
      <c r="D751" t="s">
        <v>56</v>
      </c>
      <c r="G751" t="s">
        <v>1224</v>
      </c>
      <c r="H751" t="s">
        <v>1225</v>
      </c>
      <c r="I751" t="s">
        <v>1316</v>
      </c>
      <c r="J751" t="s">
        <v>2308</v>
      </c>
    </row>
    <row r="752" spans="1:10" x14ac:dyDescent="0.25">
      <c r="A752" s="43" t="s">
        <v>1133</v>
      </c>
      <c r="B752" t="s">
        <v>908</v>
      </c>
      <c r="C752" t="s">
        <v>1488</v>
      </c>
      <c r="D752" t="s">
        <v>56</v>
      </c>
      <c r="G752" t="s">
        <v>1330</v>
      </c>
      <c r="H752" t="s">
        <v>898</v>
      </c>
      <c r="I752" t="s">
        <v>1276</v>
      </c>
      <c r="J752" t="s">
        <v>2311</v>
      </c>
    </row>
    <row r="753" spans="1:10" x14ac:dyDescent="0.25">
      <c r="A753" s="43" t="s">
        <v>1134</v>
      </c>
      <c r="B753" t="s">
        <v>908</v>
      </c>
      <c r="C753" t="s">
        <v>1488</v>
      </c>
      <c r="D753" t="s">
        <v>56</v>
      </c>
      <c r="G753" t="s">
        <v>1218</v>
      </c>
      <c r="H753" t="s">
        <v>898</v>
      </c>
      <c r="I753" t="s">
        <v>1341</v>
      </c>
      <c r="J753" t="s">
        <v>2312</v>
      </c>
    </row>
    <row r="754" spans="1:10" x14ac:dyDescent="0.25">
      <c r="A754" s="43" t="s">
        <v>3268</v>
      </c>
      <c r="B754" t="s">
        <v>908</v>
      </c>
      <c r="C754" t="s">
        <v>1177</v>
      </c>
      <c r="G754" t="s">
        <v>1226</v>
      </c>
      <c r="H754" t="s">
        <v>907</v>
      </c>
      <c r="I754" t="s">
        <v>1251</v>
      </c>
      <c r="J754" t="s">
        <v>2333</v>
      </c>
    </row>
    <row r="755" spans="1:10" x14ac:dyDescent="0.25">
      <c r="A755" s="43" t="s">
        <v>3267</v>
      </c>
      <c r="B755" t="s">
        <v>908</v>
      </c>
      <c r="C755" t="s">
        <v>1177</v>
      </c>
      <c r="G755" t="s">
        <v>1295</v>
      </c>
      <c r="H755" t="s">
        <v>898</v>
      </c>
      <c r="I755" t="s">
        <v>794</v>
      </c>
      <c r="J755" t="s">
        <v>2334</v>
      </c>
    </row>
    <row r="756" spans="1:10" x14ac:dyDescent="0.25">
      <c r="A756" s="43" t="s">
        <v>3266</v>
      </c>
      <c r="B756" t="s">
        <v>908</v>
      </c>
      <c r="C756" t="s">
        <v>1177</v>
      </c>
      <c r="G756" t="s">
        <v>1225</v>
      </c>
      <c r="H756" t="s">
        <v>1225</v>
      </c>
      <c r="I756" t="s">
        <v>612</v>
      </c>
      <c r="J756" t="s">
        <v>2341</v>
      </c>
    </row>
    <row r="757" spans="1:10" x14ac:dyDescent="0.25">
      <c r="A757" s="43" t="s">
        <v>3265</v>
      </c>
      <c r="B757" t="s">
        <v>908</v>
      </c>
      <c r="C757" t="s">
        <v>1177</v>
      </c>
      <c r="G757" t="s">
        <v>1283</v>
      </c>
      <c r="H757" t="s">
        <v>898</v>
      </c>
      <c r="I757" t="s">
        <v>278</v>
      </c>
      <c r="J757" t="s">
        <v>2339</v>
      </c>
    </row>
    <row r="758" spans="1:10" x14ac:dyDescent="0.25">
      <c r="A758" s="43" t="s">
        <v>3264</v>
      </c>
      <c r="B758" t="s">
        <v>908</v>
      </c>
      <c r="C758" t="s">
        <v>1177</v>
      </c>
      <c r="G758" t="s">
        <v>1224</v>
      </c>
      <c r="H758" t="s">
        <v>1225</v>
      </c>
      <c r="I758" t="s">
        <v>23</v>
      </c>
      <c r="J758" t="s">
        <v>2342</v>
      </c>
    </row>
    <row r="759" spans="1:10" x14ac:dyDescent="0.25">
      <c r="A759" s="43" t="s">
        <v>2977</v>
      </c>
      <c r="B759" t="s">
        <v>908</v>
      </c>
      <c r="C759" t="s">
        <v>1177</v>
      </c>
      <c r="G759" t="s">
        <v>8</v>
      </c>
      <c r="H759" t="s">
        <v>907</v>
      </c>
      <c r="I759" t="s">
        <v>562</v>
      </c>
      <c r="J759" t="s">
        <v>2335</v>
      </c>
    </row>
    <row r="760" spans="1:10" x14ac:dyDescent="0.25">
      <c r="A760" s="43" t="s">
        <v>3263</v>
      </c>
      <c r="B760" t="s">
        <v>908</v>
      </c>
      <c r="C760" t="s">
        <v>1177</v>
      </c>
      <c r="G760" t="s">
        <v>1328</v>
      </c>
      <c r="H760" t="s">
        <v>907</v>
      </c>
      <c r="I760" t="s">
        <v>308</v>
      </c>
      <c r="J760" t="s">
        <v>2336</v>
      </c>
    </row>
    <row r="761" spans="1:10" x14ac:dyDescent="0.25">
      <c r="A761" s="43" t="s">
        <v>3262</v>
      </c>
      <c r="B761" t="s">
        <v>908</v>
      </c>
      <c r="C761" t="s">
        <v>1177</v>
      </c>
      <c r="G761" t="s">
        <v>1330</v>
      </c>
      <c r="H761" t="s">
        <v>898</v>
      </c>
      <c r="I761" t="s">
        <v>1251</v>
      </c>
      <c r="J761" t="s">
        <v>2340</v>
      </c>
    </row>
    <row r="762" spans="1:10" x14ac:dyDescent="0.25">
      <c r="A762" s="43" t="s">
        <v>2976</v>
      </c>
      <c r="B762" t="s">
        <v>908</v>
      </c>
      <c r="C762" t="s">
        <v>1177</v>
      </c>
      <c r="G762" t="s">
        <v>1290</v>
      </c>
      <c r="H762" t="s">
        <v>907</v>
      </c>
      <c r="I762" t="s">
        <v>549</v>
      </c>
      <c r="J762" t="s">
        <v>2337</v>
      </c>
    </row>
    <row r="763" spans="1:10" x14ac:dyDescent="0.25">
      <c r="A763" s="43" t="s">
        <v>2975</v>
      </c>
      <c r="B763" t="s">
        <v>908</v>
      </c>
      <c r="C763" t="s">
        <v>1177</v>
      </c>
      <c r="G763" t="s">
        <v>1218</v>
      </c>
      <c r="H763" t="s">
        <v>907</v>
      </c>
      <c r="I763" t="s">
        <v>794</v>
      </c>
      <c r="J763" t="s">
        <v>2338</v>
      </c>
    </row>
    <row r="764" spans="1:10" x14ac:dyDescent="0.25">
      <c r="A764" s="43" t="s">
        <v>3900</v>
      </c>
      <c r="B764" t="s">
        <v>908</v>
      </c>
      <c r="C764" t="s">
        <v>1463</v>
      </c>
      <c r="G764" t="s">
        <v>1226</v>
      </c>
      <c r="H764" t="s">
        <v>907</v>
      </c>
      <c r="I764" t="s">
        <v>794</v>
      </c>
      <c r="J764" t="s">
        <v>2191</v>
      </c>
    </row>
    <row r="765" spans="1:10" x14ac:dyDescent="0.25">
      <c r="A765" s="43" t="s">
        <v>3899</v>
      </c>
      <c r="B765" t="s">
        <v>908</v>
      </c>
      <c r="C765" t="s">
        <v>1463</v>
      </c>
      <c r="G765" t="s">
        <v>1295</v>
      </c>
      <c r="H765" t="s">
        <v>898</v>
      </c>
      <c r="I765" t="s">
        <v>292</v>
      </c>
      <c r="J765" t="s">
        <v>2190</v>
      </c>
    </row>
    <row r="766" spans="1:10" x14ac:dyDescent="0.25">
      <c r="A766" s="43" t="s">
        <v>3898</v>
      </c>
      <c r="B766" t="s">
        <v>908</v>
      </c>
      <c r="C766" t="s">
        <v>1463</v>
      </c>
      <c r="G766" t="s">
        <v>1225</v>
      </c>
      <c r="H766" t="s">
        <v>1225</v>
      </c>
      <c r="I766" t="s">
        <v>64</v>
      </c>
      <c r="J766" t="s">
        <v>2188</v>
      </c>
    </row>
    <row r="767" spans="1:10" x14ac:dyDescent="0.25">
      <c r="A767" s="43" t="s">
        <v>3897</v>
      </c>
      <c r="B767" t="s">
        <v>908</v>
      </c>
      <c r="C767" t="s">
        <v>1463</v>
      </c>
      <c r="G767" t="s">
        <v>1283</v>
      </c>
      <c r="H767" t="s">
        <v>898</v>
      </c>
      <c r="I767" t="s">
        <v>472</v>
      </c>
      <c r="J767" t="s">
        <v>2189</v>
      </c>
    </row>
    <row r="768" spans="1:10" x14ac:dyDescent="0.25">
      <c r="A768" s="43" t="s">
        <v>1029</v>
      </c>
      <c r="B768" t="s">
        <v>908</v>
      </c>
      <c r="C768" t="s">
        <v>1463</v>
      </c>
      <c r="G768" t="s">
        <v>1224</v>
      </c>
      <c r="H768" t="s">
        <v>1225</v>
      </c>
      <c r="I768" t="s">
        <v>612</v>
      </c>
      <c r="J768" t="s">
        <v>2187</v>
      </c>
    </row>
    <row r="769" spans="1:10" x14ac:dyDescent="0.25">
      <c r="A769" s="43" t="s">
        <v>1028</v>
      </c>
      <c r="B769" t="s">
        <v>908</v>
      </c>
      <c r="C769" t="s">
        <v>1463</v>
      </c>
      <c r="G769" t="s">
        <v>8</v>
      </c>
      <c r="H769" t="s">
        <v>907</v>
      </c>
      <c r="I769" t="s">
        <v>549</v>
      </c>
      <c r="J769" t="s">
        <v>2186</v>
      </c>
    </row>
    <row r="770" spans="1:10" x14ac:dyDescent="0.25">
      <c r="A770" s="43" t="s">
        <v>3896</v>
      </c>
      <c r="B770" t="s">
        <v>908</v>
      </c>
      <c r="C770" t="s">
        <v>1463</v>
      </c>
      <c r="G770" t="s">
        <v>1328</v>
      </c>
      <c r="H770" t="s">
        <v>907</v>
      </c>
      <c r="I770" t="s">
        <v>1251</v>
      </c>
      <c r="J770" t="s">
        <v>2185</v>
      </c>
    </row>
    <row r="771" spans="1:10" x14ac:dyDescent="0.25">
      <c r="A771" s="43" t="s">
        <v>3895</v>
      </c>
      <c r="B771" t="s">
        <v>908</v>
      </c>
      <c r="C771" t="s">
        <v>1463</v>
      </c>
      <c r="G771" t="s">
        <v>1330</v>
      </c>
      <c r="H771" t="s">
        <v>898</v>
      </c>
      <c r="I771" t="s">
        <v>794</v>
      </c>
      <c r="J771" t="s">
        <v>2184</v>
      </c>
    </row>
    <row r="772" spans="1:10" x14ac:dyDescent="0.25">
      <c r="A772" s="43" t="s">
        <v>3894</v>
      </c>
      <c r="B772" t="s">
        <v>908</v>
      </c>
      <c r="C772" t="s">
        <v>1463</v>
      </c>
      <c r="G772" t="s">
        <v>1290</v>
      </c>
      <c r="H772" t="s">
        <v>907</v>
      </c>
      <c r="I772" t="s">
        <v>23</v>
      </c>
      <c r="J772" t="s">
        <v>2099</v>
      </c>
    </row>
    <row r="773" spans="1:10" x14ac:dyDescent="0.25">
      <c r="A773" s="43" t="s">
        <v>1027</v>
      </c>
      <c r="B773" t="s">
        <v>908</v>
      </c>
      <c r="C773" t="s">
        <v>1463</v>
      </c>
      <c r="G773" t="s">
        <v>1218</v>
      </c>
      <c r="H773" t="s">
        <v>907</v>
      </c>
      <c r="I773" t="s">
        <v>292</v>
      </c>
      <c r="J773" t="s">
        <v>2183</v>
      </c>
    </row>
    <row r="774" spans="1:10" x14ac:dyDescent="0.25">
      <c r="A774" s="43" t="s">
        <v>3858</v>
      </c>
      <c r="B774" t="s">
        <v>148</v>
      </c>
      <c r="C774" t="s">
        <v>1183</v>
      </c>
      <c r="D774" t="s">
        <v>27</v>
      </c>
      <c r="G774" t="s">
        <v>1226</v>
      </c>
      <c r="H774" t="s">
        <v>907</v>
      </c>
      <c r="I774" t="s">
        <v>153</v>
      </c>
      <c r="J774" t="s">
        <v>2296</v>
      </c>
    </row>
    <row r="775" spans="1:10" x14ac:dyDescent="0.25">
      <c r="A775" s="43" t="s">
        <v>3857</v>
      </c>
      <c r="B775" t="s">
        <v>148</v>
      </c>
      <c r="C775" t="s">
        <v>1183</v>
      </c>
      <c r="D775" t="s">
        <v>27</v>
      </c>
      <c r="G775" t="s">
        <v>1295</v>
      </c>
      <c r="H775" t="s">
        <v>898</v>
      </c>
      <c r="I775" t="s">
        <v>1263</v>
      </c>
      <c r="J775" t="s">
        <v>154</v>
      </c>
    </row>
    <row r="776" spans="1:10" x14ac:dyDescent="0.25">
      <c r="A776" s="43" t="s">
        <v>3856</v>
      </c>
      <c r="B776" t="s">
        <v>148</v>
      </c>
      <c r="C776" t="s">
        <v>1183</v>
      </c>
      <c r="D776" t="s">
        <v>27</v>
      </c>
      <c r="G776" t="s">
        <v>1225</v>
      </c>
      <c r="H776" t="s">
        <v>1225</v>
      </c>
      <c r="I776" t="s">
        <v>646</v>
      </c>
      <c r="J776" t="s">
        <v>2300</v>
      </c>
    </row>
    <row r="777" spans="1:10" x14ac:dyDescent="0.25">
      <c r="A777" s="43" t="s">
        <v>3855</v>
      </c>
      <c r="B777" t="s">
        <v>148</v>
      </c>
      <c r="C777" t="s">
        <v>1183</v>
      </c>
      <c r="D777" t="s">
        <v>27</v>
      </c>
      <c r="G777" t="s">
        <v>1283</v>
      </c>
      <c r="H777" t="s">
        <v>898</v>
      </c>
      <c r="I777" t="s">
        <v>229</v>
      </c>
      <c r="J777" t="s">
        <v>154</v>
      </c>
    </row>
    <row r="778" spans="1:10" x14ac:dyDescent="0.25">
      <c r="A778" s="43" t="s">
        <v>4130</v>
      </c>
      <c r="B778" t="s">
        <v>148</v>
      </c>
      <c r="C778" t="s">
        <v>1183</v>
      </c>
      <c r="D778" t="s">
        <v>27</v>
      </c>
      <c r="G778" t="s">
        <v>1224</v>
      </c>
      <c r="H778" t="s">
        <v>1225</v>
      </c>
      <c r="I778" t="s">
        <v>1557</v>
      </c>
      <c r="J778" t="s">
        <v>2301</v>
      </c>
    </row>
    <row r="779" spans="1:10" x14ac:dyDescent="0.25">
      <c r="A779" s="43" t="s">
        <v>3854</v>
      </c>
      <c r="B779" t="s">
        <v>148</v>
      </c>
      <c r="C779" t="s">
        <v>1183</v>
      </c>
      <c r="D779" t="s">
        <v>27</v>
      </c>
      <c r="G779" t="s">
        <v>8</v>
      </c>
      <c r="H779" t="s">
        <v>907</v>
      </c>
      <c r="I779" t="s">
        <v>150</v>
      </c>
      <c r="J779" t="s">
        <v>2298</v>
      </c>
    </row>
    <row r="780" spans="1:10" x14ac:dyDescent="0.25">
      <c r="A780" s="43" t="s">
        <v>4252</v>
      </c>
      <c r="B780" t="s">
        <v>148</v>
      </c>
      <c r="C780" t="s">
        <v>1183</v>
      </c>
      <c r="D780" t="s">
        <v>27</v>
      </c>
      <c r="G780" t="s">
        <v>1328</v>
      </c>
      <c r="H780" t="s">
        <v>907</v>
      </c>
      <c r="I780" t="s">
        <v>226</v>
      </c>
      <c r="J780" t="s">
        <v>2299</v>
      </c>
    </row>
    <row r="781" spans="1:10" x14ac:dyDescent="0.25">
      <c r="A781" s="43" t="s">
        <v>3853</v>
      </c>
      <c r="B781" t="s">
        <v>148</v>
      </c>
      <c r="C781" t="s">
        <v>1183</v>
      </c>
      <c r="D781" t="s">
        <v>27</v>
      </c>
      <c r="G781" t="s">
        <v>1290</v>
      </c>
      <c r="H781" t="s">
        <v>907</v>
      </c>
      <c r="I781" t="s">
        <v>494</v>
      </c>
      <c r="J781" t="s">
        <v>2296</v>
      </c>
    </row>
    <row r="782" spans="1:10" x14ac:dyDescent="0.25">
      <c r="A782" s="43" t="s">
        <v>2730</v>
      </c>
      <c r="B782" t="s">
        <v>148</v>
      </c>
      <c r="C782" t="s">
        <v>1183</v>
      </c>
      <c r="D782" t="s">
        <v>27</v>
      </c>
      <c r="G782" t="s">
        <v>1218</v>
      </c>
      <c r="H782" t="s">
        <v>907</v>
      </c>
      <c r="I782" t="s">
        <v>1263</v>
      </c>
      <c r="J782" t="s">
        <v>154</v>
      </c>
    </row>
    <row r="783" spans="1:10" x14ac:dyDescent="0.25">
      <c r="A783" s="43" t="s">
        <v>1117</v>
      </c>
      <c r="B783" t="s">
        <v>148</v>
      </c>
      <c r="C783" t="s">
        <v>1488</v>
      </c>
      <c r="D783" t="s">
        <v>27</v>
      </c>
      <c r="G783" t="s">
        <v>1226</v>
      </c>
      <c r="H783" t="s">
        <v>907</v>
      </c>
      <c r="I783" t="s">
        <v>1557</v>
      </c>
      <c r="J783" t="s">
        <v>2296</v>
      </c>
    </row>
    <row r="784" spans="1:10" x14ac:dyDescent="0.25">
      <c r="A784" s="43" t="s">
        <v>1123</v>
      </c>
      <c r="B784" t="s">
        <v>148</v>
      </c>
      <c r="C784" t="s">
        <v>1488</v>
      </c>
      <c r="D784" t="s">
        <v>27</v>
      </c>
      <c r="G784" t="s">
        <v>1225</v>
      </c>
      <c r="H784" t="s">
        <v>1225</v>
      </c>
      <c r="I784" t="s">
        <v>759</v>
      </c>
      <c r="J784" t="s">
        <v>2300</v>
      </c>
    </row>
    <row r="785" spans="1:10" x14ac:dyDescent="0.25">
      <c r="A785" s="43" t="s">
        <v>1125</v>
      </c>
      <c r="B785" t="s">
        <v>148</v>
      </c>
      <c r="C785" t="s">
        <v>1488</v>
      </c>
      <c r="D785" t="s">
        <v>27</v>
      </c>
      <c r="G785" t="s">
        <v>1283</v>
      </c>
      <c r="H785" t="s">
        <v>898</v>
      </c>
      <c r="I785" t="s">
        <v>414</v>
      </c>
      <c r="J785" t="s">
        <v>154</v>
      </c>
    </row>
    <row r="786" spans="1:10" x14ac:dyDescent="0.25">
      <c r="A786" s="43" t="s">
        <v>1124</v>
      </c>
      <c r="B786" t="s">
        <v>148</v>
      </c>
      <c r="C786" t="s">
        <v>1488</v>
      </c>
      <c r="D786" t="s">
        <v>27</v>
      </c>
      <c r="G786" t="s">
        <v>1224</v>
      </c>
      <c r="H786" t="s">
        <v>1225</v>
      </c>
      <c r="I786" t="s">
        <v>1263</v>
      </c>
      <c r="J786" t="s">
        <v>2301</v>
      </c>
    </row>
    <row r="787" spans="1:10" x14ac:dyDescent="0.25">
      <c r="A787" s="43" t="s">
        <v>1122</v>
      </c>
      <c r="B787" t="s">
        <v>148</v>
      </c>
      <c r="C787" t="s">
        <v>1488</v>
      </c>
      <c r="D787" t="s">
        <v>27</v>
      </c>
      <c r="G787" t="s">
        <v>8</v>
      </c>
      <c r="H787" t="s">
        <v>907</v>
      </c>
      <c r="I787" t="s">
        <v>226</v>
      </c>
      <c r="J787" t="s">
        <v>2298</v>
      </c>
    </row>
    <row r="788" spans="1:10" x14ac:dyDescent="0.25">
      <c r="A788" s="43" t="s">
        <v>1126</v>
      </c>
      <c r="B788" t="s">
        <v>148</v>
      </c>
      <c r="C788" t="s">
        <v>1488</v>
      </c>
      <c r="D788" t="s">
        <v>27</v>
      </c>
      <c r="G788" t="s">
        <v>1328</v>
      </c>
      <c r="H788" t="s">
        <v>907</v>
      </c>
      <c r="I788" t="s">
        <v>494</v>
      </c>
      <c r="J788" t="s">
        <v>2299</v>
      </c>
    </row>
    <row r="789" spans="1:10" x14ac:dyDescent="0.25">
      <c r="A789" s="43" t="s">
        <v>1127</v>
      </c>
      <c r="B789" t="s">
        <v>148</v>
      </c>
      <c r="C789" t="s">
        <v>1488</v>
      </c>
      <c r="D789" t="s">
        <v>27</v>
      </c>
      <c r="G789" t="s">
        <v>1290</v>
      </c>
      <c r="H789" t="s">
        <v>907</v>
      </c>
      <c r="I789" t="s">
        <v>153</v>
      </c>
      <c r="J789" t="s">
        <v>2296</v>
      </c>
    </row>
    <row r="790" spans="1:10" x14ac:dyDescent="0.25">
      <c r="A790" s="43" t="s">
        <v>1128</v>
      </c>
      <c r="B790" t="s">
        <v>148</v>
      </c>
      <c r="C790" t="s">
        <v>1488</v>
      </c>
      <c r="D790" t="s">
        <v>27</v>
      </c>
      <c r="G790" t="s">
        <v>1218</v>
      </c>
      <c r="H790" t="s">
        <v>907</v>
      </c>
      <c r="I790" t="s">
        <v>646</v>
      </c>
      <c r="J790" t="s">
        <v>154</v>
      </c>
    </row>
    <row r="791" spans="1:10" x14ac:dyDescent="0.25">
      <c r="A791" s="43" t="s">
        <v>2974</v>
      </c>
      <c r="B791" t="s">
        <v>176</v>
      </c>
      <c r="C791" t="s">
        <v>1177</v>
      </c>
      <c r="G791" t="s">
        <v>1226</v>
      </c>
      <c r="H791" t="s">
        <v>907</v>
      </c>
    </row>
    <row r="792" spans="1:10" x14ac:dyDescent="0.25">
      <c r="A792" s="43" t="s">
        <v>3893</v>
      </c>
      <c r="B792" t="s">
        <v>176</v>
      </c>
      <c r="C792" t="s">
        <v>1177</v>
      </c>
      <c r="G792" t="s">
        <v>1328</v>
      </c>
      <c r="H792" t="s">
        <v>907</v>
      </c>
    </row>
    <row r="793" spans="1:10" x14ac:dyDescent="0.25">
      <c r="A793" s="43" t="s">
        <v>2973</v>
      </c>
      <c r="B793" t="s">
        <v>176</v>
      </c>
      <c r="C793" t="s">
        <v>1177</v>
      </c>
      <c r="G793" t="s">
        <v>1226</v>
      </c>
      <c r="H793" t="s">
        <v>907</v>
      </c>
      <c r="I793" t="s">
        <v>545</v>
      </c>
      <c r="J793" t="s">
        <v>2283</v>
      </c>
    </row>
    <row r="794" spans="1:10" x14ac:dyDescent="0.25">
      <c r="A794" s="43" t="s">
        <v>3892</v>
      </c>
      <c r="B794" t="s">
        <v>176</v>
      </c>
      <c r="C794" t="s">
        <v>1177</v>
      </c>
      <c r="G794" t="s">
        <v>1225</v>
      </c>
      <c r="H794" t="s">
        <v>1225</v>
      </c>
      <c r="I794" t="s">
        <v>545</v>
      </c>
      <c r="J794" t="s">
        <v>2283</v>
      </c>
    </row>
    <row r="795" spans="1:10" x14ac:dyDescent="0.25">
      <c r="A795" s="43" t="s">
        <v>3891</v>
      </c>
      <c r="B795" t="s">
        <v>176</v>
      </c>
      <c r="C795" t="s">
        <v>1177</v>
      </c>
      <c r="G795" t="s">
        <v>1283</v>
      </c>
      <c r="H795" t="s">
        <v>898</v>
      </c>
      <c r="I795" t="s">
        <v>472</v>
      </c>
      <c r="J795" t="s">
        <v>2350</v>
      </c>
    </row>
    <row r="796" spans="1:10" x14ac:dyDescent="0.25">
      <c r="A796" s="43" t="s">
        <v>3890</v>
      </c>
      <c r="B796" t="s">
        <v>176</v>
      </c>
      <c r="C796" t="s">
        <v>1177</v>
      </c>
      <c r="G796" t="s">
        <v>1224</v>
      </c>
      <c r="H796" t="s">
        <v>1225</v>
      </c>
      <c r="I796" t="s">
        <v>105</v>
      </c>
      <c r="J796" t="s">
        <v>2237</v>
      </c>
    </row>
    <row r="797" spans="1:10" x14ac:dyDescent="0.25">
      <c r="A797" s="43" t="s">
        <v>2972</v>
      </c>
      <c r="B797" t="s">
        <v>176</v>
      </c>
      <c r="C797" t="s">
        <v>1177</v>
      </c>
      <c r="G797" t="s">
        <v>8</v>
      </c>
      <c r="H797" t="s">
        <v>907</v>
      </c>
      <c r="I797" t="s">
        <v>545</v>
      </c>
      <c r="J797" t="s">
        <v>2283</v>
      </c>
    </row>
    <row r="798" spans="1:10" x14ac:dyDescent="0.25">
      <c r="A798" s="43" t="s">
        <v>2971</v>
      </c>
      <c r="B798" t="s">
        <v>176</v>
      </c>
      <c r="C798" t="s">
        <v>1177</v>
      </c>
      <c r="G798" t="s">
        <v>1328</v>
      </c>
      <c r="H798" t="s">
        <v>907</v>
      </c>
      <c r="I798" t="s">
        <v>545</v>
      </c>
      <c r="J798" t="s">
        <v>2283</v>
      </c>
    </row>
    <row r="799" spans="1:10" x14ac:dyDescent="0.25">
      <c r="A799" s="43" t="s">
        <v>3275</v>
      </c>
      <c r="B799" t="s">
        <v>176</v>
      </c>
      <c r="C799" t="s">
        <v>1177</v>
      </c>
      <c r="G799" t="s">
        <v>1330</v>
      </c>
      <c r="H799" t="s">
        <v>898</v>
      </c>
      <c r="I799" t="s">
        <v>105</v>
      </c>
      <c r="J799" t="s">
        <v>2279</v>
      </c>
    </row>
    <row r="800" spans="1:10" x14ac:dyDescent="0.25">
      <c r="A800" s="43" t="s">
        <v>3274</v>
      </c>
      <c r="B800" t="s">
        <v>176</v>
      </c>
      <c r="C800" t="s">
        <v>1177</v>
      </c>
      <c r="G800" t="s">
        <v>1290</v>
      </c>
      <c r="H800" t="s">
        <v>907</v>
      </c>
      <c r="I800" t="s">
        <v>545</v>
      </c>
      <c r="J800" t="s">
        <v>2283</v>
      </c>
    </row>
    <row r="801" spans="1:10" x14ac:dyDescent="0.25">
      <c r="A801" s="43" t="s">
        <v>4259</v>
      </c>
      <c r="B801" t="s">
        <v>176</v>
      </c>
      <c r="C801" t="s">
        <v>1177</v>
      </c>
      <c r="G801" t="s">
        <v>1218</v>
      </c>
      <c r="H801" t="s">
        <v>907</v>
      </c>
      <c r="I801" t="s">
        <v>545</v>
      </c>
      <c r="J801" t="s">
        <v>2283</v>
      </c>
    </row>
    <row r="802" spans="1:10" x14ac:dyDescent="0.25">
      <c r="A802" s="43" t="s">
        <v>1060</v>
      </c>
      <c r="B802" t="s">
        <v>176</v>
      </c>
      <c r="C802" t="s">
        <v>1463</v>
      </c>
      <c r="G802" t="s">
        <v>1226</v>
      </c>
      <c r="H802" t="s">
        <v>907</v>
      </c>
      <c r="I802" t="s">
        <v>1520</v>
      </c>
      <c r="J802" t="s">
        <v>180</v>
      </c>
    </row>
    <row r="803" spans="1:10" x14ac:dyDescent="0.25">
      <c r="A803" s="43" t="s">
        <v>1059</v>
      </c>
      <c r="B803" t="s">
        <v>176</v>
      </c>
      <c r="C803" t="s">
        <v>1463</v>
      </c>
      <c r="G803" t="s">
        <v>8</v>
      </c>
      <c r="H803" t="s">
        <v>907</v>
      </c>
      <c r="I803" t="s">
        <v>1520</v>
      </c>
      <c r="J803" t="s">
        <v>180</v>
      </c>
    </row>
    <row r="804" spans="1:10" x14ac:dyDescent="0.25">
      <c r="A804" s="43" t="s">
        <v>1150</v>
      </c>
      <c r="B804" t="s">
        <v>176</v>
      </c>
      <c r="C804" t="s">
        <v>1463</v>
      </c>
      <c r="G804" t="s">
        <v>1328</v>
      </c>
      <c r="H804" t="s">
        <v>907</v>
      </c>
      <c r="I804" t="s">
        <v>1520</v>
      </c>
      <c r="J804" t="s">
        <v>180</v>
      </c>
    </row>
    <row r="805" spans="1:10" x14ac:dyDescent="0.25">
      <c r="A805" s="43" t="s">
        <v>1042</v>
      </c>
      <c r="B805" t="s">
        <v>176</v>
      </c>
      <c r="C805" t="s">
        <v>1463</v>
      </c>
      <c r="G805" t="s">
        <v>1226</v>
      </c>
      <c r="H805" t="s">
        <v>907</v>
      </c>
      <c r="I805" t="s">
        <v>508</v>
      </c>
      <c r="J805" t="s">
        <v>2077</v>
      </c>
    </row>
    <row r="806" spans="1:10" x14ac:dyDescent="0.25">
      <c r="A806" s="43" t="s">
        <v>1044</v>
      </c>
      <c r="B806" t="s">
        <v>176</v>
      </c>
      <c r="C806" t="s">
        <v>1463</v>
      </c>
      <c r="G806" t="s">
        <v>1295</v>
      </c>
      <c r="H806" t="s">
        <v>898</v>
      </c>
      <c r="I806" t="s">
        <v>1512</v>
      </c>
      <c r="J806" t="s">
        <v>2203</v>
      </c>
    </row>
    <row r="807" spans="1:10" x14ac:dyDescent="0.25">
      <c r="A807" s="43" t="s">
        <v>1045</v>
      </c>
      <c r="B807" t="s">
        <v>176</v>
      </c>
      <c r="C807" t="s">
        <v>1463</v>
      </c>
      <c r="G807" t="s">
        <v>1225</v>
      </c>
      <c r="H807" t="s">
        <v>1225</v>
      </c>
      <c r="I807" t="s">
        <v>77</v>
      </c>
      <c r="J807" t="s">
        <v>2205</v>
      </c>
    </row>
    <row r="808" spans="1:10" x14ac:dyDescent="0.25">
      <c r="A808" s="43" t="s">
        <v>3273</v>
      </c>
      <c r="B808" t="s">
        <v>176</v>
      </c>
      <c r="C808" t="s">
        <v>1463</v>
      </c>
      <c r="G808" t="s">
        <v>1283</v>
      </c>
      <c r="H808" t="s">
        <v>898</v>
      </c>
      <c r="I808" t="s">
        <v>1513</v>
      </c>
      <c r="J808" t="s">
        <v>2204</v>
      </c>
    </row>
    <row r="809" spans="1:10" x14ac:dyDescent="0.25">
      <c r="A809" s="43" t="s">
        <v>1046</v>
      </c>
      <c r="B809" t="s">
        <v>176</v>
      </c>
      <c r="C809" t="s">
        <v>1463</v>
      </c>
      <c r="G809" t="s">
        <v>1224</v>
      </c>
      <c r="H809" t="s">
        <v>1225</v>
      </c>
      <c r="I809" t="s">
        <v>1382</v>
      </c>
      <c r="J809" t="s">
        <v>2206</v>
      </c>
    </row>
    <row r="810" spans="1:10" x14ac:dyDescent="0.25">
      <c r="A810" s="43" t="s">
        <v>1047</v>
      </c>
      <c r="B810" t="s">
        <v>176</v>
      </c>
      <c r="C810" t="s">
        <v>1463</v>
      </c>
      <c r="G810" t="s">
        <v>8</v>
      </c>
      <c r="H810" t="s">
        <v>907</v>
      </c>
      <c r="I810" t="s">
        <v>1467</v>
      </c>
      <c r="J810" t="s">
        <v>2073</v>
      </c>
    </row>
    <row r="811" spans="1:10" x14ac:dyDescent="0.25">
      <c r="A811" s="43" t="s">
        <v>1048</v>
      </c>
      <c r="B811" t="s">
        <v>176</v>
      </c>
      <c r="C811" t="s">
        <v>1463</v>
      </c>
      <c r="G811" t="s">
        <v>1328</v>
      </c>
      <c r="H811" t="s">
        <v>907</v>
      </c>
      <c r="I811" t="s">
        <v>1508</v>
      </c>
      <c r="J811" t="s">
        <v>2208</v>
      </c>
    </row>
    <row r="812" spans="1:10" x14ac:dyDescent="0.25">
      <c r="A812" s="43" t="s">
        <v>1050</v>
      </c>
      <c r="B812" t="s">
        <v>176</v>
      </c>
      <c r="C812" t="s">
        <v>1463</v>
      </c>
      <c r="G812" t="s">
        <v>1290</v>
      </c>
      <c r="H812" t="s">
        <v>907</v>
      </c>
      <c r="I812" t="s">
        <v>268</v>
      </c>
      <c r="J812" t="s">
        <v>2213</v>
      </c>
    </row>
    <row r="813" spans="1:10" x14ac:dyDescent="0.25">
      <c r="A813" s="43" t="s">
        <v>1049</v>
      </c>
      <c r="B813" t="s">
        <v>176</v>
      </c>
      <c r="C813" t="s">
        <v>1463</v>
      </c>
      <c r="G813" t="s">
        <v>1218</v>
      </c>
      <c r="H813" t="s">
        <v>907</v>
      </c>
      <c r="I813" t="s">
        <v>77</v>
      </c>
      <c r="J813" t="s">
        <v>2078</v>
      </c>
    </row>
    <row r="814" spans="1:10" x14ac:dyDescent="0.25">
      <c r="A814" s="43" t="s">
        <v>990</v>
      </c>
      <c r="B814" t="s">
        <v>263</v>
      </c>
      <c r="C814" t="s">
        <v>1183</v>
      </c>
      <c r="D814" t="s">
        <v>27</v>
      </c>
      <c r="G814" t="s">
        <v>1226</v>
      </c>
      <c r="H814" t="s">
        <v>898</v>
      </c>
      <c r="I814" t="s">
        <v>1495</v>
      </c>
      <c r="J814" t="s">
        <v>2126</v>
      </c>
    </row>
    <row r="815" spans="1:10" x14ac:dyDescent="0.25">
      <c r="A815" s="43" t="s">
        <v>991</v>
      </c>
      <c r="B815" t="s">
        <v>263</v>
      </c>
      <c r="C815" t="s">
        <v>1183</v>
      </c>
      <c r="D815" t="s">
        <v>27</v>
      </c>
      <c r="G815" t="s">
        <v>1295</v>
      </c>
      <c r="H815" t="s">
        <v>898</v>
      </c>
      <c r="I815" t="s">
        <v>1495</v>
      </c>
      <c r="J815" t="s">
        <v>2126</v>
      </c>
    </row>
    <row r="816" spans="1:10" x14ac:dyDescent="0.25">
      <c r="A816" s="43" t="s">
        <v>993</v>
      </c>
      <c r="B816" t="s">
        <v>263</v>
      </c>
      <c r="C816" t="s">
        <v>1183</v>
      </c>
      <c r="D816" t="s">
        <v>27</v>
      </c>
      <c r="G816" t="s">
        <v>1225</v>
      </c>
      <c r="H816" t="s">
        <v>1225</v>
      </c>
      <c r="I816" t="s">
        <v>1495</v>
      </c>
      <c r="J816" t="s">
        <v>2126</v>
      </c>
    </row>
    <row r="817" spans="1:10" x14ac:dyDescent="0.25">
      <c r="A817" s="43" t="s">
        <v>996</v>
      </c>
      <c r="B817" t="s">
        <v>263</v>
      </c>
      <c r="C817" t="s">
        <v>1183</v>
      </c>
      <c r="D817" t="s">
        <v>27</v>
      </c>
      <c r="G817" t="s">
        <v>1283</v>
      </c>
      <c r="H817" t="s">
        <v>898</v>
      </c>
      <c r="I817" t="s">
        <v>1495</v>
      </c>
      <c r="J817" t="s">
        <v>2126</v>
      </c>
    </row>
    <row r="818" spans="1:10" x14ac:dyDescent="0.25">
      <c r="A818" s="43" t="s">
        <v>992</v>
      </c>
      <c r="B818" t="s">
        <v>263</v>
      </c>
      <c r="C818" t="s">
        <v>1183</v>
      </c>
      <c r="D818" t="s">
        <v>27</v>
      </c>
      <c r="G818" t="s">
        <v>1224</v>
      </c>
      <c r="H818" t="s">
        <v>1225</v>
      </c>
      <c r="I818" t="s">
        <v>1495</v>
      </c>
      <c r="J818" t="s">
        <v>2126</v>
      </c>
    </row>
    <row r="819" spans="1:10" x14ac:dyDescent="0.25">
      <c r="A819" s="43" t="s">
        <v>994</v>
      </c>
      <c r="B819" t="s">
        <v>263</v>
      </c>
      <c r="C819" t="s">
        <v>1183</v>
      </c>
      <c r="D819" t="s">
        <v>27</v>
      </c>
      <c r="G819" t="s">
        <v>1328</v>
      </c>
      <c r="H819" t="s">
        <v>898</v>
      </c>
      <c r="I819" t="s">
        <v>1495</v>
      </c>
      <c r="J819" t="s">
        <v>2126</v>
      </c>
    </row>
    <row r="820" spans="1:10" x14ac:dyDescent="0.25">
      <c r="A820" s="43" t="s">
        <v>995</v>
      </c>
      <c r="B820" t="s">
        <v>263</v>
      </c>
      <c r="C820" t="s">
        <v>1183</v>
      </c>
      <c r="D820" t="s">
        <v>27</v>
      </c>
      <c r="G820" t="s">
        <v>1330</v>
      </c>
      <c r="H820" t="s">
        <v>898</v>
      </c>
      <c r="I820" t="s">
        <v>1495</v>
      </c>
      <c r="J820" t="s">
        <v>2126</v>
      </c>
    </row>
    <row r="821" spans="1:10" x14ac:dyDescent="0.25">
      <c r="A821" s="43" t="s">
        <v>998</v>
      </c>
      <c r="B821" t="s">
        <v>263</v>
      </c>
      <c r="C821" t="s">
        <v>1183</v>
      </c>
      <c r="D821" t="s">
        <v>27</v>
      </c>
      <c r="G821" t="s">
        <v>1290</v>
      </c>
      <c r="H821" t="s">
        <v>898</v>
      </c>
      <c r="I821" t="s">
        <v>1495</v>
      </c>
      <c r="J821" t="s">
        <v>2126</v>
      </c>
    </row>
    <row r="822" spans="1:10" x14ac:dyDescent="0.25">
      <c r="A822" s="43" t="s">
        <v>997</v>
      </c>
      <c r="B822" t="s">
        <v>263</v>
      </c>
      <c r="C822" t="s">
        <v>1183</v>
      </c>
      <c r="D822" t="s">
        <v>27</v>
      </c>
      <c r="G822" t="s">
        <v>1218</v>
      </c>
      <c r="H822" t="s">
        <v>898</v>
      </c>
      <c r="I822" t="s">
        <v>1495</v>
      </c>
      <c r="J822" t="s">
        <v>2126</v>
      </c>
    </row>
    <row r="823" spans="1:10" x14ac:dyDescent="0.25">
      <c r="A823" s="43" t="s">
        <v>1107</v>
      </c>
      <c r="B823" t="s">
        <v>263</v>
      </c>
      <c r="C823" t="s">
        <v>1488</v>
      </c>
      <c r="D823" t="s">
        <v>27</v>
      </c>
      <c r="G823" t="s">
        <v>1226</v>
      </c>
      <c r="H823" t="s">
        <v>898</v>
      </c>
      <c r="I823" t="s">
        <v>1434</v>
      </c>
      <c r="J823" t="s">
        <v>2126</v>
      </c>
    </row>
    <row r="824" spans="1:10" x14ac:dyDescent="0.25">
      <c r="A824" s="43" t="s">
        <v>1108</v>
      </c>
      <c r="B824" t="s">
        <v>263</v>
      </c>
      <c r="C824" t="s">
        <v>1488</v>
      </c>
      <c r="D824" t="s">
        <v>27</v>
      </c>
      <c r="G824" t="s">
        <v>1295</v>
      </c>
      <c r="H824" t="s">
        <v>898</v>
      </c>
      <c r="I824" t="s">
        <v>508</v>
      </c>
      <c r="J824" t="s">
        <v>2284</v>
      </c>
    </row>
    <row r="825" spans="1:10" x14ac:dyDescent="0.25">
      <c r="A825" s="43" t="s">
        <v>1109</v>
      </c>
      <c r="B825" t="s">
        <v>263</v>
      </c>
      <c r="C825" t="s">
        <v>1488</v>
      </c>
      <c r="D825" t="s">
        <v>27</v>
      </c>
      <c r="G825" t="s">
        <v>1225</v>
      </c>
      <c r="H825" t="s">
        <v>1225</v>
      </c>
      <c r="I825" t="s">
        <v>246</v>
      </c>
      <c r="J825" t="s">
        <v>2285</v>
      </c>
    </row>
    <row r="826" spans="1:10" x14ac:dyDescent="0.25">
      <c r="A826" s="43" t="s">
        <v>1111</v>
      </c>
      <c r="B826" t="s">
        <v>263</v>
      </c>
      <c r="C826" t="s">
        <v>1488</v>
      </c>
      <c r="D826" t="s">
        <v>27</v>
      </c>
      <c r="G826" t="s">
        <v>1283</v>
      </c>
      <c r="H826" t="s">
        <v>898</v>
      </c>
      <c r="I826" t="s">
        <v>96</v>
      </c>
      <c r="J826" t="s">
        <v>2284</v>
      </c>
    </row>
    <row r="827" spans="1:10" x14ac:dyDescent="0.25">
      <c r="A827" s="43" t="s">
        <v>1110</v>
      </c>
      <c r="B827" t="s">
        <v>263</v>
      </c>
      <c r="C827" t="s">
        <v>1488</v>
      </c>
      <c r="D827" t="s">
        <v>27</v>
      </c>
      <c r="G827" t="s">
        <v>1224</v>
      </c>
      <c r="H827" t="s">
        <v>1225</v>
      </c>
      <c r="I827" t="s">
        <v>508</v>
      </c>
      <c r="J827" t="s">
        <v>2286</v>
      </c>
    </row>
    <row r="828" spans="1:10" x14ac:dyDescent="0.25">
      <c r="A828" s="43" t="s">
        <v>1112</v>
      </c>
      <c r="B828" t="s">
        <v>263</v>
      </c>
      <c r="C828" t="s">
        <v>1488</v>
      </c>
      <c r="D828" t="s">
        <v>27</v>
      </c>
      <c r="G828" t="s">
        <v>8</v>
      </c>
      <c r="H828" t="s">
        <v>898</v>
      </c>
      <c r="I828" t="s">
        <v>726</v>
      </c>
      <c r="J828" t="s">
        <v>2287</v>
      </c>
    </row>
    <row r="829" spans="1:10" x14ac:dyDescent="0.25">
      <c r="A829" s="43" t="s">
        <v>3889</v>
      </c>
      <c r="B829" t="s">
        <v>263</v>
      </c>
      <c r="C829" t="s">
        <v>1488</v>
      </c>
      <c r="D829" t="s">
        <v>27</v>
      </c>
      <c r="G829" t="s">
        <v>1330</v>
      </c>
      <c r="H829" t="s">
        <v>898</v>
      </c>
      <c r="I829" t="s">
        <v>268</v>
      </c>
      <c r="J829" t="s">
        <v>2288</v>
      </c>
    </row>
    <row r="830" spans="1:10" x14ac:dyDescent="0.25">
      <c r="A830" s="43" t="s">
        <v>1114</v>
      </c>
      <c r="B830" t="s">
        <v>263</v>
      </c>
      <c r="C830" t="s">
        <v>1488</v>
      </c>
      <c r="D830" t="s">
        <v>27</v>
      </c>
      <c r="G830" t="s">
        <v>1290</v>
      </c>
      <c r="H830" t="s">
        <v>898</v>
      </c>
      <c r="I830" t="s">
        <v>356</v>
      </c>
      <c r="J830" t="s">
        <v>2290</v>
      </c>
    </row>
    <row r="831" spans="1:10" x14ac:dyDescent="0.25">
      <c r="A831" s="43" t="s">
        <v>1113</v>
      </c>
      <c r="B831" t="s">
        <v>263</v>
      </c>
      <c r="C831" t="s">
        <v>1488</v>
      </c>
      <c r="D831" t="s">
        <v>27</v>
      </c>
      <c r="G831" t="s">
        <v>1218</v>
      </c>
      <c r="H831" t="s">
        <v>898</v>
      </c>
      <c r="I831" t="s">
        <v>508</v>
      </c>
      <c r="J831" t="s">
        <v>2289</v>
      </c>
    </row>
    <row r="832" spans="1:10" x14ac:dyDescent="0.25">
      <c r="A832" s="43" t="s">
        <v>3887</v>
      </c>
      <c r="B832" t="s">
        <v>263</v>
      </c>
      <c r="C832" t="s">
        <v>1484</v>
      </c>
      <c r="D832" t="s">
        <v>27</v>
      </c>
      <c r="G832" t="s">
        <v>1226</v>
      </c>
      <c r="H832" t="s">
        <v>907</v>
      </c>
      <c r="I832" t="s">
        <v>612</v>
      </c>
      <c r="J832" t="s">
        <v>3888</v>
      </c>
    </row>
    <row r="833" spans="1:10" x14ac:dyDescent="0.25">
      <c r="A833" s="43" t="s">
        <v>3886</v>
      </c>
      <c r="B833" t="s">
        <v>263</v>
      </c>
      <c r="C833" t="s">
        <v>1484</v>
      </c>
      <c r="D833" t="s">
        <v>27</v>
      </c>
      <c r="G833" t="s">
        <v>1295</v>
      </c>
      <c r="H833" t="s">
        <v>898</v>
      </c>
      <c r="I833" t="s">
        <v>64</v>
      </c>
      <c r="J833" t="s">
        <v>2222</v>
      </c>
    </row>
    <row r="834" spans="1:10" x14ac:dyDescent="0.25">
      <c r="A834" s="43" t="s">
        <v>3283</v>
      </c>
      <c r="B834" t="s">
        <v>263</v>
      </c>
      <c r="C834" t="s">
        <v>1484</v>
      </c>
      <c r="D834" t="s">
        <v>27</v>
      </c>
      <c r="G834" t="s">
        <v>8</v>
      </c>
      <c r="H834" t="s">
        <v>907</v>
      </c>
      <c r="I834" t="s">
        <v>1251</v>
      </c>
      <c r="J834" t="s">
        <v>2224</v>
      </c>
    </row>
    <row r="835" spans="1:10" x14ac:dyDescent="0.25">
      <c r="A835" s="43" t="s">
        <v>3282</v>
      </c>
      <c r="B835" t="s">
        <v>263</v>
      </c>
      <c r="C835" t="s">
        <v>1484</v>
      </c>
      <c r="D835" t="s">
        <v>27</v>
      </c>
      <c r="G835" t="s">
        <v>1218</v>
      </c>
      <c r="H835" t="s">
        <v>907</v>
      </c>
      <c r="I835" t="s">
        <v>64</v>
      </c>
      <c r="J835" t="s">
        <v>2223</v>
      </c>
    </row>
    <row r="836" spans="1:10" x14ac:dyDescent="0.25">
      <c r="A836" s="43" t="s">
        <v>2970</v>
      </c>
      <c r="B836" t="s">
        <v>441</v>
      </c>
      <c r="C836" t="s">
        <v>1180</v>
      </c>
      <c r="D836" t="s">
        <v>27</v>
      </c>
      <c r="G836" t="s">
        <v>1226</v>
      </c>
      <c r="H836" t="s">
        <v>907</v>
      </c>
      <c r="I836" t="s">
        <v>1579</v>
      </c>
      <c r="J836" t="s">
        <v>453</v>
      </c>
    </row>
    <row r="837" spans="1:10" x14ac:dyDescent="0.25">
      <c r="A837" s="43" t="s">
        <v>3281</v>
      </c>
      <c r="B837" t="s">
        <v>441</v>
      </c>
      <c r="C837" t="s">
        <v>1180</v>
      </c>
      <c r="D837" t="s">
        <v>27</v>
      </c>
      <c r="G837" t="s">
        <v>1295</v>
      </c>
      <c r="H837" t="s">
        <v>898</v>
      </c>
      <c r="I837" t="s">
        <v>794</v>
      </c>
      <c r="J837" t="s">
        <v>2038</v>
      </c>
    </row>
    <row r="838" spans="1:10" x14ac:dyDescent="0.25">
      <c r="A838" s="43" t="s">
        <v>3280</v>
      </c>
      <c r="B838" t="s">
        <v>441</v>
      </c>
      <c r="C838" t="s">
        <v>1180</v>
      </c>
      <c r="D838" t="s">
        <v>27</v>
      </c>
      <c r="G838" t="s">
        <v>1225</v>
      </c>
      <c r="H838" t="s">
        <v>1225</v>
      </c>
      <c r="I838" t="s">
        <v>612</v>
      </c>
      <c r="J838" t="s">
        <v>2041</v>
      </c>
    </row>
    <row r="839" spans="1:10" x14ac:dyDescent="0.25">
      <c r="A839" s="43" t="s">
        <v>3279</v>
      </c>
      <c r="B839" t="s">
        <v>441</v>
      </c>
      <c r="C839" t="s">
        <v>1180</v>
      </c>
      <c r="D839" t="s">
        <v>27</v>
      </c>
      <c r="G839" t="s">
        <v>1283</v>
      </c>
      <c r="H839" t="s">
        <v>898</v>
      </c>
      <c r="I839" t="s">
        <v>278</v>
      </c>
      <c r="J839" t="s">
        <v>2039</v>
      </c>
    </row>
    <row r="840" spans="1:10" x14ac:dyDescent="0.25">
      <c r="A840" s="43" t="s">
        <v>3278</v>
      </c>
      <c r="B840" t="s">
        <v>441</v>
      </c>
      <c r="C840" t="s">
        <v>1180</v>
      </c>
      <c r="D840" t="s">
        <v>27</v>
      </c>
      <c r="G840" t="s">
        <v>1224</v>
      </c>
      <c r="H840" t="s">
        <v>1225</v>
      </c>
      <c r="I840" t="s">
        <v>23</v>
      </c>
      <c r="J840" t="s">
        <v>2042</v>
      </c>
    </row>
    <row r="841" spans="1:10" x14ac:dyDescent="0.25">
      <c r="A841" s="43" t="s">
        <v>2969</v>
      </c>
      <c r="B841" t="s">
        <v>441</v>
      </c>
      <c r="C841" t="s">
        <v>1180</v>
      </c>
      <c r="D841" t="s">
        <v>27</v>
      </c>
      <c r="G841" t="s">
        <v>8</v>
      </c>
      <c r="H841" t="s">
        <v>907</v>
      </c>
      <c r="I841" t="s">
        <v>448</v>
      </c>
      <c r="J841" t="s">
        <v>449</v>
      </c>
    </row>
    <row r="842" spans="1:10" x14ac:dyDescent="0.25">
      <c r="A842" s="43" t="s">
        <v>4258</v>
      </c>
      <c r="B842" t="s">
        <v>441</v>
      </c>
      <c r="C842" t="s">
        <v>1180</v>
      </c>
      <c r="D842" t="s">
        <v>27</v>
      </c>
      <c r="G842" t="s">
        <v>1328</v>
      </c>
      <c r="H842" t="s">
        <v>907</v>
      </c>
      <c r="I842" t="s">
        <v>1580</v>
      </c>
      <c r="J842" t="s">
        <v>2287</v>
      </c>
    </row>
    <row r="843" spans="1:10" x14ac:dyDescent="0.25">
      <c r="A843" s="43" t="s">
        <v>3277</v>
      </c>
      <c r="B843" t="s">
        <v>441</v>
      </c>
      <c r="C843" t="s">
        <v>1180</v>
      </c>
      <c r="D843" t="s">
        <v>27</v>
      </c>
      <c r="G843" t="s">
        <v>1330</v>
      </c>
      <c r="H843" t="s">
        <v>898</v>
      </c>
      <c r="I843" t="s">
        <v>1251</v>
      </c>
      <c r="J843" t="s">
        <v>2040</v>
      </c>
    </row>
    <row r="844" spans="1:10" x14ac:dyDescent="0.25">
      <c r="A844" s="43" t="s">
        <v>3276</v>
      </c>
      <c r="B844" t="s">
        <v>441</v>
      </c>
      <c r="C844" t="s">
        <v>1180</v>
      </c>
      <c r="D844" t="s">
        <v>27</v>
      </c>
      <c r="G844" t="s">
        <v>1290</v>
      </c>
      <c r="H844" t="s">
        <v>907</v>
      </c>
      <c r="I844" t="s">
        <v>452</v>
      </c>
      <c r="J844" t="s">
        <v>2357</v>
      </c>
    </row>
    <row r="845" spans="1:10" x14ac:dyDescent="0.25">
      <c r="A845" s="43" t="s">
        <v>2689</v>
      </c>
      <c r="B845" t="s">
        <v>441</v>
      </c>
      <c r="C845" t="s">
        <v>1180</v>
      </c>
      <c r="D845" t="s">
        <v>27</v>
      </c>
      <c r="G845" t="s">
        <v>1218</v>
      </c>
      <c r="H845" t="s">
        <v>907</v>
      </c>
      <c r="I845" t="s">
        <v>794</v>
      </c>
      <c r="J845" t="s">
        <v>2358</v>
      </c>
    </row>
    <row r="846" spans="1:10" x14ac:dyDescent="0.25">
      <c r="A846" s="43" t="s">
        <v>965</v>
      </c>
      <c r="B846" t="s">
        <v>441</v>
      </c>
      <c r="C846" t="s">
        <v>1199</v>
      </c>
      <c r="D846" t="s">
        <v>27</v>
      </c>
      <c r="G846" t="s">
        <v>1226</v>
      </c>
      <c r="H846" t="s">
        <v>907</v>
      </c>
      <c r="I846" t="s">
        <v>1277</v>
      </c>
      <c r="J846" t="s">
        <v>453</v>
      </c>
    </row>
    <row r="847" spans="1:10" x14ac:dyDescent="0.25">
      <c r="A847" s="43" t="s">
        <v>966</v>
      </c>
      <c r="B847" t="s">
        <v>441</v>
      </c>
      <c r="C847" t="s">
        <v>1199</v>
      </c>
      <c r="D847" t="s">
        <v>27</v>
      </c>
      <c r="G847" t="s">
        <v>1295</v>
      </c>
      <c r="H847" t="s">
        <v>898</v>
      </c>
      <c r="I847" t="s">
        <v>1455</v>
      </c>
      <c r="J847" t="s">
        <v>2038</v>
      </c>
    </row>
    <row r="848" spans="1:10" x14ac:dyDescent="0.25">
      <c r="A848" s="43" t="s">
        <v>969</v>
      </c>
      <c r="B848" t="s">
        <v>441</v>
      </c>
      <c r="C848" t="s">
        <v>1199</v>
      </c>
      <c r="D848" t="s">
        <v>27</v>
      </c>
      <c r="G848" t="s">
        <v>1225</v>
      </c>
      <c r="H848" t="s">
        <v>1225</v>
      </c>
      <c r="I848" t="s">
        <v>1458</v>
      </c>
      <c r="J848" t="s">
        <v>2041</v>
      </c>
    </row>
    <row r="849" spans="1:10" x14ac:dyDescent="0.25">
      <c r="A849" s="43" t="s">
        <v>967</v>
      </c>
      <c r="B849" t="s">
        <v>441</v>
      </c>
      <c r="C849" t="s">
        <v>1199</v>
      </c>
      <c r="D849" t="s">
        <v>27</v>
      </c>
      <c r="G849" t="s">
        <v>1283</v>
      </c>
      <c r="H849" t="s">
        <v>898</v>
      </c>
      <c r="I849" t="s">
        <v>1456</v>
      </c>
      <c r="J849" t="s">
        <v>2039</v>
      </c>
    </row>
    <row r="850" spans="1:10" x14ac:dyDescent="0.25">
      <c r="A850" s="43" t="s">
        <v>970</v>
      </c>
      <c r="B850" t="s">
        <v>441</v>
      </c>
      <c r="C850" t="s">
        <v>1199</v>
      </c>
      <c r="D850" t="s">
        <v>27</v>
      </c>
      <c r="G850" t="s">
        <v>1224</v>
      </c>
      <c r="H850" t="s">
        <v>1225</v>
      </c>
      <c r="I850" t="s">
        <v>1459</v>
      </c>
      <c r="J850" t="s">
        <v>2042</v>
      </c>
    </row>
    <row r="851" spans="1:10" x14ac:dyDescent="0.25">
      <c r="A851" s="43" t="s">
        <v>964</v>
      </c>
      <c r="B851" t="s">
        <v>441</v>
      </c>
      <c r="C851" t="s">
        <v>1199</v>
      </c>
      <c r="D851" t="s">
        <v>27</v>
      </c>
      <c r="G851" t="s">
        <v>8</v>
      </c>
      <c r="H851" t="s">
        <v>907</v>
      </c>
      <c r="I851" t="s">
        <v>1454</v>
      </c>
      <c r="J851" t="s">
        <v>449</v>
      </c>
    </row>
    <row r="852" spans="1:10" x14ac:dyDescent="0.25">
      <c r="A852" s="43" t="s">
        <v>1153</v>
      </c>
      <c r="B852" t="s">
        <v>441</v>
      </c>
      <c r="C852" t="s">
        <v>1199</v>
      </c>
      <c r="D852" t="s">
        <v>27</v>
      </c>
      <c r="G852" t="s">
        <v>1328</v>
      </c>
      <c r="H852" t="s">
        <v>907</v>
      </c>
      <c r="I852" t="s">
        <v>837</v>
      </c>
      <c r="J852" t="s">
        <v>2287</v>
      </c>
    </row>
    <row r="853" spans="1:10" x14ac:dyDescent="0.25">
      <c r="A853" s="43" t="s">
        <v>968</v>
      </c>
      <c r="B853" t="s">
        <v>441</v>
      </c>
      <c r="C853" t="s">
        <v>1199</v>
      </c>
      <c r="D853" t="s">
        <v>27</v>
      </c>
      <c r="G853" t="s">
        <v>1330</v>
      </c>
      <c r="H853" t="s">
        <v>898</v>
      </c>
      <c r="I853" t="s">
        <v>1457</v>
      </c>
      <c r="J853" t="s">
        <v>2040</v>
      </c>
    </row>
    <row r="854" spans="1:10" x14ac:dyDescent="0.25">
      <c r="A854" s="43" t="s">
        <v>1152</v>
      </c>
      <c r="B854" t="s">
        <v>441</v>
      </c>
      <c r="C854" t="s">
        <v>1199</v>
      </c>
      <c r="D854" t="s">
        <v>27</v>
      </c>
      <c r="G854" t="s">
        <v>1290</v>
      </c>
      <c r="H854" t="s">
        <v>907</v>
      </c>
      <c r="I854" t="s">
        <v>1277</v>
      </c>
      <c r="J854" t="s">
        <v>2357</v>
      </c>
    </row>
    <row r="855" spans="1:10" x14ac:dyDescent="0.25">
      <c r="A855" s="43" t="s">
        <v>2968</v>
      </c>
      <c r="B855" t="s">
        <v>441</v>
      </c>
      <c r="C855" t="s">
        <v>1199</v>
      </c>
      <c r="D855" t="s">
        <v>27</v>
      </c>
      <c r="G855" t="s">
        <v>1218</v>
      </c>
      <c r="H855" t="s">
        <v>907</v>
      </c>
      <c r="I855" t="s">
        <v>1455</v>
      </c>
      <c r="J855" t="s">
        <v>2358</v>
      </c>
    </row>
    <row r="856" spans="1:10" x14ac:dyDescent="0.25">
      <c r="A856" s="43" t="s">
        <v>3885</v>
      </c>
      <c r="B856" t="s">
        <v>459</v>
      </c>
      <c r="C856" t="s">
        <v>1188</v>
      </c>
      <c r="D856" t="s">
        <v>91</v>
      </c>
      <c r="G856" t="s">
        <v>1295</v>
      </c>
      <c r="H856" t="s">
        <v>898</v>
      </c>
      <c r="I856" t="s">
        <v>1399</v>
      </c>
      <c r="J856" t="s">
        <v>1909</v>
      </c>
    </row>
    <row r="857" spans="1:10" x14ac:dyDescent="0.25">
      <c r="A857" s="43" t="s">
        <v>3884</v>
      </c>
      <c r="B857" t="s">
        <v>459</v>
      </c>
      <c r="C857" t="s">
        <v>1188</v>
      </c>
      <c r="D857" t="s">
        <v>91</v>
      </c>
      <c r="G857" t="s">
        <v>1295</v>
      </c>
      <c r="H857" t="s">
        <v>898</v>
      </c>
      <c r="I857" t="s">
        <v>1399</v>
      </c>
      <c r="J857" t="s">
        <v>1909</v>
      </c>
    </row>
    <row r="858" spans="1:10" x14ac:dyDescent="0.25">
      <c r="A858" s="43" t="s">
        <v>2967</v>
      </c>
      <c r="B858" t="s">
        <v>459</v>
      </c>
      <c r="C858" t="s">
        <v>1188</v>
      </c>
      <c r="D858" t="s">
        <v>91</v>
      </c>
      <c r="G858" t="s">
        <v>1283</v>
      </c>
      <c r="H858" t="s">
        <v>898</v>
      </c>
      <c r="I858" t="s">
        <v>265</v>
      </c>
      <c r="J858" t="s">
        <v>1910</v>
      </c>
    </row>
    <row r="859" spans="1:10" x14ac:dyDescent="0.25">
      <c r="A859" s="43" t="s">
        <v>2966</v>
      </c>
      <c r="B859" t="s">
        <v>459</v>
      </c>
      <c r="C859" t="s">
        <v>1188</v>
      </c>
      <c r="D859" t="s">
        <v>91</v>
      </c>
      <c r="G859" t="s">
        <v>1283</v>
      </c>
      <c r="H859" t="s">
        <v>898</v>
      </c>
      <c r="I859" t="s">
        <v>265</v>
      </c>
      <c r="J859" t="s">
        <v>1910</v>
      </c>
    </row>
    <row r="860" spans="1:10" x14ac:dyDescent="0.25">
      <c r="A860" s="43" t="s">
        <v>2965</v>
      </c>
      <c r="B860" t="s">
        <v>459</v>
      </c>
      <c r="C860" t="s">
        <v>1188</v>
      </c>
      <c r="D860" t="s">
        <v>91</v>
      </c>
      <c r="G860" t="s">
        <v>1224</v>
      </c>
      <c r="H860" t="s">
        <v>1225</v>
      </c>
      <c r="I860" t="s">
        <v>1398</v>
      </c>
      <c r="J860" t="s">
        <v>1908</v>
      </c>
    </row>
    <row r="861" spans="1:10" x14ac:dyDescent="0.25">
      <c r="A861" s="43" t="s">
        <v>3883</v>
      </c>
      <c r="B861" t="s">
        <v>459</v>
      </c>
      <c r="C861" t="s">
        <v>1188</v>
      </c>
      <c r="D861" t="s">
        <v>91</v>
      </c>
      <c r="G861" t="s">
        <v>1224</v>
      </c>
      <c r="H861" t="s">
        <v>1225</v>
      </c>
      <c r="I861" t="s">
        <v>1398</v>
      </c>
      <c r="J861" t="s">
        <v>1908</v>
      </c>
    </row>
    <row r="862" spans="1:10" x14ac:dyDescent="0.25">
      <c r="A862" s="43" t="s">
        <v>2751</v>
      </c>
      <c r="B862" t="s">
        <v>459</v>
      </c>
      <c r="C862" t="s">
        <v>1188</v>
      </c>
      <c r="D862" t="s">
        <v>91</v>
      </c>
      <c r="G862" t="s">
        <v>1218</v>
      </c>
      <c r="H862" t="s">
        <v>898</v>
      </c>
      <c r="I862" t="s">
        <v>1399</v>
      </c>
      <c r="J862" t="s">
        <v>1911</v>
      </c>
    </row>
    <row r="863" spans="1:10" x14ac:dyDescent="0.25">
      <c r="A863" s="43" t="s">
        <v>3882</v>
      </c>
      <c r="B863" t="s">
        <v>459</v>
      </c>
      <c r="C863" t="s">
        <v>1188</v>
      </c>
      <c r="D863" t="s">
        <v>91</v>
      </c>
      <c r="G863" t="s">
        <v>1218</v>
      </c>
      <c r="H863" t="s">
        <v>898</v>
      </c>
      <c r="I863" t="s">
        <v>1399</v>
      </c>
      <c r="J863" t="s">
        <v>1911</v>
      </c>
    </row>
    <row r="864" spans="1:10" x14ac:dyDescent="0.25">
      <c r="A864" s="43" t="s">
        <v>977</v>
      </c>
      <c r="B864" t="s">
        <v>459</v>
      </c>
      <c r="C864" t="s">
        <v>1462</v>
      </c>
      <c r="D864" t="s">
        <v>91</v>
      </c>
      <c r="G864" t="s">
        <v>1283</v>
      </c>
      <c r="H864" t="s">
        <v>898</v>
      </c>
      <c r="I864" t="s">
        <v>45</v>
      </c>
      <c r="J864" t="s">
        <v>2064</v>
      </c>
    </row>
    <row r="865" spans="1:10" x14ac:dyDescent="0.25">
      <c r="A865" s="43" t="s">
        <v>978</v>
      </c>
      <c r="B865" t="s">
        <v>459</v>
      </c>
      <c r="C865" t="s">
        <v>1462</v>
      </c>
      <c r="D865" t="s">
        <v>91</v>
      </c>
      <c r="G865" t="s">
        <v>1224</v>
      </c>
      <c r="H865" t="s">
        <v>1225</v>
      </c>
      <c r="I865" t="s">
        <v>716</v>
      </c>
      <c r="J865" t="s">
        <v>2065</v>
      </c>
    </row>
    <row r="866" spans="1:10" x14ac:dyDescent="0.25">
      <c r="A866" s="43" t="s">
        <v>979</v>
      </c>
      <c r="B866" t="s">
        <v>459</v>
      </c>
      <c r="C866" t="s">
        <v>1462</v>
      </c>
      <c r="D866" t="s">
        <v>91</v>
      </c>
      <c r="G866" t="s">
        <v>1218</v>
      </c>
      <c r="H866" t="s">
        <v>898</v>
      </c>
      <c r="I866" t="s">
        <v>265</v>
      </c>
      <c r="J866" t="s">
        <v>2066</v>
      </c>
    </row>
    <row r="867" spans="1:10" x14ac:dyDescent="0.25">
      <c r="A867" s="43" t="s">
        <v>4257</v>
      </c>
      <c r="B867" t="s">
        <v>505</v>
      </c>
      <c r="C867" t="s">
        <v>1188</v>
      </c>
      <c r="D867" t="s">
        <v>27</v>
      </c>
      <c r="G867" t="s">
        <v>1226</v>
      </c>
      <c r="H867" t="s">
        <v>907</v>
      </c>
      <c r="I867" t="s">
        <v>726</v>
      </c>
      <c r="J867" t="s">
        <v>364</v>
      </c>
    </row>
    <row r="868" spans="1:10" x14ac:dyDescent="0.25">
      <c r="A868" s="43" t="s">
        <v>3881</v>
      </c>
      <c r="B868" t="s">
        <v>505</v>
      </c>
      <c r="C868" t="s">
        <v>1188</v>
      </c>
      <c r="D868" t="s">
        <v>27</v>
      </c>
      <c r="G868" t="s">
        <v>1295</v>
      </c>
      <c r="H868" t="s">
        <v>898</v>
      </c>
      <c r="I868" t="s">
        <v>726</v>
      </c>
      <c r="J868" t="s">
        <v>2045</v>
      </c>
    </row>
    <row r="869" spans="1:10" x14ac:dyDescent="0.25">
      <c r="A869" s="43" t="s">
        <v>3880</v>
      </c>
      <c r="B869" t="s">
        <v>505</v>
      </c>
      <c r="C869" t="s">
        <v>1188</v>
      </c>
      <c r="D869" t="s">
        <v>27</v>
      </c>
      <c r="G869" t="s">
        <v>1225</v>
      </c>
      <c r="H869" t="s">
        <v>1225</v>
      </c>
      <c r="I869" t="s">
        <v>726</v>
      </c>
      <c r="J869" t="s">
        <v>364</v>
      </c>
    </row>
    <row r="870" spans="1:10" x14ac:dyDescent="0.25">
      <c r="A870" s="43" t="s">
        <v>3879</v>
      </c>
      <c r="B870" t="s">
        <v>505</v>
      </c>
      <c r="C870" t="s">
        <v>1188</v>
      </c>
      <c r="D870" t="s">
        <v>27</v>
      </c>
      <c r="G870" t="s">
        <v>1283</v>
      </c>
      <c r="H870" t="s">
        <v>1225</v>
      </c>
      <c r="I870" t="s">
        <v>339</v>
      </c>
      <c r="J870" t="s">
        <v>2182</v>
      </c>
    </row>
    <row r="871" spans="1:10" x14ac:dyDescent="0.25">
      <c r="A871" s="43" t="s">
        <v>3878</v>
      </c>
      <c r="B871" t="s">
        <v>505</v>
      </c>
      <c r="C871" t="s">
        <v>1188</v>
      </c>
      <c r="D871" t="s">
        <v>27</v>
      </c>
      <c r="G871" t="s">
        <v>1224</v>
      </c>
      <c r="H871" t="s">
        <v>1225</v>
      </c>
      <c r="I871" t="s">
        <v>356</v>
      </c>
      <c r="J871" t="s">
        <v>2254</v>
      </c>
    </row>
    <row r="872" spans="1:10" x14ac:dyDescent="0.25">
      <c r="A872" s="43" t="s">
        <v>4137</v>
      </c>
      <c r="B872" t="s">
        <v>505</v>
      </c>
      <c r="C872" t="s">
        <v>1188</v>
      </c>
      <c r="D872" t="s">
        <v>27</v>
      </c>
      <c r="G872" t="s">
        <v>8</v>
      </c>
      <c r="H872" t="s">
        <v>907</v>
      </c>
      <c r="I872" t="s">
        <v>726</v>
      </c>
      <c r="J872" t="s">
        <v>364</v>
      </c>
    </row>
    <row r="873" spans="1:10" x14ac:dyDescent="0.25">
      <c r="A873" s="43" t="s">
        <v>3877</v>
      </c>
      <c r="B873" t="s">
        <v>505</v>
      </c>
      <c r="C873" t="s">
        <v>1188</v>
      </c>
      <c r="D873" t="s">
        <v>27</v>
      </c>
      <c r="G873" t="s">
        <v>1328</v>
      </c>
      <c r="H873" t="s">
        <v>907</v>
      </c>
      <c r="I873" t="s">
        <v>726</v>
      </c>
      <c r="J873" t="s">
        <v>364</v>
      </c>
    </row>
    <row r="874" spans="1:10" x14ac:dyDescent="0.25">
      <c r="A874" s="43" t="s">
        <v>3876</v>
      </c>
      <c r="B874" t="s">
        <v>505</v>
      </c>
      <c r="C874" t="s">
        <v>1188</v>
      </c>
      <c r="D874" t="s">
        <v>27</v>
      </c>
      <c r="G874" t="s">
        <v>1330</v>
      </c>
      <c r="H874" t="s">
        <v>898</v>
      </c>
      <c r="I874" t="s">
        <v>726</v>
      </c>
      <c r="J874" t="s">
        <v>364</v>
      </c>
    </row>
    <row r="875" spans="1:10" x14ac:dyDescent="0.25">
      <c r="A875" s="43" t="s">
        <v>4136</v>
      </c>
      <c r="B875" t="s">
        <v>505</v>
      </c>
      <c r="C875" t="s">
        <v>1188</v>
      </c>
      <c r="D875" t="s">
        <v>27</v>
      </c>
      <c r="G875" t="s">
        <v>1290</v>
      </c>
      <c r="H875" t="s">
        <v>907</v>
      </c>
      <c r="I875" t="s">
        <v>726</v>
      </c>
      <c r="J875" t="s">
        <v>364</v>
      </c>
    </row>
    <row r="876" spans="1:10" x14ac:dyDescent="0.25">
      <c r="A876" s="43" t="s">
        <v>3875</v>
      </c>
      <c r="B876" t="s">
        <v>505</v>
      </c>
      <c r="C876" t="s">
        <v>1188</v>
      </c>
      <c r="D876" t="s">
        <v>27</v>
      </c>
      <c r="G876" t="s">
        <v>1218</v>
      </c>
      <c r="H876" t="s">
        <v>898</v>
      </c>
      <c r="I876" t="s">
        <v>726</v>
      </c>
      <c r="J876" t="s">
        <v>364</v>
      </c>
    </row>
    <row r="877" spans="1:10" x14ac:dyDescent="0.25">
      <c r="A877" s="43" t="s">
        <v>1061</v>
      </c>
      <c r="B877" t="s">
        <v>505</v>
      </c>
      <c r="C877" t="s">
        <v>1462</v>
      </c>
      <c r="D877" t="s">
        <v>27</v>
      </c>
      <c r="G877" t="s">
        <v>8</v>
      </c>
      <c r="H877" t="s">
        <v>907</v>
      </c>
      <c r="I877" t="s">
        <v>242</v>
      </c>
      <c r="J877" t="s">
        <v>519</v>
      </c>
    </row>
    <row r="878" spans="1:10" x14ac:dyDescent="0.25">
      <c r="A878" s="43" t="s">
        <v>1065</v>
      </c>
      <c r="B878" t="s">
        <v>505</v>
      </c>
      <c r="C878" t="s">
        <v>1462</v>
      </c>
      <c r="D878" t="s">
        <v>27</v>
      </c>
      <c r="G878" t="s">
        <v>1226</v>
      </c>
      <c r="H878" t="s">
        <v>907</v>
      </c>
      <c r="I878" t="s">
        <v>268</v>
      </c>
      <c r="J878" t="s">
        <v>2084</v>
      </c>
    </row>
    <row r="879" spans="1:10" x14ac:dyDescent="0.25">
      <c r="A879" s="43" t="s">
        <v>3291</v>
      </c>
      <c r="B879" t="s">
        <v>505</v>
      </c>
      <c r="C879" t="s">
        <v>1462</v>
      </c>
      <c r="D879" t="s">
        <v>27</v>
      </c>
      <c r="G879" t="s">
        <v>1295</v>
      </c>
      <c r="H879" t="s">
        <v>898</v>
      </c>
      <c r="I879" t="s">
        <v>339</v>
      </c>
      <c r="J879" t="s">
        <v>2045</v>
      </c>
    </row>
    <row r="880" spans="1:10" x14ac:dyDescent="0.25">
      <c r="A880" s="43" t="s">
        <v>3290</v>
      </c>
      <c r="B880" t="s">
        <v>505</v>
      </c>
      <c r="C880" t="s">
        <v>1462</v>
      </c>
      <c r="D880" t="s">
        <v>27</v>
      </c>
      <c r="G880" t="s">
        <v>1225</v>
      </c>
      <c r="H880" t="s">
        <v>1225</v>
      </c>
      <c r="I880" t="s">
        <v>339</v>
      </c>
      <c r="J880" t="s">
        <v>2255</v>
      </c>
    </row>
    <row r="881" spans="1:10" x14ac:dyDescent="0.25">
      <c r="A881" s="43" t="s">
        <v>3289</v>
      </c>
      <c r="B881" t="s">
        <v>505</v>
      </c>
      <c r="C881" t="s">
        <v>1462</v>
      </c>
      <c r="D881" t="s">
        <v>27</v>
      </c>
      <c r="G881" t="s">
        <v>1283</v>
      </c>
      <c r="H881" t="s">
        <v>898</v>
      </c>
      <c r="I881" t="s">
        <v>77</v>
      </c>
      <c r="J881" t="s">
        <v>2182</v>
      </c>
    </row>
    <row r="882" spans="1:10" x14ac:dyDescent="0.25">
      <c r="A882" s="43" t="s">
        <v>1070</v>
      </c>
      <c r="B882" t="s">
        <v>505</v>
      </c>
      <c r="C882" t="s">
        <v>1462</v>
      </c>
      <c r="D882" t="s">
        <v>27</v>
      </c>
      <c r="G882" t="s">
        <v>1224</v>
      </c>
      <c r="H882" t="s">
        <v>1225</v>
      </c>
      <c r="I882" t="s">
        <v>834</v>
      </c>
      <c r="J882" t="s">
        <v>2254</v>
      </c>
    </row>
    <row r="883" spans="1:10" x14ac:dyDescent="0.25">
      <c r="A883" s="43" t="s">
        <v>1069</v>
      </c>
      <c r="B883" t="s">
        <v>505</v>
      </c>
      <c r="C883" t="s">
        <v>1462</v>
      </c>
      <c r="D883" t="s">
        <v>27</v>
      </c>
      <c r="G883" t="s">
        <v>8</v>
      </c>
      <c r="H883" t="s">
        <v>907</v>
      </c>
      <c r="I883" t="s">
        <v>123</v>
      </c>
      <c r="J883" t="s">
        <v>364</v>
      </c>
    </row>
    <row r="884" spans="1:10" x14ac:dyDescent="0.25">
      <c r="A884" s="43" t="s">
        <v>3288</v>
      </c>
      <c r="B884" t="s">
        <v>505</v>
      </c>
      <c r="C884" t="s">
        <v>1462</v>
      </c>
      <c r="D884" t="s">
        <v>27</v>
      </c>
      <c r="G884" t="s">
        <v>1328</v>
      </c>
      <c r="H884" t="s">
        <v>907</v>
      </c>
      <c r="I884" t="s">
        <v>123</v>
      </c>
      <c r="J884" t="s">
        <v>2253</v>
      </c>
    </row>
    <row r="885" spans="1:10" x14ac:dyDescent="0.25">
      <c r="A885" s="43" t="s">
        <v>3287</v>
      </c>
      <c r="B885" t="s">
        <v>505</v>
      </c>
      <c r="C885" t="s">
        <v>1462</v>
      </c>
      <c r="D885" t="s">
        <v>27</v>
      </c>
      <c r="G885" t="s">
        <v>1330</v>
      </c>
      <c r="H885" t="s">
        <v>898</v>
      </c>
      <c r="I885" t="s">
        <v>339</v>
      </c>
      <c r="J885" t="s">
        <v>86</v>
      </c>
    </row>
    <row r="886" spans="1:10" x14ac:dyDescent="0.25">
      <c r="A886" s="43" t="s">
        <v>3286</v>
      </c>
      <c r="B886" t="s">
        <v>505</v>
      </c>
      <c r="C886" t="s">
        <v>1462</v>
      </c>
      <c r="D886" t="s">
        <v>27</v>
      </c>
      <c r="G886" t="s">
        <v>1290</v>
      </c>
      <c r="H886" t="s">
        <v>907</v>
      </c>
      <c r="I886" t="s">
        <v>1453</v>
      </c>
      <c r="J886" t="s">
        <v>519</v>
      </c>
    </row>
    <row r="887" spans="1:10" x14ac:dyDescent="0.25">
      <c r="A887" s="43" t="s">
        <v>1066</v>
      </c>
      <c r="B887" t="s">
        <v>505</v>
      </c>
      <c r="C887" t="s">
        <v>1462</v>
      </c>
      <c r="D887" t="s">
        <v>27</v>
      </c>
      <c r="G887" t="s">
        <v>1218</v>
      </c>
      <c r="H887" t="s">
        <v>898</v>
      </c>
      <c r="I887" t="s">
        <v>77</v>
      </c>
      <c r="J887" t="s">
        <v>2252</v>
      </c>
    </row>
    <row r="888" spans="1:10" x14ac:dyDescent="0.25">
      <c r="A888" s="43" t="s">
        <v>3320</v>
      </c>
      <c r="B888" t="s">
        <v>572</v>
      </c>
      <c r="C888" t="s">
        <v>1210</v>
      </c>
      <c r="G888" t="s">
        <v>1295</v>
      </c>
      <c r="H888" t="s">
        <v>907</v>
      </c>
      <c r="I888" t="s">
        <v>1405</v>
      </c>
      <c r="J888" t="s">
        <v>1939</v>
      </c>
    </row>
    <row r="889" spans="1:10" x14ac:dyDescent="0.25">
      <c r="A889" s="43" t="s">
        <v>944</v>
      </c>
      <c r="B889" t="s">
        <v>572</v>
      </c>
      <c r="C889" t="s">
        <v>1210</v>
      </c>
      <c r="G889" t="s">
        <v>1295</v>
      </c>
      <c r="H889" t="s">
        <v>907</v>
      </c>
      <c r="I889" t="s">
        <v>1405</v>
      </c>
      <c r="J889" t="s">
        <v>1939</v>
      </c>
    </row>
    <row r="890" spans="1:10" x14ac:dyDescent="0.25">
      <c r="A890" s="43" t="s">
        <v>3319</v>
      </c>
      <c r="B890" t="s">
        <v>572</v>
      </c>
      <c r="C890" t="s">
        <v>1210</v>
      </c>
      <c r="G890" t="s">
        <v>1283</v>
      </c>
      <c r="H890" t="s">
        <v>898</v>
      </c>
      <c r="I890" t="s">
        <v>1405</v>
      </c>
      <c r="J890" t="s">
        <v>1939</v>
      </c>
    </row>
    <row r="891" spans="1:10" x14ac:dyDescent="0.25">
      <c r="A891" s="43" t="s">
        <v>946</v>
      </c>
      <c r="B891" t="s">
        <v>572</v>
      </c>
      <c r="C891" t="s">
        <v>1210</v>
      </c>
      <c r="G891" t="s">
        <v>1283</v>
      </c>
      <c r="H891" t="s">
        <v>898</v>
      </c>
      <c r="I891" t="s">
        <v>1405</v>
      </c>
      <c r="J891" t="s">
        <v>1939</v>
      </c>
    </row>
    <row r="892" spans="1:10" x14ac:dyDescent="0.25">
      <c r="A892" s="43" t="s">
        <v>4129</v>
      </c>
      <c r="B892" t="s">
        <v>572</v>
      </c>
      <c r="C892" t="s">
        <v>1210</v>
      </c>
      <c r="G892" t="s">
        <v>1224</v>
      </c>
      <c r="H892" t="s">
        <v>1225</v>
      </c>
      <c r="I892" t="s">
        <v>1405</v>
      </c>
      <c r="J892" t="s">
        <v>1939</v>
      </c>
    </row>
    <row r="893" spans="1:10" x14ac:dyDescent="0.25">
      <c r="A893" s="43" t="s">
        <v>945</v>
      </c>
      <c r="B893" t="s">
        <v>572</v>
      </c>
      <c r="C893" t="s">
        <v>1210</v>
      </c>
      <c r="G893" t="s">
        <v>1224</v>
      </c>
      <c r="H893" t="s">
        <v>1225</v>
      </c>
      <c r="I893" t="s">
        <v>1405</v>
      </c>
      <c r="J893" t="s">
        <v>1939</v>
      </c>
    </row>
    <row r="894" spans="1:10" x14ac:dyDescent="0.25">
      <c r="A894" s="43" t="s">
        <v>4251</v>
      </c>
      <c r="B894" t="s">
        <v>572</v>
      </c>
      <c r="C894" t="s">
        <v>1210</v>
      </c>
      <c r="G894" t="s">
        <v>1218</v>
      </c>
      <c r="H894" t="s">
        <v>898</v>
      </c>
      <c r="I894" t="s">
        <v>1405</v>
      </c>
      <c r="J894" t="s">
        <v>1939</v>
      </c>
    </row>
    <row r="895" spans="1:10" x14ac:dyDescent="0.25">
      <c r="A895" s="43" t="s">
        <v>947</v>
      </c>
      <c r="B895" t="s">
        <v>572</v>
      </c>
      <c r="C895" t="s">
        <v>1210</v>
      </c>
      <c r="G895" t="s">
        <v>1218</v>
      </c>
      <c r="H895" t="s">
        <v>898</v>
      </c>
      <c r="I895" t="s">
        <v>1405</v>
      </c>
      <c r="J895" t="s">
        <v>1939</v>
      </c>
    </row>
    <row r="896" spans="1:10" x14ac:dyDescent="0.25">
      <c r="A896" s="43" t="s">
        <v>1119</v>
      </c>
      <c r="B896" t="s">
        <v>572</v>
      </c>
      <c r="C896" t="s">
        <v>1210</v>
      </c>
      <c r="D896" t="s">
        <v>1558</v>
      </c>
      <c r="G896" t="s">
        <v>1226</v>
      </c>
      <c r="H896" t="s">
        <v>907</v>
      </c>
      <c r="I896" t="s">
        <v>442</v>
      </c>
      <c r="J896" t="s">
        <v>2302</v>
      </c>
    </row>
    <row r="897" spans="1:10" x14ac:dyDescent="0.25">
      <c r="A897" s="43" t="s">
        <v>1120</v>
      </c>
      <c r="B897" t="s">
        <v>572</v>
      </c>
      <c r="C897" t="s">
        <v>1210</v>
      </c>
      <c r="D897" t="s">
        <v>1558</v>
      </c>
      <c r="G897" t="s">
        <v>8</v>
      </c>
      <c r="H897" t="s">
        <v>907</v>
      </c>
      <c r="I897" t="s">
        <v>1316</v>
      </c>
      <c r="J897" t="s">
        <v>2303</v>
      </c>
    </row>
    <row r="898" spans="1:10" x14ac:dyDescent="0.25">
      <c r="A898" s="43" t="s">
        <v>1121</v>
      </c>
      <c r="B898" t="s">
        <v>572</v>
      </c>
      <c r="C898" t="s">
        <v>1210</v>
      </c>
      <c r="D898" t="s">
        <v>1558</v>
      </c>
      <c r="G898" t="s">
        <v>1290</v>
      </c>
      <c r="H898" t="s">
        <v>898</v>
      </c>
      <c r="I898" t="s">
        <v>1316</v>
      </c>
      <c r="J898" t="s">
        <v>2304</v>
      </c>
    </row>
    <row r="899" spans="1:10" x14ac:dyDescent="0.25">
      <c r="A899" s="43" t="s">
        <v>2750</v>
      </c>
      <c r="B899" t="s">
        <v>592</v>
      </c>
      <c r="C899" t="s">
        <v>1193</v>
      </c>
      <c r="D899" t="s">
        <v>84</v>
      </c>
      <c r="G899" t="s">
        <v>1295</v>
      </c>
      <c r="H899" t="s">
        <v>898</v>
      </c>
      <c r="I899" t="s">
        <v>303</v>
      </c>
      <c r="J899" t="s">
        <v>1912</v>
      </c>
    </row>
    <row r="900" spans="1:10" x14ac:dyDescent="0.25">
      <c r="A900" s="43" t="s">
        <v>3285</v>
      </c>
      <c r="B900" t="s">
        <v>592</v>
      </c>
      <c r="C900" t="s">
        <v>1193</v>
      </c>
      <c r="D900" t="s">
        <v>84</v>
      </c>
      <c r="G900" t="s">
        <v>1283</v>
      </c>
      <c r="H900" t="s">
        <v>898</v>
      </c>
      <c r="I900" t="s">
        <v>1530</v>
      </c>
      <c r="J900" t="s">
        <v>1913</v>
      </c>
    </row>
    <row r="901" spans="1:10" x14ac:dyDescent="0.25">
      <c r="A901" s="43" t="s">
        <v>4256</v>
      </c>
      <c r="B901" t="s">
        <v>592</v>
      </c>
      <c r="C901" t="s">
        <v>1193</v>
      </c>
      <c r="D901" t="s">
        <v>84</v>
      </c>
      <c r="G901" t="s">
        <v>1224</v>
      </c>
      <c r="H901" t="s">
        <v>1225</v>
      </c>
      <c r="I901" t="s">
        <v>1240</v>
      </c>
      <c r="J901" t="s">
        <v>1915</v>
      </c>
    </row>
    <row r="902" spans="1:10" x14ac:dyDescent="0.25">
      <c r="A902" s="43" t="s">
        <v>4135</v>
      </c>
      <c r="B902" t="s">
        <v>592</v>
      </c>
      <c r="C902" t="s">
        <v>1193</v>
      </c>
      <c r="D902" t="s">
        <v>84</v>
      </c>
      <c r="G902" t="s">
        <v>1218</v>
      </c>
      <c r="H902" t="s">
        <v>898</v>
      </c>
      <c r="I902" t="s">
        <v>303</v>
      </c>
      <c r="J902" t="s">
        <v>1914</v>
      </c>
    </row>
    <row r="903" spans="1:10" x14ac:dyDescent="0.25">
      <c r="A903" s="43" t="s">
        <v>1099</v>
      </c>
      <c r="B903" t="s">
        <v>592</v>
      </c>
      <c r="C903" t="s">
        <v>1188</v>
      </c>
      <c r="D903" t="s">
        <v>27</v>
      </c>
      <c r="G903" t="s">
        <v>1226</v>
      </c>
      <c r="H903" t="s">
        <v>907</v>
      </c>
      <c r="I903" t="s">
        <v>69</v>
      </c>
      <c r="J903" t="s">
        <v>1771</v>
      </c>
    </row>
    <row r="904" spans="1:10" x14ac:dyDescent="0.25">
      <c r="A904" s="43" t="s">
        <v>1146</v>
      </c>
      <c r="B904" t="s">
        <v>592</v>
      </c>
      <c r="C904" t="s">
        <v>1188</v>
      </c>
      <c r="D904" t="s">
        <v>27</v>
      </c>
      <c r="G904" t="s">
        <v>1295</v>
      </c>
      <c r="H904" t="s">
        <v>907</v>
      </c>
      <c r="I904" t="s">
        <v>69</v>
      </c>
      <c r="J904" t="s">
        <v>1771</v>
      </c>
    </row>
    <row r="905" spans="1:10" x14ac:dyDescent="0.25">
      <c r="A905" s="43" t="s">
        <v>1102</v>
      </c>
      <c r="B905" t="s">
        <v>592</v>
      </c>
      <c r="C905" t="s">
        <v>1188</v>
      </c>
      <c r="D905" t="s">
        <v>27</v>
      </c>
      <c r="G905" t="s">
        <v>1225</v>
      </c>
      <c r="H905" t="s">
        <v>1225</v>
      </c>
      <c r="I905" t="s">
        <v>69</v>
      </c>
      <c r="J905" t="s">
        <v>1771</v>
      </c>
    </row>
    <row r="906" spans="1:10" x14ac:dyDescent="0.25">
      <c r="A906" s="43" t="s">
        <v>3284</v>
      </c>
      <c r="B906" t="s">
        <v>592</v>
      </c>
      <c r="C906" t="s">
        <v>1188</v>
      </c>
      <c r="D906" t="s">
        <v>27</v>
      </c>
      <c r="G906" t="s">
        <v>1283</v>
      </c>
      <c r="H906" t="s">
        <v>898</v>
      </c>
      <c r="I906" t="s">
        <v>650</v>
      </c>
      <c r="J906" t="s">
        <v>2245</v>
      </c>
    </row>
    <row r="907" spans="1:10" x14ac:dyDescent="0.25">
      <c r="A907" s="43" t="s">
        <v>1100</v>
      </c>
      <c r="B907" t="s">
        <v>592</v>
      </c>
      <c r="C907" t="s">
        <v>1188</v>
      </c>
      <c r="D907" t="s">
        <v>27</v>
      </c>
      <c r="G907" t="s">
        <v>8</v>
      </c>
      <c r="H907" t="s">
        <v>907</v>
      </c>
      <c r="I907" t="s">
        <v>69</v>
      </c>
      <c r="J907" t="s">
        <v>1771</v>
      </c>
    </row>
    <row r="908" spans="1:10" x14ac:dyDescent="0.25">
      <c r="A908" s="43" t="s">
        <v>1104</v>
      </c>
      <c r="B908" t="s">
        <v>592</v>
      </c>
      <c r="C908" t="s">
        <v>1188</v>
      </c>
      <c r="D908" t="s">
        <v>27</v>
      </c>
      <c r="G908" t="s">
        <v>1328</v>
      </c>
      <c r="H908" t="s">
        <v>907</v>
      </c>
      <c r="I908" t="s">
        <v>69</v>
      </c>
      <c r="J908" t="s">
        <v>1771</v>
      </c>
    </row>
    <row r="909" spans="1:10" x14ac:dyDescent="0.25">
      <c r="A909" s="43" t="s">
        <v>1144</v>
      </c>
      <c r="B909" t="s">
        <v>592</v>
      </c>
      <c r="C909" t="s">
        <v>1188</v>
      </c>
      <c r="D909" t="s">
        <v>27</v>
      </c>
      <c r="G909" t="s">
        <v>1330</v>
      </c>
      <c r="H909" t="s">
        <v>898</v>
      </c>
      <c r="I909" t="s">
        <v>69</v>
      </c>
      <c r="J909" t="s">
        <v>1771</v>
      </c>
    </row>
    <row r="910" spans="1:10" x14ac:dyDescent="0.25">
      <c r="A910" s="43" t="s">
        <v>1103</v>
      </c>
      <c r="B910" t="s">
        <v>592</v>
      </c>
      <c r="C910" t="s">
        <v>1188</v>
      </c>
      <c r="D910" t="s">
        <v>27</v>
      </c>
      <c r="G910" t="s">
        <v>1290</v>
      </c>
      <c r="H910" t="s">
        <v>907</v>
      </c>
      <c r="I910" t="s">
        <v>69</v>
      </c>
      <c r="J910" t="s">
        <v>1771</v>
      </c>
    </row>
    <row r="911" spans="1:10" x14ac:dyDescent="0.25">
      <c r="A911" s="43" t="s">
        <v>1148</v>
      </c>
      <c r="B911" t="s">
        <v>592</v>
      </c>
      <c r="C911" t="s">
        <v>1188</v>
      </c>
      <c r="D911" t="s">
        <v>27</v>
      </c>
      <c r="G911" t="s">
        <v>1218</v>
      </c>
      <c r="H911" t="s">
        <v>898</v>
      </c>
      <c r="I911" t="s">
        <v>69</v>
      </c>
      <c r="J911" t="s">
        <v>1771</v>
      </c>
    </row>
    <row r="912" spans="1:10" x14ac:dyDescent="0.25">
      <c r="A912" s="43" t="s">
        <v>1062</v>
      </c>
      <c r="B912" t="s">
        <v>592</v>
      </c>
      <c r="C912" t="s">
        <v>1462</v>
      </c>
      <c r="D912" t="s">
        <v>27</v>
      </c>
      <c r="G912" t="s">
        <v>8</v>
      </c>
      <c r="H912" t="s">
        <v>907</v>
      </c>
      <c r="I912" t="s">
        <v>69</v>
      </c>
      <c r="J912" t="s">
        <v>1771</v>
      </c>
    </row>
    <row r="913" spans="1:10" x14ac:dyDescent="0.25">
      <c r="A913" s="43" t="s">
        <v>3874</v>
      </c>
      <c r="B913" t="s">
        <v>592</v>
      </c>
      <c r="C913" t="s">
        <v>1465</v>
      </c>
      <c r="D913" t="s">
        <v>84</v>
      </c>
      <c r="G913" t="s">
        <v>1295</v>
      </c>
      <c r="H913" t="s">
        <v>898</v>
      </c>
      <c r="I913" t="s">
        <v>327</v>
      </c>
      <c r="J913" t="s">
        <v>2067</v>
      </c>
    </row>
    <row r="914" spans="1:10" x14ac:dyDescent="0.25">
      <c r="A914" s="43" t="s">
        <v>1079</v>
      </c>
      <c r="B914" t="s">
        <v>592</v>
      </c>
      <c r="C914" t="s">
        <v>1465</v>
      </c>
      <c r="D914" t="s">
        <v>84</v>
      </c>
      <c r="G914" t="s">
        <v>1283</v>
      </c>
      <c r="H914" t="s">
        <v>898</v>
      </c>
      <c r="I914" t="s">
        <v>1527</v>
      </c>
      <c r="J914" t="s">
        <v>2068</v>
      </c>
    </row>
    <row r="915" spans="1:10" x14ac:dyDescent="0.25">
      <c r="A915" s="43" t="s">
        <v>1080</v>
      </c>
      <c r="B915" t="s">
        <v>592</v>
      </c>
      <c r="C915" t="s">
        <v>1465</v>
      </c>
      <c r="D915" t="s">
        <v>84</v>
      </c>
      <c r="G915" t="s">
        <v>1224</v>
      </c>
      <c r="H915" t="s">
        <v>1225</v>
      </c>
      <c r="I915" t="s">
        <v>1528</v>
      </c>
      <c r="J915" t="s">
        <v>2070</v>
      </c>
    </row>
    <row r="916" spans="1:10" x14ac:dyDescent="0.25">
      <c r="A916" s="43" t="s">
        <v>3873</v>
      </c>
      <c r="B916" t="s">
        <v>592</v>
      </c>
      <c r="C916" t="s">
        <v>1465</v>
      </c>
      <c r="D916" t="s">
        <v>84</v>
      </c>
      <c r="G916" t="s">
        <v>1218</v>
      </c>
      <c r="H916" t="s">
        <v>898</v>
      </c>
      <c r="I916" t="s">
        <v>327</v>
      </c>
      <c r="J916" t="s">
        <v>2069</v>
      </c>
    </row>
    <row r="917" spans="1:10" x14ac:dyDescent="0.25">
      <c r="A917" s="43" t="s">
        <v>1054</v>
      </c>
      <c r="B917" t="s">
        <v>592</v>
      </c>
      <c r="C917" t="s">
        <v>1462</v>
      </c>
      <c r="D917" t="s">
        <v>27</v>
      </c>
      <c r="G917" t="s">
        <v>1226</v>
      </c>
      <c r="H917" t="s">
        <v>907</v>
      </c>
      <c r="I917" t="s">
        <v>1499</v>
      </c>
      <c r="J917" t="s">
        <v>1861</v>
      </c>
    </row>
    <row r="918" spans="1:10" x14ac:dyDescent="0.25">
      <c r="A918" s="43" t="s">
        <v>1055</v>
      </c>
      <c r="B918" t="s">
        <v>592</v>
      </c>
      <c r="C918" t="s">
        <v>1462</v>
      </c>
      <c r="D918" t="s">
        <v>27</v>
      </c>
      <c r="G918" t="s">
        <v>1295</v>
      </c>
      <c r="H918" t="s">
        <v>898</v>
      </c>
      <c r="I918" t="s">
        <v>513</v>
      </c>
      <c r="J918" t="s">
        <v>2239</v>
      </c>
    </row>
    <row r="919" spans="1:10" x14ac:dyDescent="0.25">
      <c r="A919" s="43" t="s">
        <v>3872</v>
      </c>
      <c r="B919" t="s">
        <v>592</v>
      </c>
      <c r="C919" t="s">
        <v>1462</v>
      </c>
      <c r="D919" t="s">
        <v>27</v>
      </c>
      <c r="G919" t="s">
        <v>1225</v>
      </c>
      <c r="H919" t="s">
        <v>1225</v>
      </c>
      <c r="I919" t="s">
        <v>1353</v>
      </c>
      <c r="J919" t="s">
        <v>2244</v>
      </c>
    </row>
    <row r="920" spans="1:10" x14ac:dyDescent="0.25">
      <c r="A920" s="43" t="s">
        <v>3871</v>
      </c>
      <c r="B920" t="s">
        <v>592</v>
      </c>
      <c r="C920" t="s">
        <v>1462</v>
      </c>
      <c r="D920" t="s">
        <v>27</v>
      </c>
      <c r="G920" t="s">
        <v>1283</v>
      </c>
      <c r="H920" t="s">
        <v>898</v>
      </c>
      <c r="I920" t="s">
        <v>1501</v>
      </c>
      <c r="J920" t="s">
        <v>2245</v>
      </c>
    </row>
    <row r="921" spans="1:10" x14ac:dyDescent="0.25">
      <c r="A921" s="43" t="s">
        <v>1057</v>
      </c>
      <c r="B921" t="s">
        <v>592</v>
      </c>
      <c r="C921" t="s">
        <v>1462</v>
      </c>
      <c r="D921" t="s">
        <v>27</v>
      </c>
      <c r="G921" t="s">
        <v>1224</v>
      </c>
      <c r="H921" t="s">
        <v>1225</v>
      </c>
      <c r="I921" t="s">
        <v>1498</v>
      </c>
      <c r="J921" t="s">
        <v>2243</v>
      </c>
    </row>
    <row r="922" spans="1:10" x14ac:dyDescent="0.25">
      <c r="A922" s="43" t="s">
        <v>4134</v>
      </c>
      <c r="B922" t="s">
        <v>592</v>
      </c>
      <c r="C922" t="s">
        <v>1462</v>
      </c>
      <c r="D922" t="s">
        <v>27</v>
      </c>
      <c r="G922" t="s">
        <v>8</v>
      </c>
      <c r="H922" t="s">
        <v>907</v>
      </c>
      <c r="I922" t="s">
        <v>1367</v>
      </c>
      <c r="J922" t="s">
        <v>2242</v>
      </c>
    </row>
    <row r="923" spans="1:10" x14ac:dyDescent="0.25">
      <c r="A923" s="43" t="s">
        <v>3870</v>
      </c>
      <c r="B923" t="s">
        <v>592</v>
      </c>
      <c r="C923" t="s">
        <v>1462</v>
      </c>
      <c r="D923" t="s">
        <v>27</v>
      </c>
      <c r="G923" t="s">
        <v>1328</v>
      </c>
      <c r="H923" t="s">
        <v>907</v>
      </c>
      <c r="I923" t="s">
        <v>119</v>
      </c>
      <c r="J923" t="s">
        <v>2058</v>
      </c>
    </row>
    <row r="924" spans="1:10" x14ac:dyDescent="0.25">
      <c r="A924" s="43" t="s">
        <v>3869</v>
      </c>
      <c r="B924" t="s">
        <v>592</v>
      </c>
      <c r="C924" t="s">
        <v>1462</v>
      </c>
      <c r="D924" t="s">
        <v>27</v>
      </c>
      <c r="G924" t="s">
        <v>1330</v>
      </c>
      <c r="H924" t="s">
        <v>898</v>
      </c>
      <c r="I924" t="s">
        <v>1353</v>
      </c>
      <c r="J924" t="s">
        <v>2241</v>
      </c>
    </row>
    <row r="925" spans="1:10" x14ac:dyDescent="0.25">
      <c r="A925" s="43" t="s">
        <v>3868</v>
      </c>
      <c r="B925" t="s">
        <v>592</v>
      </c>
      <c r="C925" t="s">
        <v>1462</v>
      </c>
      <c r="D925" t="s">
        <v>27</v>
      </c>
      <c r="G925" t="s">
        <v>1290</v>
      </c>
      <c r="H925" t="s">
        <v>907</v>
      </c>
      <c r="I925" t="s">
        <v>1513</v>
      </c>
      <c r="J925" t="s">
        <v>1771</v>
      </c>
    </row>
    <row r="926" spans="1:10" x14ac:dyDescent="0.25">
      <c r="A926" s="43" t="s">
        <v>1056</v>
      </c>
      <c r="B926" t="s">
        <v>592</v>
      </c>
      <c r="C926" t="s">
        <v>1462</v>
      </c>
      <c r="D926" t="s">
        <v>27</v>
      </c>
      <c r="G926" t="s">
        <v>1218</v>
      </c>
      <c r="H926" t="s">
        <v>907</v>
      </c>
      <c r="I926" t="s">
        <v>1353</v>
      </c>
      <c r="J926" t="s">
        <v>2240</v>
      </c>
    </row>
    <row r="927" spans="1:10" x14ac:dyDescent="0.25">
      <c r="A927" s="43" t="s">
        <v>4127</v>
      </c>
      <c r="B927" t="s">
        <v>664</v>
      </c>
      <c r="C927" t="s">
        <v>1196</v>
      </c>
      <c r="D927" t="s">
        <v>3556</v>
      </c>
      <c r="H927" t="s">
        <v>907</v>
      </c>
      <c r="I927" t="s">
        <v>697</v>
      </c>
      <c r="J927" t="s">
        <v>4128</v>
      </c>
    </row>
    <row r="928" spans="1:10" x14ac:dyDescent="0.25">
      <c r="A928" s="43" t="s">
        <v>3317</v>
      </c>
      <c r="B928" t="s">
        <v>664</v>
      </c>
      <c r="C928" t="s">
        <v>1196</v>
      </c>
      <c r="D928" t="s">
        <v>56</v>
      </c>
      <c r="H928" t="s">
        <v>907</v>
      </c>
      <c r="I928" t="s">
        <v>77</v>
      </c>
      <c r="J928" t="s">
        <v>3318</v>
      </c>
    </row>
    <row r="929" spans="1:10" x14ac:dyDescent="0.25">
      <c r="A929" s="43" t="s">
        <v>4133</v>
      </c>
      <c r="B929" t="s">
        <v>678</v>
      </c>
      <c r="C929" t="s">
        <v>1193</v>
      </c>
      <c r="D929" t="s">
        <v>84</v>
      </c>
      <c r="G929" t="s">
        <v>1295</v>
      </c>
      <c r="H929" t="s">
        <v>898</v>
      </c>
      <c r="I929" t="s">
        <v>363</v>
      </c>
      <c r="J929" t="s">
        <v>1912</v>
      </c>
    </row>
    <row r="930" spans="1:10" x14ac:dyDescent="0.25">
      <c r="A930" s="43" t="s">
        <v>3867</v>
      </c>
      <c r="B930" t="s">
        <v>678</v>
      </c>
      <c r="C930" t="s">
        <v>1193</v>
      </c>
      <c r="D930" t="s">
        <v>84</v>
      </c>
      <c r="G930" t="s">
        <v>1295</v>
      </c>
      <c r="H930" t="s">
        <v>898</v>
      </c>
      <c r="I930" t="s">
        <v>363</v>
      </c>
      <c r="J930" t="s">
        <v>1912</v>
      </c>
    </row>
    <row r="931" spans="1:10" x14ac:dyDescent="0.25">
      <c r="A931" s="43" t="s">
        <v>4132</v>
      </c>
      <c r="B931" t="s">
        <v>678</v>
      </c>
      <c r="C931" t="s">
        <v>1193</v>
      </c>
      <c r="D931" t="s">
        <v>84</v>
      </c>
      <c r="G931" t="s">
        <v>1283</v>
      </c>
      <c r="H931" t="s">
        <v>898</v>
      </c>
      <c r="I931" t="s">
        <v>825</v>
      </c>
      <c r="J931" t="s">
        <v>1913</v>
      </c>
    </row>
    <row r="932" spans="1:10" x14ac:dyDescent="0.25">
      <c r="A932" s="43" t="s">
        <v>3299</v>
      </c>
      <c r="B932" t="s">
        <v>678</v>
      </c>
      <c r="C932" t="s">
        <v>1193</v>
      </c>
      <c r="D932" t="s">
        <v>84</v>
      </c>
      <c r="G932" t="s">
        <v>1283</v>
      </c>
      <c r="H932" t="s">
        <v>898</v>
      </c>
      <c r="I932" t="s">
        <v>825</v>
      </c>
      <c r="J932" t="s">
        <v>1913</v>
      </c>
    </row>
    <row r="933" spans="1:10" x14ac:dyDescent="0.25">
      <c r="A933" s="43" t="s">
        <v>2749</v>
      </c>
      <c r="B933" t="s">
        <v>678</v>
      </c>
      <c r="C933" t="s">
        <v>1193</v>
      </c>
      <c r="D933" t="s">
        <v>84</v>
      </c>
      <c r="G933" t="s">
        <v>1224</v>
      </c>
      <c r="H933" t="s">
        <v>1225</v>
      </c>
      <c r="I933" t="s">
        <v>1282</v>
      </c>
      <c r="J933" t="s">
        <v>1915</v>
      </c>
    </row>
    <row r="934" spans="1:10" x14ac:dyDescent="0.25">
      <c r="A934" s="43" t="s">
        <v>4131</v>
      </c>
      <c r="B934" t="s">
        <v>678</v>
      </c>
      <c r="C934" t="s">
        <v>1193</v>
      </c>
      <c r="D934" t="s">
        <v>84</v>
      </c>
      <c r="G934" t="s">
        <v>1224</v>
      </c>
      <c r="H934" t="s">
        <v>1225</v>
      </c>
      <c r="I934" t="s">
        <v>1282</v>
      </c>
      <c r="J934" t="s">
        <v>1915</v>
      </c>
    </row>
    <row r="935" spans="1:10" x14ac:dyDescent="0.25">
      <c r="A935" s="43" t="s">
        <v>2985</v>
      </c>
      <c r="B935" t="s">
        <v>678</v>
      </c>
      <c r="C935" t="s">
        <v>1193</v>
      </c>
      <c r="D935" t="s">
        <v>84</v>
      </c>
      <c r="G935" t="s">
        <v>1218</v>
      </c>
      <c r="H935" t="s">
        <v>898</v>
      </c>
      <c r="I935" t="s">
        <v>363</v>
      </c>
      <c r="J935" t="s">
        <v>1914</v>
      </c>
    </row>
    <row r="936" spans="1:10" x14ac:dyDescent="0.25">
      <c r="A936" s="43" t="s">
        <v>2984</v>
      </c>
      <c r="B936" t="s">
        <v>678</v>
      </c>
      <c r="C936" t="s">
        <v>1193</v>
      </c>
      <c r="D936" t="s">
        <v>84</v>
      </c>
      <c r="G936" t="s">
        <v>1218</v>
      </c>
      <c r="H936" t="s">
        <v>898</v>
      </c>
      <c r="I936" t="s">
        <v>363</v>
      </c>
      <c r="J936" t="s">
        <v>1914</v>
      </c>
    </row>
    <row r="937" spans="1:10" x14ac:dyDescent="0.25">
      <c r="A937" s="43" t="s">
        <v>2983</v>
      </c>
      <c r="B937" t="s">
        <v>678</v>
      </c>
      <c r="C937" t="s">
        <v>1188</v>
      </c>
      <c r="D937" t="s">
        <v>27</v>
      </c>
      <c r="G937" t="s">
        <v>1226</v>
      </c>
      <c r="H937" t="s">
        <v>907</v>
      </c>
      <c r="I937" t="s">
        <v>292</v>
      </c>
      <c r="J937" t="s">
        <v>1769</v>
      </c>
    </row>
    <row r="938" spans="1:10" x14ac:dyDescent="0.25">
      <c r="A938" s="43" t="s">
        <v>3298</v>
      </c>
      <c r="B938" t="s">
        <v>678</v>
      </c>
      <c r="C938" t="s">
        <v>1188</v>
      </c>
      <c r="D938" t="s">
        <v>27</v>
      </c>
      <c r="G938" t="s">
        <v>1295</v>
      </c>
      <c r="H938" t="s">
        <v>898</v>
      </c>
      <c r="I938" t="s">
        <v>123</v>
      </c>
      <c r="J938" t="s">
        <v>2090</v>
      </c>
    </row>
    <row r="939" spans="1:10" x14ac:dyDescent="0.25">
      <c r="A939" s="43" t="s">
        <v>3297</v>
      </c>
      <c r="B939" t="s">
        <v>678</v>
      </c>
      <c r="C939" t="s">
        <v>1188</v>
      </c>
      <c r="D939" t="s">
        <v>27</v>
      </c>
      <c r="G939" t="s">
        <v>1225</v>
      </c>
      <c r="H939" t="s">
        <v>1225</v>
      </c>
      <c r="I939" t="s">
        <v>501</v>
      </c>
      <c r="J939" t="s">
        <v>2091</v>
      </c>
    </row>
    <row r="940" spans="1:10" x14ac:dyDescent="0.25">
      <c r="A940" s="43" t="s">
        <v>3296</v>
      </c>
      <c r="B940" t="s">
        <v>678</v>
      </c>
      <c r="C940" t="s">
        <v>1188</v>
      </c>
      <c r="D940" t="s">
        <v>27</v>
      </c>
      <c r="G940" t="s">
        <v>1283</v>
      </c>
      <c r="H940" t="s">
        <v>898</v>
      </c>
      <c r="I940" t="s">
        <v>1467</v>
      </c>
      <c r="J940" t="s">
        <v>2093</v>
      </c>
    </row>
    <row r="941" spans="1:10" x14ac:dyDescent="0.25">
      <c r="A941" s="43" t="s">
        <v>3295</v>
      </c>
      <c r="B941" t="s">
        <v>678</v>
      </c>
      <c r="C941" t="s">
        <v>1188</v>
      </c>
      <c r="D941" t="s">
        <v>27</v>
      </c>
      <c r="G941" t="s">
        <v>1224</v>
      </c>
      <c r="H941" t="s">
        <v>1225</v>
      </c>
      <c r="I941" t="s">
        <v>545</v>
      </c>
      <c r="J941" t="s">
        <v>2092</v>
      </c>
    </row>
    <row r="942" spans="1:10" x14ac:dyDescent="0.25">
      <c r="A942" s="43" t="s">
        <v>3294</v>
      </c>
      <c r="B942" t="s">
        <v>678</v>
      </c>
      <c r="C942" t="s">
        <v>1188</v>
      </c>
      <c r="D942" t="s">
        <v>27</v>
      </c>
      <c r="G942" t="s">
        <v>8</v>
      </c>
      <c r="H942" t="s">
        <v>907</v>
      </c>
      <c r="I942" t="s">
        <v>23</v>
      </c>
      <c r="J942" t="s">
        <v>2099</v>
      </c>
    </row>
    <row r="943" spans="1:10" x14ac:dyDescent="0.25">
      <c r="A943" s="43" t="s">
        <v>3293</v>
      </c>
      <c r="B943" t="s">
        <v>678</v>
      </c>
      <c r="C943" t="s">
        <v>1188</v>
      </c>
      <c r="D943" t="s">
        <v>27</v>
      </c>
      <c r="G943" t="s">
        <v>1328</v>
      </c>
      <c r="H943" t="s">
        <v>907</v>
      </c>
      <c r="I943" t="s">
        <v>549</v>
      </c>
      <c r="J943" t="s">
        <v>2100</v>
      </c>
    </row>
    <row r="944" spans="1:10" x14ac:dyDescent="0.25">
      <c r="A944" s="43" t="s">
        <v>2982</v>
      </c>
      <c r="B944" t="s">
        <v>678</v>
      </c>
      <c r="C944" t="s">
        <v>1188</v>
      </c>
      <c r="D944" t="s">
        <v>27</v>
      </c>
      <c r="G944" t="s">
        <v>1330</v>
      </c>
      <c r="H944" t="s">
        <v>898</v>
      </c>
      <c r="I944" t="s">
        <v>545</v>
      </c>
      <c r="J944" t="s">
        <v>2098</v>
      </c>
    </row>
    <row r="945" spans="1:10" x14ac:dyDescent="0.25">
      <c r="A945" s="43" t="s">
        <v>3292</v>
      </c>
      <c r="B945" t="s">
        <v>678</v>
      </c>
      <c r="C945" t="s">
        <v>1188</v>
      </c>
      <c r="D945" t="s">
        <v>27</v>
      </c>
      <c r="G945" t="s">
        <v>1290</v>
      </c>
      <c r="H945" t="s">
        <v>907</v>
      </c>
      <c r="I945" t="s">
        <v>612</v>
      </c>
      <c r="J945" t="s">
        <v>2089</v>
      </c>
    </row>
    <row r="946" spans="1:10" x14ac:dyDescent="0.25">
      <c r="A946" s="43" t="s">
        <v>4255</v>
      </c>
      <c r="B946" t="s">
        <v>678</v>
      </c>
      <c r="C946" t="s">
        <v>1188</v>
      </c>
      <c r="D946" t="s">
        <v>27</v>
      </c>
      <c r="G946" t="s">
        <v>1218</v>
      </c>
      <c r="H946" t="s">
        <v>907</v>
      </c>
      <c r="I946" t="s">
        <v>278</v>
      </c>
      <c r="J946" t="s">
        <v>2088</v>
      </c>
    </row>
    <row r="947" spans="1:10" x14ac:dyDescent="0.25">
      <c r="A947" s="43" t="s">
        <v>980</v>
      </c>
      <c r="B947" t="s">
        <v>678</v>
      </c>
      <c r="C947" t="s">
        <v>1465</v>
      </c>
      <c r="D947" t="s">
        <v>84</v>
      </c>
      <c r="G947" t="s">
        <v>1295</v>
      </c>
      <c r="H947" t="s">
        <v>898</v>
      </c>
      <c r="I947" t="s">
        <v>330</v>
      </c>
      <c r="J947" t="s">
        <v>2067</v>
      </c>
    </row>
    <row r="948" spans="1:10" x14ac:dyDescent="0.25">
      <c r="A948" s="43" t="s">
        <v>981</v>
      </c>
      <c r="B948" t="s">
        <v>678</v>
      </c>
      <c r="C948" t="s">
        <v>1465</v>
      </c>
      <c r="D948" t="s">
        <v>84</v>
      </c>
      <c r="G948" t="s">
        <v>1283</v>
      </c>
      <c r="H948" t="s">
        <v>898</v>
      </c>
      <c r="I948" t="s">
        <v>395</v>
      </c>
      <c r="J948" t="s">
        <v>2068</v>
      </c>
    </row>
    <row r="949" spans="1:10" x14ac:dyDescent="0.25">
      <c r="A949" s="43" t="s">
        <v>983</v>
      </c>
      <c r="B949" t="s">
        <v>678</v>
      </c>
      <c r="C949" t="s">
        <v>1465</v>
      </c>
      <c r="D949" t="s">
        <v>84</v>
      </c>
      <c r="G949" t="s">
        <v>1224</v>
      </c>
      <c r="H949" t="s">
        <v>1225</v>
      </c>
      <c r="I949" t="s">
        <v>363</v>
      </c>
      <c r="J949" t="s">
        <v>2070</v>
      </c>
    </row>
    <row r="950" spans="1:10" x14ac:dyDescent="0.25">
      <c r="A950" s="43" t="s">
        <v>982</v>
      </c>
      <c r="B950" t="s">
        <v>678</v>
      </c>
      <c r="C950" t="s">
        <v>1465</v>
      </c>
      <c r="D950" t="s">
        <v>84</v>
      </c>
      <c r="G950" t="s">
        <v>1218</v>
      </c>
      <c r="H950" t="s">
        <v>898</v>
      </c>
      <c r="I950" t="s">
        <v>330</v>
      </c>
      <c r="J950" t="s">
        <v>2069</v>
      </c>
    </row>
    <row r="951" spans="1:10" x14ac:dyDescent="0.25">
      <c r="A951" s="43" t="s">
        <v>1034</v>
      </c>
      <c r="B951" t="s">
        <v>678</v>
      </c>
      <c r="C951" t="s">
        <v>1462</v>
      </c>
      <c r="D951" t="s">
        <v>27</v>
      </c>
      <c r="G951" t="s">
        <v>1226</v>
      </c>
      <c r="H951" t="s">
        <v>907</v>
      </c>
      <c r="I951" t="s">
        <v>472</v>
      </c>
      <c r="J951" t="s">
        <v>1769</v>
      </c>
    </row>
    <row r="952" spans="1:10" x14ac:dyDescent="0.25">
      <c r="A952" s="43" t="s">
        <v>1036</v>
      </c>
      <c r="B952" t="s">
        <v>678</v>
      </c>
      <c r="C952" t="s">
        <v>1462</v>
      </c>
      <c r="D952" t="s">
        <v>27</v>
      </c>
      <c r="G952" t="s">
        <v>1225</v>
      </c>
      <c r="H952" t="s">
        <v>1225</v>
      </c>
      <c r="I952" t="s">
        <v>726</v>
      </c>
      <c r="J952" t="s">
        <v>2091</v>
      </c>
    </row>
    <row r="953" spans="1:10" x14ac:dyDescent="0.25">
      <c r="A953" s="43" t="s">
        <v>1035</v>
      </c>
      <c r="B953" t="s">
        <v>678</v>
      </c>
      <c r="C953" t="s">
        <v>1462</v>
      </c>
      <c r="D953" t="s">
        <v>27</v>
      </c>
      <c r="G953" t="s">
        <v>1283</v>
      </c>
      <c r="H953" t="s">
        <v>898</v>
      </c>
      <c r="I953" t="s">
        <v>77</v>
      </c>
      <c r="J953" t="s">
        <v>2093</v>
      </c>
    </row>
    <row r="954" spans="1:10" x14ac:dyDescent="0.25">
      <c r="A954" s="43" t="s">
        <v>1037</v>
      </c>
      <c r="B954" t="s">
        <v>678</v>
      </c>
      <c r="C954" t="s">
        <v>1462</v>
      </c>
      <c r="D954" t="s">
        <v>27</v>
      </c>
      <c r="G954" t="s">
        <v>1224</v>
      </c>
      <c r="H954" t="s">
        <v>1225</v>
      </c>
      <c r="I954" t="s">
        <v>1434</v>
      </c>
      <c r="J954" t="s">
        <v>2092</v>
      </c>
    </row>
    <row r="955" spans="1:10" x14ac:dyDescent="0.25">
      <c r="A955" s="43" t="s">
        <v>1038</v>
      </c>
      <c r="B955" t="s">
        <v>678</v>
      </c>
      <c r="C955" t="s">
        <v>1462</v>
      </c>
      <c r="D955" t="s">
        <v>27</v>
      </c>
      <c r="G955" t="s">
        <v>8</v>
      </c>
      <c r="H955" t="s">
        <v>907</v>
      </c>
      <c r="I955" t="s">
        <v>545</v>
      </c>
      <c r="J955" t="s">
        <v>2099</v>
      </c>
    </row>
    <row r="956" spans="1:10" x14ac:dyDescent="0.25">
      <c r="A956" s="43" t="s">
        <v>1039</v>
      </c>
      <c r="B956" t="s">
        <v>678</v>
      </c>
      <c r="C956" t="s">
        <v>1462</v>
      </c>
      <c r="D956" t="s">
        <v>27</v>
      </c>
      <c r="G956" t="s">
        <v>1328</v>
      </c>
      <c r="H956" t="s">
        <v>907</v>
      </c>
      <c r="I956" t="s">
        <v>501</v>
      </c>
      <c r="J956" t="s">
        <v>2100</v>
      </c>
    </row>
    <row r="957" spans="1:10" x14ac:dyDescent="0.25">
      <c r="A957" s="43" t="s">
        <v>1041</v>
      </c>
      <c r="B957" t="s">
        <v>678</v>
      </c>
      <c r="C957" t="s">
        <v>1462</v>
      </c>
      <c r="D957" t="s">
        <v>27</v>
      </c>
      <c r="G957" t="s">
        <v>1290</v>
      </c>
      <c r="H957" t="s">
        <v>907</v>
      </c>
      <c r="I957" t="s">
        <v>278</v>
      </c>
      <c r="J957" t="s">
        <v>2089</v>
      </c>
    </row>
    <row r="958" spans="1:10" x14ac:dyDescent="0.25">
      <c r="A958" s="43" t="s">
        <v>1040</v>
      </c>
      <c r="B958" t="s">
        <v>678</v>
      </c>
      <c r="C958" t="s">
        <v>1462</v>
      </c>
      <c r="D958" t="s">
        <v>27</v>
      </c>
      <c r="G958" t="s">
        <v>1218</v>
      </c>
      <c r="H958" t="s">
        <v>907</v>
      </c>
      <c r="I958" t="s">
        <v>123</v>
      </c>
      <c r="J958" t="s">
        <v>2088</v>
      </c>
    </row>
    <row r="959" spans="1:10" x14ac:dyDescent="0.25">
      <c r="A959" s="43" t="s">
        <v>3315</v>
      </c>
      <c r="B959" t="s">
        <v>905</v>
      </c>
      <c r="C959" t="s">
        <v>1474</v>
      </c>
      <c r="D959" t="s">
        <v>203</v>
      </c>
      <c r="H959" t="s">
        <v>907</v>
      </c>
      <c r="I959" t="s">
        <v>491</v>
      </c>
      <c r="J959" t="s">
        <v>3316</v>
      </c>
    </row>
    <row r="960" spans="1:10" x14ac:dyDescent="0.25">
      <c r="A960" s="43" t="s">
        <v>2812</v>
      </c>
      <c r="B960" t="s">
        <v>910</v>
      </c>
      <c r="C960" t="s">
        <v>1194</v>
      </c>
      <c r="G960" t="s">
        <v>1224</v>
      </c>
      <c r="H960" t="s">
        <v>1225</v>
      </c>
      <c r="I960" t="s">
        <v>1321</v>
      </c>
      <c r="J960" t="s">
        <v>1750</v>
      </c>
    </row>
    <row r="961" spans="1:10" x14ac:dyDescent="0.25">
      <c r="A961" s="43" t="s">
        <v>3914</v>
      </c>
      <c r="B961" t="s">
        <v>910</v>
      </c>
      <c r="C961" t="s">
        <v>1194</v>
      </c>
      <c r="G961" t="s">
        <v>1224</v>
      </c>
      <c r="H961" t="s">
        <v>1225</v>
      </c>
      <c r="I961" t="s">
        <v>1321</v>
      </c>
      <c r="J961" t="s">
        <v>1750</v>
      </c>
    </row>
    <row r="962" spans="1:10" x14ac:dyDescent="0.25">
      <c r="A962" s="43" t="s">
        <v>2951</v>
      </c>
      <c r="B962" t="s">
        <v>910</v>
      </c>
      <c r="C962" t="s">
        <v>1460</v>
      </c>
      <c r="G962" t="s">
        <v>1224</v>
      </c>
      <c r="H962" t="s">
        <v>1225</v>
      </c>
      <c r="I962" t="s">
        <v>380</v>
      </c>
      <c r="J962" t="s">
        <v>1750</v>
      </c>
    </row>
    <row r="963" spans="1:10" x14ac:dyDescent="0.25">
      <c r="A963" s="43" t="s">
        <v>3313</v>
      </c>
      <c r="B963" t="s">
        <v>815</v>
      </c>
      <c r="C963" t="s">
        <v>1196</v>
      </c>
      <c r="D963" t="s">
        <v>586</v>
      </c>
      <c r="H963" t="s">
        <v>907</v>
      </c>
      <c r="I963" t="s">
        <v>1531</v>
      </c>
      <c r="J963" t="s">
        <v>3314</v>
      </c>
    </row>
    <row r="964" spans="1:10" x14ac:dyDescent="0.25">
      <c r="A964" s="43" t="s">
        <v>954</v>
      </c>
      <c r="B964" t="s">
        <v>822</v>
      </c>
      <c r="C964" t="s">
        <v>1188</v>
      </c>
      <c r="D964" t="s">
        <v>15</v>
      </c>
      <c r="G964" t="s">
        <v>1226</v>
      </c>
      <c r="H964" t="s">
        <v>907</v>
      </c>
      <c r="I964" t="s">
        <v>1438</v>
      </c>
      <c r="J964" t="s">
        <v>1761</v>
      </c>
    </row>
    <row r="965" spans="1:10" x14ac:dyDescent="0.25">
      <c r="A965" s="43" t="s">
        <v>3866</v>
      </c>
      <c r="B965" t="s">
        <v>822</v>
      </c>
      <c r="C965" t="s">
        <v>1188</v>
      </c>
      <c r="D965" t="s">
        <v>15</v>
      </c>
      <c r="G965" t="s">
        <v>1225</v>
      </c>
      <c r="H965" t="s">
        <v>1225</v>
      </c>
      <c r="I965" t="s">
        <v>1438</v>
      </c>
      <c r="J965" t="s">
        <v>1761</v>
      </c>
    </row>
    <row r="966" spans="1:10" x14ac:dyDescent="0.25">
      <c r="A966" s="43" t="s">
        <v>1097</v>
      </c>
      <c r="B966" t="s">
        <v>822</v>
      </c>
      <c r="C966" t="s">
        <v>1188</v>
      </c>
      <c r="D966" t="s">
        <v>15</v>
      </c>
      <c r="G966" t="s">
        <v>1328</v>
      </c>
      <c r="H966" t="s">
        <v>907</v>
      </c>
      <c r="I966" t="s">
        <v>1438</v>
      </c>
      <c r="J966" t="s">
        <v>1761</v>
      </c>
    </row>
    <row r="967" spans="1:10" x14ac:dyDescent="0.25">
      <c r="A967" s="43" t="s">
        <v>1011</v>
      </c>
      <c r="B967" t="s">
        <v>822</v>
      </c>
      <c r="C967" t="s">
        <v>1188</v>
      </c>
      <c r="D967" t="s">
        <v>15</v>
      </c>
      <c r="G967" t="s">
        <v>1330</v>
      </c>
      <c r="H967" t="s">
        <v>898</v>
      </c>
      <c r="I967" t="s">
        <v>1438</v>
      </c>
      <c r="J967" t="s">
        <v>1761</v>
      </c>
    </row>
    <row r="968" spans="1:10" x14ac:dyDescent="0.25">
      <c r="A968" s="43" t="s">
        <v>1098</v>
      </c>
      <c r="B968" t="s">
        <v>822</v>
      </c>
      <c r="C968" t="s">
        <v>1188</v>
      </c>
      <c r="D968" t="s">
        <v>15</v>
      </c>
      <c r="G968" t="s">
        <v>1290</v>
      </c>
      <c r="H968" t="s">
        <v>907</v>
      </c>
      <c r="I968" t="s">
        <v>1438</v>
      </c>
      <c r="J968" t="s">
        <v>1761</v>
      </c>
    </row>
    <row r="969" spans="1:10" x14ac:dyDescent="0.25">
      <c r="A969" s="43" t="s">
        <v>935</v>
      </c>
      <c r="B969" t="s">
        <v>822</v>
      </c>
      <c r="C969" t="s">
        <v>1188</v>
      </c>
      <c r="D969" t="s">
        <v>15</v>
      </c>
      <c r="G969" t="s">
        <v>1226</v>
      </c>
      <c r="H969" t="s">
        <v>907</v>
      </c>
      <c r="I969" t="s">
        <v>1376</v>
      </c>
      <c r="J969" t="s">
        <v>1845</v>
      </c>
    </row>
    <row r="970" spans="1:10" x14ac:dyDescent="0.25">
      <c r="A970" s="43" t="s">
        <v>3865</v>
      </c>
      <c r="B970" t="s">
        <v>822</v>
      </c>
      <c r="C970" t="s">
        <v>1188</v>
      </c>
      <c r="D970" t="s">
        <v>15</v>
      </c>
      <c r="G970" t="s">
        <v>1295</v>
      </c>
      <c r="H970" t="s">
        <v>898</v>
      </c>
      <c r="I970" t="s">
        <v>105</v>
      </c>
      <c r="J970" t="s">
        <v>2196</v>
      </c>
    </row>
    <row r="971" spans="1:10" x14ac:dyDescent="0.25">
      <c r="A971" s="43" t="s">
        <v>1085</v>
      </c>
      <c r="B971" t="s">
        <v>822</v>
      </c>
      <c r="C971" t="s">
        <v>1188</v>
      </c>
      <c r="D971" t="s">
        <v>15</v>
      </c>
      <c r="G971" t="s">
        <v>1225</v>
      </c>
      <c r="H971" t="s">
        <v>1225</v>
      </c>
      <c r="I971" t="s">
        <v>1376</v>
      </c>
      <c r="J971" t="s">
        <v>1845</v>
      </c>
    </row>
    <row r="972" spans="1:10" x14ac:dyDescent="0.25">
      <c r="A972" s="43" t="s">
        <v>2748</v>
      </c>
      <c r="B972" t="s">
        <v>822</v>
      </c>
      <c r="C972" t="s">
        <v>1188</v>
      </c>
      <c r="D972" t="s">
        <v>15</v>
      </c>
      <c r="G972" t="s">
        <v>1283</v>
      </c>
      <c r="H972" t="s">
        <v>898</v>
      </c>
      <c r="I972" t="s">
        <v>246</v>
      </c>
      <c r="J972" t="s">
        <v>2152</v>
      </c>
    </row>
    <row r="973" spans="1:10" x14ac:dyDescent="0.25">
      <c r="A973" s="43" t="s">
        <v>4254</v>
      </c>
      <c r="B973" t="s">
        <v>822</v>
      </c>
      <c r="C973" t="s">
        <v>1188</v>
      </c>
      <c r="D973" t="s">
        <v>15</v>
      </c>
      <c r="G973" t="s">
        <v>1224</v>
      </c>
      <c r="H973" t="s">
        <v>1225</v>
      </c>
      <c r="I973" t="s">
        <v>278</v>
      </c>
      <c r="J973" t="s">
        <v>2202</v>
      </c>
    </row>
    <row r="974" spans="1:10" x14ac:dyDescent="0.25">
      <c r="A974" s="43" t="s">
        <v>1082</v>
      </c>
      <c r="B974" t="s">
        <v>822</v>
      </c>
      <c r="C974" t="s">
        <v>1188</v>
      </c>
      <c r="D974" t="s">
        <v>15</v>
      </c>
      <c r="G974" t="s">
        <v>8</v>
      </c>
      <c r="H974" t="s">
        <v>907</v>
      </c>
      <c r="I974" t="s">
        <v>1376</v>
      </c>
      <c r="J974" t="s">
        <v>1845</v>
      </c>
    </row>
    <row r="975" spans="1:10" x14ac:dyDescent="0.25">
      <c r="A975" s="43" t="s">
        <v>934</v>
      </c>
      <c r="B975" t="s">
        <v>822</v>
      </c>
      <c r="C975" t="s">
        <v>1188</v>
      </c>
      <c r="D975" t="s">
        <v>15</v>
      </c>
      <c r="G975" t="s">
        <v>1328</v>
      </c>
      <c r="H975" t="s">
        <v>907</v>
      </c>
      <c r="I975" t="s">
        <v>1376</v>
      </c>
      <c r="J975" t="s">
        <v>1845</v>
      </c>
    </row>
    <row r="976" spans="1:10" x14ac:dyDescent="0.25">
      <c r="A976" s="43" t="s">
        <v>1081</v>
      </c>
      <c r="B976" t="s">
        <v>822</v>
      </c>
      <c r="C976" t="s">
        <v>1188</v>
      </c>
      <c r="D976" t="s">
        <v>15</v>
      </c>
      <c r="G976" t="s">
        <v>1290</v>
      </c>
      <c r="H976" t="s">
        <v>907</v>
      </c>
      <c r="I976" t="s">
        <v>1376</v>
      </c>
      <c r="J976" t="s">
        <v>1845</v>
      </c>
    </row>
    <row r="977" spans="1:10" x14ac:dyDescent="0.25">
      <c r="A977" s="43" t="s">
        <v>1149</v>
      </c>
      <c r="B977" t="s">
        <v>822</v>
      </c>
      <c r="C977" t="s">
        <v>1188</v>
      </c>
      <c r="D977" t="s">
        <v>15</v>
      </c>
      <c r="G977" t="s">
        <v>1218</v>
      </c>
      <c r="H977" t="s">
        <v>898</v>
      </c>
      <c r="I977" t="s">
        <v>1376</v>
      </c>
      <c r="J977" t="s">
        <v>1845</v>
      </c>
    </row>
    <row r="978" spans="1:10" x14ac:dyDescent="0.25">
      <c r="A978" s="43" t="s">
        <v>3864</v>
      </c>
      <c r="B978" t="s">
        <v>822</v>
      </c>
      <c r="C978" t="s">
        <v>1462</v>
      </c>
      <c r="D978" t="s">
        <v>15</v>
      </c>
      <c r="G978" t="s">
        <v>1226</v>
      </c>
      <c r="H978" t="s">
        <v>907</v>
      </c>
      <c r="I978" t="s">
        <v>726</v>
      </c>
      <c r="J978" t="s">
        <v>2195</v>
      </c>
    </row>
    <row r="979" spans="1:10" x14ac:dyDescent="0.25">
      <c r="A979" s="43" t="s">
        <v>3863</v>
      </c>
      <c r="B979" t="s">
        <v>822</v>
      </c>
      <c r="C979" t="s">
        <v>1462</v>
      </c>
      <c r="D979" t="s">
        <v>15</v>
      </c>
      <c r="G979" t="s">
        <v>1295</v>
      </c>
      <c r="H979" t="s">
        <v>898</v>
      </c>
      <c r="I979" t="s">
        <v>77</v>
      </c>
      <c r="J979" t="s">
        <v>2196</v>
      </c>
    </row>
    <row r="980" spans="1:10" x14ac:dyDescent="0.25">
      <c r="A980" s="43" t="s">
        <v>3862</v>
      </c>
      <c r="B980" t="s">
        <v>822</v>
      </c>
      <c r="C980" t="s">
        <v>1462</v>
      </c>
      <c r="D980" t="s">
        <v>15</v>
      </c>
      <c r="G980" t="s">
        <v>1225</v>
      </c>
      <c r="H980" t="s">
        <v>1225</v>
      </c>
      <c r="I980" t="s">
        <v>356</v>
      </c>
      <c r="J980" t="s">
        <v>2079</v>
      </c>
    </row>
    <row r="981" spans="1:10" x14ac:dyDescent="0.25">
      <c r="A981" s="43" t="s">
        <v>3861</v>
      </c>
      <c r="B981" t="s">
        <v>822</v>
      </c>
      <c r="C981" t="s">
        <v>1462</v>
      </c>
      <c r="D981" t="s">
        <v>15</v>
      </c>
      <c r="G981" t="s">
        <v>1283</v>
      </c>
      <c r="H981" t="s">
        <v>898</v>
      </c>
      <c r="I981" t="s">
        <v>555</v>
      </c>
      <c r="J981" t="s">
        <v>2152</v>
      </c>
    </row>
    <row r="982" spans="1:10" x14ac:dyDescent="0.25">
      <c r="A982" s="43" t="s">
        <v>1175</v>
      </c>
      <c r="B982" t="s">
        <v>822</v>
      </c>
      <c r="C982" t="s">
        <v>1462</v>
      </c>
      <c r="D982" t="s">
        <v>15</v>
      </c>
      <c r="G982" t="s">
        <v>1224</v>
      </c>
      <c r="H982" t="s">
        <v>1225</v>
      </c>
      <c r="I982" t="s">
        <v>1508</v>
      </c>
      <c r="J982" t="s">
        <v>2202</v>
      </c>
    </row>
    <row r="983" spans="1:10" x14ac:dyDescent="0.25">
      <c r="A983" s="43" t="s">
        <v>1033</v>
      </c>
      <c r="B983" t="s">
        <v>822</v>
      </c>
      <c r="C983" t="s">
        <v>1462</v>
      </c>
      <c r="D983" t="s">
        <v>15</v>
      </c>
      <c r="G983" t="s">
        <v>8</v>
      </c>
      <c r="H983" t="s">
        <v>907</v>
      </c>
      <c r="I983" t="s">
        <v>111</v>
      </c>
      <c r="J983" t="s">
        <v>1761</v>
      </c>
    </row>
    <row r="984" spans="1:10" x14ac:dyDescent="0.25">
      <c r="A984" s="43" t="s">
        <v>3860</v>
      </c>
      <c r="B984" t="s">
        <v>822</v>
      </c>
      <c r="C984" t="s">
        <v>1462</v>
      </c>
      <c r="D984" t="s">
        <v>15</v>
      </c>
      <c r="G984" t="s">
        <v>1328</v>
      </c>
      <c r="H984" t="s">
        <v>907</v>
      </c>
      <c r="I984" t="s">
        <v>108</v>
      </c>
      <c r="J984" t="s">
        <v>2199</v>
      </c>
    </row>
    <row r="985" spans="1:10" x14ac:dyDescent="0.25">
      <c r="A985" s="43" t="s">
        <v>3311</v>
      </c>
      <c r="B985" t="s">
        <v>822</v>
      </c>
      <c r="C985" t="s">
        <v>1462</v>
      </c>
      <c r="D985" t="s">
        <v>15</v>
      </c>
      <c r="G985" t="s">
        <v>1330</v>
      </c>
      <c r="H985" t="s">
        <v>898</v>
      </c>
      <c r="I985" t="s">
        <v>1508</v>
      </c>
      <c r="J985" t="s">
        <v>2200</v>
      </c>
    </row>
    <row r="986" spans="1:10" x14ac:dyDescent="0.25">
      <c r="A986" s="43" t="s">
        <v>3310</v>
      </c>
      <c r="B986" t="s">
        <v>822</v>
      </c>
      <c r="C986" t="s">
        <v>1462</v>
      </c>
      <c r="D986" t="s">
        <v>15</v>
      </c>
      <c r="G986" t="s">
        <v>1290</v>
      </c>
      <c r="H986" t="s">
        <v>907</v>
      </c>
      <c r="I986" t="s">
        <v>105</v>
      </c>
      <c r="J986" t="s">
        <v>2063</v>
      </c>
    </row>
    <row r="987" spans="1:10" x14ac:dyDescent="0.25">
      <c r="A987" s="43" t="s">
        <v>4253</v>
      </c>
      <c r="B987" t="s">
        <v>822</v>
      </c>
      <c r="C987" t="s">
        <v>1462</v>
      </c>
      <c r="D987" t="s">
        <v>15</v>
      </c>
      <c r="G987" t="s">
        <v>1218</v>
      </c>
      <c r="H987" t="s">
        <v>907</v>
      </c>
      <c r="I987" t="s">
        <v>1467</v>
      </c>
      <c r="J987" t="s">
        <v>2107</v>
      </c>
    </row>
    <row r="988" spans="1:10" x14ac:dyDescent="0.25">
      <c r="A988" s="43" t="s">
        <v>1086</v>
      </c>
      <c r="B988" t="s">
        <v>822</v>
      </c>
      <c r="C988" t="s">
        <v>1462</v>
      </c>
      <c r="G988" t="s">
        <v>1226</v>
      </c>
      <c r="H988" t="s">
        <v>907</v>
      </c>
      <c r="I988" t="s">
        <v>1534</v>
      </c>
      <c r="J988" t="s">
        <v>1845</v>
      </c>
    </row>
    <row r="989" spans="1:10" x14ac:dyDescent="0.25">
      <c r="A989" s="43" t="s">
        <v>1087</v>
      </c>
      <c r="B989" t="s">
        <v>822</v>
      </c>
      <c r="C989" t="s">
        <v>1462</v>
      </c>
      <c r="G989" t="s">
        <v>8</v>
      </c>
      <c r="H989" t="s">
        <v>907</v>
      </c>
      <c r="I989" t="s">
        <v>1534</v>
      </c>
      <c r="J989" t="s">
        <v>1845</v>
      </c>
    </row>
    <row r="990" spans="1:10" x14ac:dyDescent="0.25">
      <c r="A990" s="43" t="s">
        <v>3309</v>
      </c>
      <c r="B990" t="s">
        <v>822</v>
      </c>
      <c r="C990" t="s">
        <v>1462</v>
      </c>
      <c r="G990" t="s">
        <v>1290</v>
      </c>
      <c r="H990" t="s">
        <v>907</v>
      </c>
      <c r="I990" t="s">
        <v>1534</v>
      </c>
      <c r="J990" t="s">
        <v>1845</v>
      </c>
    </row>
    <row r="991" spans="1:10" x14ac:dyDescent="0.25">
      <c r="A991" s="43" t="s">
        <v>3308</v>
      </c>
      <c r="B991" t="s">
        <v>822</v>
      </c>
      <c r="C991" t="s">
        <v>1462</v>
      </c>
      <c r="G991" t="s">
        <v>1218</v>
      </c>
      <c r="H991" t="s">
        <v>898</v>
      </c>
      <c r="I991" t="s">
        <v>1534</v>
      </c>
      <c r="J991" t="s">
        <v>1845</v>
      </c>
    </row>
    <row r="992" spans="1:10" x14ac:dyDescent="0.25">
      <c r="A992" s="43" t="s">
        <v>1105</v>
      </c>
      <c r="B992" t="s">
        <v>856</v>
      </c>
      <c r="C992" t="s">
        <v>1177</v>
      </c>
      <c r="G992" t="s">
        <v>1330</v>
      </c>
      <c r="H992" t="s">
        <v>898</v>
      </c>
      <c r="I992" t="s">
        <v>1548</v>
      </c>
      <c r="J992" t="s">
        <v>1750</v>
      </c>
    </row>
    <row r="993" spans="1:10" x14ac:dyDescent="0.25">
      <c r="A993" s="43" t="s">
        <v>2950</v>
      </c>
      <c r="B993" t="s">
        <v>856</v>
      </c>
      <c r="C993" t="s">
        <v>1177</v>
      </c>
      <c r="G993" t="s">
        <v>1295</v>
      </c>
      <c r="H993" t="s">
        <v>898</v>
      </c>
      <c r="I993" t="s">
        <v>1316</v>
      </c>
      <c r="J993" t="s">
        <v>1929</v>
      </c>
    </row>
    <row r="994" spans="1:10" x14ac:dyDescent="0.25">
      <c r="A994" s="43" t="s">
        <v>2949</v>
      </c>
      <c r="B994" t="s">
        <v>856</v>
      </c>
      <c r="C994" t="s">
        <v>1177</v>
      </c>
      <c r="G994" t="s">
        <v>1295</v>
      </c>
      <c r="H994" t="s">
        <v>898</v>
      </c>
      <c r="I994" t="s">
        <v>1316</v>
      </c>
      <c r="J994" t="s">
        <v>1929</v>
      </c>
    </row>
    <row r="995" spans="1:10" x14ac:dyDescent="0.25">
      <c r="A995" s="43" t="s">
        <v>2753</v>
      </c>
      <c r="B995" t="s">
        <v>856</v>
      </c>
      <c r="C995" t="s">
        <v>1177</v>
      </c>
      <c r="G995" t="s">
        <v>1283</v>
      </c>
      <c r="H995" t="s">
        <v>898</v>
      </c>
      <c r="I995" t="s">
        <v>1399</v>
      </c>
      <c r="J995" t="s">
        <v>1930</v>
      </c>
    </row>
    <row r="996" spans="1:10" x14ac:dyDescent="0.25">
      <c r="A996" s="43" t="s">
        <v>3913</v>
      </c>
      <c r="B996" t="s">
        <v>856</v>
      </c>
      <c r="C996" t="s">
        <v>1177</v>
      </c>
      <c r="G996" t="s">
        <v>1283</v>
      </c>
      <c r="H996" t="s">
        <v>898</v>
      </c>
      <c r="I996" t="s">
        <v>1399</v>
      </c>
      <c r="J996" t="s">
        <v>1930</v>
      </c>
    </row>
    <row r="997" spans="1:10" x14ac:dyDescent="0.25">
      <c r="A997" s="43" t="s">
        <v>3912</v>
      </c>
      <c r="B997" t="s">
        <v>856</v>
      </c>
      <c r="C997" t="s">
        <v>1177</v>
      </c>
      <c r="G997" t="s">
        <v>1330</v>
      </c>
      <c r="H997" t="s">
        <v>898</v>
      </c>
      <c r="I997" t="s">
        <v>1341</v>
      </c>
      <c r="J997" t="s">
        <v>1928</v>
      </c>
    </row>
    <row r="998" spans="1:10" x14ac:dyDescent="0.25">
      <c r="A998" s="43" t="s">
        <v>3911</v>
      </c>
      <c r="B998" t="s">
        <v>856</v>
      </c>
      <c r="C998" t="s">
        <v>1177</v>
      </c>
      <c r="G998" t="s">
        <v>1330</v>
      </c>
      <c r="H998" t="s">
        <v>898</v>
      </c>
      <c r="I998" t="s">
        <v>1341</v>
      </c>
      <c r="J998" t="s">
        <v>1928</v>
      </c>
    </row>
    <row r="999" spans="1:10" x14ac:dyDescent="0.25">
      <c r="A999" s="43" t="s">
        <v>4261</v>
      </c>
      <c r="B999" t="s">
        <v>856</v>
      </c>
      <c r="C999" t="s">
        <v>1177</v>
      </c>
      <c r="G999" t="s">
        <v>1218</v>
      </c>
      <c r="H999" t="s">
        <v>898</v>
      </c>
      <c r="I999" t="s">
        <v>388</v>
      </c>
      <c r="J999" t="s">
        <v>1931</v>
      </c>
    </row>
    <row r="1000" spans="1:10" x14ac:dyDescent="0.25">
      <c r="A1000" s="43" t="s">
        <v>2948</v>
      </c>
      <c r="B1000" t="s">
        <v>856</v>
      </c>
      <c r="C1000" t="s">
        <v>1177</v>
      </c>
      <c r="G1000" t="s">
        <v>1218</v>
      </c>
      <c r="H1000" t="s">
        <v>898</v>
      </c>
      <c r="I1000" t="s">
        <v>388</v>
      </c>
      <c r="J1000" t="s">
        <v>1931</v>
      </c>
    </row>
    <row r="1001" spans="1:10" x14ac:dyDescent="0.25">
      <c r="A1001" s="43" t="s">
        <v>953</v>
      </c>
      <c r="B1001" t="s">
        <v>856</v>
      </c>
      <c r="C1001" t="s">
        <v>1194</v>
      </c>
      <c r="G1001" t="s">
        <v>1226</v>
      </c>
      <c r="H1001" t="s">
        <v>898</v>
      </c>
      <c r="I1001" t="s">
        <v>589</v>
      </c>
      <c r="J1001" t="s">
        <v>1846</v>
      </c>
    </row>
    <row r="1002" spans="1:10" x14ac:dyDescent="0.25">
      <c r="A1002" s="43" t="s">
        <v>1145</v>
      </c>
      <c r="B1002" t="s">
        <v>856</v>
      </c>
      <c r="C1002" t="s">
        <v>1194</v>
      </c>
      <c r="G1002" t="s">
        <v>1225</v>
      </c>
      <c r="H1002" t="s">
        <v>898</v>
      </c>
      <c r="I1002" t="s">
        <v>589</v>
      </c>
      <c r="J1002" t="s">
        <v>1846</v>
      </c>
    </row>
    <row r="1003" spans="1:10" x14ac:dyDescent="0.25">
      <c r="A1003" s="43" t="s">
        <v>1092</v>
      </c>
      <c r="B1003" t="s">
        <v>856</v>
      </c>
      <c r="C1003" t="s">
        <v>1194</v>
      </c>
      <c r="G1003" t="s">
        <v>1290</v>
      </c>
      <c r="H1003" t="s">
        <v>898</v>
      </c>
      <c r="I1003" t="s">
        <v>589</v>
      </c>
      <c r="J1003" t="s">
        <v>1846</v>
      </c>
    </row>
    <row r="1004" spans="1:10" x14ac:dyDescent="0.25">
      <c r="A1004" s="43" t="s">
        <v>1064</v>
      </c>
      <c r="B1004" t="s">
        <v>856</v>
      </c>
      <c r="C1004" t="s">
        <v>1194</v>
      </c>
      <c r="G1004" t="s">
        <v>1218</v>
      </c>
      <c r="H1004" t="s">
        <v>898</v>
      </c>
      <c r="I1004" t="s">
        <v>589</v>
      </c>
      <c r="J1004" t="s">
        <v>1846</v>
      </c>
    </row>
    <row r="1005" spans="1:10" x14ac:dyDescent="0.25">
      <c r="A1005" s="43" t="s">
        <v>4144</v>
      </c>
      <c r="B1005" t="s">
        <v>856</v>
      </c>
      <c r="C1005" t="s">
        <v>1194</v>
      </c>
      <c r="G1005" t="s">
        <v>1226</v>
      </c>
      <c r="H1005" t="s">
        <v>898</v>
      </c>
      <c r="I1005" t="s">
        <v>37</v>
      </c>
      <c r="J1005" t="s">
        <v>2046</v>
      </c>
    </row>
    <row r="1006" spans="1:10" x14ac:dyDescent="0.25">
      <c r="A1006" s="43" t="s">
        <v>3910</v>
      </c>
      <c r="B1006" t="s">
        <v>856</v>
      </c>
      <c r="C1006" t="s">
        <v>1194</v>
      </c>
      <c r="G1006" t="s">
        <v>1295</v>
      </c>
      <c r="H1006" t="s">
        <v>898</v>
      </c>
      <c r="I1006" t="s">
        <v>33</v>
      </c>
      <c r="J1006" t="s">
        <v>2047</v>
      </c>
    </row>
    <row r="1007" spans="1:10" x14ac:dyDescent="0.25">
      <c r="A1007" s="43" t="s">
        <v>3909</v>
      </c>
      <c r="B1007" t="s">
        <v>856</v>
      </c>
      <c r="C1007" t="s">
        <v>1194</v>
      </c>
      <c r="G1007" t="s">
        <v>1225</v>
      </c>
      <c r="H1007" t="s">
        <v>1225</v>
      </c>
      <c r="I1007" t="s">
        <v>327</v>
      </c>
      <c r="J1007" t="s">
        <v>2055</v>
      </c>
    </row>
    <row r="1008" spans="1:10" x14ac:dyDescent="0.25">
      <c r="A1008" s="43" t="s">
        <v>3261</v>
      </c>
      <c r="B1008" t="s">
        <v>856</v>
      </c>
      <c r="C1008" t="s">
        <v>1194</v>
      </c>
      <c r="G1008" t="s">
        <v>1283</v>
      </c>
      <c r="H1008" t="s">
        <v>898</v>
      </c>
      <c r="I1008" t="s">
        <v>1251</v>
      </c>
      <c r="J1008" t="s">
        <v>2053</v>
      </c>
    </row>
    <row r="1009" spans="1:10" x14ac:dyDescent="0.25">
      <c r="A1009" s="43" t="s">
        <v>3260</v>
      </c>
      <c r="B1009" t="s">
        <v>856</v>
      </c>
      <c r="C1009" t="s">
        <v>1194</v>
      </c>
      <c r="G1009" t="s">
        <v>1224</v>
      </c>
      <c r="H1009" t="s">
        <v>1225</v>
      </c>
      <c r="I1009" t="s">
        <v>37</v>
      </c>
      <c r="J1009" t="s">
        <v>2056</v>
      </c>
    </row>
    <row r="1010" spans="1:10" x14ac:dyDescent="0.25">
      <c r="A1010" s="43" t="s">
        <v>3259</v>
      </c>
      <c r="B1010" t="s">
        <v>856</v>
      </c>
      <c r="C1010" t="s">
        <v>1194</v>
      </c>
      <c r="G1010" t="s">
        <v>8</v>
      </c>
      <c r="H1010" t="s">
        <v>898</v>
      </c>
      <c r="I1010" t="s">
        <v>1284</v>
      </c>
      <c r="J1010" t="s">
        <v>2049</v>
      </c>
    </row>
    <row r="1011" spans="1:10" x14ac:dyDescent="0.25">
      <c r="A1011" s="43" t="s">
        <v>3258</v>
      </c>
      <c r="B1011" t="s">
        <v>856</v>
      </c>
      <c r="C1011" t="s">
        <v>1194</v>
      </c>
      <c r="G1011" t="s">
        <v>1328</v>
      </c>
      <c r="H1011" t="s">
        <v>898</v>
      </c>
      <c r="I1011" t="s">
        <v>778</v>
      </c>
      <c r="J1011" t="s">
        <v>2050</v>
      </c>
    </row>
    <row r="1012" spans="1:10" x14ac:dyDescent="0.25">
      <c r="A1012" s="43" t="s">
        <v>3257</v>
      </c>
      <c r="B1012" t="s">
        <v>856</v>
      </c>
      <c r="C1012" t="s">
        <v>1194</v>
      </c>
      <c r="G1012" t="s">
        <v>1330</v>
      </c>
      <c r="H1012" t="s">
        <v>898</v>
      </c>
      <c r="I1012" t="s">
        <v>115</v>
      </c>
      <c r="J1012" t="s">
        <v>2054</v>
      </c>
    </row>
    <row r="1013" spans="1:10" x14ac:dyDescent="0.25">
      <c r="A1013" s="43" t="s">
        <v>3256</v>
      </c>
      <c r="B1013" t="s">
        <v>856</v>
      </c>
      <c r="C1013" t="s">
        <v>1194</v>
      </c>
      <c r="G1013" t="s">
        <v>1290</v>
      </c>
      <c r="H1013" t="s">
        <v>898</v>
      </c>
      <c r="I1013" t="s">
        <v>744</v>
      </c>
      <c r="J1013" t="s">
        <v>2051</v>
      </c>
    </row>
    <row r="1014" spans="1:10" x14ac:dyDescent="0.25">
      <c r="A1014" s="43" t="s">
        <v>3255</v>
      </c>
      <c r="B1014" t="s">
        <v>856</v>
      </c>
      <c r="C1014" t="s">
        <v>1194</v>
      </c>
      <c r="G1014" t="s">
        <v>1218</v>
      </c>
      <c r="H1014" t="s">
        <v>898</v>
      </c>
      <c r="I1014" t="s">
        <v>92</v>
      </c>
      <c r="J1014" t="s">
        <v>2052</v>
      </c>
    </row>
    <row r="1015" spans="1:10" x14ac:dyDescent="0.25">
      <c r="A1015" s="43" t="s">
        <v>1058</v>
      </c>
      <c r="B1015" t="s">
        <v>856</v>
      </c>
      <c r="C1015" t="s">
        <v>1460</v>
      </c>
      <c r="G1015" t="s">
        <v>8</v>
      </c>
      <c r="H1015" t="s">
        <v>898</v>
      </c>
      <c r="I1015" t="s">
        <v>589</v>
      </c>
      <c r="J1015" t="s">
        <v>1846</v>
      </c>
    </row>
    <row r="1016" spans="1:10" x14ac:dyDescent="0.25">
      <c r="A1016" s="43" t="s">
        <v>1030</v>
      </c>
      <c r="B1016" t="s">
        <v>856</v>
      </c>
      <c r="C1016" t="s">
        <v>1463</v>
      </c>
      <c r="G1016" t="s">
        <v>1295</v>
      </c>
      <c r="H1016" t="s">
        <v>898</v>
      </c>
      <c r="I1016" t="s">
        <v>388</v>
      </c>
      <c r="J1016" t="s">
        <v>2061</v>
      </c>
    </row>
    <row r="1017" spans="1:10" x14ac:dyDescent="0.25">
      <c r="A1017" s="43" t="s">
        <v>3254</v>
      </c>
      <c r="B1017" t="s">
        <v>856</v>
      </c>
      <c r="C1017" t="s">
        <v>1463</v>
      </c>
      <c r="G1017" t="s">
        <v>1283</v>
      </c>
      <c r="H1017" t="s">
        <v>898</v>
      </c>
      <c r="I1017" t="s">
        <v>632</v>
      </c>
      <c r="J1017" t="s">
        <v>2192</v>
      </c>
    </row>
    <row r="1018" spans="1:10" x14ac:dyDescent="0.25">
      <c r="A1018" s="43" t="s">
        <v>1031</v>
      </c>
      <c r="B1018" t="s">
        <v>856</v>
      </c>
      <c r="C1018" t="s">
        <v>1463</v>
      </c>
      <c r="G1018" t="s">
        <v>1330</v>
      </c>
      <c r="H1018" t="s">
        <v>898</v>
      </c>
      <c r="I1018" t="s">
        <v>712</v>
      </c>
      <c r="J1018" t="s">
        <v>2193</v>
      </c>
    </row>
    <row r="1019" spans="1:10" x14ac:dyDescent="0.25">
      <c r="A1019" s="43" t="s">
        <v>1032</v>
      </c>
      <c r="B1019" t="s">
        <v>856</v>
      </c>
      <c r="C1019" t="s">
        <v>1463</v>
      </c>
      <c r="G1019" t="s">
        <v>1218</v>
      </c>
      <c r="H1019" t="s">
        <v>898</v>
      </c>
      <c r="I1019" t="s">
        <v>442</v>
      </c>
      <c r="J1019" t="s">
        <v>2194</v>
      </c>
    </row>
    <row r="1020" spans="1:10" x14ac:dyDescent="0.25">
      <c r="A1020" s="43" t="s">
        <v>3253</v>
      </c>
      <c r="B1020" t="s">
        <v>856</v>
      </c>
      <c r="C1020" t="s">
        <v>1460</v>
      </c>
      <c r="G1020" t="s">
        <v>1226</v>
      </c>
      <c r="H1020" t="s">
        <v>898</v>
      </c>
      <c r="I1020" t="s">
        <v>297</v>
      </c>
      <c r="J1020" t="s">
        <v>2046</v>
      </c>
    </row>
    <row r="1021" spans="1:10" x14ac:dyDescent="0.25">
      <c r="A1021" s="43" t="s">
        <v>971</v>
      </c>
      <c r="B1021" t="s">
        <v>856</v>
      </c>
      <c r="C1021" t="s">
        <v>1460</v>
      </c>
      <c r="G1021" t="s">
        <v>1295</v>
      </c>
      <c r="H1021" t="s">
        <v>898</v>
      </c>
      <c r="I1021" t="s">
        <v>28</v>
      </c>
      <c r="J1021" t="s">
        <v>2047</v>
      </c>
    </row>
    <row r="1022" spans="1:10" x14ac:dyDescent="0.25">
      <c r="A1022" s="43" t="s">
        <v>3252</v>
      </c>
      <c r="B1022" t="s">
        <v>856</v>
      </c>
      <c r="C1022" t="s">
        <v>1460</v>
      </c>
      <c r="G1022" t="s">
        <v>1225</v>
      </c>
      <c r="H1022" t="s">
        <v>1225</v>
      </c>
      <c r="I1022" t="s">
        <v>37</v>
      </c>
      <c r="J1022" t="s">
        <v>2055</v>
      </c>
    </row>
    <row r="1023" spans="1:10" x14ac:dyDescent="0.25">
      <c r="A1023" s="43" t="s">
        <v>972</v>
      </c>
      <c r="B1023" t="s">
        <v>856</v>
      </c>
      <c r="C1023" t="s">
        <v>1460</v>
      </c>
      <c r="G1023" t="s">
        <v>1283</v>
      </c>
      <c r="H1023" t="s">
        <v>898</v>
      </c>
      <c r="I1023" t="s">
        <v>612</v>
      </c>
      <c r="J1023" t="s">
        <v>2053</v>
      </c>
    </row>
    <row r="1024" spans="1:10" x14ac:dyDescent="0.25">
      <c r="A1024" s="43" t="s">
        <v>3251</v>
      </c>
      <c r="B1024" t="s">
        <v>856</v>
      </c>
      <c r="C1024" t="s">
        <v>1460</v>
      </c>
      <c r="G1024" t="s">
        <v>1224</v>
      </c>
      <c r="H1024" t="s">
        <v>1225</v>
      </c>
      <c r="I1024" t="s">
        <v>92</v>
      </c>
      <c r="J1024" t="s">
        <v>2056</v>
      </c>
    </row>
    <row r="1025" spans="1:10" x14ac:dyDescent="0.25">
      <c r="A1025" s="43" t="s">
        <v>3908</v>
      </c>
      <c r="B1025" t="s">
        <v>856</v>
      </c>
      <c r="C1025" t="s">
        <v>1460</v>
      </c>
      <c r="G1025" t="s">
        <v>8</v>
      </c>
      <c r="H1025" t="s">
        <v>898</v>
      </c>
      <c r="I1025" t="s">
        <v>327</v>
      </c>
      <c r="J1025" t="s">
        <v>2049</v>
      </c>
    </row>
    <row r="1026" spans="1:10" x14ac:dyDescent="0.25">
      <c r="A1026" s="43" t="s">
        <v>3907</v>
      </c>
      <c r="B1026" t="s">
        <v>856</v>
      </c>
      <c r="C1026" t="s">
        <v>1460</v>
      </c>
      <c r="G1026" t="s">
        <v>1328</v>
      </c>
      <c r="H1026" t="s">
        <v>898</v>
      </c>
      <c r="I1026" t="s">
        <v>778</v>
      </c>
      <c r="J1026" t="s">
        <v>2050</v>
      </c>
    </row>
    <row r="1027" spans="1:10" x14ac:dyDescent="0.25">
      <c r="A1027" s="43" t="s">
        <v>973</v>
      </c>
      <c r="B1027" t="s">
        <v>856</v>
      </c>
      <c r="C1027" t="s">
        <v>1460</v>
      </c>
      <c r="G1027" t="s">
        <v>1330</v>
      </c>
      <c r="H1027" t="s">
        <v>898</v>
      </c>
      <c r="I1027" t="s">
        <v>100</v>
      </c>
      <c r="J1027" t="s">
        <v>2054</v>
      </c>
    </row>
    <row r="1028" spans="1:10" x14ac:dyDescent="0.25">
      <c r="A1028" s="43" t="s">
        <v>3906</v>
      </c>
      <c r="B1028" t="s">
        <v>856</v>
      </c>
      <c r="C1028" t="s">
        <v>1460</v>
      </c>
      <c r="G1028" t="s">
        <v>1290</v>
      </c>
      <c r="H1028" t="s">
        <v>898</v>
      </c>
      <c r="I1028" t="s">
        <v>589</v>
      </c>
      <c r="J1028" t="s">
        <v>2051</v>
      </c>
    </row>
    <row r="1029" spans="1:10" x14ac:dyDescent="0.25">
      <c r="A1029" s="43" t="s">
        <v>3905</v>
      </c>
      <c r="B1029" t="s">
        <v>856</v>
      </c>
      <c r="C1029" t="s">
        <v>1460</v>
      </c>
      <c r="G1029" t="s">
        <v>1218</v>
      </c>
      <c r="H1029" t="s">
        <v>898</v>
      </c>
      <c r="I1029" t="s">
        <v>115</v>
      </c>
      <c r="J1029" t="s">
        <v>2052</v>
      </c>
    </row>
    <row r="1030" spans="1:10" x14ac:dyDescent="0.25">
      <c r="A1030" s="43" t="s">
        <v>999</v>
      </c>
      <c r="B1030" t="s">
        <v>263</v>
      </c>
      <c r="C1030" t="s">
        <v>1183</v>
      </c>
      <c r="D1030" t="s">
        <v>27</v>
      </c>
      <c r="G1030" t="s">
        <v>8</v>
      </c>
      <c r="H1030" t="s">
        <v>898</v>
      </c>
      <c r="I1030" t="s">
        <v>1495</v>
      </c>
      <c r="J1030" t="s">
        <v>2126</v>
      </c>
    </row>
    <row r="1031" spans="1:10" x14ac:dyDescent="0.25">
      <c r="A1031" s="43" t="s">
        <v>1118</v>
      </c>
      <c r="B1031" t="s">
        <v>592</v>
      </c>
      <c r="C1031" t="s">
        <v>1188</v>
      </c>
      <c r="D1031" t="s">
        <v>27</v>
      </c>
      <c r="G1031" t="s">
        <v>1226</v>
      </c>
      <c r="H1031" t="s">
        <v>907</v>
      </c>
      <c r="I1031" t="s">
        <v>69</v>
      </c>
      <c r="J1031" t="s">
        <v>1771</v>
      </c>
    </row>
    <row r="1032" spans="1:10" x14ac:dyDescent="0.25">
      <c r="A1032" s="43" t="s">
        <v>1101</v>
      </c>
      <c r="B1032" t="s">
        <v>592</v>
      </c>
      <c r="C1032" t="s">
        <v>1188</v>
      </c>
      <c r="D1032" t="s">
        <v>27</v>
      </c>
      <c r="G1032" t="s">
        <v>8</v>
      </c>
      <c r="H1032" t="s">
        <v>907</v>
      </c>
      <c r="I1032" t="s">
        <v>69</v>
      </c>
      <c r="J1032" t="s">
        <v>1771</v>
      </c>
    </row>
    <row r="1033" spans="1:10" x14ac:dyDescent="0.25">
      <c r="A1033" s="43" t="s">
        <v>936</v>
      </c>
      <c r="B1033" t="s">
        <v>822</v>
      </c>
      <c r="C1033" t="s">
        <v>1188</v>
      </c>
      <c r="D1033" t="s">
        <v>15</v>
      </c>
      <c r="G1033" t="s">
        <v>8</v>
      </c>
      <c r="H1033" t="s">
        <v>907</v>
      </c>
      <c r="I1033" t="s">
        <v>837</v>
      </c>
      <c r="J1033" t="s">
        <v>1761</v>
      </c>
    </row>
    <row r="1034" spans="1:10" x14ac:dyDescent="0.25">
      <c r="A1034" s="43" t="s">
        <v>4430</v>
      </c>
      <c r="B1034" t="s">
        <v>176</v>
      </c>
      <c r="C1034" t="s">
        <v>1177</v>
      </c>
      <c r="E1034" t="s">
        <v>1286</v>
      </c>
      <c r="G1034" t="s">
        <v>1218</v>
      </c>
      <c r="H1034" t="s">
        <v>907</v>
      </c>
      <c r="I1034" t="s">
        <v>308</v>
      </c>
      <c r="J1034" t="s">
        <v>2444</v>
      </c>
    </row>
    <row r="1035" spans="1:10" x14ac:dyDescent="0.25">
      <c r="A1035" s="43" t="s">
        <v>2598</v>
      </c>
      <c r="B1035" t="s">
        <v>592</v>
      </c>
      <c r="C1035" t="s">
        <v>1188</v>
      </c>
      <c r="D1035" t="s">
        <v>56</v>
      </c>
      <c r="E1035" t="s">
        <v>1246</v>
      </c>
      <c r="G1035" t="s">
        <v>1218</v>
      </c>
      <c r="H1035" t="s">
        <v>907</v>
      </c>
      <c r="I1035" t="s">
        <v>555</v>
      </c>
      <c r="J1035" t="s">
        <v>2599</v>
      </c>
    </row>
    <row r="1036" spans="1:10" x14ac:dyDescent="0.25">
      <c r="A1036" s="43" t="s">
        <v>913</v>
      </c>
      <c r="B1036" t="s">
        <v>592</v>
      </c>
      <c r="C1036" t="s">
        <v>1177</v>
      </c>
      <c r="D1036" t="s">
        <v>1212</v>
      </c>
      <c r="E1036" t="s">
        <v>1286</v>
      </c>
      <c r="G1036" t="s">
        <v>1218</v>
      </c>
      <c r="H1036" t="s">
        <v>907</v>
      </c>
      <c r="I1036" t="s">
        <v>1287</v>
      </c>
      <c r="J1036" t="s">
        <v>1708</v>
      </c>
    </row>
    <row r="1037" spans="1:10" x14ac:dyDescent="0.25">
      <c r="A1037" s="43" t="s">
        <v>2580</v>
      </c>
      <c r="B1037" t="s">
        <v>678</v>
      </c>
      <c r="C1037" t="s">
        <v>1188</v>
      </c>
      <c r="D1037" t="s">
        <v>56</v>
      </c>
      <c r="E1037" t="s">
        <v>1230</v>
      </c>
      <c r="G1037" t="s">
        <v>1218</v>
      </c>
      <c r="H1037" t="s">
        <v>907</v>
      </c>
      <c r="I1037" t="s">
        <v>356</v>
      </c>
      <c r="J1037" t="s">
        <v>2445</v>
      </c>
    </row>
    <row r="1038" spans="1:10" x14ac:dyDescent="0.25">
      <c r="A1038" s="43" t="s">
        <v>1135</v>
      </c>
      <c r="B1038" t="s">
        <v>505</v>
      </c>
      <c r="C1038" t="s">
        <v>1194</v>
      </c>
      <c r="D1038" t="s">
        <v>21</v>
      </c>
      <c r="G1038" t="s">
        <v>1226</v>
      </c>
      <c r="H1038" t="s">
        <v>907</v>
      </c>
      <c r="I1038" t="s">
        <v>242</v>
      </c>
      <c r="J1038" t="s">
        <v>2314</v>
      </c>
    </row>
    <row r="1039" spans="1:10" x14ac:dyDescent="0.25">
      <c r="A1039" s="43" t="s">
        <v>3312</v>
      </c>
      <c r="B1039" t="s">
        <v>505</v>
      </c>
      <c r="C1039" t="s">
        <v>1194</v>
      </c>
      <c r="D1039" t="s">
        <v>21</v>
      </c>
      <c r="G1039" t="s">
        <v>1283</v>
      </c>
      <c r="H1039" t="s">
        <v>898</v>
      </c>
      <c r="I1039" t="s">
        <v>272</v>
      </c>
      <c r="J1039" t="s">
        <v>2313</v>
      </c>
    </row>
    <row r="1040" spans="1:10" x14ac:dyDescent="0.25">
      <c r="A1040" s="43" t="s">
        <v>1136</v>
      </c>
      <c r="B1040" t="s">
        <v>505</v>
      </c>
      <c r="C1040" t="s">
        <v>1194</v>
      </c>
      <c r="D1040" t="s">
        <v>21</v>
      </c>
      <c r="G1040" t="s">
        <v>8</v>
      </c>
      <c r="H1040" t="s">
        <v>907</v>
      </c>
      <c r="I1040" t="s">
        <v>242</v>
      </c>
      <c r="J1040" t="s">
        <v>2314</v>
      </c>
    </row>
    <row r="1041" spans="1:10" x14ac:dyDescent="0.25">
      <c r="A1041" s="43" t="s">
        <v>1137</v>
      </c>
      <c r="B1041" t="s">
        <v>505</v>
      </c>
      <c r="C1041" t="s">
        <v>1194</v>
      </c>
      <c r="D1041" t="s">
        <v>21</v>
      </c>
      <c r="G1041" t="s">
        <v>1328</v>
      </c>
      <c r="H1041" t="s">
        <v>907</v>
      </c>
      <c r="I1041" t="s">
        <v>242</v>
      </c>
      <c r="J1041" t="s">
        <v>2314</v>
      </c>
    </row>
    <row r="1042" spans="1:10" x14ac:dyDescent="0.25">
      <c r="A1042" s="43" t="s">
        <v>1138</v>
      </c>
      <c r="B1042" t="s">
        <v>505</v>
      </c>
      <c r="C1042" t="s">
        <v>1194</v>
      </c>
      <c r="D1042" t="s">
        <v>21</v>
      </c>
      <c r="G1042" t="s">
        <v>1290</v>
      </c>
      <c r="H1042" t="s">
        <v>907</v>
      </c>
      <c r="I1042" t="s">
        <v>242</v>
      </c>
      <c r="J1042" t="s">
        <v>2314</v>
      </c>
    </row>
    <row r="1043" spans="1:10" x14ac:dyDescent="0.25">
      <c r="A1043" s="43" t="s">
        <v>1147</v>
      </c>
      <c r="B1043" t="s">
        <v>505</v>
      </c>
      <c r="C1043" t="s">
        <v>1194</v>
      </c>
      <c r="D1043" t="s">
        <v>21</v>
      </c>
      <c r="G1043" t="s">
        <v>1218</v>
      </c>
      <c r="H1043" t="s">
        <v>898</v>
      </c>
      <c r="I1043" t="s">
        <v>242</v>
      </c>
      <c r="J1043" t="s">
        <v>2314</v>
      </c>
    </row>
    <row r="1044" spans="1:10" x14ac:dyDescent="0.25">
      <c r="A1044" s="43" t="s">
        <v>3840</v>
      </c>
      <c r="B1044" t="s">
        <v>148</v>
      </c>
      <c r="C1044" t="s">
        <v>1488</v>
      </c>
      <c r="G1044" t="s">
        <v>1226</v>
      </c>
      <c r="H1044" t="s">
        <v>907</v>
      </c>
      <c r="I1044" t="s">
        <v>3078</v>
      </c>
      <c r="J1044" t="s">
        <v>2114</v>
      </c>
    </row>
    <row r="1045" spans="1:10" x14ac:dyDescent="0.25">
      <c r="A1045" s="43" t="s">
        <v>3839</v>
      </c>
      <c r="B1045" t="s">
        <v>148</v>
      </c>
      <c r="C1045" t="s">
        <v>1488</v>
      </c>
      <c r="G1045" t="s">
        <v>1224</v>
      </c>
      <c r="H1045" t="s">
        <v>1224</v>
      </c>
      <c r="I1045" t="s">
        <v>2999</v>
      </c>
      <c r="J1045" t="s">
        <v>2116</v>
      </c>
    </row>
    <row r="1046" spans="1:10" x14ac:dyDescent="0.25">
      <c r="A1046" s="43" t="s">
        <v>3838</v>
      </c>
      <c r="B1046" t="s">
        <v>148</v>
      </c>
      <c r="C1046" t="s">
        <v>1488</v>
      </c>
      <c r="G1046" t="s">
        <v>8</v>
      </c>
      <c r="H1046" t="s">
        <v>907</v>
      </c>
      <c r="I1046" t="s">
        <v>565</v>
      </c>
      <c r="J1046" t="s">
        <v>2118</v>
      </c>
    </row>
    <row r="1047" spans="1:10" x14ac:dyDescent="0.25">
      <c r="A1047" s="43" t="s">
        <v>989</v>
      </c>
      <c r="B1047" t="s">
        <v>148</v>
      </c>
      <c r="C1047" t="s">
        <v>1488</v>
      </c>
      <c r="G1047" t="s">
        <v>1485</v>
      </c>
      <c r="H1047" t="s">
        <v>907</v>
      </c>
      <c r="I1047" t="s">
        <v>2662</v>
      </c>
      <c r="J1047" t="s">
        <v>2117</v>
      </c>
    </row>
    <row r="1048" spans="1:10" x14ac:dyDescent="0.25">
      <c r="A1048" s="43" t="s">
        <v>2998</v>
      </c>
      <c r="B1048" t="s">
        <v>148</v>
      </c>
      <c r="C1048" t="s">
        <v>1488</v>
      </c>
      <c r="G1048" t="s">
        <v>1218</v>
      </c>
      <c r="H1048" t="s">
        <v>907</v>
      </c>
      <c r="I1048" t="s">
        <v>2999</v>
      </c>
      <c r="J1048" t="s">
        <v>2115</v>
      </c>
    </row>
    <row r="1049" spans="1:10" x14ac:dyDescent="0.25">
      <c r="A1049" s="43" t="s">
        <v>3852</v>
      </c>
      <c r="B1049" t="s">
        <v>176</v>
      </c>
      <c r="C1049" t="s">
        <v>1463</v>
      </c>
      <c r="G1049" t="s">
        <v>1226</v>
      </c>
      <c r="H1049" t="s">
        <v>907</v>
      </c>
      <c r="I1049" t="s">
        <v>189</v>
      </c>
      <c r="J1049" t="s">
        <v>2108</v>
      </c>
    </row>
    <row r="1050" spans="1:10" x14ac:dyDescent="0.25">
      <c r="A1050" s="43" t="s">
        <v>3851</v>
      </c>
      <c r="B1050" t="s">
        <v>176</v>
      </c>
      <c r="C1050" t="s">
        <v>1463</v>
      </c>
      <c r="G1050" t="s">
        <v>1224</v>
      </c>
      <c r="H1050" t="s">
        <v>1224</v>
      </c>
      <c r="I1050" t="s">
        <v>2784</v>
      </c>
      <c r="J1050" t="s">
        <v>2112</v>
      </c>
    </row>
    <row r="1051" spans="1:10" x14ac:dyDescent="0.25">
      <c r="A1051" s="43" t="s">
        <v>3850</v>
      </c>
      <c r="B1051" t="s">
        <v>176</v>
      </c>
      <c r="C1051" t="s">
        <v>1463</v>
      </c>
      <c r="G1051" t="s">
        <v>8</v>
      </c>
      <c r="H1051" t="s">
        <v>907</v>
      </c>
      <c r="I1051" t="s">
        <v>159</v>
      </c>
      <c r="J1051" t="s">
        <v>2110</v>
      </c>
    </row>
    <row r="1052" spans="1:10" x14ac:dyDescent="0.25">
      <c r="A1052" s="43" t="s">
        <v>3849</v>
      </c>
      <c r="B1052" t="s">
        <v>176</v>
      </c>
      <c r="C1052" t="s">
        <v>1463</v>
      </c>
      <c r="G1052" t="s">
        <v>1485</v>
      </c>
      <c r="H1052" t="s">
        <v>907</v>
      </c>
      <c r="I1052" t="s">
        <v>189</v>
      </c>
      <c r="J1052" t="s">
        <v>2113</v>
      </c>
    </row>
    <row r="1053" spans="1:10" x14ac:dyDescent="0.25">
      <c r="A1053" s="43" t="s">
        <v>4126</v>
      </c>
      <c r="B1053" t="s">
        <v>176</v>
      </c>
      <c r="C1053" t="s">
        <v>1463</v>
      </c>
      <c r="G1053" t="s">
        <v>1218</v>
      </c>
      <c r="H1053" t="s">
        <v>907</v>
      </c>
      <c r="I1053" t="s">
        <v>2784</v>
      </c>
      <c r="J1053" t="s">
        <v>2111</v>
      </c>
    </row>
    <row r="1054" spans="1:10" x14ac:dyDescent="0.25">
      <c r="A1054" s="43" t="s">
        <v>3848</v>
      </c>
      <c r="B1054" t="s">
        <v>263</v>
      </c>
      <c r="C1054" t="s">
        <v>1484</v>
      </c>
      <c r="G1054" t="s">
        <v>1226</v>
      </c>
      <c r="H1054" t="s">
        <v>907</v>
      </c>
      <c r="I1054" t="s">
        <v>2784</v>
      </c>
      <c r="J1054" t="s">
        <v>2102</v>
      </c>
    </row>
    <row r="1055" spans="1:10" x14ac:dyDescent="0.25">
      <c r="A1055" s="43" t="s">
        <v>4125</v>
      </c>
      <c r="B1055" t="s">
        <v>263</v>
      </c>
      <c r="C1055" t="s">
        <v>1484</v>
      </c>
      <c r="G1055" t="s">
        <v>1224</v>
      </c>
      <c r="H1055" t="s">
        <v>907</v>
      </c>
      <c r="I1055" t="s">
        <v>2784</v>
      </c>
      <c r="J1055" t="s">
        <v>2103</v>
      </c>
    </row>
    <row r="1056" spans="1:10" x14ac:dyDescent="0.25">
      <c r="A1056" s="43" t="s">
        <v>3847</v>
      </c>
      <c r="B1056" t="s">
        <v>263</v>
      </c>
      <c r="C1056" t="s">
        <v>1484</v>
      </c>
      <c r="G1056" t="s">
        <v>8</v>
      </c>
      <c r="H1056" t="s">
        <v>907</v>
      </c>
      <c r="I1056" t="s">
        <v>159</v>
      </c>
      <c r="J1056" t="s">
        <v>2104</v>
      </c>
    </row>
    <row r="1057" spans="1:10" x14ac:dyDescent="0.25">
      <c r="A1057" s="43" t="s">
        <v>3846</v>
      </c>
      <c r="B1057" t="s">
        <v>263</v>
      </c>
      <c r="C1057" t="s">
        <v>1484</v>
      </c>
      <c r="G1057" t="s">
        <v>1485</v>
      </c>
      <c r="H1057" t="s">
        <v>907</v>
      </c>
      <c r="I1057" t="s">
        <v>2784</v>
      </c>
      <c r="J1057" t="s">
        <v>2106</v>
      </c>
    </row>
    <row r="1058" spans="1:10" x14ac:dyDescent="0.25">
      <c r="A1058" s="43" t="s">
        <v>3845</v>
      </c>
      <c r="B1058" t="s">
        <v>263</v>
      </c>
      <c r="C1058" t="s">
        <v>1484</v>
      </c>
      <c r="G1058" t="s">
        <v>1218</v>
      </c>
      <c r="H1058" t="s">
        <v>907</v>
      </c>
      <c r="I1058" t="s">
        <v>2784</v>
      </c>
      <c r="J1058" t="s">
        <v>2105</v>
      </c>
    </row>
    <row r="1059" spans="1:10" x14ac:dyDescent="0.25">
      <c r="A1059" s="43" t="s">
        <v>3844</v>
      </c>
      <c r="B1059" t="s">
        <v>505</v>
      </c>
      <c r="C1059" t="s">
        <v>1462</v>
      </c>
      <c r="G1059" t="s">
        <v>1226</v>
      </c>
      <c r="H1059" t="s">
        <v>907</v>
      </c>
      <c r="I1059" t="s">
        <v>497</v>
      </c>
      <c r="J1059" t="s">
        <v>2102</v>
      </c>
    </row>
    <row r="1060" spans="1:10" x14ac:dyDescent="0.25">
      <c r="A1060" s="43" t="s">
        <v>4124</v>
      </c>
      <c r="B1060" t="s">
        <v>505</v>
      </c>
      <c r="C1060" t="s">
        <v>1462</v>
      </c>
      <c r="G1060" t="s">
        <v>1224</v>
      </c>
      <c r="H1060" t="s">
        <v>1224</v>
      </c>
      <c r="I1060" t="s">
        <v>842</v>
      </c>
      <c r="J1060" t="s">
        <v>2103</v>
      </c>
    </row>
    <row r="1061" spans="1:10" x14ac:dyDescent="0.25">
      <c r="A1061" s="43" t="s">
        <v>3843</v>
      </c>
      <c r="B1061" t="s">
        <v>505</v>
      </c>
      <c r="C1061" t="s">
        <v>1462</v>
      </c>
      <c r="G1061" t="s">
        <v>8</v>
      </c>
      <c r="H1061" t="s">
        <v>907</v>
      </c>
      <c r="I1061" t="s">
        <v>1551</v>
      </c>
      <c r="J1061" t="s">
        <v>2104</v>
      </c>
    </row>
    <row r="1062" spans="1:10" x14ac:dyDescent="0.25">
      <c r="A1062" s="43" t="s">
        <v>3842</v>
      </c>
      <c r="B1062" t="s">
        <v>505</v>
      </c>
      <c r="C1062" t="s">
        <v>1462</v>
      </c>
      <c r="G1062" t="s">
        <v>1485</v>
      </c>
      <c r="H1062" t="s">
        <v>907</v>
      </c>
      <c r="I1062" t="s">
        <v>173</v>
      </c>
      <c r="J1062" t="s">
        <v>2106</v>
      </c>
    </row>
    <row r="1063" spans="1:10" x14ac:dyDescent="0.25">
      <c r="A1063" s="43" t="s">
        <v>3841</v>
      </c>
      <c r="B1063" t="s">
        <v>505</v>
      </c>
      <c r="C1063" t="s">
        <v>1462</v>
      </c>
      <c r="G1063" t="s">
        <v>1226</v>
      </c>
      <c r="H1063" t="s">
        <v>907</v>
      </c>
      <c r="I1063" t="s">
        <v>2784</v>
      </c>
      <c r="J1063" t="s">
        <v>2114</v>
      </c>
    </row>
    <row r="1064" spans="1:10" x14ac:dyDescent="0.25">
      <c r="A1064" s="43" t="s">
        <v>3336</v>
      </c>
      <c r="B1064" t="s">
        <v>505</v>
      </c>
      <c r="C1064" t="s">
        <v>1462</v>
      </c>
      <c r="G1064" t="s">
        <v>1224</v>
      </c>
      <c r="H1064" t="s">
        <v>1224</v>
      </c>
      <c r="I1064" t="s">
        <v>2908</v>
      </c>
      <c r="J1064" t="s">
        <v>2116</v>
      </c>
    </row>
    <row r="1065" spans="1:10" x14ac:dyDescent="0.25">
      <c r="A1065" s="43" t="s">
        <v>3335</v>
      </c>
      <c r="B1065" t="s">
        <v>505</v>
      </c>
      <c r="C1065" t="s">
        <v>1462</v>
      </c>
      <c r="G1065" t="s">
        <v>8</v>
      </c>
      <c r="H1065" t="s">
        <v>907</v>
      </c>
      <c r="I1065" t="s">
        <v>3147</v>
      </c>
      <c r="J1065" t="s">
        <v>2118</v>
      </c>
    </row>
    <row r="1066" spans="1:10" x14ac:dyDescent="0.25">
      <c r="A1066" s="43" t="s">
        <v>3334</v>
      </c>
      <c r="B1066" t="s">
        <v>505</v>
      </c>
      <c r="C1066" t="s">
        <v>1462</v>
      </c>
      <c r="G1066" t="s">
        <v>1485</v>
      </c>
      <c r="H1066" t="s">
        <v>907</v>
      </c>
      <c r="I1066" t="s">
        <v>2784</v>
      </c>
      <c r="J1066" t="s">
        <v>2117</v>
      </c>
    </row>
    <row r="1067" spans="1:10" x14ac:dyDescent="0.25">
      <c r="A1067" s="43" t="s">
        <v>3333</v>
      </c>
      <c r="B1067" t="s">
        <v>505</v>
      </c>
      <c r="C1067" t="s">
        <v>1462</v>
      </c>
      <c r="G1067" t="s">
        <v>1218</v>
      </c>
      <c r="H1067" t="s">
        <v>907</v>
      </c>
      <c r="I1067" t="s">
        <v>2908</v>
      </c>
      <c r="J1067" t="s">
        <v>2115</v>
      </c>
    </row>
    <row r="1068" spans="1:10" x14ac:dyDescent="0.25">
      <c r="A1068" s="43" t="s">
        <v>3332</v>
      </c>
      <c r="B1068" t="s">
        <v>592</v>
      </c>
      <c r="C1068" t="s">
        <v>1462</v>
      </c>
      <c r="G1068" t="s">
        <v>1226</v>
      </c>
      <c r="H1068" t="s">
        <v>907</v>
      </c>
      <c r="I1068" t="s">
        <v>2662</v>
      </c>
      <c r="J1068" t="s">
        <v>2114</v>
      </c>
    </row>
    <row r="1069" spans="1:10" x14ac:dyDescent="0.25">
      <c r="A1069" s="43" t="s">
        <v>4123</v>
      </c>
      <c r="B1069" t="s">
        <v>592</v>
      </c>
      <c r="C1069" t="s">
        <v>1462</v>
      </c>
      <c r="G1069" t="s">
        <v>1224</v>
      </c>
      <c r="H1069" t="s">
        <v>1224</v>
      </c>
      <c r="I1069" t="s">
        <v>2662</v>
      </c>
      <c r="J1069" t="s">
        <v>2116</v>
      </c>
    </row>
    <row r="1070" spans="1:10" x14ac:dyDescent="0.25">
      <c r="A1070" s="43" t="s">
        <v>3002</v>
      </c>
      <c r="B1070" t="s">
        <v>592</v>
      </c>
      <c r="C1070" t="s">
        <v>1462</v>
      </c>
      <c r="G1070" t="s">
        <v>8</v>
      </c>
      <c r="H1070" t="s">
        <v>907</v>
      </c>
      <c r="I1070" t="s">
        <v>3003</v>
      </c>
      <c r="J1070" t="s">
        <v>2118</v>
      </c>
    </row>
    <row r="1071" spans="1:10" x14ac:dyDescent="0.25">
      <c r="A1071" s="43" t="s">
        <v>3331</v>
      </c>
      <c r="B1071" t="s">
        <v>592</v>
      </c>
      <c r="C1071" t="s">
        <v>1462</v>
      </c>
      <c r="G1071" t="s">
        <v>1485</v>
      </c>
      <c r="H1071" t="s">
        <v>907</v>
      </c>
      <c r="I1071" t="s">
        <v>807</v>
      </c>
      <c r="J1071" t="s">
        <v>2117</v>
      </c>
    </row>
    <row r="1072" spans="1:10" x14ac:dyDescent="0.25">
      <c r="A1072" s="43" t="s">
        <v>3330</v>
      </c>
      <c r="B1072" t="s">
        <v>592</v>
      </c>
      <c r="C1072" t="s">
        <v>1462</v>
      </c>
      <c r="G1072" t="s">
        <v>1218</v>
      </c>
      <c r="H1072" t="s">
        <v>907</v>
      </c>
      <c r="I1072" t="s">
        <v>2662</v>
      </c>
      <c r="J1072" t="s">
        <v>2115</v>
      </c>
    </row>
    <row r="1073" spans="1:10" x14ac:dyDescent="0.25">
      <c r="A1073" s="43" t="s">
        <v>3329</v>
      </c>
      <c r="B1073" t="s">
        <v>678</v>
      </c>
      <c r="C1073" t="s">
        <v>1462</v>
      </c>
      <c r="G1073" t="s">
        <v>1226</v>
      </c>
      <c r="H1073" t="s">
        <v>907</v>
      </c>
      <c r="I1073" t="s">
        <v>58</v>
      </c>
      <c r="J1073" t="s">
        <v>2114</v>
      </c>
    </row>
    <row r="1074" spans="1:10" x14ac:dyDescent="0.25">
      <c r="A1074" s="43" t="s">
        <v>3328</v>
      </c>
      <c r="B1074" t="s">
        <v>678</v>
      </c>
      <c r="C1074" t="s">
        <v>1462</v>
      </c>
      <c r="G1074" t="s">
        <v>1224</v>
      </c>
      <c r="H1074" t="s">
        <v>1224</v>
      </c>
      <c r="I1074" t="s">
        <v>189</v>
      </c>
      <c r="J1074" t="s">
        <v>2116</v>
      </c>
    </row>
    <row r="1075" spans="1:10" x14ac:dyDescent="0.25">
      <c r="A1075" s="43" t="s">
        <v>3327</v>
      </c>
      <c r="B1075" t="s">
        <v>678</v>
      </c>
      <c r="C1075" t="s">
        <v>1462</v>
      </c>
      <c r="G1075" t="s">
        <v>8</v>
      </c>
      <c r="H1075" t="s">
        <v>907</v>
      </c>
      <c r="I1075" t="s">
        <v>2611</v>
      </c>
      <c r="J1075" t="s">
        <v>2118</v>
      </c>
    </row>
    <row r="1076" spans="1:10" x14ac:dyDescent="0.25">
      <c r="A1076" s="43" t="s">
        <v>3326</v>
      </c>
      <c r="B1076" t="s">
        <v>678</v>
      </c>
      <c r="C1076" t="s">
        <v>1462</v>
      </c>
      <c r="G1076" t="s">
        <v>1485</v>
      </c>
      <c r="H1076" t="s">
        <v>907</v>
      </c>
      <c r="I1076" t="s">
        <v>58</v>
      </c>
      <c r="J1076" t="s">
        <v>2117</v>
      </c>
    </row>
    <row r="1077" spans="1:10" x14ac:dyDescent="0.25">
      <c r="A1077" s="43" t="s">
        <v>3325</v>
      </c>
      <c r="B1077" t="s">
        <v>678</v>
      </c>
      <c r="C1077" t="s">
        <v>1462</v>
      </c>
      <c r="G1077" t="s">
        <v>1218</v>
      </c>
      <c r="H1077" t="s">
        <v>907</v>
      </c>
      <c r="I1077" t="s">
        <v>189</v>
      </c>
      <c r="J1077" t="s">
        <v>2115</v>
      </c>
    </row>
    <row r="1078" spans="1:10" x14ac:dyDescent="0.25">
      <c r="A1078" s="43" t="s">
        <v>3324</v>
      </c>
      <c r="B1078" t="s">
        <v>822</v>
      </c>
      <c r="C1078" t="s">
        <v>1462</v>
      </c>
      <c r="G1078" t="s">
        <v>1226</v>
      </c>
      <c r="H1078" t="s">
        <v>907</v>
      </c>
      <c r="I1078" t="s">
        <v>3001</v>
      </c>
      <c r="J1078" t="s">
        <v>2114</v>
      </c>
    </row>
    <row r="1079" spans="1:10" x14ac:dyDescent="0.25">
      <c r="A1079" s="43" t="s">
        <v>3000</v>
      </c>
      <c r="B1079" t="s">
        <v>822</v>
      </c>
      <c r="C1079" t="s">
        <v>1462</v>
      </c>
      <c r="G1079" t="s">
        <v>1224</v>
      </c>
      <c r="H1079" t="s">
        <v>1224</v>
      </c>
      <c r="I1079" t="s">
        <v>3001</v>
      </c>
      <c r="J1079" t="s">
        <v>2116</v>
      </c>
    </row>
    <row r="1080" spans="1:10" x14ac:dyDescent="0.25">
      <c r="A1080" s="43" t="s">
        <v>3323</v>
      </c>
      <c r="B1080" t="s">
        <v>822</v>
      </c>
      <c r="C1080" t="s">
        <v>1462</v>
      </c>
      <c r="G1080" t="s">
        <v>8</v>
      </c>
      <c r="H1080" t="s">
        <v>907</v>
      </c>
      <c r="I1080" t="s">
        <v>850</v>
      </c>
      <c r="J1080" t="s">
        <v>2118</v>
      </c>
    </row>
    <row r="1081" spans="1:10" x14ac:dyDescent="0.25">
      <c r="A1081" s="43" t="s">
        <v>3322</v>
      </c>
      <c r="B1081" t="s">
        <v>822</v>
      </c>
      <c r="C1081" t="s">
        <v>1462</v>
      </c>
      <c r="G1081" t="s">
        <v>1485</v>
      </c>
      <c r="H1081" t="s">
        <v>907</v>
      </c>
      <c r="I1081" t="s">
        <v>3001</v>
      </c>
      <c r="J1081" t="s">
        <v>2117</v>
      </c>
    </row>
    <row r="1082" spans="1:10" x14ac:dyDescent="0.25">
      <c r="A1082" s="43" t="s">
        <v>3321</v>
      </c>
      <c r="B1082" t="s">
        <v>822</v>
      </c>
      <c r="C1082" t="s">
        <v>1462</v>
      </c>
      <c r="G1082" t="s">
        <v>1218</v>
      </c>
      <c r="H1082" t="s">
        <v>907</v>
      </c>
      <c r="I1082" t="s">
        <v>3001</v>
      </c>
      <c r="J1082" t="s">
        <v>2115</v>
      </c>
    </row>
    <row r="1083" spans="1:10" x14ac:dyDescent="0.25">
      <c r="A1083" s="43" t="s">
        <v>3837</v>
      </c>
      <c r="B1083" t="s">
        <v>176</v>
      </c>
      <c r="C1083" t="s">
        <v>1201</v>
      </c>
      <c r="E1083" t="s">
        <v>1411</v>
      </c>
      <c r="G1083" t="s">
        <v>1226</v>
      </c>
      <c r="H1083" t="s">
        <v>907</v>
      </c>
      <c r="I1083" t="s">
        <v>183</v>
      </c>
      <c r="J1083" t="s">
        <v>2292</v>
      </c>
    </row>
    <row r="1084" spans="1:10" x14ac:dyDescent="0.25">
      <c r="A1084" s="43" t="s">
        <v>1115</v>
      </c>
      <c r="B1084" t="s">
        <v>176</v>
      </c>
      <c r="C1084" t="s">
        <v>1201</v>
      </c>
      <c r="E1084" t="s">
        <v>1411</v>
      </c>
      <c r="G1084" t="s">
        <v>8</v>
      </c>
      <c r="H1084" t="s">
        <v>907</v>
      </c>
      <c r="I1084" t="s">
        <v>183</v>
      </c>
      <c r="J1084" t="s">
        <v>2292</v>
      </c>
    </row>
    <row r="1085" spans="1:10" x14ac:dyDescent="0.25">
      <c r="A1085" s="43" t="s">
        <v>3836</v>
      </c>
      <c r="B1085" t="s">
        <v>822</v>
      </c>
      <c r="C1085" t="s">
        <v>1193</v>
      </c>
      <c r="D1085" t="s">
        <v>197</v>
      </c>
      <c r="E1085" t="s">
        <v>1228</v>
      </c>
      <c r="G1085" t="s">
        <v>1226</v>
      </c>
      <c r="H1085" t="s">
        <v>907</v>
      </c>
      <c r="I1085" t="s">
        <v>2860</v>
      </c>
      <c r="J1085" t="s">
        <v>2293</v>
      </c>
    </row>
    <row r="1086" spans="1:10" x14ac:dyDescent="0.25">
      <c r="A1086" s="43" t="s">
        <v>2747</v>
      </c>
      <c r="B1086" t="s">
        <v>13</v>
      </c>
      <c r="C1086" t="s">
        <v>1194</v>
      </c>
      <c r="D1086" t="s">
        <v>21</v>
      </c>
      <c r="E1086" t="s">
        <v>1289</v>
      </c>
      <c r="G1086" t="s">
        <v>1248</v>
      </c>
      <c r="H1086" t="s">
        <v>898</v>
      </c>
      <c r="I1086" t="s">
        <v>23</v>
      </c>
      <c r="J1086" t="s">
        <v>1712</v>
      </c>
    </row>
    <row r="1087" spans="1:10" x14ac:dyDescent="0.25">
      <c r="A1087" s="43" t="s">
        <v>2566</v>
      </c>
      <c r="B1087" t="s">
        <v>13</v>
      </c>
      <c r="C1087" t="s">
        <v>1194</v>
      </c>
      <c r="D1087" t="s">
        <v>21</v>
      </c>
      <c r="E1087" t="s">
        <v>1289</v>
      </c>
      <c r="G1087" t="s">
        <v>8</v>
      </c>
      <c r="H1087" t="s">
        <v>898</v>
      </c>
      <c r="I1087" t="s">
        <v>23</v>
      </c>
      <c r="J1087" t="s">
        <v>1712</v>
      </c>
    </row>
    <row r="1088" spans="1:10" x14ac:dyDescent="0.25">
      <c r="A1088" s="43" t="s">
        <v>2729</v>
      </c>
      <c r="B1088" t="s">
        <v>13</v>
      </c>
      <c r="C1088" t="s">
        <v>1194</v>
      </c>
      <c r="D1088" t="s">
        <v>21</v>
      </c>
      <c r="E1088" t="s">
        <v>1289</v>
      </c>
      <c r="G1088" t="s">
        <v>1328</v>
      </c>
      <c r="H1088" t="s">
        <v>898</v>
      </c>
      <c r="I1088" t="s">
        <v>23</v>
      </c>
      <c r="J1088" t="s">
        <v>1712</v>
      </c>
    </row>
    <row r="1089" spans="1:10" x14ac:dyDescent="0.25">
      <c r="A1089" s="43" t="s">
        <v>2995</v>
      </c>
      <c r="B1089" t="s">
        <v>13</v>
      </c>
      <c r="C1089" t="s">
        <v>1194</v>
      </c>
      <c r="D1089" t="s">
        <v>21</v>
      </c>
      <c r="E1089" t="s">
        <v>1289</v>
      </c>
      <c r="G1089" t="s">
        <v>1320</v>
      </c>
      <c r="H1089" t="s">
        <v>898</v>
      </c>
      <c r="I1089" t="s">
        <v>23</v>
      </c>
      <c r="J1089" t="s">
        <v>1712</v>
      </c>
    </row>
    <row r="1090" spans="1:10" x14ac:dyDescent="0.25">
      <c r="A1090" s="43" t="s">
        <v>2688</v>
      </c>
      <c r="B1090" t="s">
        <v>13</v>
      </c>
      <c r="C1090" t="s">
        <v>1194</v>
      </c>
      <c r="D1090" t="s">
        <v>21</v>
      </c>
      <c r="E1090" t="s">
        <v>1289</v>
      </c>
      <c r="G1090" t="s">
        <v>1290</v>
      </c>
      <c r="H1090" t="s">
        <v>898</v>
      </c>
      <c r="I1090" t="s">
        <v>23</v>
      </c>
      <c r="J1090" t="s">
        <v>1712</v>
      </c>
    </row>
    <row r="1091" spans="1:10" x14ac:dyDescent="0.25">
      <c r="A1091" s="43" t="s">
        <v>3352</v>
      </c>
      <c r="B1091" t="s">
        <v>13</v>
      </c>
      <c r="C1091" t="s">
        <v>1179</v>
      </c>
      <c r="D1091" t="s">
        <v>27</v>
      </c>
      <c r="E1091" t="s">
        <v>1231</v>
      </c>
      <c r="G1091" t="s">
        <v>1290</v>
      </c>
      <c r="H1091" t="s">
        <v>898</v>
      </c>
      <c r="I1091" t="s">
        <v>28</v>
      </c>
      <c r="J1091" t="s">
        <v>1874</v>
      </c>
    </row>
    <row r="1092" spans="1:10" x14ac:dyDescent="0.25">
      <c r="A1092" s="43" t="s">
        <v>2746</v>
      </c>
      <c r="B1092" t="s">
        <v>13</v>
      </c>
      <c r="C1092" t="s">
        <v>1179</v>
      </c>
      <c r="D1092" t="s">
        <v>27</v>
      </c>
      <c r="E1092" t="s">
        <v>1231</v>
      </c>
      <c r="G1092" t="s">
        <v>1248</v>
      </c>
      <c r="H1092" t="s">
        <v>898</v>
      </c>
      <c r="I1092" t="s">
        <v>28</v>
      </c>
      <c r="J1092" t="s">
        <v>1874</v>
      </c>
    </row>
    <row r="1093" spans="1:10" x14ac:dyDescent="0.25">
      <c r="A1093" s="43" t="s">
        <v>2844</v>
      </c>
      <c r="B1093" t="s">
        <v>13</v>
      </c>
      <c r="C1093" t="s">
        <v>1179</v>
      </c>
      <c r="D1093" t="s">
        <v>27</v>
      </c>
      <c r="E1093" t="s">
        <v>1231</v>
      </c>
      <c r="G1093" t="s">
        <v>8</v>
      </c>
      <c r="H1093" t="s">
        <v>898</v>
      </c>
      <c r="I1093" t="s">
        <v>28</v>
      </c>
      <c r="J1093" t="s">
        <v>1874</v>
      </c>
    </row>
    <row r="1094" spans="1:10" x14ac:dyDescent="0.25">
      <c r="A1094" s="43" t="s">
        <v>2685</v>
      </c>
      <c r="B1094" t="s">
        <v>75</v>
      </c>
      <c r="C1094" t="s">
        <v>1177</v>
      </c>
      <c r="D1094" t="s">
        <v>84</v>
      </c>
      <c r="E1094" t="s">
        <v>1247</v>
      </c>
      <c r="G1094" t="s">
        <v>1226</v>
      </c>
      <c r="H1094" t="s">
        <v>907</v>
      </c>
      <c r="I1094" t="s">
        <v>88</v>
      </c>
      <c r="J1094" t="s">
        <v>2325</v>
      </c>
    </row>
    <row r="1095" spans="1:10" x14ac:dyDescent="0.25">
      <c r="A1095" s="43" t="s">
        <v>2634</v>
      </c>
      <c r="B1095" t="s">
        <v>75</v>
      </c>
      <c r="C1095" t="s">
        <v>1177</v>
      </c>
      <c r="D1095" t="s">
        <v>84</v>
      </c>
      <c r="E1095" t="s">
        <v>1247</v>
      </c>
      <c r="G1095" t="s">
        <v>8</v>
      </c>
      <c r="H1095" t="s">
        <v>907</v>
      </c>
      <c r="I1095" t="s">
        <v>88</v>
      </c>
      <c r="J1095" t="s">
        <v>2325</v>
      </c>
    </row>
    <row r="1096" spans="1:10" x14ac:dyDescent="0.25">
      <c r="A1096" s="43" t="s">
        <v>3014</v>
      </c>
      <c r="B1096" t="s">
        <v>75</v>
      </c>
      <c r="C1096" t="s">
        <v>1177</v>
      </c>
      <c r="D1096" t="s">
        <v>84</v>
      </c>
      <c r="E1096" t="s">
        <v>1247</v>
      </c>
      <c r="G1096" t="s">
        <v>1320</v>
      </c>
      <c r="H1096" t="s">
        <v>898</v>
      </c>
      <c r="I1096" t="s">
        <v>88</v>
      </c>
      <c r="J1096" t="s">
        <v>2325</v>
      </c>
    </row>
    <row r="1097" spans="1:10" x14ac:dyDescent="0.25">
      <c r="A1097" s="43" t="s">
        <v>3356</v>
      </c>
      <c r="B1097" t="s">
        <v>75</v>
      </c>
      <c r="C1097" t="s">
        <v>1177</v>
      </c>
      <c r="D1097" t="s">
        <v>84</v>
      </c>
      <c r="E1097" t="s">
        <v>1247</v>
      </c>
      <c r="G1097" t="s">
        <v>1290</v>
      </c>
      <c r="H1097" t="s">
        <v>907</v>
      </c>
      <c r="I1097" t="s">
        <v>88</v>
      </c>
      <c r="J1097" t="s">
        <v>2325</v>
      </c>
    </row>
    <row r="1098" spans="1:10" x14ac:dyDescent="0.25">
      <c r="A1098" s="43" t="s">
        <v>3351</v>
      </c>
      <c r="B1098" t="s">
        <v>95</v>
      </c>
      <c r="C1098" t="s">
        <v>1177</v>
      </c>
      <c r="E1098" t="s">
        <v>1372</v>
      </c>
      <c r="G1098" t="s">
        <v>1328</v>
      </c>
      <c r="H1098" t="s">
        <v>898</v>
      </c>
      <c r="J1098" t="s">
        <v>1833</v>
      </c>
    </row>
    <row r="1099" spans="1:10" x14ac:dyDescent="0.25">
      <c r="A1099" s="43" t="s">
        <v>2994</v>
      </c>
      <c r="B1099" t="s">
        <v>95</v>
      </c>
      <c r="C1099" t="s">
        <v>1177</v>
      </c>
      <c r="E1099" t="s">
        <v>1372</v>
      </c>
      <c r="G1099" t="s">
        <v>1290</v>
      </c>
      <c r="H1099" t="s">
        <v>898</v>
      </c>
      <c r="J1099" t="s">
        <v>1833</v>
      </c>
    </row>
    <row r="1100" spans="1:10" x14ac:dyDescent="0.25">
      <c r="A1100" s="43" t="s">
        <v>2993</v>
      </c>
      <c r="B1100" t="s">
        <v>95</v>
      </c>
      <c r="C1100" t="s">
        <v>1177</v>
      </c>
      <c r="E1100" t="s">
        <v>1372</v>
      </c>
      <c r="G1100" t="s">
        <v>1248</v>
      </c>
      <c r="H1100" t="s">
        <v>898</v>
      </c>
      <c r="J1100" t="s">
        <v>1833</v>
      </c>
    </row>
    <row r="1101" spans="1:10" x14ac:dyDescent="0.25">
      <c r="A1101" s="43" t="s">
        <v>3350</v>
      </c>
      <c r="B1101" t="s">
        <v>95</v>
      </c>
      <c r="C1101" t="s">
        <v>1177</v>
      </c>
      <c r="E1101" t="s">
        <v>1372</v>
      </c>
      <c r="G1101" t="s">
        <v>8</v>
      </c>
      <c r="H1101" t="s">
        <v>898</v>
      </c>
      <c r="J1101" t="s">
        <v>1833</v>
      </c>
    </row>
    <row r="1102" spans="1:10" x14ac:dyDescent="0.25">
      <c r="A1102" s="43" t="s">
        <v>3349</v>
      </c>
      <c r="B1102" t="s">
        <v>95</v>
      </c>
      <c r="C1102" t="s">
        <v>1177</v>
      </c>
      <c r="E1102" t="s">
        <v>1372</v>
      </c>
      <c r="G1102" t="s">
        <v>1320</v>
      </c>
      <c r="H1102" t="s">
        <v>898</v>
      </c>
      <c r="J1102" t="s">
        <v>1833</v>
      </c>
    </row>
    <row r="1103" spans="1:10" x14ac:dyDescent="0.25">
      <c r="A1103" s="43" t="s">
        <v>2727</v>
      </c>
      <c r="B1103" t="s">
        <v>132</v>
      </c>
      <c r="C1103" t="s">
        <v>1177</v>
      </c>
      <c r="D1103" t="s">
        <v>75</v>
      </c>
      <c r="E1103" t="s">
        <v>1355</v>
      </c>
      <c r="G1103" t="s">
        <v>1226</v>
      </c>
      <c r="H1103" t="s">
        <v>907</v>
      </c>
      <c r="I1103" t="s">
        <v>2728</v>
      </c>
      <c r="J1103" t="s">
        <v>1794</v>
      </c>
    </row>
    <row r="1104" spans="1:10" x14ac:dyDescent="0.25">
      <c r="A1104" s="43" t="s">
        <v>3013</v>
      </c>
      <c r="B1104" t="s">
        <v>143</v>
      </c>
      <c r="C1104" t="s">
        <v>1181</v>
      </c>
      <c r="D1104" t="s">
        <v>27</v>
      </c>
      <c r="E1104" t="s">
        <v>1300</v>
      </c>
      <c r="G1104" t="s">
        <v>1320</v>
      </c>
      <c r="H1104" t="s">
        <v>898</v>
      </c>
      <c r="I1104" t="s">
        <v>145</v>
      </c>
      <c r="J1104" t="s">
        <v>1869</v>
      </c>
    </row>
    <row r="1105" spans="1:10" x14ac:dyDescent="0.25">
      <c r="A1105" s="43" t="s">
        <v>3012</v>
      </c>
      <c r="B1105" t="s">
        <v>143</v>
      </c>
      <c r="C1105" t="s">
        <v>1181</v>
      </c>
      <c r="D1105" t="s">
        <v>27</v>
      </c>
      <c r="E1105" t="s">
        <v>1300</v>
      </c>
      <c r="G1105" t="s">
        <v>1290</v>
      </c>
      <c r="H1105" t="s">
        <v>907</v>
      </c>
      <c r="I1105" t="s">
        <v>145</v>
      </c>
      <c r="J1105" t="s">
        <v>1869</v>
      </c>
    </row>
    <row r="1106" spans="1:10" x14ac:dyDescent="0.25">
      <c r="A1106" s="43" t="s">
        <v>2992</v>
      </c>
      <c r="B1106" t="s">
        <v>114</v>
      </c>
      <c r="C1106" t="s">
        <v>1181</v>
      </c>
      <c r="E1106" t="s">
        <v>1249</v>
      </c>
      <c r="G1106" t="s">
        <v>1226</v>
      </c>
      <c r="H1106" t="s">
        <v>907</v>
      </c>
      <c r="I1106" t="s">
        <v>268</v>
      </c>
      <c r="J1106" t="s">
        <v>1876</v>
      </c>
    </row>
    <row r="1107" spans="1:10" x14ac:dyDescent="0.25">
      <c r="A1107" s="43" t="s">
        <v>2843</v>
      </c>
      <c r="B1107" t="s">
        <v>114</v>
      </c>
      <c r="C1107" t="s">
        <v>1181</v>
      </c>
      <c r="E1107" t="s">
        <v>1461</v>
      </c>
      <c r="G1107" t="s">
        <v>1226</v>
      </c>
      <c r="H1107" t="s">
        <v>907</v>
      </c>
      <c r="I1107" t="s">
        <v>119</v>
      </c>
      <c r="J1107" t="s">
        <v>2048</v>
      </c>
    </row>
    <row r="1108" spans="1:10" x14ac:dyDescent="0.25">
      <c r="A1108" s="43" t="s">
        <v>2991</v>
      </c>
      <c r="B1108" t="s">
        <v>114</v>
      </c>
      <c r="C1108" t="s">
        <v>1181</v>
      </c>
      <c r="E1108" t="s">
        <v>1461</v>
      </c>
      <c r="G1108" t="s">
        <v>8</v>
      </c>
      <c r="H1108" t="s">
        <v>907</v>
      </c>
      <c r="I1108" t="s">
        <v>119</v>
      </c>
      <c r="J1108" t="s">
        <v>2048</v>
      </c>
    </row>
    <row r="1109" spans="1:10" x14ac:dyDescent="0.25">
      <c r="A1109" s="43" t="s">
        <v>3348</v>
      </c>
      <c r="B1109" t="s">
        <v>114</v>
      </c>
      <c r="C1109" t="s">
        <v>1181</v>
      </c>
      <c r="E1109" t="s">
        <v>1461</v>
      </c>
      <c r="G1109" t="s">
        <v>1320</v>
      </c>
      <c r="H1109" t="s">
        <v>898</v>
      </c>
      <c r="I1109" t="s">
        <v>119</v>
      </c>
      <c r="J1109" t="s">
        <v>2048</v>
      </c>
    </row>
    <row r="1110" spans="1:10" x14ac:dyDescent="0.25">
      <c r="A1110" s="43" t="s">
        <v>3347</v>
      </c>
      <c r="B1110" t="s">
        <v>114</v>
      </c>
      <c r="C1110" t="s">
        <v>1181</v>
      </c>
      <c r="E1110" t="s">
        <v>1461</v>
      </c>
      <c r="G1110" t="s">
        <v>1290</v>
      </c>
      <c r="H1110" t="s">
        <v>907</v>
      </c>
      <c r="I1110" t="s">
        <v>119</v>
      </c>
      <c r="J1110" t="s">
        <v>2048</v>
      </c>
    </row>
    <row r="1111" spans="1:10" x14ac:dyDescent="0.25">
      <c r="A1111" s="43" t="s">
        <v>4399</v>
      </c>
      <c r="B1111" t="s">
        <v>196</v>
      </c>
      <c r="C1111" t="s">
        <v>1195</v>
      </c>
      <c r="D1111" t="s">
        <v>197</v>
      </c>
      <c r="E1111" t="s">
        <v>1361</v>
      </c>
      <c r="G1111" t="s">
        <v>1226</v>
      </c>
      <c r="H1111" t="s">
        <v>907</v>
      </c>
      <c r="I1111" t="s">
        <v>199</v>
      </c>
      <c r="J1111" t="s">
        <v>1868</v>
      </c>
    </row>
    <row r="1112" spans="1:10" x14ac:dyDescent="0.25">
      <c r="A1112" s="43" t="s">
        <v>3355</v>
      </c>
      <c r="B1112" t="s">
        <v>196</v>
      </c>
      <c r="C1112" t="s">
        <v>1195</v>
      </c>
      <c r="D1112" t="s">
        <v>197</v>
      </c>
      <c r="E1112" t="s">
        <v>1361</v>
      </c>
      <c r="G1112" t="s">
        <v>8</v>
      </c>
      <c r="H1112" t="s">
        <v>907</v>
      </c>
      <c r="I1112" t="s">
        <v>199</v>
      </c>
      <c r="J1112" t="s">
        <v>1868</v>
      </c>
    </row>
    <row r="1113" spans="1:10" x14ac:dyDescent="0.25">
      <c r="A1113" s="43" t="s">
        <v>3354</v>
      </c>
      <c r="B1113" t="s">
        <v>196</v>
      </c>
      <c r="C1113" t="s">
        <v>1195</v>
      </c>
      <c r="D1113" t="s">
        <v>197</v>
      </c>
      <c r="E1113" t="s">
        <v>1361</v>
      </c>
      <c r="G1113" t="s">
        <v>1320</v>
      </c>
      <c r="H1113" t="s">
        <v>898</v>
      </c>
      <c r="I1113" t="s">
        <v>199</v>
      </c>
      <c r="J1113" t="s">
        <v>1868</v>
      </c>
    </row>
    <row r="1114" spans="1:10" x14ac:dyDescent="0.25">
      <c r="A1114" s="43" t="s">
        <v>3812</v>
      </c>
      <c r="B1114" t="s">
        <v>216</v>
      </c>
      <c r="C1114" t="s">
        <v>1177</v>
      </c>
      <c r="D1114" t="s">
        <v>15</v>
      </c>
      <c r="E1114" t="s">
        <v>1247</v>
      </c>
      <c r="G1114" t="s">
        <v>1320</v>
      </c>
      <c r="H1114" t="s">
        <v>898</v>
      </c>
      <c r="J1114" t="s">
        <v>2181</v>
      </c>
    </row>
    <row r="1115" spans="1:10" x14ac:dyDescent="0.25">
      <c r="A1115" s="43" t="s">
        <v>3811</v>
      </c>
      <c r="B1115" t="s">
        <v>216</v>
      </c>
      <c r="C1115" t="s">
        <v>1177</v>
      </c>
      <c r="D1115" t="s">
        <v>15</v>
      </c>
      <c r="E1115" t="s">
        <v>1247</v>
      </c>
      <c r="G1115" t="s">
        <v>1290</v>
      </c>
      <c r="H1115" t="s">
        <v>907</v>
      </c>
      <c r="J1115" t="s">
        <v>2181</v>
      </c>
    </row>
    <row r="1116" spans="1:10" x14ac:dyDescent="0.25">
      <c r="A1116" s="43" t="s">
        <v>1026</v>
      </c>
      <c r="B1116" t="s">
        <v>216</v>
      </c>
      <c r="C1116" t="s">
        <v>1177</v>
      </c>
      <c r="D1116" t="s">
        <v>15</v>
      </c>
      <c r="E1116" t="s">
        <v>1247</v>
      </c>
      <c r="G1116" t="s">
        <v>1226</v>
      </c>
      <c r="H1116" t="s">
        <v>907</v>
      </c>
      <c r="I1116" t="s">
        <v>2784</v>
      </c>
      <c r="J1116" t="s">
        <v>2181</v>
      </c>
    </row>
    <row r="1117" spans="1:10" x14ac:dyDescent="0.25">
      <c r="A1117" s="43" t="s">
        <v>4248</v>
      </c>
      <c r="B1117" t="s">
        <v>216</v>
      </c>
      <c r="C1117" t="s">
        <v>1177</v>
      </c>
      <c r="D1117" t="s">
        <v>15</v>
      </c>
      <c r="E1117" t="s">
        <v>1247</v>
      </c>
      <c r="G1117" t="s">
        <v>8</v>
      </c>
      <c r="H1117" t="s">
        <v>907</v>
      </c>
      <c r="I1117" t="s">
        <v>2784</v>
      </c>
      <c r="J1117" t="s">
        <v>2181</v>
      </c>
    </row>
    <row r="1118" spans="1:10" x14ac:dyDescent="0.25">
      <c r="A1118" s="43" t="s">
        <v>2990</v>
      </c>
      <c r="B1118" t="s">
        <v>222</v>
      </c>
      <c r="C1118" t="s">
        <v>1177</v>
      </c>
      <c r="E1118" t="s">
        <v>1324</v>
      </c>
      <c r="G1118" t="s">
        <v>1226</v>
      </c>
      <c r="H1118" t="s">
        <v>907</v>
      </c>
      <c r="I1118" t="s">
        <v>360</v>
      </c>
      <c r="J1118" t="s">
        <v>1893</v>
      </c>
    </row>
    <row r="1119" spans="1:10" x14ac:dyDescent="0.25">
      <c r="A1119" s="43" t="s">
        <v>2989</v>
      </c>
      <c r="B1119" t="s">
        <v>222</v>
      </c>
      <c r="C1119" t="s">
        <v>1177</v>
      </c>
      <c r="E1119" t="s">
        <v>1324</v>
      </c>
      <c r="G1119" t="s">
        <v>8</v>
      </c>
      <c r="H1119" t="s">
        <v>907</v>
      </c>
      <c r="I1119" t="s">
        <v>360</v>
      </c>
      <c r="J1119" t="s">
        <v>1893</v>
      </c>
    </row>
    <row r="1120" spans="1:10" x14ac:dyDescent="0.25">
      <c r="A1120" s="43" t="s">
        <v>3346</v>
      </c>
      <c r="B1120" t="s">
        <v>222</v>
      </c>
      <c r="C1120" t="s">
        <v>1177</v>
      </c>
      <c r="E1120" t="s">
        <v>1324</v>
      </c>
      <c r="G1120" t="s">
        <v>1328</v>
      </c>
      <c r="H1120" t="s">
        <v>907</v>
      </c>
      <c r="I1120" t="s">
        <v>360</v>
      </c>
      <c r="J1120" t="s">
        <v>1893</v>
      </c>
    </row>
    <row r="1121" spans="1:10" x14ac:dyDescent="0.25">
      <c r="A1121" s="43" t="s">
        <v>3345</v>
      </c>
      <c r="B1121" t="s">
        <v>222</v>
      </c>
      <c r="C1121" t="s">
        <v>1177</v>
      </c>
      <c r="E1121" t="s">
        <v>1324</v>
      </c>
      <c r="G1121" t="s">
        <v>1320</v>
      </c>
      <c r="H1121" t="s">
        <v>898</v>
      </c>
      <c r="I1121" t="s">
        <v>360</v>
      </c>
      <c r="J1121" t="s">
        <v>1893</v>
      </c>
    </row>
    <row r="1122" spans="1:10" x14ac:dyDescent="0.25">
      <c r="A1122" s="43" t="s">
        <v>3344</v>
      </c>
      <c r="B1122" t="s">
        <v>222</v>
      </c>
      <c r="C1122" t="s">
        <v>1177</v>
      </c>
      <c r="E1122" t="s">
        <v>1324</v>
      </c>
      <c r="G1122" t="s">
        <v>1290</v>
      </c>
      <c r="H1122" t="s">
        <v>907</v>
      </c>
      <c r="I1122" t="s">
        <v>360</v>
      </c>
      <c r="J1122" t="s">
        <v>1893</v>
      </c>
    </row>
    <row r="1123" spans="1:10" x14ac:dyDescent="0.25">
      <c r="A1123" s="43" t="s">
        <v>4429</v>
      </c>
      <c r="B1123" t="s">
        <v>277</v>
      </c>
      <c r="C1123" t="s">
        <v>1177</v>
      </c>
      <c r="D1123" t="s">
        <v>27</v>
      </c>
      <c r="E1123" t="s">
        <v>1239</v>
      </c>
      <c r="G1123" t="s">
        <v>1248</v>
      </c>
      <c r="H1123" t="s">
        <v>898</v>
      </c>
      <c r="I1123" t="s">
        <v>278</v>
      </c>
      <c r="J1123" t="s">
        <v>1737</v>
      </c>
    </row>
    <row r="1124" spans="1:10" x14ac:dyDescent="0.25">
      <c r="A1124" s="43" t="s">
        <v>2558</v>
      </c>
      <c r="B1124" t="s">
        <v>277</v>
      </c>
      <c r="C1124" t="s">
        <v>1177</v>
      </c>
      <c r="D1124" t="s">
        <v>27</v>
      </c>
      <c r="E1124" t="s">
        <v>1239</v>
      </c>
      <c r="G1124" t="s">
        <v>8</v>
      </c>
      <c r="H1124" t="s">
        <v>898</v>
      </c>
      <c r="I1124" t="s">
        <v>278</v>
      </c>
      <c r="J1124" t="s">
        <v>1737</v>
      </c>
    </row>
    <row r="1125" spans="1:10" x14ac:dyDescent="0.25">
      <c r="A1125" s="43" t="s">
        <v>2842</v>
      </c>
      <c r="B1125" t="s">
        <v>277</v>
      </c>
      <c r="C1125" t="s">
        <v>1177</v>
      </c>
      <c r="D1125" t="s">
        <v>27</v>
      </c>
      <c r="E1125" t="s">
        <v>1239</v>
      </c>
      <c r="G1125" t="s">
        <v>1328</v>
      </c>
      <c r="H1125" t="s">
        <v>898</v>
      </c>
      <c r="I1125" t="s">
        <v>278</v>
      </c>
      <c r="J1125" t="s">
        <v>1737</v>
      </c>
    </row>
    <row r="1126" spans="1:10" x14ac:dyDescent="0.25">
      <c r="A1126" s="43" t="s">
        <v>2841</v>
      </c>
      <c r="B1126" t="s">
        <v>277</v>
      </c>
      <c r="C1126" t="s">
        <v>1177</v>
      </c>
      <c r="D1126" t="s">
        <v>27</v>
      </c>
      <c r="E1126" t="s">
        <v>1239</v>
      </c>
      <c r="G1126" t="s">
        <v>1320</v>
      </c>
      <c r="H1126" t="s">
        <v>898</v>
      </c>
      <c r="I1126" t="s">
        <v>278</v>
      </c>
      <c r="J1126" t="s">
        <v>1737</v>
      </c>
    </row>
    <row r="1127" spans="1:10" x14ac:dyDescent="0.25">
      <c r="A1127" s="43" t="s">
        <v>2840</v>
      </c>
      <c r="B1127" t="s">
        <v>277</v>
      </c>
      <c r="C1127" t="s">
        <v>1177</v>
      </c>
      <c r="D1127" t="s">
        <v>27</v>
      </c>
      <c r="E1127" t="s">
        <v>1239</v>
      </c>
      <c r="G1127" t="s">
        <v>1290</v>
      </c>
      <c r="H1127" t="s">
        <v>898</v>
      </c>
      <c r="I1127" t="s">
        <v>278</v>
      </c>
      <c r="J1127" t="s">
        <v>1737</v>
      </c>
    </row>
    <row r="1128" spans="1:10" x14ac:dyDescent="0.25">
      <c r="A1128" s="43" t="s">
        <v>2988</v>
      </c>
      <c r="B1128" t="s">
        <v>290</v>
      </c>
      <c r="C1128" t="s">
        <v>1182</v>
      </c>
      <c r="D1128" t="s">
        <v>15</v>
      </c>
      <c r="E1128" t="s">
        <v>1393</v>
      </c>
      <c r="G1128" t="s">
        <v>1290</v>
      </c>
      <c r="H1128" t="s">
        <v>898</v>
      </c>
      <c r="I1128" t="s">
        <v>292</v>
      </c>
      <c r="J1128" t="s">
        <v>1888</v>
      </c>
    </row>
    <row r="1129" spans="1:10" x14ac:dyDescent="0.25">
      <c r="A1129" s="43" t="s">
        <v>2839</v>
      </c>
      <c r="B1129" t="s">
        <v>290</v>
      </c>
      <c r="C1129" t="s">
        <v>1182</v>
      </c>
      <c r="D1129" t="s">
        <v>15</v>
      </c>
      <c r="E1129" t="s">
        <v>1393</v>
      </c>
      <c r="G1129" t="s">
        <v>1248</v>
      </c>
      <c r="H1129" t="s">
        <v>898</v>
      </c>
      <c r="I1129" t="s">
        <v>292</v>
      </c>
      <c r="J1129" t="s">
        <v>1888</v>
      </c>
    </row>
    <row r="1130" spans="1:10" x14ac:dyDescent="0.25">
      <c r="A1130" s="43" t="s">
        <v>2838</v>
      </c>
      <c r="B1130" t="s">
        <v>290</v>
      </c>
      <c r="C1130" t="s">
        <v>1182</v>
      </c>
      <c r="D1130" t="s">
        <v>15</v>
      </c>
      <c r="E1130" t="s">
        <v>1393</v>
      </c>
      <c r="G1130" t="s">
        <v>8</v>
      </c>
      <c r="H1130" t="s">
        <v>898</v>
      </c>
      <c r="I1130" t="s">
        <v>292</v>
      </c>
      <c r="J1130" t="s">
        <v>1888</v>
      </c>
    </row>
    <row r="1131" spans="1:10" x14ac:dyDescent="0.25">
      <c r="A1131" s="43" t="s">
        <v>3343</v>
      </c>
      <c r="B1131" t="s">
        <v>290</v>
      </c>
      <c r="C1131" t="s">
        <v>1202</v>
      </c>
      <c r="D1131" t="s">
        <v>15</v>
      </c>
      <c r="E1131" t="s">
        <v>1375</v>
      </c>
      <c r="G1131" t="s">
        <v>1290</v>
      </c>
      <c r="H1131" t="s">
        <v>898</v>
      </c>
      <c r="I1131" t="s">
        <v>297</v>
      </c>
      <c r="J1131" t="s">
        <v>1837</v>
      </c>
    </row>
    <row r="1132" spans="1:10" x14ac:dyDescent="0.25">
      <c r="A1132" s="43" t="s">
        <v>3011</v>
      </c>
      <c r="B1132" t="s">
        <v>398</v>
      </c>
      <c r="C1132" t="s">
        <v>1177</v>
      </c>
      <c r="D1132" t="s">
        <v>197</v>
      </c>
      <c r="E1132" t="s">
        <v>1247</v>
      </c>
      <c r="G1132" t="s">
        <v>1226</v>
      </c>
      <c r="H1132" t="s">
        <v>907</v>
      </c>
      <c r="I1132" t="s">
        <v>3010</v>
      </c>
      <c r="J1132" t="s">
        <v>1820</v>
      </c>
    </row>
    <row r="1133" spans="1:10" x14ac:dyDescent="0.25">
      <c r="A1133" s="43" t="s">
        <v>3009</v>
      </c>
      <c r="B1133" t="s">
        <v>398</v>
      </c>
      <c r="C1133" t="s">
        <v>1177</v>
      </c>
      <c r="D1133" t="s">
        <v>197</v>
      </c>
      <c r="E1133" t="s">
        <v>1247</v>
      </c>
      <c r="G1133" t="s">
        <v>8</v>
      </c>
      <c r="H1133" t="s">
        <v>907</v>
      </c>
      <c r="I1133" t="s">
        <v>3010</v>
      </c>
      <c r="J1133" t="s">
        <v>1820</v>
      </c>
    </row>
    <row r="1134" spans="1:10" x14ac:dyDescent="0.25">
      <c r="A1134" s="43" t="s">
        <v>3810</v>
      </c>
      <c r="B1134" t="s">
        <v>398</v>
      </c>
      <c r="C1134" t="s">
        <v>1177</v>
      </c>
      <c r="D1134" t="s">
        <v>197</v>
      </c>
      <c r="E1134" t="s">
        <v>1247</v>
      </c>
      <c r="G1134" t="s">
        <v>1320</v>
      </c>
      <c r="H1134" t="s">
        <v>898</v>
      </c>
      <c r="I1134" t="s">
        <v>3010</v>
      </c>
      <c r="J1134" t="s">
        <v>1820</v>
      </c>
    </row>
    <row r="1135" spans="1:10" x14ac:dyDescent="0.25">
      <c r="A1135" s="43" t="s">
        <v>3809</v>
      </c>
      <c r="B1135" t="s">
        <v>398</v>
      </c>
      <c r="C1135" t="s">
        <v>1177</v>
      </c>
      <c r="D1135" t="s">
        <v>197</v>
      </c>
      <c r="E1135" t="s">
        <v>1247</v>
      </c>
      <c r="G1135" t="s">
        <v>1290</v>
      </c>
      <c r="H1135" t="s">
        <v>907</v>
      </c>
      <c r="I1135" t="s">
        <v>3010</v>
      </c>
      <c r="J1135" t="s">
        <v>1820</v>
      </c>
    </row>
    <row r="1136" spans="1:10" x14ac:dyDescent="0.25">
      <c r="A1136" s="43" t="s">
        <v>2987</v>
      </c>
      <c r="B1136" t="s">
        <v>306</v>
      </c>
      <c r="C1136" t="s">
        <v>1200</v>
      </c>
      <c r="D1136" t="s">
        <v>56</v>
      </c>
      <c r="E1136" t="s">
        <v>1324</v>
      </c>
      <c r="G1136" t="s">
        <v>8</v>
      </c>
      <c r="H1136" t="s">
        <v>898</v>
      </c>
      <c r="I1136" t="s">
        <v>308</v>
      </c>
      <c r="J1136" t="s">
        <v>1952</v>
      </c>
    </row>
    <row r="1137" spans="1:10" x14ac:dyDescent="0.25">
      <c r="A1137" s="43" t="s">
        <v>2986</v>
      </c>
      <c r="B1137" t="s">
        <v>306</v>
      </c>
      <c r="C1137" t="s">
        <v>1200</v>
      </c>
      <c r="D1137" t="s">
        <v>56</v>
      </c>
      <c r="E1137" t="s">
        <v>1324</v>
      </c>
      <c r="G1137" t="s">
        <v>1290</v>
      </c>
      <c r="H1137" t="s">
        <v>898</v>
      </c>
      <c r="I1137" t="s">
        <v>308</v>
      </c>
      <c r="J1137" t="s">
        <v>1952</v>
      </c>
    </row>
    <row r="1138" spans="1:10" x14ac:dyDescent="0.25">
      <c r="A1138" s="43" t="s">
        <v>2837</v>
      </c>
      <c r="B1138" t="s">
        <v>315</v>
      </c>
      <c r="C1138" t="s">
        <v>1189</v>
      </c>
      <c r="D1138" t="s">
        <v>15</v>
      </c>
      <c r="G1138" t="s">
        <v>8</v>
      </c>
      <c r="H1138" t="s">
        <v>898</v>
      </c>
      <c r="I1138" t="s">
        <v>246</v>
      </c>
      <c r="J1138" t="s">
        <v>324</v>
      </c>
    </row>
    <row r="1139" spans="1:10" x14ac:dyDescent="0.25">
      <c r="A1139" s="43" t="s">
        <v>4122</v>
      </c>
      <c r="B1139" t="s">
        <v>315</v>
      </c>
      <c r="C1139" t="s">
        <v>1189</v>
      </c>
      <c r="D1139" t="s">
        <v>84</v>
      </c>
      <c r="E1139" t="s">
        <v>1324</v>
      </c>
      <c r="G1139" t="s">
        <v>8</v>
      </c>
      <c r="H1139" t="s">
        <v>898</v>
      </c>
      <c r="I1139" t="s">
        <v>312</v>
      </c>
      <c r="J1139" t="s">
        <v>2009</v>
      </c>
    </row>
    <row r="1140" spans="1:10" x14ac:dyDescent="0.25">
      <c r="A1140" s="43" t="s">
        <v>2836</v>
      </c>
      <c r="B1140" t="s">
        <v>315</v>
      </c>
      <c r="C1140" t="s">
        <v>1189</v>
      </c>
      <c r="D1140" t="s">
        <v>84</v>
      </c>
      <c r="E1140" t="s">
        <v>1324</v>
      </c>
      <c r="G1140" t="s">
        <v>1328</v>
      </c>
      <c r="H1140" t="s">
        <v>898</v>
      </c>
      <c r="I1140" t="s">
        <v>312</v>
      </c>
      <c r="J1140" t="s">
        <v>2009</v>
      </c>
    </row>
    <row r="1141" spans="1:10" x14ac:dyDescent="0.25">
      <c r="A1141" s="43" t="s">
        <v>4121</v>
      </c>
      <c r="B1141" t="s">
        <v>337</v>
      </c>
      <c r="C1141" t="s">
        <v>1189</v>
      </c>
      <c r="D1141" t="s">
        <v>84</v>
      </c>
      <c r="E1141" t="s">
        <v>1338</v>
      </c>
      <c r="G1141" t="s">
        <v>1328</v>
      </c>
      <c r="H1141" t="s">
        <v>898</v>
      </c>
      <c r="I1141" t="s">
        <v>28</v>
      </c>
      <c r="J1141" t="s">
        <v>1878</v>
      </c>
    </row>
    <row r="1142" spans="1:10" x14ac:dyDescent="0.25">
      <c r="A1142" s="43" t="s">
        <v>4120</v>
      </c>
      <c r="B1142" t="s">
        <v>337</v>
      </c>
      <c r="C1142" t="s">
        <v>1189</v>
      </c>
      <c r="D1142" t="s">
        <v>84</v>
      </c>
      <c r="E1142" t="s">
        <v>1338</v>
      </c>
      <c r="G1142" t="s">
        <v>1290</v>
      </c>
      <c r="H1142" t="s">
        <v>898</v>
      </c>
      <c r="I1142" t="s">
        <v>28</v>
      </c>
      <c r="J1142" t="s">
        <v>1878</v>
      </c>
    </row>
    <row r="1143" spans="1:10" x14ac:dyDescent="0.25">
      <c r="A1143" s="43" t="s">
        <v>2687</v>
      </c>
      <c r="B1143" t="s">
        <v>337</v>
      </c>
      <c r="C1143" t="s">
        <v>1189</v>
      </c>
      <c r="D1143" t="s">
        <v>84</v>
      </c>
      <c r="E1143" t="s">
        <v>1338</v>
      </c>
      <c r="G1143" t="s">
        <v>1248</v>
      </c>
      <c r="H1143" t="s">
        <v>898</v>
      </c>
      <c r="I1143" t="s">
        <v>28</v>
      </c>
      <c r="J1143" t="s">
        <v>1878</v>
      </c>
    </row>
    <row r="1144" spans="1:10" x14ac:dyDescent="0.25">
      <c r="A1144" s="43" t="s">
        <v>2527</v>
      </c>
      <c r="B1144" t="s">
        <v>337</v>
      </c>
      <c r="C1144" t="s">
        <v>1189</v>
      </c>
      <c r="D1144" t="s">
        <v>84</v>
      </c>
      <c r="E1144" t="s">
        <v>1338</v>
      </c>
      <c r="G1144" t="s">
        <v>8</v>
      </c>
      <c r="H1144" t="s">
        <v>898</v>
      </c>
      <c r="I1144" t="s">
        <v>28</v>
      </c>
      <c r="J1144" t="s">
        <v>1878</v>
      </c>
    </row>
    <row r="1145" spans="1:10" x14ac:dyDescent="0.25">
      <c r="A1145" s="43" t="s">
        <v>3342</v>
      </c>
      <c r="B1145" t="s">
        <v>337</v>
      </c>
      <c r="C1145" t="s">
        <v>1189</v>
      </c>
      <c r="D1145" t="s">
        <v>84</v>
      </c>
      <c r="E1145" t="s">
        <v>1338</v>
      </c>
      <c r="G1145" t="s">
        <v>1320</v>
      </c>
      <c r="H1145" t="s">
        <v>898</v>
      </c>
      <c r="I1145" t="s">
        <v>28</v>
      </c>
      <c r="J1145" t="s">
        <v>1878</v>
      </c>
    </row>
    <row r="1146" spans="1:10" x14ac:dyDescent="0.25">
      <c r="A1146" s="43" t="s">
        <v>2835</v>
      </c>
      <c r="B1146" t="s">
        <v>337</v>
      </c>
      <c r="C1146" t="s">
        <v>1189</v>
      </c>
      <c r="D1146" t="s">
        <v>15</v>
      </c>
      <c r="E1146" t="s">
        <v>1440</v>
      </c>
      <c r="G1146" t="s">
        <v>1248</v>
      </c>
      <c r="H1146" t="s">
        <v>898</v>
      </c>
      <c r="I1146" t="s">
        <v>339</v>
      </c>
      <c r="J1146" t="s">
        <v>340</v>
      </c>
    </row>
    <row r="1147" spans="1:10" x14ac:dyDescent="0.25">
      <c r="A1147" s="43" t="s">
        <v>2834</v>
      </c>
      <c r="B1147" t="s">
        <v>337</v>
      </c>
      <c r="C1147" t="s">
        <v>1189</v>
      </c>
      <c r="D1147" t="s">
        <v>15</v>
      </c>
      <c r="E1147" t="s">
        <v>1440</v>
      </c>
      <c r="G1147" t="s">
        <v>8</v>
      </c>
      <c r="H1147" t="s">
        <v>898</v>
      </c>
      <c r="I1147" t="s">
        <v>339</v>
      </c>
      <c r="J1147" t="s">
        <v>340</v>
      </c>
    </row>
    <row r="1148" spans="1:10" x14ac:dyDescent="0.25">
      <c r="A1148" s="43" t="s">
        <v>3341</v>
      </c>
      <c r="B1148" t="s">
        <v>337</v>
      </c>
      <c r="C1148" t="s">
        <v>1189</v>
      </c>
      <c r="D1148" t="s">
        <v>15</v>
      </c>
      <c r="E1148" t="s">
        <v>1440</v>
      </c>
      <c r="G1148" t="s">
        <v>1320</v>
      </c>
      <c r="H1148" t="s">
        <v>898</v>
      </c>
      <c r="I1148" t="s">
        <v>339</v>
      </c>
      <c r="J1148" t="s">
        <v>340</v>
      </c>
    </row>
    <row r="1149" spans="1:10" x14ac:dyDescent="0.25">
      <c r="A1149" s="43" t="s">
        <v>4119</v>
      </c>
      <c r="B1149" t="s">
        <v>413</v>
      </c>
      <c r="C1149" t="s">
        <v>1177</v>
      </c>
      <c r="D1149" t="s">
        <v>1213</v>
      </c>
      <c r="E1149" t="s">
        <v>1374</v>
      </c>
      <c r="G1149" t="s">
        <v>1224</v>
      </c>
      <c r="H1149" t="s">
        <v>1225</v>
      </c>
      <c r="I1149" t="s">
        <v>1385</v>
      </c>
      <c r="J1149" t="s">
        <v>2236</v>
      </c>
    </row>
    <row r="1150" spans="1:10" x14ac:dyDescent="0.25">
      <c r="A1150" s="43" t="s">
        <v>3008</v>
      </c>
      <c r="B1150" t="s">
        <v>421</v>
      </c>
      <c r="C1150" t="s">
        <v>1177</v>
      </c>
      <c r="D1150" t="s">
        <v>15</v>
      </c>
      <c r="E1150" t="s">
        <v>1298</v>
      </c>
      <c r="G1150" t="s">
        <v>1226</v>
      </c>
      <c r="H1150" t="s">
        <v>907</v>
      </c>
      <c r="I1150" t="s">
        <v>426</v>
      </c>
      <c r="J1150" t="s">
        <v>1965</v>
      </c>
    </row>
    <row r="1151" spans="1:10" x14ac:dyDescent="0.25">
      <c r="A1151" s="43" t="s">
        <v>3007</v>
      </c>
      <c r="B1151" t="s">
        <v>421</v>
      </c>
      <c r="C1151" t="s">
        <v>1177</v>
      </c>
      <c r="D1151" t="s">
        <v>15</v>
      </c>
      <c r="E1151" t="s">
        <v>1298</v>
      </c>
      <c r="G1151" t="s">
        <v>8</v>
      </c>
      <c r="H1151" t="s">
        <v>907</v>
      </c>
      <c r="I1151" t="s">
        <v>426</v>
      </c>
      <c r="J1151" t="s">
        <v>1965</v>
      </c>
    </row>
    <row r="1152" spans="1:10" x14ac:dyDescent="0.25">
      <c r="A1152" s="43" t="s">
        <v>3808</v>
      </c>
      <c r="B1152" t="s">
        <v>421</v>
      </c>
      <c r="C1152" t="s">
        <v>1177</v>
      </c>
      <c r="D1152" t="s">
        <v>15</v>
      </c>
      <c r="E1152" t="s">
        <v>1298</v>
      </c>
      <c r="G1152" t="s">
        <v>1320</v>
      </c>
      <c r="H1152" t="s">
        <v>898</v>
      </c>
      <c r="I1152" t="s">
        <v>426</v>
      </c>
      <c r="J1152" t="s">
        <v>1965</v>
      </c>
    </row>
    <row r="1153" spans="1:10" x14ac:dyDescent="0.25">
      <c r="A1153" s="43" t="s">
        <v>3339</v>
      </c>
      <c r="B1153" t="s">
        <v>3214</v>
      </c>
      <c r="C1153" t="s">
        <v>1177</v>
      </c>
      <c r="D1153" t="s">
        <v>21</v>
      </c>
      <c r="E1153" t="s">
        <v>1223</v>
      </c>
      <c r="G1153" t="s">
        <v>1226</v>
      </c>
      <c r="H1153" t="s">
        <v>907</v>
      </c>
      <c r="I1153" t="s">
        <v>1508</v>
      </c>
      <c r="J1153" t="s">
        <v>3340</v>
      </c>
    </row>
    <row r="1154" spans="1:10" x14ac:dyDescent="0.25">
      <c r="A1154" s="43" t="s">
        <v>3338</v>
      </c>
      <c r="B1154" t="s">
        <v>441</v>
      </c>
      <c r="C1154" t="s">
        <v>1180</v>
      </c>
      <c r="D1154" t="s">
        <v>21</v>
      </c>
      <c r="E1154" t="s">
        <v>1268</v>
      </c>
      <c r="G1154" t="s">
        <v>1226</v>
      </c>
      <c r="H1154" t="s">
        <v>907</v>
      </c>
      <c r="I1154" t="s">
        <v>562</v>
      </c>
      <c r="J1154" t="s">
        <v>1838</v>
      </c>
    </row>
    <row r="1155" spans="1:10" x14ac:dyDescent="0.25">
      <c r="A1155" s="43" t="s">
        <v>4118</v>
      </c>
      <c r="B1155" t="s">
        <v>441</v>
      </c>
      <c r="C1155" t="s">
        <v>1180</v>
      </c>
      <c r="D1155" t="s">
        <v>21</v>
      </c>
      <c r="E1155" t="s">
        <v>1268</v>
      </c>
      <c r="G1155" t="s">
        <v>8</v>
      </c>
      <c r="H1155" t="s">
        <v>907</v>
      </c>
      <c r="I1155" t="s">
        <v>562</v>
      </c>
      <c r="J1155" t="s">
        <v>1838</v>
      </c>
    </row>
    <row r="1156" spans="1:10" x14ac:dyDescent="0.25">
      <c r="A1156" s="43" t="s">
        <v>3337</v>
      </c>
      <c r="B1156" t="s">
        <v>441</v>
      </c>
      <c r="C1156" t="s">
        <v>1180</v>
      </c>
      <c r="D1156" t="s">
        <v>21</v>
      </c>
      <c r="E1156" t="s">
        <v>1268</v>
      </c>
      <c r="G1156" t="s">
        <v>1290</v>
      </c>
      <c r="H1156" t="s">
        <v>907</v>
      </c>
      <c r="I1156" t="s">
        <v>562</v>
      </c>
      <c r="J1156" t="s">
        <v>1838</v>
      </c>
    </row>
    <row r="1157" spans="1:10" x14ac:dyDescent="0.25">
      <c r="A1157" s="43" t="s">
        <v>4314</v>
      </c>
      <c r="B1157" t="s">
        <v>479</v>
      </c>
      <c r="C1157" t="s">
        <v>1177</v>
      </c>
      <c r="D1157" t="s">
        <v>21</v>
      </c>
      <c r="E1157" t="s">
        <v>1272</v>
      </c>
      <c r="G1157" t="s">
        <v>8</v>
      </c>
      <c r="H1157" t="s">
        <v>907</v>
      </c>
      <c r="I1157" t="s">
        <v>85</v>
      </c>
      <c r="J1157" t="s">
        <v>1941</v>
      </c>
    </row>
    <row r="1158" spans="1:10" x14ac:dyDescent="0.25">
      <c r="A1158" s="43" t="s">
        <v>4400</v>
      </c>
      <c r="B1158" t="s">
        <v>479</v>
      </c>
      <c r="C1158" t="s">
        <v>1177</v>
      </c>
      <c r="D1158" t="s">
        <v>21</v>
      </c>
      <c r="E1158" t="s">
        <v>1272</v>
      </c>
      <c r="G1158" t="s">
        <v>1290</v>
      </c>
      <c r="H1158" t="s">
        <v>907</v>
      </c>
      <c r="I1158" t="s">
        <v>85</v>
      </c>
      <c r="J1158" t="s">
        <v>1941</v>
      </c>
    </row>
    <row r="1159" spans="1:10" x14ac:dyDescent="0.25">
      <c r="A1159" s="43" t="s">
        <v>3827</v>
      </c>
      <c r="B1159" t="s">
        <v>505</v>
      </c>
      <c r="C1159" t="s">
        <v>1180</v>
      </c>
      <c r="D1159" t="s">
        <v>27</v>
      </c>
      <c r="E1159" t="s">
        <v>1393</v>
      </c>
      <c r="G1159" t="s">
        <v>1320</v>
      </c>
      <c r="H1159" t="s">
        <v>898</v>
      </c>
      <c r="I1159" t="s">
        <v>257</v>
      </c>
      <c r="J1159" t="s">
        <v>1842</v>
      </c>
    </row>
    <row r="1160" spans="1:10" x14ac:dyDescent="0.25">
      <c r="A1160" s="43" t="s">
        <v>4116</v>
      </c>
      <c r="B1160" t="s">
        <v>4117</v>
      </c>
      <c r="C1160" t="s">
        <v>1182</v>
      </c>
      <c r="D1160" t="s">
        <v>15</v>
      </c>
      <c r="G1160" t="s">
        <v>1290</v>
      </c>
      <c r="H1160" t="s">
        <v>898</v>
      </c>
      <c r="I1160" t="s">
        <v>321</v>
      </c>
      <c r="J1160" t="s">
        <v>2256</v>
      </c>
    </row>
    <row r="1161" spans="1:10" x14ac:dyDescent="0.25">
      <c r="A1161" s="43" t="s">
        <v>4115</v>
      </c>
      <c r="B1161" t="s">
        <v>552</v>
      </c>
      <c r="C1161" t="s">
        <v>1180</v>
      </c>
      <c r="D1161" t="s">
        <v>27</v>
      </c>
      <c r="E1161" t="s">
        <v>1338</v>
      </c>
      <c r="G1161" t="s">
        <v>1290</v>
      </c>
      <c r="H1161" t="s">
        <v>907</v>
      </c>
      <c r="I1161" t="s">
        <v>257</v>
      </c>
      <c r="J1161" t="s">
        <v>1842</v>
      </c>
    </row>
    <row r="1162" spans="1:10" x14ac:dyDescent="0.25">
      <c r="A1162" s="43" t="s">
        <v>3807</v>
      </c>
      <c r="B1162" t="s">
        <v>568</v>
      </c>
      <c r="C1162" t="s">
        <v>1192</v>
      </c>
      <c r="D1162" t="s">
        <v>1213</v>
      </c>
      <c r="E1162" t="s">
        <v>1432</v>
      </c>
      <c r="G1162" t="s">
        <v>1226</v>
      </c>
      <c r="H1162" t="s">
        <v>907</v>
      </c>
      <c r="I1162" t="s">
        <v>3006</v>
      </c>
      <c r="J1162" t="s">
        <v>2018</v>
      </c>
    </row>
    <row r="1163" spans="1:10" x14ac:dyDescent="0.25">
      <c r="A1163" s="43" t="s">
        <v>3806</v>
      </c>
      <c r="B1163" t="s">
        <v>568</v>
      </c>
      <c r="C1163" t="s">
        <v>1192</v>
      </c>
      <c r="D1163" t="s">
        <v>1213</v>
      </c>
      <c r="E1163" t="s">
        <v>1432</v>
      </c>
      <c r="G1163" t="s">
        <v>8</v>
      </c>
      <c r="H1163" t="s">
        <v>907</v>
      </c>
      <c r="I1163" t="s">
        <v>3006</v>
      </c>
      <c r="J1163" t="s">
        <v>2018</v>
      </c>
    </row>
    <row r="1164" spans="1:10" x14ac:dyDescent="0.25">
      <c r="A1164" s="43" t="s">
        <v>3005</v>
      </c>
      <c r="B1164" t="s">
        <v>568</v>
      </c>
      <c r="C1164" t="s">
        <v>1192</v>
      </c>
      <c r="D1164" t="s">
        <v>1213</v>
      </c>
      <c r="E1164" t="s">
        <v>1432</v>
      </c>
      <c r="G1164" t="s">
        <v>1320</v>
      </c>
      <c r="H1164" t="s">
        <v>898</v>
      </c>
      <c r="I1164" t="s">
        <v>3006</v>
      </c>
      <c r="J1164" t="s">
        <v>2018</v>
      </c>
    </row>
    <row r="1165" spans="1:10" x14ac:dyDescent="0.25">
      <c r="A1165" s="43" t="s">
        <v>3805</v>
      </c>
      <c r="B1165" t="s">
        <v>572</v>
      </c>
      <c r="C1165" t="s">
        <v>1177</v>
      </c>
      <c r="D1165" t="s">
        <v>1213</v>
      </c>
      <c r="E1165" t="s">
        <v>1356</v>
      </c>
      <c r="G1165" t="s">
        <v>1226</v>
      </c>
      <c r="H1165" t="s">
        <v>907</v>
      </c>
      <c r="I1165" t="s">
        <v>583</v>
      </c>
      <c r="J1165" t="s">
        <v>1796</v>
      </c>
    </row>
    <row r="1166" spans="1:10" x14ac:dyDescent="0.25">
      <c r="A1166" s="43" t="s">
        <v>3804</v>
      </c>
      <c r="B1166" t="s">
        <v>572</v>
      </c>
      <c r="C1166" t="s">
        <v>1177</v>
      </c>
      <c r="D1166" t="s">
        <v>1213</v>
      </c>
      <c r="E1166" t="s">
        <v>1356</v>
      </c>
      <c r="G1166" t="s">
        <v>8</v>
      </c>
      <c r="H1166" t="s">
        <v>907</v>
      </c>
      <c r="I1166" t="s">
        <v>583</v>
      </c>
      <c r="J1166" t="s">
        <v>1796</v>
      </c>
    </row>
    <row r="1167" spans="1:10" x14ac:dyDescent="0.25">
      <c r="A1167" s="43" t="s">
        <v>3803</v>
      </c>
      <c r="B1167" t="s">
        <v>572</v>
      </c>
      <c r="C1167" t="s">
        <v>1177</v>
      </c>
      <c r="D1167" t="s">
        <v>1213</v>
      </c>
      <c r="E1167" t="s">
        <v>1356</v>
      </c>
      <c r="G1167" t="s">
        <v>1320</v>
      </c>
      <c r="H1167" t="s">
        <v>898</v>
      </c>
      <c r="I1167" t="s">
        <v>583</v>
      </c>
      <c r="J1167" t="s">
        <v>1796</v>
      </c>
    </row>
    <row r="1168" spans="1:10" x14ac:dyDescent="0.25">
      <c r="A1168" s="43" t="s">
        <v>3004</v>
      </c>
      <c r="B1168" t="s">
        <v>572</v>
      </c>
      <c r="C1168" t="s">
        <v>1177</v>
      </c>
      <c r="D1168" t="s">
        <v>1213</v>
      </c>
      <c r="E1168" t="s">
        <v>1356</v>
      </c>
      <c r="G1168" t="s">
        <v>1328</v>
      </c>
      <c r="H1168" t="s">
        <v>907</v>
      </c>
      <c r="I1168" t="s">
        <v>583</v>
      </c>
      <c r="J1168" t="s">
        <v>1796</v>
      </c>
    </row>
    <row r="1169" spans="1:10" x14ac:dyDescent="0.25">
      <c r="A1169" s="43" t="s">
        <v>4247</v>
      </c>
      <c r="B1169" t="s">
        <v>572</v>
      </c>
      <c r="C1169" t="s">
        <v>1177</v>
      </c>
      <c r="D1169" t="s">
        <v>1213</v>
      </c>
      <c r="E1169" t="s">
        <v>1356</v>
      </c>
      <c r="G1169" t="s">
        <v>1290</v>
      </c>
      <c r="H1169" t="s">
        <v>907</v>
      </c>
      <c r="I1169" t="s">
        <v>583</v>
      </c>
      <c r="J1169" t="s">
        <v>1796</v>
      </c>
    </row>
    <row r="1170" spans="1:10" x14ac:dyDescent="0.25">
      <c r="A1170" s="43" t="s">
        <v>4114</v>
      </c>
      <c r="B1170" t="s">
        <v>586</v>
      </c>
      <c r="C1170" t="s">
        <v>1188</v>
      </c>
      <c r="D1170" t="s">
        <v>84</v>
      </c>
      <c r="E1170" t="s">
        <v>1389</v>
      </c>
      <c r="G1170" t="s">
        <v>1290</v>
      </c>
      <c r="H1170" t="s">
        <v>898</v>
      </c>
      <c r="I1170" t="s">
        <v>327</v>
      </c>
      <c r="J1170" t="s">
        <v>1879</v>
      </c>
    </row>
    <row r="1171" spans="1:10" x14ac:dyDescent="0.25">
      <c r="A1171" s="43" t="s">
        <v>4313</v>
      </c>
      <c r="B1171" t="s">
        <v>586</v>
      </c>
      <c r="C1171" t="s">
        <v>1188</v>
      </c>
      <c r="D1171" t="s">
        <v>84</v>
      </c>
      <c r="E1171" t="s">
        <v>1389</v>
      </c>
      <c r="G1171" t="s">
        <v>8</v>
      </c>
      <c r="H1171" t="s">
        <v>898</v>
      </c>
      <c r="I1171" t="s">
        <v>327</v>
      </c>
      <c r="J1171" t="s">
        <v>1879</v>
      </c>
    </row>
    <row r="1172" spans="1:10" x14ac:dyDescent="0.25">
      <c r="A1172" s="43" t="s">
        <v>3826</v>
      </c>
      <c r="B1172" t="s">
        <v>586</v>
      </c>
      <c r="C1172" t="s">
        <v>1177</v>
      </c>
      <c r="D1172" t="s">
        <v>1213</v>
      </c>
      <c r="E1172" t="s">
        <v>1343</v>
      </c>
      <c r="G1172" t="s">
        <v>1224</v>
      </c>
      <c r="H1172" t="s">
        <v>1225</v>
      </c>
      <c r="I1172" t="s">
        <v>1436</v>
      </c>
      <c r="J1172" t="s">
        <v>2235</v>
      </c>
    </row>
    <row r="1173" spans="1:10" x14ac:dyDescent="0.25">
      <c r="A1173" s="43" t="s">
        <v>3835</v>
      </c>
      <c r="B1173" t="s">
        <v>621</v>
      </c>
      <c r="C1173" t="s">
        <v>1177</v>
      </c>
      <c r="E1173" t="s">
        <v>1371</v>
      </c>
      <c r="G1173" t="s">
        <v>1248</v>
      </c>
      <c r="H1173" t="s">
        <v>898</v>
      </c>
      <c r="I1173" t="s">
        <v>28</v>
      </c>
      <c r="J1173" t="s">
        <v>1829</v>
      </c>
    </row>
    <row r="1174" spans="1:10" x14ac:dyDescent="0.25">
      <c r="A1174" s="43" t="s">
        <v>3834</v>
      </c>
      <c r="B1174" t="s">
        <v>621</v>
      </c>
      <c r="C1174" t="s">
        <v>1177</v>
      </c>
      <c r="E1174" t="s">
        <v>1371</v>
      </c>
      <c r="G1174" t="s">
        <v>8</v>
      </c>
      <c r="H1174" t="s">
        <v>898</v>
      </c>
      <c r="I1174" t="s">
        <v>28</v>
      </c>
      <c r="J1174" t="s">
        <v>1829</v>
      </c>
    </row>
    <row r="1175" spans="1:10" x14ac:dyDescent="0.25">
      <c r="A1175" s="43" t="s">
        <v>3833</v>
      </c>
      <c r="B1175" t="s">
        <v>621</v>
      </c>
      <c r="C1175" t="s">
        <v>1177</v>
      </c>
      <c r="E1175" t="s">
        <v>1371</v>
      </c>
      <c r="G1175" t="s">
        <v>1320</v>
      </c>
      <c r="H1175" t="s">
        <v>898</v>
      </c>
      <c r="I1175" t="s">
        <v>28</v>
      </c>
      <c r="J1175" t="s">
        <v>1829</v>
      </c>
    </row>
    <row r="1176" spans="1:10" x14ac:dyDescent="0.25">
      <c r="A1176" s="43" t="s">
        <v>3832</v>
      </c>
      <c r="B1176" t="s">
        <v>621</v>
      </c>
      <c r="C1176" t="s">
        <v>1177</v>
      </c>
      <c r="E1176" t="s">
        <v>1371</v>
      </c>
      <c r="G1176" t="s">
        <v>1328</v>
      </c>
      <c r="H1176" t="s">
        <v>898</v>
      </c>
      <c r="I1176" t="s">
        <v>28</v>
      </c>
      <c r="J1176" t="s">
        <v>1829</v>
      </c>
    </row>
    <row r="1177" spans="1:10" x14ac:dyDescent="0.25">
      <c r="A1177" s="43" t="s">
        <v>2997</v>
      </c>
      <c r="B1177" t="s">
        <v>621</v>
      </c>
      <c r="C1177" t="s">
        <v>1177</v>
      </c>
      <c r="E1177" t="s">
        <v>1371</v>
      </c>
      <c r="G1177" t="s">
        <v>1290</v>
      </c>
      <c r="H1177" t="s">
        <v>898</v>
      </c>
      <c r="I1177" t="s">
        <v>28</v>
      </c>
      <c r="J1177" t="s">
        <v>1829</v>
      </c>
    </row>
    <row r="1178" spans="1:10" x14ac:dyDescent="0.25">
      <c r="A1178" s="43" t="s">
        <v>4107</v>
      </c>
      <c r="B1178" t="s">
        <v>664</v>
      </c>
      <c r="C1178" t="s">
        <v>1446</v>
      </c>
      <c r="D1178" t="s">
        <v>1213</v>
      </c>
      <c r="E1178" t="s">
        <v>1298</v>
      </c>
      <c r="G1178" t="s">
        <v>1226</v>
      </c>
      <c r="H1178" t="s">
        <v>907</v>
      </c>
      <c r="I1178" t="s">
        <v>3384</v>
      </c>
      <c r="J1178" t="s">
        <v>673</v>
      </c>
    </row>
    <row r="1179" spans="1:10" x14ac:dyDescent="0.25">
      <c r="A1179" s="43" t="s">
        <v>3385</v>
      </c>
      <c r="B1179" t="s">
        <v>664</v>
      </c>
      <c r="C1179" t="s">
        <v>1446</v>
      </c>
      <c r="D1179" t="s">
        <v>1213</v>
      </c>
      <c r="E1179" t="s">
        <v>1298</v>
      </c>
      <c r="G1179" t="s">
        <v>8</v>
      </c>
      <c r="H1179" t="s">
        <v>907</v>
      </c>
      <c r="I1179" t="s">
        <v>3384</v>
      </c>
      <c r="J1179" t="s">
        <v>673</v>
      </c>
    </row>
    <row r="1180" spans="1:10" x14ac:dyDescent="0.25">
      <c r="A1180" s="43" t="s">
        <v>3802</v>
      </c>
      <c r="B1180" t="s">
        <v>664</v>
      </c>
      <c r="C1180" t="s">
        <v>1446</v>
      </c>
      <c r="D1180" t="s">
        <v>1213</v>
      </c>
      <c r="E1180" t="s">
        <v>1298</v>
      </c>
      <c r="G1180" t="s">
        <v>1320</v>
      </c>
      <c r="H1180" t="s">
        <v>898</v>
      </c>
      <c r="I1180" t="s">
        <v>3384</v>
      </c>
      <c r="J1180" t="s">
        <v>673</v>
      </c>
    </row>
    <row r="1181" spans="1:10" x14ac:dyDescent="0.25">
      <c r="A1181" s="43" t="s">
        <v>3383</v>
      </c>
      <c r="B1181" t="s">
        <v>664</v>
      </c>
      <c r="C1181" t="s">
        <v>1446</v>
      </c>
      <c r="D1181" t="s">
        <v>1213</v>
      </c>
      <c r="E1181" t="s">
        <v>1298</v>
      </c>
      <c r="G1181" t="s">
        <v>1290</v>
      </c>
      <c r="H1181" t="s">
        <v>907</v>
      </c>
      <c r="I1181" t="s">
        <v>3384</v>
      </c>
      <c r="J1181" t="s">
        <v>673</v>
      </c>
    </row>
    <row r="1182" spans="1:10" x14ac:dyDescent="0.25">
      <c r="A1182" s="43" t="s">
        <v>3825</v>
      </c>
      <c r="B1182" t="s">
        <v>655</v>
      </c>
      <c r="C1182" t="s">
        <v>1179</v>
      </c>
      <c r="D1182" t="s">
        <v>62</v>
      </c>
      <c r="E1182" t="s">
        <v>1257</v>
      </c>
      <c r="G1182" t="s">
        <v>8</v>
      </c>
      <c r="H1182" t="s">
        <v>898</v>
      </c>
      <c r="I1182" t="s">
        <v>303</v>
      </c>
      <c r="J1182" t="s">
        <v>1918</v>
      </c>
    </row>
    <row r="1183" spans="1:10" x14ac:dyDescent="0.25">
      <c r="A1183" s="43" t="s">
        <v>4113</v>
      </c>
      <c r="B1183" t="s">
        <v>655</v>
      </c>
      <c r="C1183" t="s">
        <v>1179</v>
      </c>
      <c r="D1183" t="s">
        <v>62</v>
      </c>
      <c r="E1183" t="s">
        <v>1257</v>
      </c>
      <c r="G1183" t="s">
        <v>1328</v>
      </c>
      <c r="H1183" t="s">
        <v>898</v>
      </c>
      <c r="I1183" t="s">
        <v>303</v>
      </c>
      <c r="J1183" t="s">
        <v>1918</v>
      </c>
    </row>
    <row r="1184" spans="1:10" x14ac:dyDescent="0.25">
      <c r="A1184" s="43" t="s">
        <v>3824</v>
      </c>
      <c r="B1184" t="s">
        <v>655</v>
      </c>
      <c r="C1184" t="s">
        <v>1179</v>
      </c>
      <c r="D1184" t="s">
        <v>62</v>
      </c>
      <c r="E1184" t="s">
        <v>1257</v>
      </c>
      <c r="G1184" t="s">
        <v>1290</v>
      </c>
      <c r="H1184" t="s">
        <v>898</v>
      </c>
      <c r="I1184" t="s">
        <v>303</v>
      </c>
      <c r="J1184" t="s">
        <v>1918</v>
      </c>
    </row>
    <row r="1185" spans="1:10" x14ac:dyDescent="0.25">
      <c r="A1185" s="43" t="s">
        <v>3823</v>
      </c>
      <c r="B1185" t="s">
        <v>659</v>
      </c>
      <c r="C1185" t="s">
        <v>1186</v>
      </c>
      <c r="D1185" t="s">
        <v>197</v>
      </c>
      <c r="E1185" t="s">
        <v>1397</v>
      </c>
      <c r="G1185" t="s">
        <v>1226</v>
      </c>
      <c r="H1185" t="s">
        <v>907</v>
      </c>
      <c r="I1185" t="s">
        <v>3822</v>
      </c>
      <c r="J1185" t="s">
        <v>1897</v>
      </c>
    </row>
    <row r="1186" spans="1:10" x14ac:dyDescent="0.25">
      <c r="A1186" s="43" t="s">
        <v>3821</v>
      </c>
      <c r="B1186" t="s">
        <v>659</v>
      </c>
      <c r="C1186" t="s">
        <v>1186</v>
      </c>
      <c r="D1186" t="s">
        <v>197</v>
      </c>
      <c r="E1186" t="s">
        <v>1397</v>
      </c>
      <c r="G1186" t="s">
        <v>8</v>
      </c>
      <c r="H1186" t="s">
        <v>907</v>
      </c>
      <c r="I1186" t="s">
        <v>3822</v>
      </c>
      <c r="J1186" t="s">
        <v>1897</v>
      </c>
    </row>
    <row r="1187" spans="1:10" x14ac:dyDescent="0.25">
      <c r="A1187" s="43" t="s">
        <v>4112</v>
      </c>
      <c r="B1187" t="s">
        <v>659</v>
      </c>
      <c r="C1187" t="s">
        <v>1187</v>
      </c>
      <c r="D1187" t="s">
        <v>203</v>
      </c>
      <c r="E1187" t="s">
        <v>1337</v>
      </c>
      <c r="G1187" t="s">
        <v>1226</v>
      </c>
      <c r="H1187" t="s">
        <v>907</v>
      </c>
      <c r="I1187" t="s">
        <v>661</v>
      </c>
      <c r="J1187" t="s">
        <v>1767</v>
      </c>
    </row>
    <row r="1188" spans="1:10" x14ac:dyDescent="0.25">
      <c r="A1188" s="43" t="s">
        <v>2833</v>
      </c>
      <c r="B1188" t="s">
        <v>659</v>
      </c>
      <c r="C1188" t="s">
        <v>1187</v>
      </c>
      <c r="D1188" t="s">
        <v>203</v>
      </c>
      <c r="E1188" t="s">
        <v>1337</v>
      </c>
      <c r="G1188" t="s">
        <v>8</v>
      </c>
      <c r="H1188" t="s">
        <v>907</v>
      </c>
      <c r="I1188" t="s">
        <v>661</v>
      </c>
      <c r="J1188" t="s">
        <v>1767</v>
      </c>
    </row>
    <row r="1189" spans="1:10" x14ac:dyDescent="0.25">
      <c r="A1189" s="43" t="s">
        <v>4312</v>
      </c>
      <c r="B1189" t="s">
        <v>659</v>
      </c>
      <c r="C1189" t="s">
        <v>1187</v>
      </c>
      <c r="D1189" t="s">
        <v>203</v>
      </c>
      <c r="E1189" t="s">
        <v>1337</v>
      </c>
      <c r="G1189" t="s">
        <v>1328</v>
      </c>
      <c r="H1189" t="s">
        <v>907</v>
      </c>
      <c r="I1189" t="s">
        <v>661</v>
      </c>
      <c r="J1189" t="s">
        <v>1767</v>
      </c>
    </row>
    <row r="1190" spans="1:10" x14ac:dyDescent="0.25">
      <c r="A1190" s="43" t="s">
        <v>3820</v>
      </c>
      <c r="B1190" t="s">
        <v>659</v>
      </c>
      <c r="C1190" t="s">
        <v>1187</v>
      </c>
      <c r="D1190" t="s">
        <v>203</v>
      </c>
      <c r="E1190" t="s">
        <v>1337</v>
      </c>
      <c r="G1190" t="s">
        <v>1320</v>
      </c>
      <c r="H1190" t="s">
        <v>898</v>
      </c>
      <c r="I1190" t="s">
        <v>661</v>
      </c>
      <c r="J1190" t="s">
        <v>1767</v>
      </c>
    </row>
    <row r="1191" spans="1:10" x14ac:dyDescent="0.25">
      <c r="A1191" s="43" t="s">
        <v>4111</v>
      </c>
      <c r="B1191" t="s">
        <v>659</v>
      </c>
      <c r="C1191" t="s">
        <v>1187</v>
      </c>
      <c r="D1191" t="s">
        <v>203</v>
      </c>
      <c r="E1191" t="s">
        <v>1337</v>
      </c>
      <c r="G1191" t="s">
        <v>1290</v>
      </c>
      <c r="H1191" t="s">
        <v>907</v>
      </c>
      <c r="I1191" t="s">
        <v>661</v>
      </c>
      <c r="J1191" t="s">
        <v>1767</v>
      </c>
    </row>
    <row r="1192" spans="1:10" x14ac:dyDescent="0.25">
      <c r="A1192" s="43" t="s">
        <v>3819</v>
      </c>
      <c r="B1192" t="s">
        <v>678</v>
      </c>
      <c r="C1192" t="s">
        <v>1188</v>
      </c>
      <c r="D1192" t="s">
        <v>27</v>
      </c>
      <c r="E1192" t="s">
        <v>1374</v>
      </c>
      <c r="G1192" t="s">
        <v>1226</v>
      </c>
      <c r="H1192" t="s">
        <v>907</v>
      </c>
      <c r="I1192" t="s">
        <v>308</v>
      </c>
      <c r="J1192" t="s">
        <v>1836</v>
      </c>
    </row>
    <row r="1193" spans="1:10" x14ac:dyDescent="0.25">
      <c r="A1193" s="43" t="s">
        <v>2832</v>
      </c>
      <c r="B1193" t="s">
        <v>678</v>
      </c>
      <c r="C1193" t="s">
        <v>1188</v>
      </c>
      <c r="D1193" t="s">
        <v>27</v>
      </c>
      <c r="E1193" t="s">
        <v>1374</v>
      </c>
      <c r="G1193" t="s">
        <v>8</v>
      </c>
      <c r="H1193" t="s">
        <v>907</v>
      </c>
      <c r="I1193" t="s">
        <v>308</v>
      </c>
      <c r="J1193" t="s">
        <v>1836</v>
      </c>
    </row>
    <row r="1194" spans="1:10" x14ac:dyDescent="0.25">
      <c r="A1194" s="43" t="s">
        <v>3818</v>
      </c>
      <c r="B1194" t="s">
        <v>678</v>
      </c>
      <c r="C1194" t="s">
        <v>1188</v>
      </c>
      <c r="D1194" t="s">
        <v>27</v>
      </c>
      <c r="E1194" t="s">
        <v>1374</v>
      </c>
      <c r="G1194" t="s">
        <v>1290</v>
      </c>
      <c r="H1194" t="s">
        <v>907</v>
      </c>
      <c r="I1194" t="s">
        <v>308</v>
      </c>
      <c r="J1194" t="s">
        <v>1836</v>
      </c>
    </row>
    <row r="1195" spans="1:10" x14ac:dyDescent="0.25">
      <c r="A1195" s="43" t="s">
        <v>4110</v>
      </c>
      <c r="B1195" t="s">
        <v>678</v>
      </c>
      <c r="C1195" t="s">
        <v>1177</v>
      </c>
      <c r="D1195" t="s">
        <v>62</v>
      </c>
      <c r="E1195" t="s">
        <v>1247</v>
      </c>
      <c r="G1195" t="s">
        <v>8</v>
      </c>
      <c r="H1195" t="s">
        <v>907</v>
      </c>
      <c r="I1195" t="s">
        <v>1293</v>
      </c>
      <c r="J1195" t="s">
        <v>1764</v>
      </c>
    </row>
    <row r="1196" spans="1:10" x14ac:dyDescent="0.25">
      <c r="A1196" s="43" t="s">
        <v>3817</v>
      </c>
      <c r="B1196" t="s">
        <v>678</v>
      </c>
      <c r="C1196" t="s">
        <v>1177</v>
      </c>
      <c r="D1196" t="s">
        <v>62</v>
      </c>
      <c r="E1196" t="s">
        <v>1247</v>
      </c>
      <c r="G1196" t="s">
        <v>1320</v>
      </c>
      <c r="H1196" t="s">
        <v>898</v>
      </c>
      <c r="I1196" t="s">
        <v>1293</v>
      </c>
      <c r="J1196" t="s">
        <v>1764</v>
      </c>
    </row>
    <row r="1197" spans="1:10" x14ac:dyDescent="0.25">
      <c r="A1197" s="43" t="s">
        <v>4109</v>
      </c>
      <c r="B1197" t="s">
        <v>678</v>
      </c>
      <c r="C1197" t="s">
        <v>1177</v>
      </c>
      <c r="D1197" t="s">
        <v>62</v>
      </c>
      <c r="E1197" t="s">
        <v>1247</v>
      </c>
      <c r="G1197" t="s">
        <v>1290</v>
      </c>
      <c r="H1197" t="s">
        <v>907</v>
      </c>
      <c r="I1197" t="s">
        <v>1293</v>
      </c>
      <c r="J1197" t="s">
        <v>1764</v>
      </c>
    </row>
    <row r="1198" spans="1:10" x14ac:dyDescent="0.25">
      <c r="A1198" s="43" t="s">
        <v>3816</v>
      </c>
      <c r="B1198" t="s">
        <v>711</v>
      </c>
      <c r="C1198" t="s">
        <v>1179</v>
      </c>
      <c r="D1198" t="s">
        <v>62</v>
      </c>
      <c r="E1198" t="s">
        <v>1285</v>
      </c>
      <c r="G1198" t="s">
        <v>1320</v>
      </c>
      <c r="H1198" t="s">
        <v>898</v>
      </c>
      <c r="I1198" t="s">
        <v>1291</v>
      </c>
      <c r="J1198" t="s">
        <v>1986</v>
      </c>
    </row>
    <row r="1199" spans="1:10" x14ac:dyDescent="0.25">
      <c r="A1199" s="43" t="s">
        <v>2579</v>
      </c>
      <c r="B1199" t="s">
        <v>749</v>
      </c>
      <c r="C1199" t="s">
        <v>1177</v>
      </c>
      <c r="D1199" t="s">
        <v>27</v>
      </c>
      <c r="E1199" t="s">
        <v>1297</v>
      </c>
      <c r="G1199" t="s">
        <v>1226</v>
      </c>
      <c r="H1199" t="s">
        <v>907</v>
      </c>
      <c r="I1199" t="s">
        <v>750</v>
      </c>
      <c r="J1199" t="s">
        <v>1768</v>
      </c>
    </row>
    <row r="1200" spans="1:10" x14ac:dyDescent="0.25">
      <c r="A1200" s="43" t="s">
        <v>2686</v>
      </c>
      <c r="B1200" t="s">
        <v>749</v>
      </c>
      <c r="C1200" t="s">
        <v>1177</v>
      </c>
      <c r="D1200" t="s">
        <v>27</v>
      </c>
      <c r="E1200" t="s">
        <v>1297</v>
      </c>
      <c r="G1200" t="s">
        <v>8</v>
      </c>
      <c r="H1200" t="s">
        <v>907</v>
      </c>
      <c r="I1200" t="s">
        <v>750</v>
      </c>
      <c r="J1200" t="s">
        <v>1768</v>
      </c>
    </row>
    <row r="1201" spans="1:10" x14ac:dyDescent="0.25">
      <c r="A1201" s="43" t="s">
        <v>3815</v>
      </c>
      <c r="B1201" t="s">
        <v>749</v>
      </c>
      <c r="C1201" t="s">
        <v>1177</v>
      </c>
      <c r="D1201" t="s">
        <v>27</v>
      </c>
      <c r="E1201" t="s">
        <v>1297</v>
      </c>
      <c r="G1201" t="s">
        <v>1320</v>
      </c>
      <c r="H1201" t="s">
        <v>898</v>
      </c>
      <c r="I1201" t="s">
        <v>750</v>
      </c>
      <c r="J1201" t="s">
        <v>1768</v>
      </c>
    </row>
    <row r="1202" spans="1:10" x14ac:dyDescent="0.25">
      <c r="A1202" s="43" t="s">
        <v>2831</v>
      </c>
      <c r="B1202" t="s">
        <v>749</v>
      </c>
      <c r="C1202" t="s">
        <v>1177</v>
      </c>
      <c r="D1202" t="s">
        <v>27</v>
      </c>
      <c r="E1202" t="s">
        <v>1297</v>
      </c>
      <c r="G1202" t="s">
        <v>1290</v>
      </c>
      <c r="H1202" t="s">
        <v>907</v>
      </c>
      <c r="I1202" t="s">
        <v>750</v>
      </c>
      <c r="J1202" t="s">
        <v>1768</v>
      </c>
    </row>
    <row r="1203" spans="1:10" x14ac:dyDescent="0.25">
      <c r="A1203" s="43" t="s">
        <v>2830</v>
      </c>
      <c r="B1203" t="s">
        <v>773</v>
      </c>
      <c r="C1203" t="s">
        <v>1179</v>
      </c>
      <c r="D1203" t="s">
        <v>91</v>
      </c>
      <c r="E1203" t="s">
        <v>1357</v>
      </c>
      <c r="G1203" t="s">
        <v>1226</v>
      </c>
      <c r="H1203" t="s">
        <v>907</v>
      </c>
      <c r="I1203" t="s">
        <v>108</v>
      </c>
      <c r="J1203" t="s">
        <v>1798</v>
      </c>
    </row>
    <row r="1204" spans="1:10" x14ac:dyDescent="0.25">
      <c r="A1204" s="43" t="s">
        <v>3814</v>
      </c>
      <c r="B1204" t="s">
        <v>773</v>
      </c>
      <c r="C1204" t="s">
        <v>1179</v>
      </c>
      <c r="D1204" t="s">
        <v>91</v>
      </c>
      <c r="E1204" t="s">
        <v>1357</v>
      </c>
      <c r="G1204" t="s">
        <v>8</v>
      </c>
      <c r="H1204" t="s">
        <v>907</v>
      </c>
      <c r="I1204" t="s">
        <v>108</v>
      </c>
      <c r="J1204" t="s">
        <v>1798</v>
      </c>
    </row>
    <row r="1205" spans="1:10" x14ac:dyDescent="0.25">
      <c r="A1205" s="43" t="s">
        <v>4108</v>
      </c>
      <c r="B1205" t="s">
        <v>773</v>
      </c>
      <c r="C1205" t="s">
        <v>1179</v>
      </c>
      <c r="D1205" t="s">
        <v>91</v>
      </c>
      <c r="E1205" t="s">
        <v>1357</v>
      </c>
      <c r="G1205" t="s">
        <v>1328</v>
      </c>
      <c r="H1205" t="s">
        <v>907</v>
      </c>
      <c r="I1205" t="s">
        <v>108</v>
      </c>
      <c r="J1205" t="s">
        <v>1798</v>
      </c>
    </row>
    <row r="1206" spans="1:10" x14ac:dyDescent="0.25">
      <c r="A1206" s="43" t="s">
        <v>3813</v>
      </c>
      <c r="B1206" t="s">
        <v>773</v>
      </c>
      <c r="C1206" t="s">
        <v>1179</v>
      </c>
      <c r="D1206" t="s">
        <v>91</v>
      </c>
      <c r="E1206" t="s">
        <v>1357</v>
      </c>
      <c r="G1206" t="s">
        <v>1320</v>
      </c>
      <c r="H1206" t="s">
        <v>898</v>
      </c>
      <c r="I1206" t="s">
        <v>108</v>
      </c>
      <c r="J1206" t="s">
        <v>1798</v>
      </c>
    </row>
    <row r="1207" spans="1:10" x14ac:dyDescent="0.25">
      <c r="A1207" s="43" t="s">
        <v>3369</v>
      </c>
      <c r="B1207" t="s">
        <v>773</v>
      </c>
      <c r="C1207" t="s">
        <v>1179</v>
      </c>
      <c r="D1207" t="s">
        <v>91</v>
      </c>
      <c r="E1207" t="s">
        <v>1357</v>
      </c>
      <c r="G1207" t="s">
        <v>1290</v>
      </c>
      <c r="H1207" t="s">
        <v>907</v>
      </c>
      <c r="I1207" t="s">
        <v>108</v>
      </c>
      <c r="J1207" t="s">
        <v>1798</v>
      </c>
    </row>
    <row r="1208" spans="1:10" x14ac:dyDescent="0.25">
      <c r="A1208" s="43" t="s">
        <v>3368</v>
      </c>
      <c r="B1208" t="s">
        <v>773</v>
      </c>
      <c r="C1208" t="s">
        <v>1179</v>
      </c>
      <c r="D1208" t="s">
        <v>91</v>
      </c>
      <c r="E1208" t="s">
        <v>1357</v>
      </c>
      <c r="G1208" t="s">
        <v>8</v>
      </c>
      <c r="H1208" t="s">
        <v>907</v>
      </c>
      <c r="I1208" t="s">
        <v>108</v>
      </c>
      <c r="J1208" t="s">
        <v>1798</v>
      </c>
    </row>
    <row r="1209" spans="1:10" x14ac:dyDescent="0.25">
      <c r="A1209" s="43" t="s">
        <v>2829</v>
      </c>
      <c r="B1209" t="s">
        <v>773</v>
      </c>
      <c r="C1209" t="s">
        <v>1179</v>
      </c>
      <c r="D1209" t="s">
        <v>91</v>
      </c>
      <c r="E1209" t="s">
        <v>1357</v>
      </c>
      <c r="G1209" t="s">
        <v>1226</v>
      </c>
      <c r="H1209" t="s">
        <v>907</v>
      </c>
      <c r="I1209" t="s">
        <v>612</v>
      </c>
      <c r="J1209" t="s">
        <v>1797</v>
      </c>
    </row>
    <row r="1210" spans="1:10" x14ac:dyDescent="0.25">
      <c r="A1210" s="43" t="s">
        <v>3367</v>
      </c>
      <c r="B1210" t="s">
        <v>773</v>
      </c>
      <c r="C1210" t="s">
        <v>1179</v>
      </c>
      <c r="D1210" t="s">
        <v>91</v>
      </c>
      <c r="E1210" t="s">
        <v>1357</v>
      </c>
      <c r="G1210" t="s">
        <v>8</v>
      </c>
      <c r="H1210" t="s">
        <v>907</v>
      </c>
      <c r="I1210" t="s">
        <v>612</v>
      </c>
      <c r="J1210" t="s">
        <v>1797</v>
      </c>
    </row>
    <row r="1211" spans="1:10" x14ac:dyDescent="0.25">
      <c r="A1211" s="43" t="s">
        <v>4249</v>
      </c>
      <c r="B1211" t="s">
        <v>773</v>
      </c>
      <c r="C1211" t="s">
        <v>1179</v>
      </c>
      <c r="D1211" t="s">
        <v>91</v>
      </c>
      <c r="E1211" t="s">
        <v>1357</v>
      </c>
      <c r="G1211" t="s">
        <v>1328</v>
      </c>
      <c r="H1211" t="s">
        <v>907</v>
      </c>
      <c r="I1211" t="s">
        <v>612</v>
      </c>
      <c r="J1211" t="s">
        <v>1797</v>
      </c>
    </row>
    <row r="1212" spans="1:10" x14ac:dyDescent="0.25">
      <c r="A1212" s="43" t="s">
        <v>3021</v>
      </c>
      <c r="B1212" t="s">
        <v>773</v>
      </c>
      <c r="C1212" t="s">
        <v>1179</v>
      </c>
      <c r="D1212" t="s">
        <v>91</v>
      </c>
      <c r="E1212" t="s">
        <v>1357</v>
      </c>
      <c r="G1212" t="s">
        <v>1320</v>
      </c>
      <c r="H1212" t="s">
        <v>898</v>
      </c>
      <c r="I1212" t="s">
        <v>612</v>
      </c>
      <c r="J1212" t="s">
        <v>1797</v>
      </c>
    </row>
    <row r="1213" spans="1:10" x14ac:dyDescent="0.25">
      <c r="A1213" s="43" t="s">
        <v>3366</v>
      </c>
      <c r="B1213" t="s">
        <v>773</v>
      </c>
      <c r="C1213" t="s">
        <v>1179</v>
      </c>
      <c r="D1213" t="s">
        <v>91</v>
      </c>
      <c r="E1213" t="s">
        <v>1357</v>
      </c>
      <c r="G1213" t="s">
        <v>1290</v>
      </c>
      <c r="H1213" t="s">
        <v>907</v>
      </c>
      <c r="I1213" t="s">
        <v>612</v>
      </c>
      <c r="J1213" t="s">
        <v>1797</v>
      </c>
    </row>
    <row r="1214" spans="1:10" x14ac:dyDescent="0.25">
      <c r="A1214" s="43" t="s">
        <v>3365</v>
      </c>
      <c r="B1214" t="s">
        <v>773</v>
      </c>
      <c r="C1214" t="s">
        <v>1179</v>
      </c>
      <c r="D1214" t="s">
        <v>91</v>
      </c>
      <c r="E1214" t="s">
        <v>1357</v>
      </c>
      <c r="G1214" t="s">
        <v>8</v>
      </c>
      <c r="H1214" t="s">
        <v>907</v>
      </c>
      <c r="I1214" t="s">
        <v>64</v>
      </c>
      <c r="J1214" t="s">
        <v>1797</v>
      </c>
    </row>
    <row r="1215" spans="1:10" x14ac:dyDescent="0.25">
      <c r="A1215" s="43" t="s">
        <v>3020</v>
      </c>
      <c r="B1215" t="s">
        <v>773</v>
      </c>
      <c r="C1215" t="s">
        <v>1179</v>
      </c>
      <c r="D1215" t="s">
        <v>84</v>
      </c>
      <c r="E1215" t="s">
        <v>1331</v>
      </c>
      <c r="G1215" t="s">
        <v>1226</v>
      </c>
      <c r="H1215" t="s">
        <v>907</v>
      </c>
      <c r="I1215" t="s">
        <v>246</v>
      </c>
      <c r="J1215" t="s">
        <v>1917</v>
      </c>
    </row>
    <row r="1216" spans="1:10" x14ac:dyDescent="0.25">
      <c r="A1216" s="43" t="s">
        <v>3364</v>
      </c>
      <c r="B1216" t="s">
        <v>773</v>
      </c>
      <c r="C1216" t="s">
        <v>1179</v>
      </c>
      <c r="D1216" t="s">
        <v>84</v>
      </c>
      <c r="E1216" t="s">
        <v>1331</v>
      </c>
      <c r="G1216" t="s">
        <v>8</v>
      </c>
      <c r="H1216" t="s">
        <v>907</v>
      </c>
      <c r="I1216" t="s">
        <v>246</v>
      </c>
      <c r="J1216" t="s">
        <v>1917</v>
      </c>
    </row>
    <row r="1217" spans="1:10" x14ac:dyDescent="0.25">
      <c r="A1217" s="43" t="s">
        <v>3363</v>
      </c>
      <c r="B1217" t="s">
        <v>773</v>
      </c>
      <c r="C1217" t="s">
        <v>1179</v>
      </c>
      <c r="D1217" t="s">
        <v>84</v>
      </c>
      <c r="E1217" t="s">
        <v>1331</v>
      </c>
      <c r="G1217" t="s">
        <v>1328</v>
      </c>
      <c r="H1217" t="s">
        <v>907</v>
      </c>
      <c r="I1217" t="s">
        <v>246</v>
      </c>
      <c r="J1217" t="s">
        <v>1917</v>
      </c>
    </row>
    <row r="1218" spans="1:10" x14ac:dyDescent="0.25">
      <c r="A1218" s="43" t="s">
        <v>3362</v>
      </c>
      <c r="B1218" t="s">
        <v>773</v>
      </c>
      <c r="C1218" t="s">
        <v>1179</v>
      </c>
      <c r="D1218" t="s">
        <v>84</v>
      </c>
      <c r="E1218" t="s">
        <v>1331</v>
      </c>
      <c r="G1218" t="s">
        <v>1320</v>
      </c>
      <c r="H1218" t="s">
        <v>898</v>
      </c>
      <c r="I1218" t="s">
        <v>246</v>
      </c>
      <c r="J1218" t="s">
        <v>1917</v>
      </c>
    </row>
    <row r="1219" spans="1:10" x14ac:dyDescent="0.25">
      <c r="A1219" s="43" t="s">
        <v>3361</v>
      </c>
      <c r="B1219" t="s">
        <v>773</v>
      </c>
      <c r="C1219" t="s">
        <v>1179</v>
      </c>
      <c r="D1219" t="s">
        <v>84</v>
      </c>
      <c r="E1219" t="s">
        <v>1331</v>
      </c>
      <c r="G1219" t="s">
        <v>1290</v>
      </c>
      <c r="H1219" t="s">
        <v>907</v>
      </c>
      <c r="I1219" t="s">
        <v>246</v>
      </c>
      <c r="J1219" t="s">
        <v>1917</v>
      </c>
    </row>
    <row r="1220" spans="1:10" x14ac:dyDescent="0.25">
      <c r="A1220" s="43" t="s">
        <v>3019</v>
      </c>
      <c r="B1220" t="s">
        <v>793</v>
      </c>
      <c r="C1220" t="s">
        <v>1177</v>
      </c>
      <c r="D1220" t="s">
        <v>84</v>
      </c>
      <c r="E1220" t="s">
        <v>1247</v>
      </c>
      <c r="G1220" t="s">
        <v>1226</v>
      </c>
      <c r="H1220" t="s">
        <v>907</v>
      </c>
      <c r="I1220" t="s">
        <v>1388</v>
      </c>
      <c r="J1220" t="s">
        <v>795</v>
      </c>
    </row>
    <row r="1221" spans="1:10" x14ac:dyDescent="0.25">
      <c r="A1221" s="43" t="s">
        <v>3360</v>
      </c>
      <c r="B1221" t="s">
        <v>793</v>
      </c>
      <c r="C1221" t="s">
        <v>1177</v>
      </c>
      <c r="D1221" t="s">
        <v>84</v>
      </c>
      <c r="E1221" t="s">
        <v>1247</v>
      </c>
      <c r="G1221" t="s">
        <v>8</v>
      </c>
      <c r="H1221" t="s">
        <v>907</v>
      </c>
      <c r="I1221" t="s">
        <v>1388</v>
      </c>
      <c r="J1221" t="s">
        <v>795</v>
      </c>
    </row>
    <row r="1222" spans="1:10" x14ac:dyDescent="0.25">
      <c r="A1222" s="43" t="s">
        <v>3359</v>
      </c>
      <c r="B1222" t="s">
        <v>793</v>
      </c>
      <c r="C1222" t="s">
        <v>1177</v>
      </c>
      <c r="D1222" t="s">
        <v>84</v>
      </c>
      <c r="E1222" t="s">
        <v>1247</v>
      </c>
      <c r="G1222" t="s">
        <v>1320</v>
      </c>
      <c r="H1222" t="s">
        <v>898</v>
      </c>
      <c r="I1222" t="s">
        <v>1388</v>
      </c>
      <c r="J1222" t="s">
        <v>795</v>
      </c>
    </row>
    <row r="1223" spans="1:10" x14ac:dyDescent="0.25">
      <c r="A1223" s="43" t="s">
        <v>3018</v>
      </c>
      <c r="B1223" t="s">
        <v>793</v>
      </c>
      <c r="C1223" t="s">
        <v>1177</v>
      </c>
      <c r="D1223" t="s">
        <v>84</v>
      </c>
      <c r="E1223" t="s">
        <v>1247</v>
      </c>
      <c r="G1223" t="s">
        <v>1290</v>
      </c>
      <c r="H1223" t="s">
        <v>907</v>
      </c>
      <c r="I1223" t="s">
        <v>1388</v>
      </c>
      <c r="J1223" t="s">
        <v>795</v>
      </c>
    </row>
    <row r="1224" spans="1:10" x14ac:dyDescent="0.25">
      <c r="A1224" s="43" t="s">
        <v>3801</v>
      </c>
      <c r="B1224" t="s">
        <v>815</v>
      </c>
      <c r="C1224" t="s">
        <v>1192</v>
      </c>
      <c r="D1224" t="s">
        <v>1213</v>
      </c>
      <c r="E1224" t="s">
        <v>1493</v>
      </c>
      <c r="G1224" t="s">
        <v>1226</v>
      </c>
      <c r="H1224" t="s">
        <v>907</v>
      </c>
      <c r="I1224" t="s">
        <v>3382</v>
      </c>
      <c r="J1224" t="s">
        <v>2124</v>
      </c>
    </row>
    <row r="1225" spans="1:10" x14ac:dyDescent="0.25">
      <c r="A1225" s="43" t="s">
        <v>3381</v>
      </c>
      <c r="B1225" t="s">
        <v>815</v>
      </c>
      <c r="C1225" t="s">
        <v>1192</v>
      </c>
      <c r="D1225" t="s">
        <v>1213</v>
      </c>
      <c r="E1225" t="s">
        <v>1493</v>
      </c>
      <c r="G1225" t="s">
        <v>8</v>
      </c>
      <c r="H1225" t="s">
        <v>907</v>
      </c>
      <c r="I1225" t="s">
        <v>3382</v>
      </c>
      <c r="J1225" t="s">
        <v>2124</v>
      </c>
    </row>
    <row r="1226" spans="1:10" x14ac:dyDescent="0.25">
      <c r="A1226" s="43" t="s">
        <v>3800</v>
      </c>
      <c r="B1226" t="s">
        <v>815</v>
      </c>
      <c r="C1226" t="s">
        <v>1192</v>
      </c>
      <c r="D1226" t="s">
        <v>1213</v>
      </c>
      <c r="E1226" t="s">
        <v>1493</v>
      </c>
      <c r="G1226" t="s">
        <v>1320</v>
      </c>
      <c r="H1226" t="s">
        <v>898</v>
      </c>
      <c r="I1226" t="s">
        <v>3382</v>
      </c>
      <c r="J1226" t="s">
        <v>2124</v>
      </c>
    </row>
    <row r="1227" spans="1:10" x14ac:dyDescent="0.25">
      <c r="A1227" s="43" t="s">
        <v>4401</v>
      </c>
      <c r="B1227" t="s">
        <v>799</v>
      </c>
      <c r="C1227" t="s">
        <v>1181</v>
      </c>
      <c r="E1227" t="s">
        <v>1336</v>
      </c>
      <c r="G1227" t="s">
        <v>1248</v>
      </c>
      <c r="H1227" t="s">
        <v>898</v>
      </c>
      <c r="I1227" t="s">
        <v>501</v>
      </c>
      <c r="J1227" t="s">
        <v>1766</v>
      </c>
    </row>
    <row r="1228" spans="1:10" x14ac:dyDescent="0.25">
      <c r="A1228" s="43" t="s">
        <v>2996</v>
      </c>
      <c r="B1228" t="s">
        <v>799</v>
      </c>
      <c r="C1228" t="s">
        <v>1181</v>
      </c>
      <c r="E1228" t="s">
        <v>1336</v>
      </c>
      <c r="G1228" t="s">
        <v>8</v>
      </c>
      <c r="H1228" t="s">
        <v>898</v>
      </c>
      <c r="I1228" t="s">
        <v>501</v>
      </c>
      <c r="J1228" t="s">
        <v>1766</v>
      </c>
    </row>
    <row r="1229" spans="1:10" x14ac:dyDescent="0.25">
      <c r="A1229" s="43" t="s">
        <v>4250</v>
      </c>
      <c r="B1229" t="s">
        <v>799</v>
      </c>
      <c r="C1229" t="s">
        <v>1181</v>
      </c>
      <c r="E1229" t="s">
        <v>1336</v>
      </c>
      <c r="G1229" t="s">
        <v>1328</v>
      </c>
      <c r="H1229" t="s">
        <v>898</v>
      </c>
      <c r="I1229" t="s">
        <v>501</v>
      </c>
      <c r="J1229" t="s">
        <v>1766</v>
      </c>
    </row>
    <row r="1230" spans="1:10" x14ac:dyDescent="0.25">
      <c r="A1230" s="43" t="s">
        <v>3831</v>
      </c>
      <c r="B1230" t="s">
        <v>799</v>
      </c>
      <c r="C1230" t="s">
        <v>1181</v>
      </c>
      <c r="E1230" t="s">
        <v>1336</v>
      </c>
      <c r="G1230" t="s">
        <v>1320</v>
      </c>
      <c r="H1230" t="s">
        <v>898</v>
      </c>
      <c r="I1230" t="s">
        <v>501</v>
      </c>
      <c r="J1230" t="s">
        <v>1766</v>
      </c>
    </row>
    <row r="1231" spans="1:10" x14ac:dyDescent="0.25">
      <c r="A1231" s="43" t="s">
        <v>3830</v>
      </c>
      <c r="B1231" t="s">
        <v>799</v>
      </c>
      <c r="C1231" t="s">
        <v>1181</v>
      </c>
      <c r="E1231" t="s">
        <v>1336</v>
      </c>
      <c r="G1231" t="s">
        <v>1290</v>
      </c>
      <c r="H1231" t="s">
        <v>898</v>
      </c>
      <c r="I1231" t="s">
        <v>501</v>
      </c>
      <c r="J1231" t="s">
        <v>1766</v>
      </c>
    </row>
    <row r="1232" spans="1:10" x14ac:dyDescent="0.25">
      <c r="A1232" s="43" t="s">
        <v>3017</v>
      </c>
      <c r="B1232" t="s">
        <v>822</v>
      </c>
      <c r="C1232" t="s">
        <v>1188</v>
      </c>
      <c r="D1232" t="s">
        <v>27</v>
      </c>
      <c r="E1232" t="s">
        <v>1333</v>
      </c>
      <c r="G1232" t="s">
        <v>1226</v>
      </c>
      <c r="H1232" t="s">
        <v>907</v>
      </c>
      <c r="I1232" t="s">
        <v>1334</v>
      </c>
      <c r="J1232" t="s">
        <v>1765</v>
      </c>
    </row>
    <row r="1233" spans="1:10" x14ac:dyDescent="0.25">
      <c r="A1233" s="43" t="s">
        <v>3358</v>
      </c>
      <c r="B1233" t="s">
        <v>822</v>
      </c>
      <c r="C1233" t="s">
        <v>1188</v>
      </c>
      <c r="D1233" t="s">
        <v>27</v>
      </c>
      <c r="E1233" t="s">
        <v>1333</v>
      </c>
      <c r="G1233" t="s">
        <v>8</v>
      </c>
      <c r="H1233" t="s">
        <v>907</v>
      </c>
      <c r="I1233" t="s">
        <v>1334</v>
      </c>
      <c r="J1233" t="s">
        <v>1765</v>
      </c>
    </row>
    <row r="1234" spans="1:10" x14ac:dyDescent="0.25">
      <c r="A1234" s="43" t="s">
        <v>3016</v>
      </c>
      <c r="B1234" t="s">
        <v>822</v>
      </c>
      <c r="C1234" t="s">
        <v>1188</v>
      </c>
      <c r="D1234" t="s">
        <v>27</v>
      </c>
      <c r="E1234" t="s">
        <v>1333</v>
      </c>
      <c r="G1234" t="s">
        <v>1328</v>
      </c>
      <c r="H1234" t="s">
        <v>907</v>
      </c>
      <c r="I1234" t="s">
        <v>1334</v>
      </c>
      <c r="J1234" t="s">
        <v>1765</v>
      </c>
    </row>
    <row r="1235" spans="1:10" x14ac:dyDescent="0.25">
      <c r="A1235" s="43" t="s">
        <v>3015</v>
      </c>
      <c r="B1235" t="s">
        <v>822</v>
      </c>
      <c r="C1235" t="s">
        <v>1188</v>
      </c>
      <c r="D1235" t="s">
        <v>27</v>
      </c>
      <c r="E1235" t="s">
        <v>1333</v>
      </c>
      <c r="G1235" t="s">
        <v>1320</v>
      </c>
      <c r="H1235" t="s">
        <v>898</v>
      </c>
      <c r="I1235" t="s">
        <v>1334</v>
      </c>
      <c r="J1235" t="s">
        <v>1765</v>
      </c>
    </row>
    <row r="1236" spans="1:10" x14ac:dyDescent="0.25">
      <c r="A1236" s="43" t="s">
        <v>3357</v>
      </c>
      <c r="B1236" t="s">
        <v>822</v>
      </c>
      <c r="C1236" t="s">
        <v>1188</v>
      </c>
      <c r="D1236" t="s">
        <v>27</v>
      </c>
      <c r="E1236" t="s">
        <v>1333</v>
      </c>
      <c r="G1236" t="s">
        <v>1290</v>
      </c>
      <c r="H1236" t="s">
        <v>907</v>
      </c>
      <c r="I1236" t="s">
        <v>1334</v>
      </c>
      <c r="J1236" t="s">
        <v>1765</v>
      </c>
    </row>
    <row r="1237" spans="1:10" x14ac:dyDescent="0.25">
      <c r="A1237" s="43" t="s">
        <v>3829</v>
      </c>
      <c r="B1237" t="s">
        <v>856</v>
      </c>
      <c r="C1237" t="s">
        <v>1194</v>
      </c>
      <c r="E1237" t="s">
        <v>1378</v>
      </c>
      <c r="G1237" t="s">
        <v>1226</v>
      </c>
      <c r="H1237" t="s">
        <v>907</v>
      </c>
      <c r="I1237" t="s">
        <v>330</v>
      </c>
      <c r="J1237" t="s">
        <v>1853</v>
      </c>
    </row>
    <row r="1238" spans="1:10" x14ac:dyDescent="0.25">
      <c r="A1238" s="43" t="s">
        <v>3828</v>
      </c>
      <c r="B1238" t="s">
        <v>856</v>
      </c>
      <c r="C1238" t="s">
        <v>1194</v>
      </c>
      <c r="E1238" t="s">
        <v>1378</v>
      </c>
      <c r="G1238" t="s">
        <v>8</v>
      </c>
      <c r="H1238" t="s">
        <v>907</v>
      </c>
      <c r="I1238" t="s">
        <v>330</v>
      </c>
      <c r="J1238" t="s">
        <v>1853</v>
      </c>
    </row>
    <row r="1239" spans="1:10" x14ac:dyDescent="0.25">
      <c r="A1239" s="43" t="s">
        <v>3353</v>
      </c>
      <c r="B1239" t="s">
        <v>856</v>
      </c>
      <c r="C1239" t="s">
        <v>1194</v>
      </c>
      <c r="E1239" t="s">
        <v>1378</v>
      </c>
      <c r="G1239" t="s">
        <v>1320</v>
      </c>
      <c r="H1239" t="s">
        <v>898</v>
      </c>
      <c r="I1239" t="s">
        <v>330</v>
      </c>
      <c r="J1239" t="s">
        <v>1853</v>
      </c>
    </row>
    <row r="1240" spans="1:10" x14ac:dyDescent="0.25">
      <c r="A1240" s="43" t="s">
        <v>4311</v>
      </c>
      <c r="B1240" t="s">
        <v>114</v>
      </c>
      <c r="C1240" t="s">
        <v>1178</v>
      </c>
      <c r="E1240" t="s">
        <v>1335</v>
      </c>
      <c r="G1240" t="s">
        <v>1226</v>
      </c>
      <c r="H1240" t="s">
        <v>907</v>
      </c>
      <c r="I1240" t="s">
        <v>126</v>
      </c>
      <c r="J1240" t="s">
        <v>4509</v>
      </c>
    </row>
    <row r="1241" spans="1:10" x14ac:dyDescent="0.25">
      <c r="A1241" s="43" t="s">
        <v>2726</v>
      </c>
      <c r="B1241" t="s">
        <v>114</v>
      </c>
      <c r="C1241" t="s">
        <v>1178</v>
      </c>
      <c r="E1241" t="s">
        <v>1335</v>
      </c>
      <c r="G1241" t="s">
        <v>8</v>
      </c>
      <c r="H1241" t="s">
        <v>907</v>
      </c>
      <c r="I1241" t="s">
        <v>126</v>
      </c>
      <c r="J1241" t="s">
        <v>4509</v>
      </c>
    </row>
    <row r="1242" spans="1:10" x14ac:dyDescent="0.25">
      <c r="A1242" s="43" t="s">
        <v>3380</v>
      </c>
      <c r="B1242" t="s">
        <v>114</v>
      </c>
      <c r="C1242" t="s">
        <v>1178</v>
      </c>
      <c r="E1242" t="s">
        <v>1335</v>
      </c>
      <c r="G1242" t="s">
        <v>1320</v>
      </c>
      <c r="H1242" t="s">
        <v>907</v>
      </c>
      <c r="I1242" t="s">
        <v>126</v>
      </c>
      <c r="J1242" t="s">
        <v>4509</v>
      </c>
    </row>
    <row r="1243" spans="1:10" x14ac:dyDescent="0.25">
      <c r="A1243" s="43" t="s">
        <v>2631</v>
      </c>
      <c r="B1243" t="s">
        <v>148</v>
      </c>
      <c r="C1243" t="s">
        <v>1180</v>
      </c>
      <c r="D1243" t="s">
        <v>21</v>
      </c>
      <c r="E1243" t="s">
        <v>1239</v>
      </c>
      <c r="G1243" t="s">
        <v>1226</v>
      </c>
      <c r="H1243" t="s">
        <v>907</v>
      </c>
      <c r="I1243" t="s">
        <v>159</v>
      </c>
      <c r="J1243" t="s">
        <v>1736</v>
      </c>
    </row>
    <row r="1244" spans="1:10" x14ac:dyDescent="0.25">
      <c r="A1244" s="43" t="s">
        <v>2616</v>
      </c>
      <c r="B1244" t="s">
        <v>148</v>
      </c>
      <c r="C1244" t="s">
        <v>1180</v>
      </c>
      <c r="D1244" t="s">
        <v>21</v>
      </c>
      <c r="E1244" t="s">
        <v>1239</v>
      </c>
      <c r="G1244" t="s">
        <v>8</v>
      </c>
      <c r="H1244" t="s">
        <v>907</v>
      </c>
      <c r="I1244" t="s">
        <v>159</v>
      </c>
      <c r="J1244" t="s">
        <v>1736</v>
      </c>
    </row>
    <row r="1245" spans="1:10" x14ac:dyDescent="0.25">
      <c r="A1245" s="43" t="s">
        <v>3798</v>
      </c>
      <c r="B1245" t="s">
        <v>148</v>
      </c>
      <c r="C1245" t="s">
        <v>1180</v>
      </c>
      <c r="D1245" t="s">
        <v>21</v>
      </c>
      <c r="E1245" t="s">
        <v>1239</v>
      </c>
      <c r="G1245" t="s">
        <v>1320</v>
      </c>
      <c r="H1245" t="s">
        <v>907</v>
      </c>
      <c r="I1245" t="s">
        <v>159</v>
      </c>
      <c r="J1245" t="s">
        <v>1736</v>
      </c>
    </row>
    <row r="1246" spans="1:10" x14ac:dyDescent="0.25">
      <c r="A1246" s="43" t="s">
        <v>2521</v>
      </c>
      <c r="B1246" t="s">
        <v>176</v>
      </c>
      <c r="C1246" t="s">
        <v>1180</v>
      </c>
      <c r="E1246" t="s">
        <v>1464</v>
      </c>
      <c r="G1246" t="s">
        <v>1226</v>
      </c>
      <c r="H1246" t="s">
        <v>907</v>
      </c>
      <c r="I1246" t="s">
        <v>189</v>
      </c>
      <c r="J1246" t="s">
        <v>2062</v>
      </c>
    </row>
    <row r="1247" spans="1:10" x14ac:dyDescent="0.25">
      <c r="A1247" s="43" t="s">
        <v>2725</v>
      </c>
      <c r="B1247" t="s">
        <v>176</v>
      </c>
      <c r="C1247" t="s">
        <v>1180</v>
      </c>
      <c r="E1247" t="s">
        <v>1464</v>
      </c>
      <c r="G1247" t="s">
        <v>8</v>
      </c>
      <c r="H1247" t="s">
        <v>907</v>
      </c>
      <c r="I1247" t="s">
        <v>189</v>
      </c>
      <c r="J1247" t="s">
        <v>2062</v>
      </c>
    </row>
    <row r="1248" spans="1:10" x14ac:dyDescent="0.25">
      <c r="A1248" s="43" t="s">
        <v>4106</v>
      </c>
      <c r="B1248" t="s">
        <v>176</v>
      </c>
      <c r="C1248" t="s">
        <v>1180</v>
      </c>
      <c r="E1248" t="s">
        <v>1464</v>
      </c>
      <c r="G1248" t="s">
        <v>1320</v>
      </c>
      <c r="H1248" t="s">
        <v>907</v>
      </c>
      <c r="I1248" t="s">
        <v>189</v>
      </c>
      <c r="J1248" t="s">
        <v>2062</v>
      </c>
    </row>
    <row r="1249" spans="1:10" x14ac:dyDescent="0.25">
      <c r="A1249" s="43" t="s">
        <v>4481</v>
      </c>
      <c r="B1249" t="s">
        <v>359</v>
      </c>
      <c r="C1249" t="s">
        <v>1180</v>
      </c>
      <c r="D1249" t="s">
        <v>15</v>
      </c>
      <c r="E1249" t="s">
        <v>1261</v>
      </c>
      <c r="G1249" t="s">
        <v>1248</v>
      </c>
      <c r="H1249" t="s">
        <v>898</v>
      </c>
      <c r="I1249" t="s">
        <v>366</v>
      </c>
      <c r="J1249" t="s">
        <v>367</v>
      </c>
    </row>
    <row r="1250" spans="1:10" x14ac:dyDescent="0.25">
      <c r="A1250" s="43" t="s">
        <v>4480</v>
      </c>
      <c r="B1250" t="s">
        <v>359</v>
      </c>
      <c r="C1250" t="s">
        <v>1180</v>
      </c>
      <c r="D1250" t="s">
        <v>15</v>
      </c>
      <c r="E1250" t="s">
        <v>1261</v>
      </c>
      <c r="G1250" t="s">
        <v>8</v>
      </c>
      <c r="H1250" t="s">
        <v>898</v>
      </c>
      <c r="I1250" t="s">
        <v>366</v>
      </c>
      <c r="J1250" t="s">
        <v>367</v>
      </c>
    </row>
    <row r="1251" spans="1:10" x14ac:dyDescent="0.25">
      <c r="A1251" s="43" t="s">
        <v>3379</v>
      </c>
      <c r="B1251" t="s">
        <v>359</v>
      </c>
      <c r="C1251" t="s">
        <v>1180</v>
      </c>
      <c r="D1251" t="s">
        <v>15</v>
      </c>
      <c r="E1251" t="s">
        <v>1261</v>
      </c>
      <c r="G1251" t="s">
        <v>1328</v>
      </c>
      <c r="H1251" t="s">
        <v>898</v>
      </c>
      <c r="I1251" t="s">
        <v>366</v>
      </c>
      <c r="J1251" t="s">
        <v>367</v>
      </c>
    </row>
    <row r="1252" spans="1:10" x14ac:dyDescent="0.25">
      <c r="A1252" s="43" t="s">
        <v>4246</v>
      </c>
      <c r="B1252" t="s">
        <v>359</v>
      </c>
      <c r="C1252" t="s">
        <v>1180</v>
      </c>
      <c r="D1252" t="s">
        <v>15</v>
      </c>
      <c r="E1252" t="s">
        <v>1261</v>
      </c>
      <c r="G1252" t="s">
        <v>1320</v>
      </c>
      <c r="H1252" t="s">
        <v>898</v>
      </c>
      <c r="I1252" t="s">
        <v>366</v>
      </c>
      <c r="J1252" t="s">
        <v>367</v>
      </c>
    </row>
    <row r="1253" spans="1:10" x14ac:dyDescent="0.25">
      <c r="A1253" s="43" t="s">
        <v>3378</v>
      </c>
      <c r="B1253" t="s">
        <v>359</v>
      </c>
      <c r="C1253" t="s">
        <v>1180</v>
      </c>
      <c r="D1253" t="s">
        <v>15</v>
      </c>
      <c r="E1253" t="s">
        <v>1261</v>
      </c>
      <c r="G1253" t="s">
        <v>1290</v>
      </c>
      <c r="H1253" t="s">
        <v>898</v>
      </c>
      <c r="I1253" t="s">
        <v>366</v>
      </c>
      <c r="J1253" t="s">
        <v>367</v>
      </c>
    </row>
    <row r="1254" spans="1:10" x14ac:dyDescent="0.25">
      <c r="A1254" s="43" t="s">
        <v>4245</v>
      </c>
      <c r="B1254" t="s">
        <v>413</v>
      </c>
      <c r="C1254" t="s">
        <v>1177</v>
      </c>
      <c r="D1254" t="s">
        <v>1213</v>
      </c>
      <c r="E1254" t="s">
        <v>1374</v>
      </c>
      <c r="G1254" t="s">
        <v>1224</v>
      </c>
      <c r="H1254" t="s">
        <v>1225</v>
      </c>
      <c r="J1254" t="s">
        <v>1875</v>
      </c>
    </row>
    <row r="1255" spans="1:10" x14ac:dyDescent="0.25">
      <c r="A1255" s="43" t="s">
        <v>4105</v>
      </c>
      <c r="B1255" t="s">
        <v>413</v>
      </c>
      <c r="C1255" t="s">
        <v>1177</v>
      </c>
      <c r="D1255" t="s">
        <v>1213</v>
      </c>
      <c r="E1255" t="s">
        <v>1374</v>
      </c>
      <c r="G1255" t="s">
        <v>1224</v>
      </c>
      <c r="H1255" t="s">
        <v>1225</v>
      </c>
      <c r="J1255" t="s">
        <v>1875</v>
      </c>
    </row>
    <row r="1256" spans="1:10" x14ac:dyDescent="0.25">
      <c r="A1256" s="43" t="s">
        <v>4398</v>
      </c>
      <c r="B1256" t="s">
        <v>413</v>
      </c>
      <c r="C1256" t="s">
        <v>1177</v>
      </c>
      <c r="D1256" t="s">
        <v>1213</v>
      </c>
      <c r="E1256" t="s">
        <v>1374</v>
      </c>
      <c r="G1256" t="s">
        <v>1218</v>
      </c>
      <c r="H1256" t="s">
        <v>898</v>
      </c>
      <c r="J1256" t="s">
        <v>1875</v>
      </c>
    </row>
    <row r="1257" spans="1:10" x14ac:dyDescent="0.25">
      <c r="A1257" s="43" t="s">
        <v>4310</v>
      </c>
      <c r="B1257" t="s">
        <v>413</v>
      </c>
      <c r="C1257" t="s">
        <v>1177</v>
      </c>
      <c r="D1257" t="s">
        <v>1213</v>
      </c>
      <c r="E1257" t="s">
        <v>1374</v>
      </c>
      <c r="G1257" t="s">
        <v>1218</v>
      </c>
      <c r="H1257" t="s">
        <v>898</v>
      </c>
      <c r="J1257" t="s">
        <v>1875</v>
      </c>
    </row>
    <row r="1258" spans="1:10" x14ac:dyDescent="0.25">
      <c r="A1258" s="43" t="s">
        <v>4309</v>
      </c>
      <c r="B1258" t="s">
        <v>441</v>
      </c>
      <c r="C1258" t="s">
        <v>1188</v>
      </c>
      <c r="E1258" t="s">
        <v>1329</v>
      </c>
      <c r="G1258" t="s">
        <v>1226</v>
      </c>
      <c r="H1258" t="s">
        <v>907</v>
      </c>
      <c r="I1258" t="s">
        <v>233</v>
      </c>
      <c r="J1258" t="s">
        <v>1760</v>
      </c>
    </row>
    <row r="1259" spans="1:10" x14ac:dyDescent="0.25">
      <c r="A1259" s="43" t="s">
        <v>2633</v>
      </c>
      <c r="B1259" t="s">
        <v>441</v>
      </c>
      <c r="C1259" t="s">
        <v>1188</v>
      </c>
      <c r="E1259" t="s">
        <v>1329</v>
      </c>
      <c r="G1259" t="s">
        <v>8</v>
      </c>
      <c r="H1259" t="s">
        <v>907</v>
      </c>
      <c r="I1259" t="s">
        <v>233</v>
      </c>
      <c r="J1259" t="s">
        <v>1760</v>
      </c>
    </row>
    <row r="1260" spans="1:10" x14ac:dyDescent="0.25">
      <c r="A1260" s="43" t="s">
        <v>976</v>
      </c>
      <c r="B1260" t="s">
        <v>441</v>
      </c>
      <c r="C1260" t="s">
        <v>1188</v>
      </c>
      <c r="E1260" t="s">
        <v>1329</v>
      </c>
      <c r="G1260" t="s">
        <v>1320</v>
      </c>
      <c r="H1260" t="s">
        <v>907</v>
      </c>
      <c r="I1260" t="s">
        <v>233</v>
      </c>
      <c r="J1260" t="s">
        <v>1760</v>
      </c>
    </row>
    <row r="1261" spans="1:10" x14ac:dyDescent="0.25">
      <c r="A1261" s="43" t="s">
        <v>2724</v>
      </c>
      <c r="B1261" t="s">
        <v>465</v>
      </c>
      <c r="C1261" t="s">
        <v>1178</v>
      </c>
      <c r="D1261" t="s">
        <v>21</v>
      </c>
      <c r="E1261" t="s">
        <v>1378</v>
      </c>
      <c r="G1261" t="s">
        <v>1290</v>
      </c>
      <c r="H1261" t="s">
        <v>907</v>
      </c>
      <c r="I1261" t="s">
        <v>414</v>
      </c>
      <c r="J1261" t="s">
        <v>1884</v>
      </c>
    </row>
    <row r="1262" spans="1:10" x14ac:dyDescent="0.25">
      <c r="A1262" s="43" t="s">
        <v>2557</v>
      </c>
      <c r="B1262" t="s">
        <v>465</v>
      </c>
      <c r="C1262" t="s">
        <v>1178</v>
      </c>
      <c r="D1262" t="s">
        <v>21</v>
      </c>
      <c r="E1262" t="s">
        <v>1378</v>
      </c>
      <c r="G1262" t="s">
        <v>1226</v>
      </c>
      <c r="H1262" t="s">
        <v>907</v>
      </c>
      <c r="I1262" t="s">
        <v>414</v>
      </c>
      <c r="J1262" t="s">
        <v>1884</v>
      </c>
    </row>
    <row r="1263" spans="1:10" x14ac:dyDescent="0.25">
      <c r="A1263" s="43" t="s">
        <v>2684</v>
      </c>
      <c r="B1263" t="s">
        <v>465</v>
      </c>
      <c r="C1263" t="s">
        <v>1178</v>
      </c>
      <c r="D1263" t="s">
        <v>21</v>
      </c>
      <c r="E1263" t="s">
        <v>1378</v>
      </c>
      <c r="G1263" t="s">
        <v>8</v>
      </c>
      <c r="H1263" t="s">
        <v>907</v>
      </c>
      <c r="I1263" t="s">
        <v>414</v>
      </c>
      <c r="J1263" t="s">
        <v>1884</v>
      </c>
    </row>
    <row r="1264" spans="1:10" x14ac:dyDescent="0.25">
      <c r="A1264" s="43" t="s">
        <v>4104</v>
      </c>
      <c r="B1264" t="s">
        <v>465</v>
      </c>
      <c r="C1264" t="s">
        <v>1178</v>
      </c>
      <c r="D1264" t="s">
        <v>21</v>
      </c>
      <c r="E1264" t="s">
        <v>1378</v>
      </c>
      <c r="G1264" t="s">
        <v>1320</v>
      </c>
      <c r="H1264" t="s">
        <v>907</v>
      </c>
      <c r="I1264" t="s">
        <v>414</v>
      </c>
      <c r="J1264" t="s">
        <v>1884</v>
      </c>
    </row>
    <row r="1265" spans="1:10" x14ac:dyDescent="0.25">
      <c r="A1265" s="43" t="s">
        <v>1009</v>
      </c>
      <c r="B1265" t="s">
        <v>475</v>
      </c>
      <c r="C1265" t="s">
        <v>1183</v>
      </c>
      <c r="D1265" t="s">
        <v>21</v>
      </c>
      <c r="E1265" t="s">
        <v>1503</v>
      </c>
      <c r="G1265" t="s">
        <v>1226</v>
      </c>
      <c r="H1265" t="s">
        <v>907</v>
      </c>
      <c r="I1265" t="s">
        <v>476</v>
      </c>
      <c r="J1265" t="s">
        <v>2163</v>
      </c>
    </row>
    <row r="1266" spans="1:10" x14ac:dyDescent="0.25">
      <c r="A1266" s="43" t="s">
        <v>1173</v>
      </c>
      <c r="B1266" t="s">
        <v>475</v>
      </c>
      <c r="C1266" t="s">
        <v>1183</v>
      </c>
      <c r="D1266" t="s">
        <v>21</v>
      </c>
      <c r="E1266" t="s">
        <v>1503</v>
      </c>
      <c r="G1266" t="s">
        <v>8</v>
      </c>
      <c r="H1266" t="s">
        <v>907</v>
      </c>
      <c r="I1266" t="s">
        <v>476</v>
      </c>
      <c r="J1266" t="s">
        <v>2163</v>
      </c>
    </row>
    <row r="1267" spans="1:10" x14ac:dyDescent="0.25">
      <c r="A1267" s="43" t="s">
        <v>1010</v>
      </c>
      <c r="B1267" t="s">
        <v>475</v>
      </c>
      <c r="C1267" t="s">
        <v>1183</v>
      </c>
      <c r="D1267" t="s">
        <v>21</v>
      </c>
      <c r="E1267" t="s">
        <v>1503</v>
      </c>
      <c r="G1267" t="s">
        <v>1320</v>
      </c>
      <c r="H1267" t="s">
        <v>907</v>
      </c>
      <c r="I1267" t="s">
        <v>476</v>
      </c>
      <c r="J1267" t="s">
        <v>2163</v>
      </c>
    </row>
    <row r="1268" spans="1:10" x14ac:dyDescent="0.25">
      <c r="A1268" s="43" t="s">
        <v>4428</v>
      </c>
      <c r="B1268" t="s">
        <v>479</v>
      </c>
      <c r="C1268" t="s">
        <v>1177</v>
      </c>
      <c r="D1268" t="s">
        <v>21</v>
      </c>
      <c r="E1268" t="s">
        <v>1223</v>
      </c>
      <c r="G1268" t="s">
        <v>1226</v>
      </c>
      <c r="H1268" t="s">
        <v>907</v>
      </c>
      <c r="I1268" t="s">
        <v>770</v>
      </c>
      <c r="J1268" t="s">
        <v>1684</v>
      </c>
    </row>
    <row r="1269" spans="1:10" x14ac:dyDescent="0.25">
      <c r="A1269" s="43" t="s">
        <v>2597</v>
      </c>
      <c r="B1269" t="s">
        <v>479</v>
      </c>
      <c r="C1269" t="s">
        <v>1177</v>
      </c>
      <c r="D1269" t="s">
        <v>21</v>
      </c>
      <c r="E1269" t="s">
        <v>1223</v>
      </c>
      <c r="G1269" t="s">
        <v>8</v>
      </c>
      <c r="H1269" t="s">
        <v>907</v>
      </c>
      <c r="I1269" t="s">
        <v>770</v>
      </c>
      <c r="J1269" t="s">
        <v>1684</v>
      </c>
    </row>
    <row r="1270" spans="1:10" x14ac:dyDescent="0.25">
      <c r="A1270" s="43" t="s">
        <v>4308</v>
      </c>
      <c r="B1270" t="s">
        <v>479</v>
      </c>
      <c r="C1270" t="s">
        <v>1177</v>
      </c>
      <c r="D1270" t="s">
        <v>21</v>
      </c>
      <c r="E1270" t="s">
        <v>1223</v>
      </c>
      <c r="G1270" t="s">
        <v>1320</v>
      </c>
      <c r="H1270" t="s">
        <v>907</v>
      </c>
      <c r="I1270" t="s">
        <v>770</v>
      </c>
      <c r="J1270" t="s">
        <v>1684</v>
      </c>
    </row>
    <row r="1271" spans="1:10" x14ac:dyDescent="0.25">
      <c r="A1271" s="43" t="s">
        <v>4397</v>
      </c>
      <c r="B1271" t="s">
        <v>505</v>
      </c>
      <c r="C1271" t="s">
        <v>1188</v>
      </c>
      <c r="D1271" t="s">
        <v>27</v>
      </c>
      <c r="E1271" t="s">
        <v>1272</v>
      </c>
      <c r="G1271" t="s">
        <v>1226</v>
      </c>
      <c r="H1271" t="s">
        <v>907</v>
      </c>
      <c r="I1271" t="s">
        <v>523</v>
      </c>
      <c r="J1271" t="s">
        <v>1886</v>
      </c>
    </row>
    <row r="1272" spans="1:10" x14ac:dyDescent="0.25">
      <c r="A1272" s="43" t="s">
        <v>4307</v>
      </c>
      <c r="B1272" t="s">
        <v>505</v>
      </c>
      <c r="C1272" t="s">
        <v>1188</v>
      </c>
      <c r="D1272" t="s">
        <v>27</v>
      </c>
      <c r="E1272" t="s">
        <v>1272</v>
      </c>
      <c r="G1272" t="s">
        <v>8</v>
      </c>
      <c r="H1272" t="s">
        <v>907</v>
      </c>
      <c r="I1272" t="s">
        <v>523</v>
      </c>
      <c r="J1272" t="s">
        <v>1886</v>
      </c>
    </row>
    <row r="1273" spans="1:10" x14ac:dyDescent="0.25">
      <c r="A1273" s="43" t="s">
        <v>3377</v>
      </c>
      <c r="B1273" t="s">
        <v>505</v>
      </c>
      <c r="C1273" t="s">
        <v>1188</v>
      </c>
      <c r="D1273" t="s">
        <v>27</v>
      </c>
      <c r="E1273" t="s">
        <v>1272</v>
      </c>
      <c r="G1273" t="s">
        <v>1320</v>
      </c>
      <c r="H1273" t="s">
        <v>907</v>
      </c>
      <c r="I1273" t="s">
        <v>523</v>
      </c>
      <c r="J1273" t="s">
        <v>1886</v>
      </c>
    </row>
    <row r="1274" spans="1:10" x14ac:dyDescent="0.25">
      <c r="A1274" s="43" t="s">
        <v>2683</v>
      </c>
      <c r="B1274" t="s">
        <v>586</v>
      </c>
      <c r="C1274" t="s">
        <v>1188</v>
      </c>
      <c r="D1274" t="s">
        <v>84</v>
      </c>
      <c r="E1274" t="s">
        <v>1400</v>
      </c>
      <c r="G1274" t="s">
        <v>1248</v>
      </c>
      <c r="H1274" t="s">
        <v>898</v>
      </c>
      <c r="I1274" t="s">
        <v>589</v>
      </c>
      <c r="J1274" t="s">
        <v>1916</v>
      </c>
    </row>
    <row r="1275" spans="1:10" x14ac:dyDescent="0.25">
      <c r="A1275" s="43" t="s">
        <v>4306</v>
      </c>
      <c r="B1275" t="s">
        <v>586</v>
      </c>
      <c r="C1275" t="s">
        <v>1188</v>
      </c>
      <c r="D1275" t="s">
        <v>84</v>
      </c>
      <c r="E1275" t="s">
        <v>1400</v>
      </c>
      <c r="G1275" t="s">
        <v>8</v>
      </c>
      <c r="H1275" t="s">
        <v>898</v>
      </c>
      <c r="I1275" t="s">
        <v>589</v>
      </c>
      <c r="J1275" t="s">
        <v>1916</v>
      </c>
    </row>
    <row r="1276" spans="1:10" x14ac:dyDescent="0.25">
      <c r="A1276" s="43" t="s">
        <v>4103</v>
      </c>
      <c r="B1276" t="s">
        <v>586</v>
      </c>
      <c r="C1276" t="s">
        <v>1188</v>
      </c>
      <c r="D1276" t="s">
        <v>84</v>
      </c>
      <c r="E1276" t="s">
        <v>1400</v>
      </c>
      <c r="G1276" t="s">
        <v>1328</v>
      </c>
      <c r="H1276" t="s">
        <v>898</v>
      </c>
      <c r="I1276" t="s">
        <v>589</v>
      </c>
      <c r="J1276" t="s">
        <v>1916</v>
      </c>
    </row>
    <row r="1277" spans="1:10" x14ac:dyDescent="0.25">
      <c r="A1277" s="43" t="s">
        <v>3376</v>
      </c>
      <c r="B1277" t="s">
        <v>586</v>
      </c>
      <c r="C1277" t="s">
        <v>1188</v>
      </c>
      <c r="D1277" t="s">
        <v>84</v>
      </c>
      <c r="E1277" t="s">
        <v>1400</v>
      </c>
      <c r="G1277" t="s">
        <v>1320</v>
      </c>
      <c r="H1277" t="s">
        <v>898</v>
      </c>
      <c r="I1277" t="s">
        <v>589</v>
      </c>
      <c r="J1277" t="s">
        <v>1916</v>
      </c>
    </row>
    <row r="1278" spans="1:10" x14ac:dyDescent="0.25">
      <c r="A1278" s="43" t="s">
        <v>4244</v>
      </c>
      <c r="B1278" t="s">
        <v>586</v>
      </c>
      <c r="C1278" t="s">
        <v>1188</v>
      </c>
      <c r="D1278" t="s">
        <v>84</v>
      </c>
      <c r="E1278" t="s">
        <v>1400</v>
      </c>
      <c r="G1278" t="s">
        <v>1290</v>
      </c>
      <c r="H1278" t="s">
        <v>898</v>
      </c>
      <c r="I1278" t="s">
        <v>589</v>
      </c>
      <c r="J1278" t="s">
        <v>1916</v>
      </c>
    </row>
    <row r="1279" spans="1:10" x14ac:dyDescent="0.25">
      <c r="A1279" s="43" t="s">
        <v>4102</v>
      </c>
      <c r="B1279" t="s">
        <v>586</v>
      </c>
      <c r="C1279" t="s">
        <v>1177</v>
      </c>
      <c r="D1279" t="s">
        <v>1213</v>
      </c>
      <c r="E1279" t="s">
        <v>1355</v>
      </c>
      <c r="G1279" t="s">
        <v>1224</v>
      </c>
      <c r="H1279" t="s">
        <v>1225</v>
      </c>
      <c r="J1279" t="s">
        <v>1872</v>
      </c>
    </row>
    <row r="1280" spans="1:10" x14ac:dyDescent="0.25">
      <c r="A1280" s="43" t="s">
        <v>3375</v>
      </c>
      <c r="B1280" t="s">
        <v>586</v>
      </c>
      <c r="C1280" t="s">
        <v>1177</v>
      </c>
      <c r="D1280" t="s">
        <v>1213</v>
      </c>
      <c r="E1280" t="s">
        <v>1355</v>
      </c>
      <c r="G1280" t="s">
        <v>1224</v>
      </c>
      <c r="H1280" t="s">
        <v>1225</v>
      </c>
      <c r="J1280" t="s">
        <v>1872</v>
      </c>
    </row>
    <row r="1281" spans="1:10" x14ac:dyDescent="0.25">
      <c r="A1281" s="43" t="s">
        <v>2723</v>
      </c>
      <c r="B1281" t="s">
        <v>586</v>
      </c>
      <c r="C1281" t="s">
        <v>1177</v>
      </c>
      <c r="D1281" t="s">
        <v>1213</v>
      </c>
      <c r="E1281" t="s">
        <v>1355</v>
      </c>
      <c r="G1281" t="s">
        <v>1218</v>
      </c>
      <c r="H1281" t="s">
        <v>898</v>
      </c>
      <c r="J1281" t="s">
        <v>1872</v>
      </c>
    </row>
    <row r="1282" spans="1:10" x14ac:dyDescent="0.25">
      <c r="A1282" s="43" t="s">
        <v>3374</v>
      </c>
      <c r="B1282" t="s">
        <v>586</v>
      </c>
      <c r="C1282" t="s">
        <v>1177</v>
      </c>
      <c r="D1282" t="s">
        <v>1213</v>
      </c>
      <c r="E1282" t="s">
        <v>1355</v>
      </c>
      <c r="G1282" t="s">
        <v>1218</v>
      </c>
      <c r="H1282" t="s">
        <v>898</v>
      </c>
      <c r="J1282" t="s">
        <v>1872</v>
      </c>
    </row>
    <row r="1283" spans="1:10" x14ac:dyDescent="0.25">
      <c r="A1283" s="43" t="s">
        <v>2632</v>
      </c>
      <c r="B1283" t="s">
        <v>592</v>
      </c>
      <c r="C1283" t="s">
        <v>1188</v>
      </c>
      <c r="D1283" t="s">
        <v>56</v>
      </c>
      <c r="E1283" t="s">
        <v>1361</v>
      </c>
      <c r="G1283" t="s">
        <v>1226</v>
      </c>
      <c r="H1283" t="s">
        <v>907</v>
      </c>
      <c r="I1283" t="s">
        <v>523</v>
      </c>
      <c r="J1283" t="s">
        <v>473</v>
      </c>
    </row>
    <row r="1284" spans="1:10" x14ac:dyDescent="0.25">
      <c r="A1284" s="43" t="s">
        <v>2578</v>
      </c>
      <c r="B1284" t="s">
        <v>592</v>
      </c>
      <c r="C1284" t="s">
        <v>1188</v>
      </c>
      <c r="D1284" t="s">
        <v>56</v>
      </c>
      <c r="E1284" t="s">
        <v>1361</v>
      </c>
      <c r="G1284" t="s">
        <v>8</v>
      </c>
      <c r="H1284" t="s">
        <v>907</v>
      </c>
      <c r="I1284" t="s">
        <v>523</v>
      </c>
      <c r="J1284" t="s">
        <v>473</v>
      </c>
    </row>
    <row r="1285" spans="1:10" x14ac:dyDescent="0.25">
      <c r="A1285" s="43" t="s">
        <v>4305</v>
      </c>
      <c r="B1285" t="s">
        <v>592</v>
      </c>
      <c r="C1285" t="s">
        <v>1188</v>
      </c>
      <c r="D1285" t="s">
        <v>56</v>
      </c>
      <c r="E1285" t="s">
        <v>1361</v>
      </c>
      <c r="G1285" t="s">
        <v>1328</v>
      </c>
      <c r="H1285" t="s">
        <v>907</v>
      </c>
      <c r="I1285" t="s">
        <v>523</v>
      </c>
      <c r="J1285" t="s">
        <v>473</v>
      </c>
    </row>
    <row r="1286" spans="1:10" x14ac:dyDescent="0.25">
      <c r="A1286" s="43" t="s">
        <v>3373</v>
      </c>
      <c r="B1286" t="s">
        <v>592</v>
      </c>
      <c r="C1286" t="s">
        <v>1188</v>
      </c>
      <c r="D1286" t="s">
        <v>56</v>
      </c>
      <c r="E1286" t="s">
        <v>1361</v>
      </c>
      <c r="G1286" t="s">
        <v>1320</v>
      </c>
      <c r="H1286" t="s">
        <v>907</v>
      </c>
      <c r="I1286" t="s">
        <v>523</v>
      </c>
      <c r="J1286" t="s">
        <v>473</v>
      </c>
    </row>
    <row r="1287" spans="1:10" x14ac:dyDescent="0.25">
      <c r="A1287" s="43" t="s">
        <v>3372</v>
      </c>
      <c r="B1287" t="s">
        <v>592</v>
      </c>
      <c r="C1287" t="s">
        <v>1188</v>
      </c>
      <c r="D1287" t="s">
        <v>56</v>
      </c>
      <c r="E1287" t="s">
        <v>1361</v>
      </c>
      <c r="G1287" t="s">
        <v>1290</v>
      </c>
      <c r="H1287" t="s">
        <v>907</v>
      </c>
      <c r="I1287" t="s">
        <v>523</v>
      </c>
      <c r="J1287" t="s">
        <v>473</v>
      </c>
    </row>
    <row r="1288" spans="1:10" x14ac:dyDescent="0.25">
      <c r="A1288" s="43" t="s">
        <v>2621</v>
      </c>
      <c r="B1288" t="s">
        <v>641</v>
      </c>
      <c r="C1288" t="s">
        <v>1180</v>
      </c>
      <c r="D1288" t="s">
        <v>21</v>
      </c>
      <c r="E1288" t="s">
        <v>1231</v>
      </c>
      <c r="G1288" t="s">
        <v>1248</v>
      </c>
      <c r="H1288" t="s">
        <v>898</v>
      </c>
      <c r="I1288" t="s">
        <v>2620</v>
      </c>
      <c r="J1288" t="s">
        <v>1881</v>
      </c>
    </row>
    <row r="1289" spans="1:10" x14ac:dyDescent="0.25">
      <c r="A1289" s="43" t="s">
        <v>2619</v>
      </c>
      <c r="B1289" t="s">
        <v>641</v>
      </c>
      <c r="C1289" t="s">
        <v>1180</v>
      </c>
      <c r="D1289" t="s">
        <v>21</v>
      </c>
      <c r="E1289" t="s">
        <v>1231</v>
      </c>
      <c r="G1289" t="s">
        <v>8</v>
      </c>
      <c r="H1289" t="s">
        <v>898</v>
      </c>
      <c r="I1289" t="s">
        <v>2620</v>
      </c>
      <c r="J1289" t="s">
        <v>1881</v>
      </c>
    </row>
    <row r="1290" spans="1:10" x14ac:dyDescent="0.25">
      <c r="A1290" s="43" t="s">
        <v>4243</v>
      </c>
      <c r="B1290" t="s">
        <v>641</v>
      </c>
      <c r="C1290" t="s">
        <v>1180</v>
      </c>
      <c r="D1290" t="s">
        <v>21</v>
      </c>
      <c r="E1290" t="s">
        <v>1231</v>
      </c>
      <c r="G1290" t="s">
        <v>1320</v>
      </c>
      <c r="H1290" t="s">
        <v>898</v>
      </c>
      <c r="I1290" t="s">
        <v>2620</v>
      </c>
      <c r="J1290" t="s">
        <v>1881</v>
      </c>
    </row>
    <row r="1291" spans="1:10" x14ac:dyDescent="0.25">
      <c r="A1291" s="43" t="s">
        <v>2548</v>
      </c>
      <c r="B1291" t="s">
        <v>678</v>
      </c>
      <c r="C1291" t="s">
        <v>1188</v>
      </c>
      <c r="D1291" t="s">
        <v>27</v>
      </c>
      <c r="E1291" t="s">
        <v>1349</v>
      </c>
      <c r="G1291" t="s">
        <v>1226</v>
      </c>
      <c r="H1291" t="s">
        <v>907</v>
      </c>
      <c r="I1291" t="s">
        <v>150</v>
      </c>
      <c r="J1291" t="s">
        <v>1782</v>
      </c>
    </row>
    <row r="1292" spans="1:10" x14ac:dyDescent="0.25">
      <c r="A1292" s="43" t="s">
        <v>4396</v>
      </c>
      <c r="B1292" t="s">
        <v>678</v>
      </c>
      <c r="C1292" t="s">
        <v>1188</v>
      </c>
      <c r="D1292" t="s">
        <v>27</v>
      </c>
      <c r="E1292" t="s">
        <v>1349</v>
      </c>
      <c r="G1292" t="s">
        <v>8</v>
      </c>
      <c r="H1292" t="s">
        <v>907</v>
      </c>
      <c r="I1292" t="s">
        <v>150</v>
      </c>
      <c r="J1292" t="s">
        <v>1782</v>
      </c>
    </row>
    <row r="1293" spans="1:10" x14ac:dyDescent="0.25">
      <c r="A1293" s="43" t="s">
        <v>4304</v>
      </c>
      <c r="B1293" t="s">
        <v>678</v>
      </c>
      <c r="C1293" t="s">
        <v>1188</v>
      </c>
      <c r="D1293" t="s">
        <v>27</v>
      </c>
      <c r="E1293" t="s">
        <v>1349</v>
      </c>
      <c r="G1293" t="s">
        <v>1320</v>
      </c>
      <c r="H1293" t="s">
        <v>907</v>
      </c>
      <c r="I1293" t="s">
        <v>150</v>
      </c>
      <c r="J1293" t="s">
        <v>1782</v>
      </c>
    </row>
    <row r="1294" spans="1:10" x14ac:dyDescent="0.25">
      <c r="A1294" s="43" t="s">
        <v>4242</v>
      </c>
      <c r="B1294" t="s">
        <v>678</v>
      </c>
      <c r="C1294" t="s">
        <v>1188</v>
      </c>
      <c r="D1294" t="s">
        <v>27</v>
      </c>
      <c r="E1294" t="s">
        <v>1349</v>
      </c>
      <c r="G1294" t="s">
        <v>1290</v>
      </c>
      <c r="H1294" t="s">
        <v>907</v>
      </c>
      <c r="I1294" t="s">
        <v>150</v>
      </c>
      <c r="J1294" t="s">
        <v>1782</v>
      </c>
    </row>
    <row r="1295" spans="1:10" x14ac:dyDescent="0.25">
      <c r="A1295" s="43" t="s">
        <v>2722</v>
      </c>
      <c r="B1295" t="s">
        <v>741</v>
      </c>
      <c r="C1295" t="s">
        <v>1177</v>
      </c>
      <c r="D1295" t="s">
        <v>1213</v>
      </c>
      <c r="E1295" t="s">
        <v>1323</v>
      </c>
      <c r="G1295" t="s">
        <v>1224</v>
      </c>
      <c r="H1295" t="s">
        <v>1225</v>
      </c>
      <c r="J1295" t="s">
        <v>1752</v>
      </c>
    </row>
    <row r="1296" spans="1:10" x14ac:dyDescent="0.25">
      <c r="A1296" s="43" t="s">
        <v>3371</v>
      </c>
      <c r="B1296" t="s">
        <v>741</v>
      </c>
      <c r="C1296" t="s">
        <v>1177</v>
      </c>
      <c r="D1296" t="s">
        <v>1213</v>
      </c>
      <c r="E1296" t="s">
        <v>1323</v>
      </c>
      <c r="G1296" t="s">
        <v>1224</v>
      </c>
      <c r="H1296" t="s">
        <v>1225</v>
      </c>
      <c r="J1296" t="s">
        <v>1752</v>
      </c>
    </row>
    <row r="1297" spans="1:10" x14ac:dyDescent="0.25">
      <c r="A1297" s="43" t="s">
        <v>2682</v>
      </c>
      <c r="B1297" t="s">
        <v>741</v>
      </c>
      <c r="C1297" t="s">
        <v>1177</v>
      </c>
      <c r="D1297" t="s">
        <v>1213</v>
      </c>
      <c r="E1297" t="s">
        <v>1323</v>
      </c>
      <c r="G1297" t="s">
        <v>1218</v>
      </c>
      <c r="H1297" t="s">
        <v>898</v>
      </c>
      <c r="J1297" t="s">
        <v>1752</v>
      </c>
    </row>
    <row r="1298" spans="1:10" x14ac:dyDescent="0.25">
      <c r="A1298" s="43" t="s">
        <v>3370</v>
      </c>
      <c r="B1298" t="s">
        <v>741</v>
      </c>
      <c r="C1298" t="s">
        <v>1177</v>
      </c>
      <c r="D1298" t="s">
        <v>1213</v>
      </c>
      <c r="E1298" t="s">
        <v>1323</v>
      </c>
      <c r="G1298" t="s">
        <v>1218</v>
      </c>
      <c r="H1298" t="s">
        <v>898</v>
      </c>
      <c r="J1298" t="s">
        <v>1752</v>
      </c>
    </row>
    <row r="1299" spans="1:10" x14ac:dyDescent="0.25">
      <c r="A1299" s="43" t="s">
        <v>2618</v>
      </c>
      <c r="B1299" t="s">
        <v>822</v>
      </c>
      <c r="C1299" t="s">
        <v>1188</v>
      </c>
      <c r="D1299" t="s">
        <v>197</v>
      </c>
      <c r="E1299" t="s">
        <v>1304</v>
      </c>
      <c r="G1299" t="s">
        <v>1226</v>
      </c>
      <c r="H1299" t="s">
        <v>907</v>
      </c>
      <c r="I1299" t="s">
        <v>159</v>
      </c>
      <c r="J1299" t="s">
        <v>1731</v>
      </c>
    </row>
    <row r="1300" spans="1:10" x14ac:dyDescent="0.25">
      <c r="A1300" s="43" t="s">
        <v>2617</v>
      </c>
      <c r="B1300" t="s">
        <v>822</v>
      </c>
      <c r="C1300" t="s">
        <v>1188</v>
      </c>
      <c r="D1300" t="s">
        <v>197</v>
      </c>
      <c r="E1300" t="s">
        <v>1304</v>
      </c>
      <c r="G1300" t="s">
        <v>8</v>
      </c>
      <c r="H1300" t="s">
        <v>907</v>
      </c>
      <c r="I1300" t="s">
        <v>159</v>
      </c>
      <c r="J1300" t="s">
        <v>1731</v>
      </c>
    </row>
    <row r="1301" spans="1:10" x14ac:dyDescent="0.25">
      <c r="A1301" s="43" t="s">
        <v>3799</v>
      </c>
      <c r="B1301" t="s">
        <v>822</v>
      </c>
      <c r="C1301" t="s">
        <v>1188</v>
      </c>
      <c r="D1301" t="s">
        <v>197</v>
      </c>
      <c r="E1301" t="s">
        <v>1304</v>
      </c>
      <c r="G1301" t="s">
        <v>1320</v>
      </c>
      <c r="H1301" t="s">
        <v>907</v>
      </c>
      <c r="I1301" t="s">
        <v>159</v>
      </c>
      <c r="J1301" t="s">
        <v>1731</v>
      </c>
    </row>
    <row r="1302" spans="1:10" x14ac:dyDescent="0.25">
      <c r="A1302" s="43" t="s">
        <v>917</v>
      </c>
      <c r="B1302" t="s">
        <v>54</v>
      </c>
      <c r="C1302" t="s">
        <v>1195</v>
      </c>
      <c r="D1302" t="s">
        <v>56</v>
      </c>
      <c r="E1302" t="s">
        <v>1307</v>
      </c>
      <c r="G1302" t="s">
        <v>1226</v>
      </c>
      <c r="H1302" t="s">
        <v>907</v>
      </c>
      <c r="I1302" t="s">
        <v>58</v>
      </c>
      <c r="J1302" t="s">
        <v>1738</v>
      </c>
    </row>
    <row r="1303" spans="1:10" x14ac:dyDescent="0.25">
      <c r="A1303" s="43" t="s">
        <v>1158</v>
      </c>
      <c r="B1303" t="s">
        <v>54</v>
      </c>
      <c r="C1303" t="s">
        <v>1195</v>
      </c>
      <c r="D1303" t="s">
        <v>56</v>
      </c>
      <c r="E1303" t="s">
        <v>1307</v>
      </c>
      <c r="G1303" t="s">
        <v>8</v>
      </c>
      <c r="H1303" t="s">
        <v>907</v>
      </c>
      <c r="I1303" t="s">
        <v>58</v>
      </c>
      <c r="J1303" t="s">
        <v>1738</v>
      </c>
    </row>
    <row r="1304" spans="1:10" x14ac:dyDescent="0.25">
      <c r="A1304" s="43" t="s">
        <v>974</v>
      </c>
      <c r="B1304" t="s">
        <v>54</v>
      </c>
      <c r="C1304" t="s">
        <v>1195</v>
      </c>
      <c r="D1304" t="s">
        <v>56</v>
      </c>
      <c r="E1304" t="s">
        <v>1307</v>
      </c>
      <c r="G1304" t="s">
        <v>1320</v>
      </c>
      <c r="H1304" t="s">
        <v>907</v>
      </c>
      <c r="I1304" t="s">
        <v>58</v>
      </c>
      <c r="J1304" t="s">
        <v>1738</v>
      </c>
    </row>
    <row r="1305" spans="1:10" x14ac:dyDescent="0.25">
      <c r="A1305" s="43" t="s">
        <v>2563</v>
      </c>
      <c r="B1305" t="s">
        <v>202</v>
      </c>
      <c r="C1305" t="s">
        <v>1195</v>
      </c>
      <c r="D1305" t="s">
        <v>203</v>
      </c>
      <c r="E1305" t="s">
        <v>1239</v>
      </c>
      <c r="G1305" t="s">
        <v>1226</v>
      </c>
      <c r="H1305" t="s">
        <v>907</v>
      </c>
      <c r="I1305" t="s">
        <v>2564</v>
      </c>
      <c r="J1305" t="s">
        <v>1723</v>
      </c>
    </row>
    <row r="1306" spans="1:10" x14ac:dyDescent="0.25">
      <c r="A1306" s="43" t="s">
        <v>2596</v>
      </c>
      <c r="B1306" t="s">
        <v>202</v>
      </c>
      <c r="C1306" t="s">
        <v>1195</v>
      </c>
      <c r="D1306" t="s">
        <v>203</v>
      </c>
      <c r="E1306" t="s">
        <v>1239</v>
      </c>
      <c r="G1306" t="s">
        <v>8</v>
      </c>
      <c r="H1306" t="s">
        <v>907</v>
      </c>
      <c r="I1306" t="s">
        <v>2564</v>
      </c>
      <c r="J1306" t="s">
        <v>1723</v>
      </c>
    </row>
    <row r="1307" spans="1:10" x14ac:dyDescent="0.25">
      <c r="A1307" s="43" t="s">
        <v>3794</v>
      </c>
      <c r="B1307" t="s">
        <v>202</v>
      </c>
      <c r="C1307" t="s">
        <v>1195</v>
      </c>
      <c r="D1307" t="s">
        <v>203</v>
      </c>
      <c r="E1307" t="s">
        <v>1239</v>
      </c>
      <c r="G1307" t="s">
        <v>1320</v>
      </c>
      <c r="H1307" t="s">
        <v>907</v>
      </c>
      <c r="I1307" t="s">
        <v>2564</v>
      </c>
      <c r="J1307" t="s">
        <v>1723</v>
      </c>
    </row>
    <row r="1308" spans="1:10" x14ac:dyDescent="0.25">
      <c r="A1308" s="43" t="s">
        <v>920</v>
      </c>
      <c r="B1308" t="s">
        <v>202</v>
      </c>
      <c r="C1308" t="s">
        <v>1195</v>
      </c>
      <c r="D1308" t="s">
        <v>203</v>
      </c>
      <c r="E1308" t="s">
        <v>1239</v>
      </c>
      <c r="G1308" t="s">
        <v>1226</v>
      </c>
      <c r="H1308" t="s">
        <v>907</v>
      </c>
      <c r="I1308" t="s">
        <v>2564</v>
      </c>
      <c r="J1308" t="s">
        <v>1723</v>
      </c>
    </row>
    <row r="1309" spans="1:10" x14ac:dyDescent="0.25">
      <c r="A1309" s="43" t="s">
        <v>919</v>
      </c>
      <c r="B1309" t="s">
        <v>202</v>
      </c>
      <c r="C1309" t="s">
        <v>1195</v>
      </c>
      <c r="D1309" t="s">
        <v>203</v>
      </c>
      <c r="E1309" t="s">
        <v>1239</v>
      </c>
      <c r="G1309" t="s">
        <v>8</v>
      </c>
      <c r="H1309" t="s">
        <v>907</v>
      </c>
      <c r="I1309" t="s">
        <v>2564</v>
      </c>
      <c r="J1309" t="s">
        <v>1723</v>
      </c>
    </row>
    <row r="1310" spans="1:10" x14ac:dyDescent="0.25">
      <c r="A1310" s="43" t="s">
        <v>928</v>
      </c>
      <c r="B1310" t="s">
        <v>202</v>
      </c>
      <c r="C1310" t="s">
        <v>1195</v>
      </c>
      <c r="D1310" t="s">
        <v>203</v>
      </c>
      <c r="E1310" t="s">
        <v>1239</v>
      </c>
      <c r="G1310" t="s">
        <v>1320</v>
      </c>
      <c r="H1310" t="s">
        <v>907</v>
      </c>
      <c r="I1310" t="s">
        <v>2564</v>
      </c>
      <c r="J1310" t="s">
        <v>1723</v>
      </c>
    </row>
    <row r="1311" spans="1:10" x14ac:dyDescent="0.25">
      <c r="A1311" s="43" t="s">
        <v>4101</v>
      </c>
      <c r="B1311" t="s">
        <v>290</v>
      </c>
      <c r="C1311" t="s">
        <v>1182</v>
      </c>
      <c r="D1311" t="s">
        <v>15</v>
      </c>
      <c r="E1311" t="s">
        <v>1338</v>
      </c>
      <c r="G1311" t="s">
        <v>1328</v>
      </c>
      <c r="H1311" t="s">
        <v>898</v>
      </c>
      <c r="I1311" t="s">
        <v>28</v>
      </c>
      <c r="J1311" t="s">
        <v>300</v>
      </c>
    </row>
    <row r="1312" spans="1:10" x14ac:dyDescent="0.25">
      <c r="A1312" s="43" t="s">
        <v>2721</v>
      </c>
      <c r="B1312" t="s">
        <v>290</v>
      </c>
      <c r="C1312" t="s">
        <v>1182</v>
      </c>
      <c r="D1312" t="s">
        <v>15</v>
      </c>
      <c r="E1312" t="s">
        <v>1338</v>
      </c>
      <c r="G1312" t="s">
        <v>1290</v>
      </c>
      <c r="H1312" t="s">
        <v>898</v>
      </c>
      <c r="I1312" t="s">
        <v>28</v>
      </c>
      <c r="J1312" t="s">
        <v>300</v>
      </c>
    </row>
    <row r="1313" spans="1:10" x14ac:dyDescent="0.25">
      <c r="A1313" s="43" t="s">
        <v>2630</v>
      </c>
      <c r="B1313" t="s">
        <v>290</v>
      </c>
      <c r="C1313" t="s">
        <v>1182</v>
      </c>
      <c r="D1313" t="s">
        <v>15</v>
      </c>
      <c r="E1313" t="s">
        <v>1338</v>
      </c>
      <c r="G1313" t="s">
        <v>1248</v>
      </c>
      <c r="H1313" t="s">
        <v>898</v>
      </c>
      <c r="I1313" t="s">
        <v>28</v>
      </c>
      <c r="J1313" t="s">
        <v>300</v>
      </c>
    </row>
    <row r="1314" spans="1:10" x14ac:dyDescent="0.25">
      <c r="A1314" s="43" t="s">
        <v>2565</v>
      </c>
      <c r="B1314" t="s">
        <v>290</v>
      </c>
      <c r="C1314" t="s">
        <v>1182</v>
      </c>
      <c r="D1314" t="s">
        <v>15</v>
      </c>
      <c r="E1314" t="s">
        <v>1338</v>
      </c>
      <c r="G1314" t="s">
        <v>8</v>
      </c>
      <c r="H1314" t="s">
        <v>898</v>
      </c>
      <c r="I1314" t="s">
        <v>28</v>
      </c>
      <c r="J1314" t="s">
        <v>300</v>
      </c>
    </row>
    <row r="1315" spans="1:10" x14ac:dyDescent="0.25">
      <c r="A1315" s="43" t="s">
        <v>4100</v>
      </c>
      <c r="B1315" t="s">
        <v>290</v>
      </c>
      <c r="C1315" t="s">
        <v>1182</v>
      </c>
      <c r="D1315" t="s">
        <v>15</v>
      </c>
      <c r="E1315" t="s">
        <v>1338</v>
      </c>
      <c r="G1315" t="s">
        <v>1320</v>
      </c>
      <c r="H1315" t="s">
        <v>898</v>
      </c>
      <c r="I1315" t="s">
        <v>28</v>
      </c>
      <c r="J1315" t="s">
        <v>300</v>
      </c>
    </row>
    <row r="1316" spans="1:10" x14ac:dyDescent="0.25">
      <c r="A1316" s="43" t="s">
        <v>3797</v>
      </c>
      <c r="B1316" t="s">
        <v>315</v>
      </c>
      <c r="C1316" t="s">
        <v>1189</v>
      </c>
      <c r="D1316" t="s">
        <v>84</v>
      </c>
      <c r="E1316" t="s">
        <v>1348</v>
      </c>
      <c r="G1316" t="s">
        <v>1328</v>
      </c>
      <c r="H1316" t="s">
        <v>898</v>
      </c>
      <c r="I1316" t="s">
        <v>327</v>
      </c>
      <c r="J1316" t="s">
        <v>328</v>
      </c>
    </row>
    <row r="1317" spans="1:10" x14ac:dyDescent="0.25">
      <c r="A1317" s="43" t="s">
        <v>4241</v>
      </c>
      <c r="B1317" t="s">
        <v>315</v>
      </c>
      <c r="C1317" t="s">
        <v>1189</v>
      </c>
      <c r="D1317" t="s">
        <v>84</v>
      </c>
      <c r="E1317" t="s">
        <v>1348</v>
      </c>
      <c r="G1317" t="s">
        <v>1290</v>
      </c>
      <c r="H1317" t="s">
        <v>898</v>
      </c>
      <c r="I1317" t="s">
        <v>327</v>
      </c>
      <c r="J1317" t="s">
        <v>328</v>
      </c>
    </row>
    <row r="1318" spans="1:10" x14ac:dyDescent="0.25">
      <c r="A1318" s="43" t="s">
        <v>4395</v>
      </c>
      <c r="B1318" t="s">
        <v>315</v>
      </c>
      <c r="C1318" t="s">
        <v>1189</v>
      </c>
      <c r="D1318" t="s">
        <v>84</v>
      </c>
      <c r="E1318" t="s">
        <v>1348</v>
      </c>
      <c r="G1318" t="s">
        <v>1248</v>
      </c>
      <c r="H1318" t="s">
        <v>898</v>
      </c>
      <c r="I1318" t="s">
        <v>327</v>
      </c>
      <c r="J1318" t="s">
        <v>328</v>
      </c>
    </row>
    <row r="1319" spans="1:10" x14ac:dyDescent="0.25">
      <c r="A1319" s="43" t="s">
        <v>4394</v>
      </c>
      <c r="B1319" t="s">
        <v>315</v>
      </c>
      <c r="C1319" t="s">
        <v>1189</v>
      </c>
      <c r="D1319" t="s">
        <v>84</v>
      </c>
      <c r="E1319" t="s">
        <v>1348</v>
      </c>
      <c r="G1319" t="s">
        <v>8</v>
      </c>
      <c r="H1319" t="s">
        <v>898</v>
      </c>
      <c r="I1319" t="s">
        <v>327</v>
      </c>
      <c r="J1319" t="s">
        <v>328</v>
      </c>
    </row>
    <row r="1320" spans="1:10" x14ac:dyDescent="0.25">
      <c r="A1320" s="43" t="s">
        <v>3796</v>
      </c>
      <c r="B1320" t="s">
        <v>315</v>
      </c>
      <c r="C1320" t="s">
        <v>1189</v>
      </c>
      <c r="D1320" t="s">
        <v>84</v>
      </c>
      <c r="E1320" t="s">
        <v>1348</v>
      </c>
      <c r="G1320" t="s">
        <v>1320</v>
      </c>
      <c r="H1320" t="s">
        <v>898</v>
      </c>
      <c r="I1320" t="s">
        <v>327</v>
      </c>
      <c r="J1320" t="s">
        <v>328</v>
      </c>
    </row>
    <row r="1321" spans="1:10" x14ac:dyDescent="0.25">
      <c r="A1321" s="43" t="s">
        <v>2720</v>
      </c>
      <c r="B1321" t="s">
        <v>348</v>
      </c>
      <c r="C1321" t="s">
        <v>1189</v>
      </c>
      <c r="D1321" t="s">
        <v>15</v>
      </c>
      <c r="E1321" t="s">
        <v>1348</v>
      </c>
      <c r="G1321" t="s">
        <v>1290</v>
      </c>
      <c r="H1321" t="s">
        <v>898</v>
      </c>
      <c r="I1321" t="s">
        <v>356</v>
      </c>
      <c r="J1321" t="s">
        <v>1841</v>
      </c>
    </row>
    <row r="1322" spans="1:10" x14ac:dyDescent="0.25">
      <c r="A1322" s="43" t="s">
        <v>2615</v>
      </c>
      <c r="B1322" t="s">
        <v>348</v>
      </c>
      <c r="C1322" t="s">
        <v>1189</v>
      </c>
      <c r="D1322" t="s">
        <v>15</v>
      </c>
      <c r="E1322" t="s">
        <v>1348</v>
      </c>
      <c r="G1322" t="s">
        <v>1248</v>
      </c>
      <c r="H1322" t="s">
        <v>898</v>
      </c>
      <c r="I1322" t="s">
        <v>356</v>
      </c>
      <c r="J1322" t="s">
        <v>1841</v>
      </c>
    </row>
    <row r="1323" spans="1:10" x14ac:dyDescent="0.25">
      <c r="A1323" s="43" t="s">
        <v>2629</v>
      </c>
      <c r="B1323" t="s">
        <v>348</v>
      </c>
      <c r="C1323" t="s">
        <v>1189</v>
      </c>
      <c r="D1323" t="s">
        <v>15</v>
      </c>
      <c r="E1323" t="s">
        <v>1348</v>
      </c>
      <c r="G1323" t="s">
        <v>8</v>
      </c>
      <c r="H1323" t="s">
        <v>898</v>
      </c>
      <c r="I1323" t="s">
        <v>356</v>
      </c>
      <c r="J1323" t="s">
        <v>1841</v>
      </c>
    </row>
    <row r="1324" spans="1:10" x14ac:dyDescent="0.25">
      <c r="A1324" s="43" t="s">
        <v>4303</v>
      </c>
      <c r="B1324" t="s">
        <v>348</v>
      </c>
      <c r="C1324" t="s">
        <v>1189</v>
      </c>
      <c r="D1324" t="s">
        <v>15</v>
      </c>
      <c r="E1324" t="s">
        <v>1348</v>
      </c>
      <c r="G1324" t="s">
        <v>1328</v>
      </c>
      <c r="H1324" t="s">
        <v>898</v>
      </c>
      <c r="I1324" t="s">
        <v>356</v>
      </c>
      <c r="J1324" t="s">
        <v>1841</v>
      </c>
    </row>
    <row r="1325" spans="1:10" x14ac:dyDescent="0.25">
      <c r="A1325" s="43" t="s">
        <v>3795</v>
      </c>
      <c r="B1325" t="s">
        <v>348</v>
      </c>
      <c r="C1325" t="s">
        <v>1189</v>
      </c>
      <c r="D1325" t="s">
        <v>15</v>
      </c>
      <c r="E1325" t="s">
        <v>1348</v>
      </c>
      <c r="G1325" t="s">
        <v>1320</v>
      </c>
      <c r="H1325" t="s">
        <v>898</v>
      </c>
      <c r="I1325" t="s">
        <v>356</v>
      </c>
      <c r="J1325" t="s">
        <v>1841</v>
      </c>
    </row>
    <row r="1326" spans="1:10" x14ac:dyDescent="0.25">
      <c r="A1326" s="43" t="s">
        <v>2614</v>
      </c>
      <c r="B1326" t="s">
        <v>586</v>
      </c>
      <c r="C1326" t="s">
        <v>1188</v>
      </c>
      <c r="D1326" t="s">
        <v>318</v>
      </c>
      <c r="E1326" t="s">
        <v>1262</v>
      </c>
      <c r="G1326" t="s">
        <v>1224</v>
      </c>
      <c r="H1326" t="s">
        <v>898</v>
      </c>
      <c r="I1326" t="s">
        <v>388</v>
      </c>
      <c r="J1326" t="s">
        <v>1668</v>
      </c>
    </row>
    <row r="1327" spans="1:10" x14ac:dyDescent="0.25">
      <c r="A1327" s="43" t="s">
        <v>4495</v>
      </c>
      <c r="B1327" t="s">
        <v>586</v>
      </c>
      <c r="C1327" t="s">
        <v>1188</v>
      </c>
      <c r="D1327" t="s">
        <v>318</v>
      </c>
      <c r="E1327" t="s">
        <v>1262</v>
      </c>
      <c r="G1327" t="s">
        <v>1218</v>
      </c>
      <c r="H1327" t="s">
        <v>898</v>
      </c>
      <c r="I1327" t="s">
        <v>388</v>
      </c>
      <c r="J1327" t="s">
        <v>1668</v>
      </c>
    </row>
    <row r="1328" spans="1:10" x14ac:dyDescent="0.25">
      <c r="A1328" s="43" t="s">
        <v>4099</v>
      </c>
      <c r="B1328" t="s">
        <v>132</v>
      </c>
      <c r="C1328" t="s">
        <v>1177</v>
      </c>
      <c r="D1328" t="s">
        <v>75</v>
      </c>
      <c r="E1328" t="s">
        <v>1355</v>
      </c>
      <c r="G1328" t="s">
        <v>1226</v>
      </c>
      <c r="H1328" t="s">
        <v>907</v>
      </c>
      <c r="I1328" t="s">
        <v>140</v>
      </c>
      <c r="J1328" t="s">
        <v>1806</v>
      </c>
    </row>
    <row r="1329" spans="1:10" x14ac:dyDescent="0.25">
      <c r="A1329" s="43" t="s">
        <v>2719</v>
      </c>
      <c r="B1329" t="s">
        <v>132</v>
      </c>
      <c r="C1329" t="s">
        <v>1177</v>
      </c>
      <c r="D1329" t="s">
        <v>75</v>
      </c>
      <c r="E1329" t="s">
        <v>1355</v>
      </c>
      <c r="G1329" t="s">
        <v>8</v>
      </c>
      <c r="H1329" t="s">
        <v>907</v>
      </c>
      <c r="I1329" t="s">
        <v>140</v>
      </c>
      <c r="J1329" t="s">
        <v>1806</v>
      </c>
    </row>
    <row r="1330" spans="1:10" x14ac:dyDescent="0.25">
      <c r="A1330" s="43" t="s">
        <v>4098</v>
      </c>
      <c r="B1330" t="s">
        <v>132</v>
      </c>
      <c r="C1330" t="s">
        <v>1177</v>
      </c>
      <c r="D1330" t="s">
        <v>75</v>
      </c>
      <c r="E1330" t="s">
        <v>1355</v>
      </c>
      <c r="G1330" t="s">
        <v>1320</v>
      </c>
      <c r="H1330" t="s">
        <v>898</v>
      </c>
      <c r="I1330" t="s">
        <v>140</v>
      </c>
      <c r="J1330" t="s">
        <v>1806</v>
      </c>
    </row>
    <row r="1331" spans="1:10" x14ac:dyDescent="0.25">
      <c r="A1331" s="43" t="s">
        <v>2628</v>
      </c>
      <c r="B1331" t="s">
        <v>202</v>
      </c>
      <c r="C1331" t="s">
        <v>1195</v>
      </c>
      <c r="D1331" t="s">
        <v>75</v>
      </c>
      <c r="E1331" t="s">
        <v>1239</v>
      </c>
      <c r="G1331" t="s">
        <v>1226</v>
      </c>
      <c r="H1331" t="s">
        <v>907</v>
      </c>
      <c r="I1331" t="s">
        <v>207</v>
      </c>
      <c r="J1331" t="s">
        <v>1749</v>
      </c>
    </row>
    <row r="1332" spans="1:10" x14ac:dyDescent="0.25">
      <c r="A1332" s="43" t="s">
        <v>2627</v>
      </c>
      <c r="B1332" t="s">
        <v>202</v>
      </c>
      <c r="C1332" t="s">
        <v>1195</v>
      </c>
      <c r="D1332" t="s">
        <v>75</v>
      </c>
      <c r="E1332" t="s">
        <v>1239</v>
      </c>
      <c r="G1332" t="s">
        <v>8</v>
      </c>
      <c r="H1332" t="s">
        <v>907</v>
      </c>
      <c r="I1332" t="s">
        <v>207</v>
      </c>
      <c r="J1332" t="s">
        <v>1749</v>
      </c>
    </row>
    <row r="1333" spans="1:10" x14ac:dyDescent="0.25">
      <c r="A1333" s="43" t="s">
        <v>3793</v>
      </c>
      <c r="B1333" t="s">
        <v>202</v>
      </c>
      <c r="C1333" t="s">
        <v>1195</v>
      </c>
      <c r="D1333" t="s">
        <v>75</v>
      </c>
      <c r="E1333" t="s">
        <v>1239</v>
      </c>
      <c r="G1333" t="s">
        <v>1320</v>
      </c>
      <c r="H1333" t="s">
        <v>898</v>
      </c>
      <c r="I1333" t="s">
        <v>207</v>
      </c>
      <c r="J1333" t="s">
        <v>1749</v>
      </c>
    </row>
    <row r="1334" spans="1:10" x14ac:dyDescent="0.25">
      <c r="A1334" s="43" t="s">
        <v>925</v>
      </c>
      <c r="B1334" t="s">
        <v>202</v>
      </c>
      <c r="C1334" t="s">
        <v>1195</v>
      </c>
      <c r="D1334" t="s">
        <v>75</v>
      </c>
      <c r="E1334" t="s">
        <v>1239</v>
      </c>
      <c r="G1334" t="s">
        <v>1226</v>
      </c>
      <c r="H1334" t="s">
        <v>907</v>
      </c>
      <c r="I1334" t="s">
        <v>207</v>
      </c>
      <c r="J1334" t="s">
        <v>1749</v>
      </c>
    </row>
    <row r="1335" spans="1:10" x14ac:dyDescent="0.25">
      <c r="A1335" s="43" t="s">
        <v>926</v>
      </c>
      <c r="B1335" t="s">
        <v>202</v>
      </c>
      <c r="C1335" t="s">
        <v>1195</v>
      </c>
      <c r="D1335" t="s">
        <v>75</v>
      </c>
      <c r="E1335" t="s">
        <v>1239</v>
      </c>
      <c r="G1335" t="s">
        <v>8</v>
      </c>
      <c r="H1335" t="s">
        <v>907</v>
      </c>
      <c r="I1335" t="s">
        <v>207</v>
      </c>
      <c r="J1335" t="s">
        <v>1749</v>
      </c>
    </row>
    <row r="1336" spans="1:10" x14ac:dyDescent="0.25">
      <c r="A1336" s="43" t="s">
        <v>927</v>
      </c>
      <c r="B1336" t="s">
        <v>202</v>
      </c>
      <c r="C1336" t="s">
        <v>1195</v>
      </c>
      <c r="D1336" t="s">
        <v>75</v>
      </c>
      <c r="E1336" t="s">
        <v>1239</v>
      </c>
      <c r="G1336" t="s">
        <v>1320</v>
      </c>
      <c r="H1336" t="s">
        <v>898</v>
      </c>
      <c r="I1336" t="s">
        <v>207</v>
      </c>
      <c r="J1336" t="s">
        <v>1749</v>
      </c>
    </row>
    <row r="1337" spans="1:10" x14ac:dyDescent="0.25">
      <c r="A1337" s="43" t="s">
        <v>2613</v>
      </c>
      <c r="B1337" t="s">
        <v>664</v>
      </c>
      <c r="C1337" t="s">
        <v>1178</v>
      </c>
      <c r="D1337" t="s">
        <v>1213</v>
      </c>
      <c r="E1337" t="s">
        <v>1473</v>
      </c>
      <c r="G1337" t="s">
        <v>1226</v>
      </c>
      <c r="H1337" t="s">
        <v>907</v>
      </c>
      <c r="I1337" t="s">
        <v>675</v>
      </c>
      <c r="J1337" t="s">
        <v>2080</v>
      </c>
    </row>
    <row r="1338" spans="1:10" x14ac:dyDescent="0.25">
      <c r="A1338" s="43" t="s">
        <v>2681</v>
      </c>
      <c r="B1338" t="s">
        <v>664</v>
      </c>
      <c r="C1338" t="s">
        <v>1178</v>
      </c>
      <c r="D1338" t="s">
        <v>1213</v>
      </c>
      <c r="E1338" t="s">
        <v>1473</v>
      </c>
      <c r="G1338" t="s">
        <v>8</v>
      </c>
      <c r="H1338" t="s">
        <v>907</v>
      </c>
      <c r="I1338" t="s">
        <v>675</v>
      </c>
      <c r="J1338" t="s">
        <v>2080</v>
      </c>
    </row>
    <row r="1339" spans="1:10" x14ac:dyDescent="0.25">
      <c r="A1339" s="43" t="s">
        <v>4097</v>
      </c>
      <c r="B1339" t="s">
        <v>664</v>
      </c>
      <c r="C1339" t="s">
        <v>1178</v>
      </c>
      <c r="D1339" t="s">
        <v>1213</v>
      </c>
      <c r="E1339" t="s">
        <v>1473</v>
      </c>
      <c r="G1339" t="s">
        <v>1320</v>
      </c>
      <c r="H1339" t="s">
        <v>907</v>
      </c>
      <c r="I1339" t="s">
        <v>675</v>
      </c>
      <c r="J1339" t="s">
        <v>2080</v>
      </c>
    </row>
    <row r="1340" spans="1:10" x14ac:dyDescent="0.25">
      <c r="A1340" s="43" t="s">
        <v>3792</v>
      </c>
      <c r="B1340" t="s">
        <v>592</v>
      </c>
      <c r="C1340" t="s">
        <v>1188</v>
      </c>
      <c r="D1340" t="s">
        <v>318</v>
      </c>
      <c r="G1340" t="s">
        <v>1283</v>
      </c>
      <c r="H1340" t="s">
        <v>898</v>
      </c>
      <c r="I1340" t="s">
        <v>395</v>
      </c>
      <c r="J1340" t="s">
        <v>2291</v>
      </c>
    </row>
    <row r="1341" spans="1:10" x14ac:dyDescent="0.25">
      <c r="A1341" s="43" t="s">
        <v>3791</v>
      </c>
      <c r="B1341" t="s">
        <v>592</v>
      </c>
      <c r="C1341" t="s">
        <v>1188</v>
      </c>
      <c r="D1341" t="s">
        <v>318</v>
      </c>
      <c r="G1341" t="s">
        <v>1224</v>
      </c>
      <c r="H1341" t="s">
        <v>1225</v>
      </c>
      <c r="I1341" t="s">
        <v>395</v>
      </c>
      <c r="J1341" t="s">
        <v>2291</v>
      </c>
    </row>
    <row r="1342" spans="1:10" x14ac:dyDescent="0.25">
      <c r="A1342" s="43" t="s">
        <v>3790</v>
      </c>
      <c r="B1342" t="s">
        <v>592</v>
      </c>
      <c r="C1342" t="s">
        <v>1188</v>
      </c>
      <c r="D1342" t="s">
        <v>318</v>
      </c>
      <c r="G1342" t="s">
        <v>1218</v>
      </c>
      <c r="H1342" t="s">
        <v>898</v>
      </c>
      <c r="I1342" t="s">
        <v>395</v>
      </c>
      <c r="J1342" t="s">
        <v>2291</v>
      </c>
    </row>
    <row r="1343" spans="1:10" x14ac:dyDescent="0.25">
      <c r="A1343" s="43" t="s">
        <v>3789</v>
      </c>
      <c r="B1343" t="s">
        <v>923</v>
      </c>
      <c r="C1343" t="s">
        <v>1185</v>
      </c>
      <c r="D1343" t="s">
        <v>1212</v>
      </c>
      <c r="G1343" t="s">
        <v>1224</v>
      </c>
      <c r="H1343" t="s">
        <v>1225</v>
      </c>
      <c r="I1343" t="s">
        <v>388</v>
      </c>
      <c r="J1343" t="s">
        <v>2282</v>
      </c>
    </row>
    <row r="1344" spans="1:10" x14ac:dyDescent="0.25">
      <c r="A1344" s="43" t="s">
        <v>3403</v>
      </c>
      <c r="B1344" t="s">
        <v>526</v>
      </c>
      <c r="C1344" t="s">
        <v>1208</v>
      </c>
      <c r="D1344" t="s">
        <v>318</v>
      </c>
      <c r="G1344" t="s">
        <v>1224</v>
      </c>
      <c r="H1344" t="s">
        <v>1225</v>
      </c>
      <c r="I1344" t="s">
        <v>100</v>
      </c>
      <c r="J1344" t="s">
        <v>3404</v>
      </c>
    </row>
    <row r="1345" spans="1:10" x14ac:dyDescent="0.25">
      <c r="A1345" s="43" t="s">
        <v>4096</v>
      </c>
      <c r="B1345" t="s">
        <v>678</v>
      </c>
      <c r="C1345" t="s">
        <v>1208</v>
      </c>
      <c r="D1345" t="s">
        <v>84</v>
      </c>
      <c r="G1345" t="s">
        <v>1218</v>
      </c>
      <c r="H1345" t="s">
        <v>898</v>
      </c>
      <c r="I1345" t="s">
        <v>312</v>
      </c>
      <c r="J1345" t="s">
        <v>2043</v>
      </c>
    </row>
    <row r="1346" spans="1:10" x14ac:dyDescent="0.25">
      <c r="A1346" s="43" t="s">
        <v>4095</v>
      </c>
      <c r="B1346" t="s">
        <v>592</v>
      </c>
      <c r="C1346" t="s">
        <v>1185</v>
      </c>
      <c r="D1346" t="s">
        <v>1216</v>
      </c>
      <c r="G1346" t="s">
        <v>1218</v>
      </c>
      <c r="H1346" t="s">
        <v>898</v>
      </c>
      <c r="I1346" t="s">
        <v>1302</v>
      </c>
      <c r="J1346" t="s">
        <v>2044</v>
      </c>
    </row>
    <row r="1347" spans="1:10" x14ac:dyDescent="0.25">
      <c r="A1347" s="43" t="s">
        <v>3788</v>
      </c>
      <c r="B1347" t="s">
        <v>61</v>
      </c>
      <c r="C1347" t="s">
        <v>1177</v>
      </c>
      <c r="D1347" t="s">
        <v>62</v>
      </c>
      <c r="E1347" t="s">
        <v>1247</v>
      </c>
      <c r="G1347" t="s">
        <v>1290</v>
      </c>
      <c r="H1347" t="s">
        <v>907</v>
      </c>
      <c r="I1347" t="s">
        <v>308</v>
      </c>
      <c r="J1347" t="s">
        <v>1812</v>
      </c>
    </row>
    <row r="1348" spans="1:10" x14ac:dyDescent="0.25">
      <c r="A1348" s="43" t="s">
        <v>3038</v>
      </c>
      <c r="B1348" t="s">
        <v>3039</v>
      </c>
      <c r="C1348" t="s">
        <v>1181</v>
      </c>
      <c r="D1348" t="s">
        <v>27</v>
      </c>
      <c r="E1348" t="s">
        <v>1297</v>
      </c>
      <c r="G1348" t="s">
        <v>1290</v>
      </c>
      <c r="H1348" t="s">
        <v>898</v>
      </c>
      <c r="I1348" t="s">
        <v>1346</v>
      </c>
      <c r="J1348" t="s">
        <v>446</v>
      </c>
    </row>
    <row r="1349" spans="1:10" x14ac:dyDescent="0.25">
      <c r="A1349" s="43" t="s">
        <v>2859</v>
      </c>
      <c r="B1349" t="s">
        <v>148</v>
      </c>
      <c r="C1349" t="s">
        <v>1180</v>
      </c>
      <c r="D1349" t="s">
        <v>27</v>
      </c>
      <c r="E1349" t="s">
        <v>1268</v>
      </c>
      <c r="G1349" t="s">
        <v>1290</v>
      </c>
      <c r="H1349" t="s">
        <v>907</v>
      </c>
      <c r="I1349" t="s">
        <v>2860</v>
      </c>
      <c r="J1349" t="s">
        <v>1989</v>
      </c>
    </row>
    <row r="1350" spans="1:10" x14ac:dyDescent="0.25">
      <c r="A1350" s="43" t="s">
        <v>3787</v>
      </c>
      <c r="B1350" t="s">
        <v>148</v>
      </c>
      <c r="C1350" t="s">
        <v>1177</v>
      </c>
      <c r="D1350" t="s">
        <v>15</v>
      </c>
      <c r="E1350" t="s">
        <v>1268</v>
      </c>
      <c r="G1350" t="s">
        <v>1290</v>
      </c>
      <c r="H1350" t="s">
        <v>907</v>
      </c>
      <c r="I1350" t="s">
        <v>513</v>
      </c>
      <c r="J1350" t="s">
        <v>1990</v>
      </c>
    </row>
    <row r="1351" spans="1:10" x14ac:dyDescent="0.25">
      <c r="A1351" s="43" t="s">
        <v>3036</v>
      </c>
      <c r="B1351" t="s">
        <v>3037</v>
      </c>
      <c r="C1351" t="s">
        <v>1184</v>
      </c>
      <c r="D1351" t="s">
        <v>84</v>
      </c>
      <c r="E1351" t="s">
        <v>1219</v>
      </c>
      <c r="G1351" t="s">
        <v>1290</v>
      </c>
      <c r="H1351" t="s">
        <v>898</v>
      </c>
      <c r="I1351" t="s">
        <v>28</v>
      </c>
      <c r="J1351" t="s">
        <v>723</v>
      </c>
    </row>
    <row r="1352" spans="1:10" x14ac:dyDescent="0.25">
      <c r="A1352" s="43" t="s">
        <v>4240</v>
      </c>
      <c r="B1352" t="s">
        <v>241</v>
      </c>
      <c r="C1352" t="s">
        <v>1177</v>
      </c>
      <c r="D1352" t="s">
        <v>27</v>
      </c>
      <c r="E1352" t="s">
        <v>1221</v>
      </c>
      <c r="G1352" t="s">
        <v>1290</v>
      </c>
      <c r="H1352" t="s">
        <v>907</v>
      </c>
      <c r="I1352" t="s">
        <v>480</v>
      </c>
      <c r="J1352" t="s">
        <v>2109</v>
      </c>
    </row>
    <row r="1353" spans="1:10" x14ac:dyDescent="0.25">
      <c r="A1353" s="43" t="s">
        <v>3035</v>
      </c>
      <c r="B1353" t="s">
        <v>241</v>
      </c>
      <c r="C1353" t="s">
        <v>1177</v>
      </c>
      <c r="D1353" t="s">
        <v>27</v>
      </c>
      <c r="E1353" t="s">
        <v>1221</v>
      </c>
      <c r="G1353" t="s">
        <v>1290</v>
      </c>
      <c r="H1353" t="s">
        <v>907</v>
      </c>
      <c r="I1353" t="s">
        <v>1487</v>
      </c>
      <c r="J1353" t="s">
        <v>2109</v>
      </c>
    </row>
    <row r="1354" spans="1:10" x14ac:dyDescent="0.25">
      <c r="A1354" s="43" t="s">
        <v>2775</v>
      </c>
      <c r="B1354" t="s">
        <v>245</v>
      </c>
      <c r="C1354" t="s">
        <v>1177</v>
      </c>
      <c r="D1354" t="s">
        <v>15</v>
      </c>
      <c r="E1354" t="s">
        <v>1239</v>
      </c>
      <c r="G1354" t="s">
        <v>1290</v>
      </c>
      <c r="H1354" t="s">
        <v>898</v>
      </c>
      <c r="I1354" t="s">
        <v>1534</v>
      </c>
      <c r="J1354" t="s">
        <v>2429</v>
      </c>
    </row>
    <row r="1355" spans="1:10" x14ac:dyDescent="0.25">
      <c r="A1355" s="43" t="s">
        <v>2680</v>
      </c>
      <c r="B1355" t="s">
        <v>249</v>
      </c>
      <c r="C1355" t="s">
        <v>1190</v>
      </c>
      <c r="D1355" t="s">
        <v>84</v>
      </c>
      <c r="E1355" t="s">
        <v>1221</v>
      </c>
      <c r="G1355" t="s">
        <v>1290</v>
      </c>
      <c r="H1355" t="s">
        <v>898</v>
      </c>
      <c r="I1355" t="s">
        <v>37</v>
      </c>
      <c r="J1355" t="s">
        <v>723</v>
      </c>
    </row>
    <row r="1356" spans="1:10" x14ac:dyDescent="0.25">
      <c r="A1356" s="43" t="s">
        <v>3402</v>
      </c>
      <c r="B1356" t="s">
        <v>263</v>
      </c>
      <c r="C1356" t="s">
        <v>1177</v>
      </c>
      <c r="E1356" t="s">
        <v>1230</v>
      </c>
      <c r="G1356" t="s">
        <v>1290</v>
      </c>
      <c r="H1356" t="s">
        <v>907</v>
      </c>
      <c r="I1356" t="s">
        <v>330</v>
      </c>
      <c r="J1356" t="s">
        <v>2258</v>
      </c>
    </row>
    <row r="1357" spans="1:10" x14ac:dyDescent="0.25">
      <c r="A1357" s="43" t="s">
        <v>2773</v>
      </c>
      <c r="B1357" t="s">
        <v>2774</v>
      </c>
      <c r="C1357" t="s">
        <v>1184</v>
      </c>
      <c r="D1357" t="s">
        <v>84</v>
      </c>
      <c r="E1357" t="s">
        <v>1268</v>
      </c>
      <c r="G1357" t="s">
        <v>1290</v>
      </c>
      <c r="H1357" t="s">
        <v>898</v>
      </c>
      <c r="I1357" t="s">
        <v>334</v>
      </c>
      <c r="J1357" t="s">
        <v>1739</v>
      </c>
    </row>
    <row r="1358" spans="1:10" x14ac:dyDescent="0.25">
      <c r="A1358" s="43" t="s">
        <v>3401</v>
      </c>
      <c r="B1358" t="s">
        <v>315</v>
      </c>
      <c r="C1358" t="s">
        <v>1189</v>
      </c>
      <c r="D1358" t="s">
        <v>84</v>
      </c>
      <c r="E1358" t="s">
        <v>1265</v>
      </c>
      <c r="G1358" t="s">
        <v>1290</v>
      </c>
      <c r="H1358" t="s">
        <v>898</v>
      </c>
      <c r="I1358" t="s">
        <v>321</v>
      </c>
      <c r="J1358" t="s">
        <v>1968</v>
      </c>
    </row>
    <row r="1359" spans="1:10" x14ac:dyDescent="0.25">
      <c r="A1359" s="43" t="s">
        <v>3034</v>
      </c>
      <c r="B1359" t="s">
        <v>337</v>
      </c>
      <c r="C1359" t="s">
        <v>1189</v>
      </c>
      <c r="D1359" t="s">
        <v>84</v>
      </c>
      <c r="E1359" t="s">
        <v>1281</v>
      </c>
      <c r="G1359" t="s">
        <v>1290</v>
      </c>
      <c r="H1359" t="s">
        <v>898</v>
      </c>
      <c r="I1359" t="s">
        <v>37</v>
      </c>
      <c r="J1359" t="s">
        <v>1873</v>
      </c>
    </row>
    <row r="1360" spans="1:10" x14ac:dyDescent="0.25">
      <c r="A1360" s="43" t="s">
        <v>3400</v>
      </c>
      <c r="B1360" t="s">
        <v>378</v>
      </c>
      <c r="C1360" t="s">
        <v>1184</v>
      </c>
      <c r="D1360" t="s">
        <v>62</v>
      </c>
      <c r="E1360" t="s">
        <v>1279</v>
      </c>
      <c r="G1360" t="s">
        <v>1290</v>
      </c>
      <c r="H1360" t="s">
        <v>898</v>
      </c>
      <c r="I1360" t="s">
        <v>1254</v>
      </c>
      <c r="J1360" t="s">
        <v>1959</v>
      </c>
    </row>
    <row r="1361" spans="1:10" x14ac:dyDescent="0.25">
      <c r="A1361" s="43" t="s">
        <v>3399</v>
      </c>
      <c r="B1361" t="s">
        <v>378</v>
      </c>
      <c r="C1361" t="s">
        <v>1184</v>
      </c>
      <c r="D1361" t="s">
        <v>62</v>
      </c>
      <c r="E1361" t="s">
        <v>1279</v>
      </c>
      <c r="G1361" t="s">
        <v>1290</v>
      </c>
      <c r="H1361" t="s">
        <v>898</v>
      </c>
      <c r="I1361" t="s">
        <v>1552</v>
      </c>
      <c r="J1361" t="s">
        <v>1959</v>
      </c>
    </row>
    <row r="1362" spans="1:10" x14ac:dyDescent="0.25">
      <c r="A1362" s="43" t="s">
        <v>3398</v>
      </c>
      <c r="B1362" t="s">
        <v>378</v>
      </c>
      <c r="C1362" t="s">
        <v>1184</v>
      </c>
      <c r="D1362" t="s">
        <v>62</v>
      </c>
      <c r="E1362" t="s">
        <v>1279</v>
      </c>
      <c r="G1362" t="s">
        <v>1290</v>
      </c>
      <c r="H1362" t="s">
        <v>898</v>
      </c>
      <c r="I1362" t="s">
        <v>1552</v>
      </c>
      <c r="J1362" t="s">
        <v>1959</v>
      </c>
    </row>
    <row r="1363" spans="1:10" x14ac:dyDescent="0.25">
      <c r="A1363" s="43" t="s">
        <v>3396</v>
      </c>
      <c r="B1363" t="s">
        <v>441</v>
      </c>
      <c r="C1363" t="s">
        <v>1177</v>
      </c>
      <c r="D1363" t="s">
        <v>15</v>
      </c>
      <c r="E1363" t="s">
        <v>1228</v>
      </c>
      <c r="G1363" t="s">
        <v>1290</v>
      </c>
      <c r="H1363" t="s">
        <v>907</v>
      </c>
      <c r="I1363" t="s">
        <v>1398</v>
      </c>
      <c r="J1363" t="s">
        <v>3397</v>
      </c>
    </row>
    <row r="1364" spans="1:10" x14ac:dyDescent="0.25">
      <c r="A1364" s="43" t="s">
        <v>3395</v>
      </c>
      <c r="B1364" t="s">
        <v>479</v>
      </c>
      <c r="C1364" t="s">
        <v>1177</v>
      </c>
      <c r="D1364" t="s">
        <v>27</v>
      </c>
      <c r="E1364" t="s">
        <v>1268</v>
      </c>
      <c r="G1364" t="s">
        <v>1290</v>
      </c>
      <c r="H1364" t="s">
        <v>907</v>
      </c>
      <c r="I1364" t="s">
        <v>1342</v>
      </c>
      <c r="J1364" t="s">
        <v>1771</v>
      </c>
    </row>
    <row r="1365" spans="1:10" x14ac:dyDescent="0.25">
      <c r="A1365" s="43" t="s">
        <v>3033</v>
      </c>
      <c r="B1365" t="s">
        <v>479</v>
      </c>
      <c r="C1365" t="s">
        <v>1177</v>
      </c>
      <c r="D1365" t="s">
        <v>27</v>
      </c>
      <c r="E1365" t="s">
        <v>1268</v>
      </c>
      <c r="G1365" t="s">
        <v>1290</v>
      </c>
      <c r="H1365" t="s">
        <v>907</v>
      </c>
      <c r="I1365" t="s">
        <v>1486</v>
      </c>
      <c r="J1365" t="s">
        <v>1771</v>
      </c>
    </row>
    <row r="1366" spans="1:10" x14ac:dyDescent="0.25">
      <c r="A1366" s="43" t="s">
        <v>3032</v>
      </c>
      <c r="B1366" t="s">
        <v>505</v>
      </c>
      <c r="C1366" t="s">
        <v>1183</v>
      </c>
      <c r="D1366" t="s">
        <v>15</v>
      </c>
      <c r="E1366" t="s">
        <v>1281</v>
      </c>
      <c r="G1366" t="s">
        <v>1290</v>
      </c>
      <c r="H1366" t="s">
        <v>907</v>
      </c>
      <c r="I1366" t="s">
        <v>545</v>
      </c>
      <c r="J1366" t="s">
        <v>2248</v>
      </c>
    </row>
    <row r="1367" spans="1:10" x14ac:dyDescent="0.25">
      <c r="A1367" s="43" t="s">
        <v>4239</v>
      </c>
      <c r="B1367" t="s">
        <v>548</v>
      </c>
      <c r="C1367" t="s">
        <v>1177</v>
      </c>
      <c r="D1367" t="s">
        <v>56</v>
      </c>
      <c r="E1367" t="s">
        <v>1351</v>
      </c>
      <c r="G1367" t="s">
        <v>1290</v>
      </c>
      <c r="H1367" t="s">
        <v>907</v>
      </c>
      <c r="I1367" t="s">
        <v>278</v>
      </c>
      <c r="J1367" t="s">
        <v>1848</v>
      </c>
    </row>
    <row r="1368" spans="1:10" x14ac:dyDescent="0.25">
      <c r="A1368" s="43" t="s">
        <v>3026</v>
      </c>
      <c r="B1368" t="s">
        <v>572</v>
      </c>
      <c r="C1368" t="s">
        <v>1177</v>
      </c>
      <c r="D1368" t="s">
        <v>1433</v>
      </c>
      <c r="E1368" t="s">
        <v>1285</v>
      </c>
      <c r="G1368" t="s">
        <v>1290</v>
      </c>
      <c r="H1368" t="s">
        <v>907</v>
      </c>
      <c r="I1368" t="s">
        <v>423</v>
      </c>
      <c r="J1368" t="s">
        <v>2013</v>
      </c>
    </row>
    <row r="1369" spans="1:10" x14ac:dyDescent="0.25">
      <c r="A1369" s="43" t="s">
        <v>3394</v>
      </c>
      <c r="B1369" t="s">
        <v>586</v>
      </c>
      <c r="C1369" t="s">
        <v>1177</v>
      </c>
      <c r="D1369" t="s">
        <v>1212</v>
      </c>
      <c r="E1369" t="s">
        <v>1247</v>
      </c>
      <c r="G1369" t="s">
        <v>1290</v>
      </c>
      <c r="H1369" t="s">
        <v>898</v>
      </c>
    </row>
    <row r="1370" spans="1:10" x14ac:dyDescent="0.25">
      <c r="A1370" s="43" t="s">
        <v>4238</v>
      </c>
      <c r="B1370" t="s">
        <v>592</v>
      </c>
      <c r="C1370" t="s">
        <v>1188</v>
      </c>
      <c r="D1370" t="s">
        <v>62</v>
      </c>
      <c r="E1370" t="s">
        <v>1239</v>
      </c>
      <c r="G1370" t="s">
        <v>1290</v>
      </c>
      <c r="H1370" t="s">
        <v>907</v>
      </c>
      <c r="I1370" t="s">
        <v>549</v>
      </c>
      <c r="J1370" t="s">
        <v>2257</v>
      </c>
    </row>
    <row r="1371" spans="1:10" x14ac:dyDescent="0.25">
      <c r="A1371" s="43" t="s">
        <v>4237</v>
      </c>
      <c r="B1371" t="s">
        <v>592</v>
      </c>
      <c r="C1371" t="s">
        <v>1180</v>
      </c>
      <c r="D1371" t="s">
        <v>62</v>
      </c>
      <c r="E1371" t="s">
        <v>1268</v>
      </c>
      <c r="G1371" t="s">
        <v>1290</v>
      </c>
      <c r="H1371" t="s">
        <v>898</v>
      </c>
      <c r="I1371" t="s">
        <v>1260</v>
      </c>
      <c r="J1371" t="s">
        <v>1985</v>
      </c>
    </row>
    <row r="1372" spans="1:10" x14ac:dyDescent="0.25">
      <c r="A1372" s="43" t="s">
        <v>2857</v>
      </c>
      <c r="B1372" t="s">
        <v>664</v>
      </c>
      <c r="C1372" t="s">
        <v>1178</v>
      </c>
      <c r="D1372" t="s">
        <v>1433</v>
      </c>
      <c r="E1372" t="s">
        <v>1305</v>
      </c>
      <c r="G1372" t="s">
        <v>1290</v>
      </c>
      <c r="H1372" t="s">
        <v>907</v>
      </c>
      <c r="I1372" t="s">
        <v>2858</v>
      </c>
      <c r="J1372" t="s">
        <v>1991</v>
      </c>
    </row>
    <row r="1373" spans="1:10" x14ac:dyDescent="0.25">
      <c r="A1373" s="43" t="s">
        <v>3393</v>
      </c>
      <c r="B1373" t="s">
        <v>678</v>
      </c>
      <c r="C1373" t="s">
        <v>1188</v>
      </c>
      <c r="D1373" t="s">
        <v>62</v>
      </c>
      <c r="E1373" t="s">
        <v>1230</v>
      </c>
      <c r="G1373" t="s">
        <v>1290</v>
      </c>
      <c r="H1373" t="s">
        <v>907</v>
      </c>
      <c r="I1373" t="s">
        <v>1366</v>
      </c>
      <c r="J1373" t="s">
        <v>1813</v>
      </c>
    </row>
    <row r="1374" spans="1:10" x14ac:dyDescent="0.25">
      <c r="A1374" s="43" t="s">
        <v>3031</v>
      </c>
      <c r="B1374" t="s">
        <v>678</v>
      </c>
      <c r="C1374" t="s">
        <v>1188</v>
      </c>
      <c r="D1374" t="s">
        <v>15</v>
      </c>
      <c r="E1374" t="s">
        <v>1249</v>
      </c>
      <c r="G1374" t="s">
        <v>1290</v>
      </c>
      <c r="H1374" t="s">
        <v>907</v>
      </c>
      <c r="I1374" t="s">
        <v>1277</v>
      </c>
      <c r="J1374" t="s">
        <v>2305</v>
      </c>
    </row>
    <row r="1375" spans="1:10" x14ac:dyDescent="0.25">
      <c r="A1375" s="43" t="s">
        <v>2863</v>
      </c>
      <c r="B1375" t="s">
        <v>678</v>
      </c>
      <c r="C1375" t="s">
        <v>1180</v>
      </c>
      <c r="D1375" t="s">
        <v>1212</v>
      </c>
      <c r="E1375" t="s">
        <v>1239</v>
      </c>
      <c r="G1375" t="s">
        <v>1290</v>
      </c>
      <c r="H1375" t="s">
        <v>898</v>
      </c>
      <c r="I1375" t="s">
        <v>1260</v>
      </c>
      <c r="J1375" t="s">
        <v>1803</v>
      </c>
    </row>
    <row r="1376" spans="1:10" x14ac:dyDescent="0.25">
      <c r="A1376" s="43" t="s">
        <v>3392</v>
      </c>
      <c r="B1376" t="s">
        <v>678</v>
      </c>
      <c r="C1376" t="s">
        <v>1177</v>
      </c>
      <c r="D1376" t="s">
        <v>62</v>
      </c>
      <c r="E1376" t="s">
        <v>1247</v>
      </c>
      <c r="G1376" t="s">
        <v>1290</v>
      </c>
      <c r="H1376" t="s">
        <v>907</v>
      </c>
      <c r="I1376" t="s">
        <v>722</v>
      </c>
      <c r="J1376" t="s">
        <v>1967</v>
      </c>
    </row>
    <row r="1377" spans="1:10" x14ac:dyDescent="0.25">
      <c r="A1377" s="43" t="s">
        <v>3030</v>
      </c>
      <c r="B1377" t="s">
        <v>711</v>
      </c>
      <c r="C1377" t="s">
        <v>1179</v>
      </c>
      <c r="D1377" t="s">
        <v>62</v>
      </c>
      <c r="E1377" t="s">
        <v>1281</v>
      </c>
      <c r="G1377" t="s">
        <v>1290</v>
      </c>
      <c r="H1377" t="s">
        <v>898</v>
      </c>
      <c r="I1377" t="s">
        <v>45</v>
      </c>
      <c r="J1377" t="s">
        <v>2008</v>
      </c>
    </row>
    <row r="1378" spans="1:10" x14ac:dyDescent="0.25">
      <c r="A1378" s="43" t="s">
        <v>3391</v>
      </c>
      <c r="B1378" t="s">
        <v>711</v>
      </c>
      <c r="C1378" t="s">
        <v>1179</v>
      </c>
      <c r="D1378" t="s">
        <v>62</v>
      </c>
      <c r="E1378" t="s">
        <v>1281</v>
      </c>
      <c r="G1378" t="s">
        <v>1290</v>
      </c>
      <c r="H1378" t="s">
        <v>898</v>
      </c>
      <c r="I1378" t="s">
        <v>722</v>
      </c>
      <c r="J1378" t="s">
        <v>2008</v>
      </c>
    </row>
    <row r="1379" spans="1:10" x14ac:dyDescent="0.25">
      <c r="A1379" s="43" t="s">
        <v>3029</v>
      </c>
      <c r="B1379" t="s">
        <v>725</v>
      </c>
      <c r="C1379" t="s">
        <v>1181</v>
      </c>
      <c r="D1379" t="s">
        <v>84</v>
      </c>
      <c r="E1379" t="s">
        <v>1265</v>
      </c>
      <c r="G1379" t="s">
        <v>1290</v>
      </c>
      <c r="H1379" t="s">
        <v>898</v>
      </c>
      <c r="I1379" t="s">
        <v>33</v>
      </c>
      <c r="J1379" t="s">
        <v>1822</v>
      </c>
    </row>
    <row r="1380" spans="1:10" x14ac:dyDescent="0.25">
      <c r="A1380" s="43" t="s">
        <v>2861</v>
      </c>
      <c r="B1380" t="s">
        <v>749</v>
      </c>
      <c r="C1380" t="s">
        <v>1177</v>
      </c>
      <c r="D1380" t="s">
        <v>27</v>
      </c>
      <c r="E1380" t="s">
        <v>1223</v>
      </c>
      <c r="G1380" t="s">
        <v>1290</v>
      </c>
      <c r="H1380" t="s">
        <v>907</v>
      </c>
      <c r="I1380" t="s">
        <v>2862</v>
      </c>
      <c r="J1380" t="s">
        <v>2324</v>
      </c>
    </row>
    <row r="1381" spans="1:10" x14ac:dyDescent="0.25">
      <c r="A1381" s="43" t="s">
        <v>3028</v>
      </c>
      <c r="B1381" t="s">
        <v>773</v>
      </c>
      <c r="C1381" t="s">
        <v>1181</v>
      </c>
      <c r="D1381" t="s">
        <v>84</v>
      </c>
      <c r="E1381" t="s">
        <v>1268</v>
      </c>
      <c r="G1381" t="s">
        <v>1290</v>
      </c>
      <c r="H1381" t="s">
        <v>907</v>
      </c>
      <c r="I1381" t="s">
        <v>399</v>
      </c>
      <c r="J1381" t="s">
        <v>1772</v>
      </c>
    </row>
    <row r="1382" spans="1:10" x14ac:dyDescent="0.25">
      <c r="A1382" s="43" t="s">
        <v>3027</v>
      </c>
      <c r="B1382" t="s">
        <v>773</v>
      </c>
      <c r="C1382" t="s">
        <v>1181</v>
      </c>
      <c r="D1382" t="s">
        <v>84</v>
      </c>
      <c r="E1382" t="s">
        <v>1268</v>
      </c>
      <c r="G1382" t="s">
        <v>1290</v>
      </c>
      <c r="H1382" t="s">
        <v>907</v>
      </c>
      <c r="I1382" t="s">
        <v>399</v>
      </c>
      <c r="J1382" t="s">
        <v>1772</v>
      </c>
    </row>
    <row r="1383" spans="1:10" x14ac:dyDescent="0.25">
      <c r="A1383" s="43" t="s">
        <v>2625</v>
      </c>
      <c r="B1383" t="s">
        <v>2626</v>
      </c>
      <c r="C1383" t="s">
        <v>1179</v>
      </c>
      <c r="D1383" t="s">
        <v>27</v>
      </c>
      <c r="E1383" t="s">
        <v>1265</v>
      </c>
      <c r="G1383" t="s">
        <v>1290</v>
      </c>
      <c r="H1383" t="s">
        <v>907</v>
      </c>
      <c r="I1383" t="s">
        <v>765</v>
      </c>
      <c r="J1383" t="s">
        <v>1857</v>
      </c>
    </row>
    <row r="1384" spans="1:10" x14ac:dyDescent="0.25">
      <c r="A1384" s="43" t="s">
        <v>3390</v>
      </c>
      <c r="B1384" t="s">
        <v>2626</v>
      </c>
      <c r="C1384" t="s">
        <v>1179</v>
      </c>
      <c r="D1384" t="s">
        <v>27</v>
      </c>
      <c r="E1384" t="s">
        <v>1265</v>
      </c>
      <c r="G1384" t="s">
        <v>1290</v>
      </c>
      <c r="H1384" t="s">
        <v>907</v>
      </c>
      <c r="I1384" t="s">
        <v>2620</v>
      </c>
      <c r="J1384" t="s">
        <v>1857</v>
      </c>
    </row>
    <row r="1385" spans="1:10" x14ac:dyDescent="0.25">
      <c r="A1385" s="43" t="s">
        <v>3389</v>
      </c>
      <c r="B1385" t="s">
        <v>2650</v>
      </c>
      <c r="C1385" t="s">
        <v>1181</v>
      </c>
      <c r="D1385" t="s">
        <v>62</v>
      </c>
      <c r="E1385" t="s">
        <v>1268</v>
      </c>
      <c r="G1385" t="s">
        <v>1290</v>
      </c>
      <c r="H1385" t="s">
        <v>907</v>
      </c>
      <c r="I1385" t="s">
        <v>33</v>
      </c>
      <c r="J1385" t="s">
        <v>1826</v>
      </c>
    </row>
    <row r="1386" spans="1:10" x14ac:dyDescent="0.25">
      <c r="A1386" s="43" t="s">
        <v>3387</v>
      </c>
      <c r="B1386" t="s">
        <v>822</v>
      </c>
      <c r="C1386" t="s">
        <v>1188</v>
      </c>
      <c r="D1386" t="s">
        <v>15</v>
      </c>
      <c r="E1386" t="s">
        <v>1228</v>
      </c>
      <c r="G1386" t="s">
        <v>1290</v>
      </c>
      <c r="H1386" t="s">
        <v>907</v>
      </c>
      <c r="I1386" t="s">
        <v>111</v>
      </c>
      <c r="J1386" t="s">
        <v>3388</v>
      </c>
    </row>
    <row r="1387" spans="1:10" x14ac:dyDescent="0.25">
      <c r="A1387" s="43" t="s">
        <v>3386</v>
      </c>
      <c r="B1387" t="s">
        <v>822</v>
      </c>
      <c r="C1387" t="s">
        <v>1177</v>
      </c>
      <c r="D1387" t="s">
        <v>62</v>
      </c>
      <c r="E1387" t="s">
        <v>1239</v>
      </c>
      <c r="G1387" t="s">
        <v>1290</v>
      </c>
      <c r="H1387" t="s">
        <v>907</v>
      </c>
      <c r="I1387" t="s">
        <v>1430</v>
      </c>
      <c r="J1387" t="s">
        <v>1985</v>
      </c>
    </row>
    <row r="1388" spans="1:10" x14ac:dyDescent="0.25">
      <c r="A1388" s="43" t="s">
        <v>2556</v>
      </c>
      <c r="B1388" t="s">
        <v>2526</v>
      </c>
      <c r="C1388" t="s">
        <v>1178</v>
      </c>
      <c r="D1388" t="s">
        <v>84</v>
      </c>
      <c r="E1388" t="s">
        <v>1266</v>
      </c>
      <c r="G1388" t="s">
        <v>1218</v>
      </c>
      <c r="H1388" t="s">
        <v>898</v>
      </c>
      <c r="I1388" t="s">
        <v>1267</v>
      </c>
      <c r="J1388" t="s">
        <v>1674</v>
      </c>
    </row>
    <row r="1389" spans="1:10" x14ac:dyDescent="0.25">
      <c r="A1389" s="43" t="s">
        <v>2555</v>
      </c>
      <c r="B1389" t="s">
        <v>245</v>
      </c>
      <c r="C1389" t="s">
        <v>1184</v>
      </c>
      <c r="D1389" t="s">
        <v>1214</v>
      </c>
      <c r="E1389" t="s">
        <v>1269</v>
      </c>
      <c r="G1389" t="s">
        <v>1218</v>
      </c>
      <c r="H1389" t="s">
        <v>898</v>
      </c>
      <c r="I1389" t="s">
        <v>1270</v>
      </c>
      <c r="J1389" t="s">
        <v>1676</v>
      </c>
    </row>
    <row r="1390" spans="1:10" x14ac:dyDescent="0.25">
      <c r="A1390" s="43" t="s">
        <v>2498</v>
      </c>
      <c r="B1390" t="s">
        <v>1633</v>
      </c>
      <c r="C1390" t="s">
        <v>1178</v>
      </c>
      <c r="D1390" t="s">
        <v>62</v>
      </c>
      <c r="E1390" t="s">
        <v>1219</v>
      </c>
      <c r="G1390" t="s">
        <v>1218</v>
      </c>
      <c r="H1390" t="s">
        <v>898</v>
      </c>
      <c r="I1390" t="s">
        <v>1220</v>
      </c>
      <c r="J1390" t="s">
        <v>1635</v>
      </c>
    </row>
    <row r="1391" spans="1:10" x14ac:dyDescent="0.25">
      <c r="A1391" s="43" t="s">
        <v>2772</v>
      </c>
      <c r="B1391" t="s">
        <v>263</v>
      </c>
      <c r="C1391" t="s">
        <v>1177</v>
      </c>
      <c r="D1391" t="s">
        <v>1212</v>
      </c>
      <c r="E1391" t="s">
        <v>1407</v>
      </c>
      <c r="G1391" t="s">
        <v>1218</v>
      </c>
      <c r="H1391" t="s">
        <v>898</v>
      </c>
      <c r="I1391" t="s">
        <v>1408</v>
      </c>
      <c r="J1391" t="s">
        <v>1926</v>
      </c>
    </row>
    <row r="1392" spans="1:10" x14ac:dyDescent="0.25">
      <c r="A1392" s="43" t="s">
        <v>2554</v>
      </c>
      <c r="B1392" t="s">
        <v>315</v>
      </c>
      <c r="C1392" t="s">
        <v>1189</v>
      </c>
      <c r="D1392" t="s">
        <v>84</v>
      </c>
      <c r="E1392" t="s">
        <v>1265</v>
      </c>
      <c r="G1392" t="s">
        <v>1218</v>
      </c>
      <c r="H1392" t="s">
        <v>898</v>
      </c>
      <c r="I1392" t="s">
        <v>33</v>
      </c>
      <c r="J1392" t="s">
        <v>2458</v>
      </c>
    </row>
    <row r="1393" spans="1:10" x14ac:dyDescent="0.25">
      <c r="A1393" s="43" t="s">
        <v>2771</v>
      </c>
      <c r="B1393" t="s">
        <v>315</v>
      </c>
      <c r="C1393" t="s">
        <v>1189</v>
      </c>
      <c r="D1393" t="s">
        <v>56</v>
      </c>
      <c r="E1393" t="s">
        <v>1234</v>
      </c>
      <c r="G1393" t="s">
        <v>1218</v>
      </c>
      <c r="H1393" t="s">
        <v>898</v>
      </c>
      <c r="I1393" t="s">
        <v>1621</v>
      </c>
      <c r="J1393" t="s">
        <v>2457</v>
      </c>
    </row>
    <row r="1394" spans="1:10" x14ac:dyDescent="0.25">
      <c r="A1394" s="43" t="s">
        <v>2770</v>
      </c>
      <c r="B1394" t="s">
        <v>378</v>
      </c>
      <c r="C1394" t="s">
        <v>1184</v>
      </c>
      <c r="D1394" t="s">
        <v>1212</v>
      </c>
      <c r="E1394" t="s">
        <v>1241</v>
      </c>
      <c r="G1394" t="s">
        <v>1218</v>
      </c>
      <c r="H1394" t="s">
        <v>898</v>
      </c>
      <c r="I1394" t="s">
        <v>1409</v>
      </c>
      <c r="J1394" t="s">
        <v>1927</v>
      </c>
    </row>
    <row r="1395" spans="1:10" x14ac:dyDescent="0.25">
      <c r="A1395" s="43" t="s">
        <v>2612</v>
      </c>
      <c r="B1395" t="s">
        <v>441</v>
      </c>
      <c r="C1395" t="s">
        <v>1177</v>
      </c>
      <c r="D1395" t="s">
        <v>1212</v>
      </c>
      <c r="G1395" t="s">
        <v>1218</v>
      </c>
      <c r="H1395" t="s">
        <v>898</v>
      </c>
      <c r="I1395" t="s">
        <v>1623</v>
      </c>
      <c r="J1395" t="s">
        <v>2466</v>
      </c>
    </row>
    <row r="1396" spans="1:10" x14ac:dyDescent="0.25">
      <c r="A1396" s="43" t="s">
        <v>4393</v>
      </c>
      <c r="B1396" t="s">
        <v>505</v>
      </c>
      <c r="C1396" t="s">
        <v>1180</v>
      </c>
      <c r="D1396" t="s">
        <v>1212</v>
      </c>
      <c r="E1396" t="s">
        <v>1268</v>
      </c>
      <c r="G1396" t="s">
        <v>1218</v>
      </c>
      <c r="H1396" t="s">
        <v>898</v>
      </c>
      <c r="I1396" t="s">
        <v>1267</v>
      </c>
      <c r="J1396" t="s">
        <v>2440</v>
      </c>
    </row>
    <row r="1397" spans="1:10" x14ac:dyDescent="0.25">
      <c r="A1397" s="43" t="s">
        <v>2609</v>
      </c>
      <c r="B1397" t="s">
        <v>2610</v>
      </c>
      <c r="C1397" t="s">
        <v>1178</v>
      </c>
      <c r="D1397" t="s">
        <v>203</v>
      </c>
      <c r="E1397" t="s">
        <v>1230</v>
      </c>
      <c r="G1397" t="s">
        <v>1218</v>
      </c>
      <c r="H1397" t="s">
        <v>907</v>
      </c>
      <c r="I1397" t="s">
        <v>2611</v>
      </c>
      <c r="J1397" t="s">
        <v>2485</v>
      </c>
    </row>
    <row r="1398" spans="1:10" x14ac:dyDescent="0.25">
      <c r="A1398" s="43" t="s">
        <v>2769</v>
      </c>
      <c r="B1398" t="s">
        <v>586</v>
      </c>
      <c r="C1398" t="s">
        <v>1194</v>
      </c>
      <c r="D1398" t="s">
        <v>1212</v>
      </c>
      <c r="E1398" t="s">
        <v>1247</v>
      </c>
      <c r="G1398" t="s">
        <v>1218</v>
      </c>
      <c r="H1398" t="s">
        <v>898</v>
      </c>
      <c r="I1398" t="s">
        <v>1614</v>
      </c>
      <c r="J1398" t="s">
        <v>1639</v>
      </c>
    </row>
    <row r="1399" spans="1:10" x14ac:dyDescent="0.25">
      <c r="A1399" s="43" t="s">
        <v>4494</v>
      </c>
      <c r="B1399" t="s">
        <v>592</v>
      </c>
      <c r="C1399" t="s">
        <v>1180</v>
      </c>
      <c r="D1399" t="s">
        <v>1212</v>
      </c>
      <c r="E1399" t="s">
        <v>1230</v>
      </c>
      <c r="G1399" t="s">
        <v>1218</v>
      </c>
      <c r="H1399" t="s">
        <v>898</v>
      </c>
      <c r="I1399" t="s">
        <v>681</v>
      </c>
      <c r="J1399" t="s">
        <v>1639</v>
      </c>
    </row>
    <row r="1400" spans="1:10" x14ac:dyDescent="0.25">
      <c r="A1400" s="43" t="s">
        <v>4472</v>
      </c>
      <c r="B1400" t="s">
        <v>678</v>
      </c>
      <c r="C1400" t="s">
        <v>1180</v>
      </c>
      <c r="D1400" t="s">
        <v>1212</v>
      </c>
      <c r="E1400" t="s">
        <v>1244</v>
      </c>
      <c r="G1400" t="s">
        <v>1218</v>
      </c>
      <c r="H1400" t="s">
        <v>898</v>
      </c>
      <c r="I1400" t="s">
        <v>1245</v>
      </c>
      <c r="J1400" t="s">
        <v>1652</v>
      </c>
    </row>
    <row r="1401" spans="1:10" x14ac:dyDescent="0.25">
      <c r="A1401" s="43" t="s">
        <v>2856</v>
      </c>
      <c r="B1401" t="s">
        <v>678</v>
      </c>
      <c r="C1401" t="s">
        <v>1180</v>
      </c>
      <c r="D1401" t="s">
        <v>1212</v>
      </c>
      <c r="E1401" t="s">
        <v>1244</v>
      </c>
      <c r="G1401" t="s">
        <v>1218</v>
      </c>
      <c r="H1401" t="s">
        <v>898</v>
      </c>
      <c r="I1401" t="s">
        <v>1245</v>
      </c>
      <c r="J1401" t="s">
        <v>1652</v>
      </c>
    </row>
    <row r="1402" spans="1:10" x14ac:dyDescent="0.25">
      <c r="A1402" s="43" t="s">
        <v>4479</v>
      </c>
      <c r="B1402" t="s">
        <v>4392</v>
      </c>
      <c r="C1402" t="s">
        <v>1187</v>
      </c>
      <c r="D1402" t="s">
        <v>1212</v>
      </c>
      <c r="E1402" t="s">
        <v>1258</v>
      </c>
      <c r="G1402" t="s">
        <v>1218</v>
      </c>
      <c r="H1402" t="s">
        <v>898</v>
      </c>
      <c r="I1402" t="s">
        <v>1259</v>
      </c>
      <c r="J1402" t="s">
        <v>1666</v>
      </c>
    </row>
    <row r="1403" spans="1:10" x14ac:dyDescent="0.25">
      <c r="A1403" s="43" t="s">
        <v>4391</v>
      </c>
      <c r="B1403" t="s">
        <v>4392</v>
      </c>
      <c r="C1403" t="s">
        <v>1187</v>
      </c>
      <c r="D1403" t="s">
        <v>1212</v>
      </c>
      <c r="E1403" t="s">
        <v>1258</v>
      </c>
      <c r="G1403" t="s">
        <v>1218</v>
      </c>
      <c r="H1403" t="s">
        <v>898</v>
      </c>
      <c r="I1403" t="s">
        <v>1259</v>
      </c>
      <c r="J1403" t="s">
        <v>1666</v>
      </c>
    </row>
    <row r="1404" spans="1:10" x14ac:dyDescent="0.25">
      <c r="A1404" s="43" t="s">
        <v>2499</v>
      </c>
      <c r="B1404" t="s">
        <v>302</v>
      </c>
      <c r="C1404" t="s">
        <v>1178</v>
      </c>
      <c r="D1404" t="s">
        <v>15</v>
      </c>
      <c r="E1404" t="s">
        <v>1235</v>
      </c>
      <c r="G1404" t="s">
        <v>1218</v>
      </c>
      <c r="H1404" t="s">
        <v>898</v>
      </c>
      <c r="I1404" t="s">
        <v>1236</v>
      </c>
      <c r="J1404" t="s">
        <v>1643</v>
      </c>
    </row>
    <row r="1405" spans="1:10" x14ac:dyDescent="0.25">
      <c r="A1405" s="43" t="s">
        <v>2622</v>
      </c>
      <c r="B1405" t="s">
        <v>2623</v>
      </c>
      <c r="C1405" t="s">
        <v>1178</v>
      </c>
      <c r="D1405" t="s">
        <v>203</v>
      </c>
      <c r="E1405" t="s">
        <v>1526</v>
      </c>
      <c r="G1405" t="s">
        <v>1218</v>
      </c>
      <c r="H1405" t="s">
        <v>898</v>
      </c>
      <c r="I1405" t="s">
        <v>2624</v>
      </c>
      <c r="J1405" t="s">
        <v>2266</v>
      </c>
    </row>
    <row r="1406" spans="1:10" x14ac:dyDescent="0.25">
      <c r="A1406" s="43" t="s">
        <v>2855</v>
      </c>
      <c r="B1406" t="s">
        <v>315</v>
      </c>
      <c r="C1406" t="s">
        <v>1189</v>
      </c>
      <c r="D1406" t="s">
        <v>56</v>
      </c>
      <c r="E1406" t="s">
        <v>1234</v>
      </c>
      <c r="G1406" t="s">
        <v>1218</v>
      </c>
      <c r="H1406" t="s">
        <v>898</v>
      </c>
      <c r="I1406" t="s">
        <v>1516</v>
      </c>
      <c r="J1406" t="s">
        <v>2247</v>
      </c>
    </row>
    <row r="1407" spans="1:10" x14ac:dyDescent="0.25">
      <c r="A1407" s="43" t="s">
        <v>2506</v>
      </c>
      <c r="B1407" t="s">
        <v>54</v>
      </c>
      <c r="C1407" t="s">
        <v>1181</v>
      </c>
      <c r="D1407" t="s">
        <v>27</v>
      </c>
      <c r="E1407" t="s">
        <v>1234</v>
      </c>
      <c r="G1407" t="s">
        <v>1218</v>
      </c>
      <c r="H1407" t="s">
        <v>907</v>
      </c>
      <c r="I1407" t="s">
        <v>2507</v>
      </c>
      <c r="J1407" t="s">
        <v>1642</v>
      </c>
    </row>
    <row r="1408" spans="1:10" x14ac:dyDescent="0.25">
      <c r="A1408" s="43" t="s">
        <v>2718</v>
      </c>
      <c r="B1408" t="s">
        <v>61</v>
      </c>
      <c r="C1408" t="s">
        <v>1177</v>
      </c>
      <c r="D1408" t="s">
        <v>15</v>
      </c>
      <c r="E1408" t="s">
        <v>1249</v>
      </c>
      <c r="G1408" t="s">
        <v>1218</v>
      </c>
      <c r="H1408" t="s">
        <v>907</v>
      </c>
      <c r="I1408" t="s">
        <v>486</v>
      </c>
      <c r="J1408" t="s">
        <v>2198</v>
      </c>
    </row>
    <row r="1409" spans="1:10" x14ac:dyDescent="0.25">
      <c r="A1409" s="43" t="s">
        <v>2520</v>
      </c>
      <c r="B1409" t="s">
        <v>114</v>
      </c>
      <c r="C1409" t="s">
        <v>1178</v>
      </c>
      <c r="E1409" t="s">
        <v>1249</v>
      </c>
      <c r="G1409" t="s">
        <v>1218</v>
      </c>
      <c r="H1409" t="s">
        <v>907</v>
      </c>
      <c r="I1409" t="s">
        <v>278</v>
      </c>
      <c r="J1409" t="s">
        <v>1654</v>
      </c>
    </row>
    <row r="1410" spans="1:10" x14ac:dyDescent="0.25">
      <c r="A1410" s="43" t="s">
        <v>2503</v>
      </c>
      <c r="B1410" t="s">
        <v>241</v>
      </c>
      <c r="C1410" t="s">
        <v>1177</v>
      </c>
      <c r="D1410" t="s">
        <v>21</v>
      </c>
      <c r="E1410" t="s">
        <v>1217</v>
      </c>
      <c r="G1410" t="s">
        <v>1218</v>
      </c>
      <c r="H1410" t="s">
        <v>907</v>
      </c>
      <c r="I1410" t="s">
        <v>242</v>
      </c>
      <c r="J1410" t="s">
        <v>1634</v>
      </c>
    </row>
    <row r="1411" spans="1:10" x14ac:dyDescent="0.25">
      <c r="A1411" s="43" t="s">
        <v>2577</v>
      </c>
      <c r="B1411" t="s">
        <v>241</v>
      </c>
      <c r="C1411" t="s">
        <v>1178</v>
      </c>
      <c r="D1411" t="s">
        <v>15</v>
      </c>
      <c r="E1411" t="s">
        <v>1217</v>
      </c>
      <c r="G1411" t="s">
        <v>1218</v>
      </c>
      <c r="H1411" t="s">
        <v>907</v>
      </c>
      <c r="I1411" t="s">
        <v>1277</v>
      </c>
      <c r="J1411" t="s">
        <v>1689</v>
      </c>
    </row>
    <row r="1412" spans="1:10" x14ac:dyDescent="0.25">
      <c r="A1412" s="43" t="s">
        <v>2494</v>
      </c>
      <c r="B1412" t="s">
        <v>465</v>
      </c>
      <c r="C1412" t="s">
        <v>1178</v>
      </c>
      <c r="D1412" t="s">
        <v>27</v>
      </c>
      <c r="E1412" t="s">
        <v>1232</v>
      </c>
      <c r="G1412" t="s">
        <v>1218</v>
      </c>
      <c r="H1412" t="s">
        <v>907</v>
      </c>
      <c r="I1412" t="s">
        <v>2495</v>
      </c>
      <c r="J1412" t="s">
        <v>2496</v>
      </c>
    </row>
    <row r="1413" spans="1:10" x14ac:dyDescent="0.25">
      <c r="A1413" s="43" t="s">
        <v>2535</v>
      </c>
      <c r="B1413" t="s">
        <v>2536</v>
      </c>
      <c r="C1413" t="s">
        <v>1189</v>
      </c>
      <c r="D1413" t="s">
        <v>15</v>
      </c>
      <c r="E1413" t="s">
        <v>1265</v>
      </c>
      <c r="G1413" t="s">
        <v>1218</v>
      </c>
      <c r="H1413" t="s">
        <v>907</v>
      </c>
      <c r="I1413" t="s">
        <v>650</v>
      </c>
      <c r="J1413" t="s">
        <v>1672</v>
      </c>
    </row>
    <row r="1414" spans="1:10" x14ac:dyDescent="0.25">
      <c r="A1414" s="43" t="s">
        <v>2505</v>
      </c>
      <c r="B1414" t="s">
        <v>479</v>
      </c>
      <c r="C1414" t="s">
        <v>1177</v>
      </c>
      <c r="D1414" t="s">
        <v>21</v>
      </c>
      <c r="E1414" t="s">
        <v>1221</v>
      </c>
      <c r="G1414" t="s">
        <v>1218</v>
      </c>
      <c r="H1414" t="s">
        <v>907</v>
      </c>
      <c r="I1414" t="s">
        <v>1222</v>
      </c>
      <c r="J1414" t="s">
        <v>1636</v>
      </c>
    </row>
    <row r="1415" spans="1:10" x14ac:dyDescent="0.25">
      <c r="A1415" s="43" t="s">
        <v>2500</v>
      </c>
      <c r="B1415" t="s">
        <v>479</v>
      </c>
      <c r="C1415" t="s">
        <v>1178</v>
      </c>
      <c r="D1415" t="s">
        <v>56</v>
      </c>
      <c r="E1415" t="s">
        <v>1239</v>
      </c>
      <c r="G1415" t="s">
        <v>1218</v>
      </c>
      <c r="H1415" t="s">
        <v>907</v>
      </c>
      <c r="I1415" t="s">
        <v>1240</v>
      </c>
      <c r="J1415" t="s">
        <v>1648</v>
      </c>
    </row>
    <row r="1416" spans="1:10" x14ac:dyDescent="0.25">
      <c r="A1416" s="43" t="s">
        <v>4477</v>
      </c>
      <c r="B1416" t="s">
        <v>4478</v>
      </c>
      <c r="C1416" t="s">
        <v>1184</v>
      </c>
      <c r="D1416" t="s">
        <v>62</v>
      </c>
      <c r="E1416" t="s">
        <v>1217</v>
      </c>
      <c r="G1416" t="s">
        <v>1218</v>
      </c>
      <c r="H1416" t="s">
        <v>907</v>
      </c>
      <c r="I1416" t="s">
        <v>722</v>
      </c>
      <c r="J1416" t="s">
        <v>1726</v>
      </c>
    </row>
    <row r="1417" spans="1:10" x14ac:dyDescent="0.25">
      <c r="A1417" s="43" t="s">
        <v>2516</v>
      </c>
      <c r="B1417" t="s">
        <v>552</v>
      </c>
      <c r="C1417" t="s">
        <v>1183</v>
      </c>
      <c r="D1417" t="s">
        <v>1212</v>
      </c>
      <c r="E1417" t="s">
        <v>1228</v>
      </c>
      <c r="G1417" t="s">
        <v>1218</v>
      </c>
      <c r="H1417" t="s">
        <v>907</v>
      </c>
      <c r="I1417" t="s">
        <v>597</v>
      </c>
      <c r="J1417" t="s">
        <v>1655</v>
      </c>
    </row>
    <row r="1418" spans="1:10" x14ac:dyDescent="0.25">
      <c r="A1418" s="43" t="s">
        <v>2534</v>
      </c>
      <c r="B1418" t="s">
        <v>592</v>
      </c>
      <c r="C1418" t="s">
        <v>1188</v>
      </c>
      <c r="D1418" t="s">
        <v>15</v>
      </c>
      <c r="E1418" t="s">
        <v>1280</v>
      </c>
      <c r="G1418" t="s">
        <v>1218</v>
      </c>
      <c r="H1418" t="s">
        <v>907</v>
      </c>
      <c r="I1418" t="s">
        <v>339</v>
      </c>
      <c r="J1418" t="s">
        <v>1695</v>
      </c>
    </row>
    <row r="1419" spans="1:10" x14ac:dyDescent="0.25">
      <c r="A1419" s="43" t="s">
        <v>2608</v>
      </c>
      <c r="B1419" t="s">
        <v>592</v>
      </c>
      <c r="C1419" t="s">
        <v>1177</v>
      </c>
      <c r="D1419" t="s">
        <v>1212</v>
      </c>
      <c r="E1419" t="s">
        <v>1286</v>
      </c>
      <c r="G1419" t="s">
        <v>1218</v>
      </c>
      <c r="H1419" t="s">
        <v>907</v>
      </c>
      <c r="I1419" t="s">
        <v>1302</v>
      </c>
      <c r="J1419" t="s">
        <v>1727</v>
      </c>
    </row>
    <row r="1420" spans="1:10" x14ac:dyDescent="0.25">
      <c r="A1420" s="43" t="s">
        <v>4486</v>
      </c>
      <c r="B1420" t="s">
        <v>678</v>
      </c>
      <c r="C1420" t="s">
        <v>1188</v>
      </c>
      <c r="D1420" t="s">
        <v>15</v>
      </c>
      <c r="E1420" t="s">
        <v>1230</v>
      </c>
      <c r="G1420" t="s">
        <v>1218</v>
      </c>
      <c r="H1420" t="s">
        <v>907</v>
      </c>
      <c r="I1420" t="s">
        <v>1310</v>
      </c>
      <c r="J1420" t="s">
        <v>1741</v>
      </c>
    </row>
    <row r="1421" spans="1:10" x14ac:dyDescent="0.25">
      <c r="A1421" s="43" t="s">
        <v>2533</v>
      </c>
      <c r="B1421" t="s">
        <v>678</v>
      </c>
      <c r="C1421" t="s">
        <v>1180</v>
      </c>
      <c r="D1421" t="s">
        <v>1212</v>
      </c>
      <c r="E1421" t="s">
        <v>1249</v>
      </c>
      <c r="G1421" t="s">
        <v>1218</v>
      </c>
      <c r="H1421" t="s">
        <v>907</v>
      </c>
      <c r="I1421" t="s">
        <v>1271</v>
      </c>
      <c r="J1421" t="s">
        <v>1677</v>
      </c>
    </row>
    <row r="1422" spans="1:10" x14ac:dyDescent="0.25">
      <c r="A1422" s="43" t="s">
        <v>2574</v>
      </c>
      <c r="B1422" t="s">
        <v>678</v>
      </c>
      <c r="C1422" t="s">
        <v>1177</v>
      </c>
      <c r="D1422" t="s">
        <v>62</v>
      </c>
      <c r="E1422" t="s">
        <v>1247</v>
      </c>
      <c r="G1422" t="s">
        <v>1218</v>
      </c>
      <c r="H1422" t="s">
        <v>907</v>
      </c>
      <c r="I1422" t="s">
        <v>2575</v>
      </c>
      <c r="J1422" t="s">
        <v>2576</v>
      </c>
    </row>
    <row r="1423" spans="1:10" x14ac:dyDescent="0.25">
      <c r="A1423" s="43" t="s">
        <v>4471</v>
      </c>
      <c r="B1423" t="s">
        <v>62</v>
      </c>
      <c r="C1423" t="s">
        <v>1180</v>
      </c>
      <c r="D1423" t="s">
        <v>1212</v>
      </c>
      <c r="E1423" t="s">
        <v>1249</v>
      </c>
      <c r="G1423" t="s">
        <v>1218</v>
      </c>
      <c r="H1423" t="s">
        <v>907</v>
      </c>
      <c r="I1423" t="s">
        <v>1275</v>
      </c>
      <c r="J1423" t="s">
        <v>1685</v>
      </c>
    </row>
    <row r="1424" spans="1:10" x14ac:dyDescent="0.25">
      <c r="A1424" s="43" t="s">
        <v>2515</v>
      </c>
      <c r="B1424" t="s">
        <v>749</v>
      </c>
      <c r="C1424" t="s">
        <v>1177</v>
      </c>
      <c r="D1424" t="s">
        <v>27</v>
      </c>
      <c r="E1424" t="s">
        <v>1268</v>
      </c>
      <c r="G1424" t="s">
        <v>1218</v>
      </c>
      <c r="H1424" t="s">
        <v>907</v>
      </c>
      <c r="I1424" t="s">
        <v>51</v>
      </c>
      <c r="J1424" t="s">
        <v>1686</v>
      </c>
    </row>
    <row r="1425" spans="1:10" x14ac:dyDescent="0.25">
      <c r="A1425" s="43" t="s">
        <v>2509</v>
      </c>
      <c r="B1425" t="s">
        <v>749</v>
      </c>
      <c r="C1425" t="s">
        <v>1178</v>
      </c>
      <c r="D1425" t="s">
        <v>15</v>
      </c>
      <c r="E1425" t="s">
        <v>1228</v>
      </c>
      <c r="G1425" t="s">
        <v>1218</v>
      </c>
      <c r="H1425" t="s">
        <v>907</v>
      </c>
      <c r="I1425" t="s">
        <v>1263</v>
      </c>
      <c r="J1425" t="s">
        <v>1669</v>
      </c>
    </row>
    <row r="1426" spans="1:10" x14ac:dyDescent="0.25">
      <c r="A1426" s="43" t="s">
        <v>2573</v>
      </c>
      <c r="B1426" t="s">
        <v>773</v>
      </c>
      <c r="C1426" t="s">
        <v>1179</v>
      </c>
      <c r="D1426" t="s">
        <v>15</v>
      </c>
      <c r="E1426" t="s">
        <v>1232</v>
      </c>
      <c r="G1426" t="s">
        <v>1218</v>
      </c>
      <c r="H1426" t="s">
        <v>907</v>
      </c>
      <c r="I1426" t="s">
        <v>1233</v>
      </c>
      <c r="J1426" t="s">
        <v>1641</v>
      </c>
    </row>
    <row r="1427" spans="1:10" x14ac:dyDescent="0.25">
      <c r="A1427" s="43" t="s">
        <v>4500</v>
      </c>
      <c r="B1427" t="s">
        <v>822</v>
      </c>
      <c r="C1427" t="s">
        <v>1188</v>
      </c>
      <c r="D1427" t="s">
        <v>27</v>
      </c>
      <c r="E1427" t="s">
        <v>1286</v>
      </c>
      <c r="G1427" t="s">
        <v>1218</v>
      </c>
      <c r="H1427" t="s">
        <v>907</v>
      </c>
      <c r="I1427" t="s">
        <v>226</v>
      </c>
      <c r="J1427" t="s">
        <v>2409</v>
      </c>
    </row>
    <row r="1428" spans="1:10" x14ac:dyDescent="0.25">
      <c r="A1428" s="43" t="s">
        <v>2508</v>
      </c>
      <c r="B1428" t="s">
        <v>822</v>
      </c>
      <c r="C1428" t="s">
        <v>1180</v>
      </c>
      <c r="D1428" t="s">
        <v>56</v>
      </c>
      <c r="E1428" t="s">
        <v>1228</v>
      </c>
      <c r="G1428" t="s">
        <v>1218</v>
      </c>
      <c r="H1428" t="s">
        <v>907</v>
      </c>
      <c r="I1428" t="s">
        <v>1229</v>
      </c>
      <c r="J1428" t="s">
        <v>503</v>
      </c>
    </row>
    <row r="1429" spans="1:10" x14ac:dyDescent="0.25">
      <c r="A1429" s="43" t="s">
        <v>4499</v>
      </c>
      <c r="B1429" t="s">
        <v>863</v>
      </c>
      <c r="C1429" t="s">
        <v>1177</v>
      </c>
      <c r="D1429" t="s">
        <v>84</v>
      </c>
      <c r="E1429" t="s">
        <v>1247</v>
      </c>
      <c r="G1429" t="s">
        <v>1218</v>
      </c>
      <c r="H1429" t="s">
        <v>907</v>
      </c>
      <c r="I1429" t="s">
        <v>1309</v>
      </c>
      <c r="J1429" t="s">
        <v>1740</v>
      </c>
    </row>
    <row r="1430" spans="1:10" x14ac:dyDescent="0.25">
      <c r="A1430" s="43" t="s">
        <v>3025</v>
      </c>
      <c r="B1430" t="s">
        <v>31</v>
      </c>
      <c r="C1430" t="s">
        <v>1190</v>
      </c>
      <c r="D1430" t="s">
        <v>27</v>
      </c>
      <c r="E1430" t="s">
        <v>1272</v>
      </c>
      <c r="G1430" t="s">
        <v>1248</v>
      </c>
      <c r="H1430" t="s">
        <v>898</v>
      </c>
      <c r="I1430" t="s">
        <v>37</v>
      </c>
      <c r="J1430" t="s">
        <v>2162</v>
      </c>
    </row>
    <row r="1431" spans="1:10" x14ac:dyDescent="0.25">
      <c r="A1431" s="43" t="s">
        <v>2717</v>
      </c>
      <c r="B1431" t="s">
        <v>31</v>
      </c>
      <c r="C1431" t="s">
        <v>1190</v>
      </c>
      <c r="D1431" t="s">
        <v>27</v>
      </c>
      <c r="E1431" t="s">
        <v>1272</v>
      </c>
      <c r="G1431" t="s">
        <v>8</v>
      </c>
      <c r="H1431" t="s">
        <v>898</v>
      </c>
      <c r="I1431" t="s">
        <v>37</v>
      </c>
      <c r="J1431" t="s">
        <v>1678</v>
      </c>
    </row>
    <row r="1432" spans="1:10" x14ac:dyDescent="0.25">
      <c r="A1432" s="43" t="s">
        <v>2854</v>
      </c>
      <c r="B1432" t="s">
        <v>2636</v>
      </c>
      <c r="C1432" t="s">
        <v>1198</v>
      </c>
      <c r="D1432" t="s">
        <v>318</v>
      </c>
      <c r="E1432" t="s">
        <v>1324</v>
      </c>
      <c r="G1432" t="s">
        <v>1224</v>
      </c>
      <c r="H1432" t="s">
        <v>1225</v>
      </c>
      <c r="I1432" t="s">
        <v>632</v>
      </c>
      <c r="J1432" t="s">
        <v>1755</v>
      </c>
    </row>
    <row r="1433" spans="1:10" x14ac:dyDescent="0.25">
      <c r="A1433" s="43" t="s">
        <v>3024</v>
      </c>
      <c r="B1433" t="s">
        <v>2636</v>
      </c>
      <c r="C1433" t="s">
        <v>1198</v>
      </c>
      <c r="D1433" t="s">
        <v>318</v>
      </c>
      <c r="E1433" t="s">
        <v>1324</v>
      </c>
      <c r="G1433" t="s">
        <v>1224</v>
      </c>
      <c r="H1433" t="s">
        <v>1225</v>
      </c>
      <c r="I1433" t="s">
        <v>632</v>
      </c>
      <c r="J1433" t="s">
        <v>1755</v>
      </c>
    </row>
    <row r="1434" spans="1:10" x14ac:dyDescent="0.25">
      <c r="A1434" s="43" t="s">
        <v>2679</v>
      </c>
      <c r="B1434" t="s">
        <v>236</v>
      </c>
      <c r="C1434" t="s">
        <v>1189</v>
      </c>
      <c r="D1434" t="s">
        <v>56</v>
      </c>
      <c r="E1434" t="s">
        <v>1279</v>
      </c>
      <c r="G1434" t="s">
        <v>1290</v>
      </c>
      <c r="H1434" t="s">
        <v>898</v>
      </c>
      <c r="I1434" t="s">
        <v>64</v>
      </c>
      <c r="J1434" t="s">
        <v>239</v>
      </c>
    </row>
    <row r="1435" spans="1:10" x14ac:dyDescent="0.25">
      <c r="A1435" s="43" t="s">
        <v>2595</v>
      </c>
      <c r="B1435" t="s">
        <v>236</v>
      </c>
      <c r="C1435" t="s">
        <v>1189</v>
      </c>
      <c r="D1435" t="s">
        <v>56</v>
      </c>
      <c r="E1435" t="s">
        <v>1279</v>
      </c>
      <c r="G1435" t="s">
        <v>1248</v>
      </c>
      <c r="H1435" t="s">
        <v>898</v>
      </c>
      <c r="I1435" t="s">
        <v>64</v>
      </c>
      <c r="J1435" t="s">
        <v>239</v>
      </c>
    </row>
    <row r="1436" spans="1:10" x14ac:dyDescent="0.25">
      <c r="A1436" s="43" t="s">
        <v>2716</v>
      </c>
      <c r="B1436" t="s">
        <v>236</v>
      </c>
      <c r="C1436" t="s">
        <v>1189</v>
      </c>
      <c r="D1436" t="s">
        <v>56</v>
      </c>
      <c r="E1436" t="s">
        <v>1279</v>
      </c>
      <c r="G1436" t="s">
        <v>8</v>
      </c>
      <c r="H1436" t="s">
        <v>898</v>
      </c>
      <c r="I1436" t="s">
        <v>64</v>
      </c>
      <c r="J1436" t="s">
        <v>239</v>
      </c>
    </row>
    <row r="1437" spans="1:10" x14ac:dyDescent="0.25">
      <c r="A1437" s="43" t="s">
        <v>2678</v>
      </c>
      <c r="B1437" t="s">
        <v>315</v>
      </c>
      <c r="C1437" t="s">
        <v>1189</v>
      </c>
      <c r="D1437" t="s">
        <v>84</v>
      </c>
      <c r="E1437" t="s">
        <v>1268</v>
      </c>
      <c r="G1437" t="s">
        <v>1290</v>
      </c>
      <c r="H1437" t="s">
        <v>898</v>
      </c>
      <c r="I1437" t="s">
        <v>330</v>
      </c>
      <c r="J1437" t="s">
        <v>2434</v>
      </c>
    </row>
    <row r="1438" spans="1:10" x14ac:dyDescent="0.25">
      <c r="A1438" s="43" t="s">
        <v>2607</v>
      </c>
      <c r="B1438" t="s">
        <v>315</v>
      </c>
      <c r="C1438" t="s">
        <v>1189</v>
      </c>
      <c r="D1438" t="s">
        <v>84</v>
      </c>
      <c r="E1438" t="s">
        <v>1268</v>
      </c>
      <c r="G1438" t="s">
        <v>1248</v>
      </c>
      <c r="H1438" t="s">
        <v>898</v>
      </c>
      <c r="I1438" t="s">
        <v>330</v>
      </c>
      <c r="J1438" t="s">
        <v>2434</v>
      </c>
    </row>
    <row r="1439" spans="1:10" x14ac:dyDescent="0.25">
      <c r="A1439" s="43" t="s">
        <v>3023</v>
      </c>
      <c r="B1439" t="s">
        <v>315</v>
      </c>
      <c r="C1439" t="s">
        <v>1189</v>
      </c>
      <c r="D1439" t="s">
        <v>84</v>
      </c>
      <c r="E1439" t="s">
        <v>1268</v>
      </c>
      <c r="G1439" t="s">
        <v>8</v>
      </c>
      <c r="H1439" t="s">
        <v>898</v>
      </c>
      <c r="I1439" t="s">
        <v>330</v>
      </c>
      <c r="J1439" t="s">
        <v>2434</v>
      </c>
    </row>
    <row r="1440" spans="1:10" x14ac:dyDescent="0.25">
      <c r="A1440" s="43" t="s">
        <v>3022</v>
      </c>
      <c r="B1440" t="s">
        <v>315</v>
      </c>
      <c r="C1440" t="s">
        <v>1189</v>
      </c>
      <c r="D1440" t="s">
        <v>84</v>
      </c>
      <c r="E1440" t="s">
        <v>1265</v>
      </c>
      <c r="G1440" t="s">
        <v>1295</v>
      </c>
      <c r="H1440" t="s">
        <v>898</v>
      </c>
      <c r="I1440" t="s">
        <v>33</v>
      </c>
      <c r="J1440" t="s">
        <v>1690</v>
      </c>
    </row>
    <row r="1441" spans="1:10" x14ac:dyDescent="0.25">
      <c r="A1441" s="43" t="s">
        <v>2715</v>
      </c>
      <c r="B1441" t="s">
        <v>315</v>
      </c>
      <c r="C1441" t="s">
        <v>1189</v>
      </c>
      <c r="D1441" t="s">
        <v>84</v>
      </c>
      <c r="E1441" t="s">
        <v>1265</v>
      </c>
      <c r="G1441" t="s">
        <v>1295</v>
      </c>
      <c r="H1441" t="s">
        <v>898</v>
      </c>
      <c r="I1441" t="s">
        <v>33</v>
      </c>
      <c r="J1441" t="s">
        <v>1690</v>
      </c>
    </row>
    <row r="1442" spans="1:10" x14ac:dyDescent="0.25">
      <c r="A1442" s="43" t="s">
        <v>4464</v>
      </c>
      <c r="B1442" t="s">
        <v>315</v>
      </c>
      <c r="C1442" t="s">
        <v>1189</v>
      </c>
      <c r="D1442" t="s">
        <v>84</v>
      </c>
      <c r="E1442" t="s">
        <v>1265</v>
      </c>
      <c r="G1442" t="s">
        <v>1218</v>
      </c>
      <c r="H1442" t="s">
        <v>898</v>
      </c>
      <c r="I1442" t="s">
        <v>33</v>
      </c>
      <c r="J1442" t="s">
        <v>1690</v>
      </c>
    </row>
    <row r="1443" spans="1:10" x14ac:dyDescent="0.25">
      <c r="A1443" s="43" t="s">
        <v>2853</v>
      </c>
      <c r="B1443" t="s">
        <v>315</v>
      </c>
      <c r="C1443" t="s">
        <v>1189</v>
      </c>
      <c r="D1443" t="s">
        <v>84</v>
      </c>
      <c r="E1443" t="s">
        <v>1265</v>
      </c>
      <c r="G1443" t="s">
        <v>1218</v>
      </c>
      <c r="H1443" t="s">
        <v>898</v>
      </c>
      <c r="I1443" t="s">
        <v>33</v>
      </c>
      <c r="J1443" t="s">
        <v>1690</v>
      </c>
    </row>
    <row r="1444" spans="1:10" x14ac:dyDescent="0.25">
      <c r="A1444" s="43" t="s">
        <v>4485</v>
      </c>
      <c r="B1444" t="s">
        <v>369</v>
      </c>
      <c r="C1444" t="s">
        <v>1189</v>
      </c>
      <c r="D1444" t="s">
        <v>15</v>
      </c>
      <c r="E1444" t="s">
        <v>1338</v>
      </c>
      <c r="G1444" t="s">
        <v>1248</v>
      </c>
      <c r="H1444" t="s">
        <v>898</v>
      </c>
      <c r="I1444" t="s">
        <v>370</v>
      </c>
      <c r="J1444" t="s">
        <v>2447</v>
      </c>
    </row>
    <row r="1445" spans="1:10" x14ac:dyDescent="0.25">
      <c r="A1445" s="43" t="s">
        <v>2594</v>
      </c>
      <c r="B1445" t="s">
        <v>369</v>
      </c>
      <c r="C1445" t="s">
        <v>1189</v>
      </c>
      <c r="D1445" t="s">
        <v>15</v>
      </c>
      <c r="E1445" t="s">
        <v>1338</v>
      </c>
      <c r="G1445" t="s">
        <v>8</v>
      </c>
      <c r="H1445" t="s">
        <v>898</v>
      </c>
      <c r="I1445" t="s">
        <v>901</v>
      </c>
      <c r="J1445" t="s">
        <v>2417</v>
      </c>
    </row>
    <row r="1446" spans="1:10" x14ac:dyDescent="0.25">
      <c r="A1446" s="43" t="s">
        <v>2768</v>
      </c>
      <c r="B1446" t="s">
        <v>535</v>
      </c>
      <c r="C1446" t="s">
        <v>1189</v>
      </c>
      <c r="D1446" t="s">
        <v>56</v>
      </c>
      <c r="E1446" t="s">
        <v>1294</v>
      </c>
      <c r="G1446" t="s">
        <v>1226</v>
      </c>
      <c r="H1446" t="s">
        <v>907</v>
      </c>
      <c r="I1446" t="s">
        <v>64</v>
      </c>
      <c r="J1446" t="s">
        <v>1718</v>
      </c>
    </row>
    <row r="1447" spans="1:10" x14ac:dyDescent="0.25">
      <c r="A1447" s="43" t="s">
        <v>4390</v>
      </c>
      <c r="B1447" t="s">
        <v>535</v>
      </c>
      <c r="C1447" t="s">
        <v>1189</v>
      </c>
      <c r="D1447" t="s">
        <v>56</v>
      </c>
      <c r="E1447" t="s">
        <v>1294</v>
      </c>
      <c r="G1447" t="s">
        <v>8</v>
      </c>
      <c r="H1447" t="s">
        <v>907</v>
      </c>
      <c r="I1447" t="s">
        <v>64</v>
      </c>
      <c r="J1447" t="s">
        <v>1718</v>
      </c>
    </row>
    <row r="1448" spans="1:10" x14ac:dyDescent="0.25">
      <c r="A1448" s="43" t="s">
        <v>4094</v>
      </c>
      <c r="B1448" t="s">
        <v>535</v>
      </c>
      <c r="C1448" t="s">
        <v>1189</v>
      </c>
      <c r="D1448" t="s">
        <v>56</v>
      </c>
      <c r="E1448" t="s">
        <v>1294</v>
      </c>
      <c r="G1448" t="s">
        <v>1290</v>
      </c>
      <c r="H1448" t="s">
        <v>907</v>
      </c>
      <c r="I1448" t="s">
        <v>64</v>
      </c>
      <c r="J1448" t="s">
        <v>1718</v>
      </c>
    </row>
    <row r="1449" spans="1:10" x14ac:dyDescent="0.25">
      <c r="A1449" s="43" t="s">
        <v>4374</v>
      </c>
      <c r="B1449" t="s">
        <v>315</v>
      </c>
      <c r="C1449" t="s">
        <v>1189</v>
      </c>
      <c r="D1449" t="s">
        <v>84</v>
      </c>
      <c r="E1449" t="s">
        <v>1265</v>
      </c>
      <c r="G1449" t="s">
        <v>1248</v>
      </c>
      <c r="H1449" t="s">
        <v>898</v>
      </c>
      <c r="I1449" t="s">
        <v>334</v>
      </c>
      <c r="J1449" t="s">
        <v>1758</v>
      </c>
    </row>
    <row r="1450" spans="1:10" x14ac:dyDescent="0.25">
      <c r="A1450" s="43" t="s">
        <v>2852</v>
      </c>
      <c r="B1450" t="s">
        <v>315</v>
      </c>
      <c r="C1450" t="s">
        <v>1189</v>
      </c>
      <c r="D1450" t="s">
        <v>84</v>
      </c>
      <c r="E1450" t="s">
        <v>1265</v>
      </c>
      <c r="G1450" t="s">
        <v>1328</v>
      </c>
      <c r="H1450" t="s">
        <v>898</v>
      </c>
      <c r="I1450" t="s">
        <v>334</v>
      </c>
      <c r="J1450" t="s">
        <v>1758</v>
      </c>
    </row>
    <row r="1451" spans="1:10" x14ac:dyDescent="0.25">
      <c r="A1451" s="43" t="s">
        <v>2851</v>
      </c>
      <c r="B1451" t="s">
        <v>315</v>
      </c>
      <c r="C1451" t="s">
        <v>1189</v>
      </c>
      <c r="D1451" t="s">
        <v>84</v>
      </c>
      <c r="E1451" t="s">
        <v>1265</v>
      </c>
      <c r="G1451" t="s">
        <v>1290</v>
      </c>
      <c r="H1451" t="s">
        <v>898</v>
      </c>
      <c r="I1451" t="s">
        <v>334</v>
      </c>
      <c r="J1451" t="s">
        <v>1758</v>
      </c>
    </row>
    <row r="1452" spans="1:10" x14ac:dyDescent="0.25">
      <c r="A1452" s="43" t="s">
        <v>2850</v>
      </c>
      <c r="B1452" t="s">
        <v>315</v>
      </c>
      <c r="C1452" t="s">
        <v>1189</v>
      </c>
      <c r="D1452" t="s">
        <v>84</v>
      </c>
      <c r="E1452" t="s">
        <v>1265</v>
      </c>
      <c r="G1452" t="s">
        <v>8</v>
      </c>
      <c r="H1452" t="s">
        <v>898</v>
      </c>
      <c r="I1452" t="s">
        <v>334</v>
      </c>
      <c r="J1452" t="s">
        <v>1758</v>
      </c>
    </row>
    <row r="1453" spans="1:10" x14ac:dyDescent="0.25">
      <c r="A1453" s="43" t="s">
        <v>3786</v>
      </c>
      <c r="B1453" t="s">
        <v>337</v>
      </c>
      <c r="C1453" t="s">
        <v>1189</v>
      </c>
      <c r="D1453" t="s">
        <v>84</v>
      </c>
      <c r="E1453" t="s">
        <v>1368</v>
      </c>
      <c r="G1453" t="s">
        <v>8</v>
      </c>
      <c r="H1453" t="s">
        <v>898</v>
      </c>
      <c r="I1453" t="s">
        <v>327</v>
      </c>
      <c r="J1453" t="s">
        <v>2006</v>
      </c>
    </row>
    <row r="1454" spans="1:10" x14ac:dyDescent="0.25">
      <c r="A1454" s="43" t="s">
        <v>2849</v>
      </c>
      <c r="B1454" t="s">
        <v>337</v>
      </c>
      <c r="C1454" t="s">
        <v>1189</v>
      </c>
      <c r="D1454" t="s">
        <v>84</v>
      </c>
      <c r="E1454" t="s">
        <v>1368</v>
      </c>
      <c r="G1454" t="s">
        <v>8</v>
      </c>
      <c r="H1454" t="s">
        <v>898</v>
      </c>
      <c r="I1454" t="s">
        <v>327</v>
      </c>
      <c r="J1454" t="s">
        <v>2006</v>
      </c>
    </row>
    <row r="1455" spans="1:10" x14ac:dyDescent="0.25">
      <c r="A1455" s="43" t="s">
        <v>2767</v>
      </c>
      <c r="B1455" t="s">
        <v>342</v>
      </c>
      <c r="C1455" t="s">
        <v>1189</v>
      </c>
      <c r="D1455" t="s">
        <v>84</v>
      </c>
      <c r="E1455" t="s">
        <v>1324</v>
      </c>
      <c r="G1455" t="s">
        <v>1290</v>
      </c>
      <c r="H1455" t="s">
        <v>898</v>
      </c>
      <c r="I1455" t="s">
        <v>92</v>
      </c>
      <c r="J1455" t="s">
        <v>2435</v>
      </c>
    </row>
    <row r="1456" spans="1:10" x14ac:dyDescent="0.25">
      <c r="A1456" s="43" t="s">
        <v>1170</v>
      </c>
      <c r="B1456" t="s">
        <v>342</v>
      </c>
      <c r="C1456" t="s">
        <v>1189</v>
      </c>
      <c r="D1456" t="s">
        <v>84</v>
      </c>
      <c r="E1456" t="s">
        <v>1324</v>
      </c>
      <c r="G1456" t="s">
        <v>1248</v>
      </c>
      <c r="H1456" t="s">
        <v>898</v>
      </c>
      <c r="I1456" t="s">
        <v>92</v>
      </c>
      <c r="J1456" t="s">
        <v>2435</v>
      </c>
    </row>
    <row r="1457" spans="1:10" x14ac:dyDescent="0.25">
      <c r="A1457" s="43" t="s">
        <v>1163</v>
      </c>
      <c r="B1457" t="s">
        <v>342</v>
      </c>
      <c r="C1457" t="s">
        <v>1189</v>
      </c>
      <c r="D1457" t="s">
        <v>84</v>
      </c>
      <c r="E1457" t="s">
        <v>1324</v>
      </c>
      <c r="G1457" t="s">
        <v>8</v>
      </c>
      <c r="H1457" t="s">
        <v>898</v>
      </c>
      <c r="I1457" t="s">
        <v>92</v>
      </c>
      <c r="J1457" t="s">
        <v>2435</v>
      </c>
    </row>
    <row r="1458" spans="1:10" x14ac:dyDescent="0.25">
      <c r="A1458" s="43" t="s">
        <v>4093</v>
      </c>
      <c r="B1458" t="s">
        <v>3214</v>
      </c>
      <c r="C1458" t="s">
        <v>1494</v>
      </c>
      <c r="D1458" t="s">
        <v>27</v>
      </c>
      <c r="H1458" t="s">
        <v>907</v>
      </c>
      <c r="I1458" t="s">
        <v>794</v>
      </c>
      <c r="J1458" t="s">
        <v>2125</v>
      </c>
    </row>
    <row r="1459" spans="1:10" x14ac:dyDescent="0.25">
      <c r="A1459" s="43" t="s">
        <v>2766</v>
      </c>
      <c r="B1459" t="s">
        <v>535</v>
      </c>
      <c r="C1459" t="s">
        <v>1189</v>
      </c>
      <c r="D1459" t="s">
        <v>84</v>
      </c>
      <c r="E1459" t="s">
        <v>1338</v>
      </c>
      <c r="G1459" t="s">
        <v>1226</v>
      </c>
      <c r="H1459" t="s">
        <v>907</v>
      </c>
      <c r="I1459" t="s">
        <v>303</v>
      </c>
      <c r="J1459" t="s">
        <v>1862</v>
      </c>
    </row>
    <row r="1460" spans="1:10" x14ac:dyDescent="0.25">
      <c r="A1460" s="43" t="s">
        <v>3785</v>
      </c>
      <c r="B1460" t="s">
        <v>535</v>
      </c>
      <c r="C1460" t="s">
        <v>1189</v>
      </c>
      <c r="D1460" t="s">
        <v>84</v>
      </c>
      <c r="E1460" t="s">
        <v>1338</v>
      </c>
      <c r="G1460" t="s">
        <v>1290</v>
      </c>
      <c r="H1460" t="s">
        <v>907</v>
      </c>
      <c r="I1460" t="s">
        <v>303</v>
      </c>
      <c r="J1460" t="s">
        <v>1862</v>
      </c>
    </row>
    <row r="1461" spans="1:10" x14ac:dyDescent="0.25">
      <c r="A1461" s="43" t="s">
        <v>4092</v>
      </c>
      <c r="B1461" t="s">
        <v>535</v>
      </c>
      <c r="C1461" t="s">
        <v>1189</v>
      </c>
      <c r="D1461" t="s">
        <v>56</v>
      </c>
      <c r="E1461" t="s">
        <v>1348</v>
      </c>
      <c r="G1461" t="s">
        <v>8</v>
      </c>
      <c r="H1461" t="s">
        <v>907</v>
      </c>
      <c r="I1461" t="s">
        <v>108</v>
      </c>
      <c r="J1461" t="s">
        <v>546</v>
      </c>
    </row>
    <row r="1462" spans="1:10" x14ac:dyDescent="0.25">
      <c r="A1462" s="43" t="s">
        <v>3784</v>
      </c>
      <c r="B1462" t="s">
        <v>711</v>
      </c>
      <c r="C1462" t="s">
        <v>1179</v>
      </c>
      <c r="D1462" t="s">
        <v>318</v>
      </c>
      <c r="E1462" t="s">
        <v>1368</v>
      </c>
      <c r="G1462" t="s">
        <v>8</v>
      </c>
      <c r="H1462" t="s">
        <v>898</v>
      </c>
      <c r="I1462" t="s">
        <v>722</v>
      </c>
      <c r="J1462" t="s">
        <v>1945</v>
      </c>
    </row>
    <row r="1463" spans="1:10" x14ac:dyDescent="0.25">
      <c r="A1463" s="43" t="s">
        <v>4373</v>
      </c>
      <c r="B1463" t="s">
        <v>773</v>
      </c>
      <c r="C1463" t="s">
        <v>1179</v>
      </c>
      <c r="D1463" t="s">
        <v>84</v>
      </c>
      <c r="E1463" t="s">
        <v>1243</v>
      </c>
      <c r="G1463" t="s">
        <v>1226</v>
      </c>
      <c r="H1463" t="s">
        <v>907</v>
      </c>
      <c r="I1463" t="s">
        <v>589</v>
      </c>
      <c r="J1463" t="s">
        <v>1843</v>
      </c>
    </row>
    <row r="1464" spans="1:10" x14ac:dyDescent="0.25">
      <c r="A1464" s="43" t="s">
        <v>2848</v>
      </c>
      <c r="B1464" t="s">
        <v>773</v>
      </c>
      <c r="C1464" t="s">
        <v>1179</v>
      </c>
      <c r="D1464" t="s">
        <v>84</v>
      </c>
      <c r="E1464" t="s">
        <v>1243</v>
      </c>
      <c r="G1464" t="s">
        <v>8</v>
      </c>
      <c r="H1464" t="s">
        <v>907</v>
      </c>
      <c r="I1464" t="s">
        <v>589</v>
      </c>
      <c r="J1464" t="s">
        <v>1843</v>
      </c>
    </row>
    <row r="1465" spans="1:10" x14ac:dyDescent="0.25">
      <c r="A1465" s="43" t="s">
        <v>2847</v>
      </c>
      <c r="B1465" t="s">
        <v>773</v>
      </c>
      <c r="C1465" t="s">
        <v>1179</v>
      </c>
      <c r="D1465" t="s">
        <v>84</v>
      </c>
      <c r="E1465" t="s">
        <v>1243</v>
      </c>
      <c r="G1465" t="s">
        <v>1328</v>
      </c>
      <c r="H1465" t="s">
        <v>907</v>
      </c>
      <c r="I1465" t="s">
        <v>589</v>
      </c>
      <c r="J1465" t="s">
        <v>1843</v>
      </c>
    </row>
    <row r="1466" spans="1:10" x14ac:dyDescent="0.25">
      <c r="A1466" s="43" t="s">
        <v>2765</v>
      </c>
      <c r="B1466" t="s">
        <v>773</v>
      </c>
      <c r="C1466" t="s">
        <v>1179</v>
      </c>
      <c r="D1466" t="s">
        <v>84</v>
      </c>
      <c r="E1466" t="s">
        <v>1243</v>
      </c>
      <c r="G1466" t="s">
        <v>1290</v>
      </c>
      <c r="H1466" t="s">
        <v>907</v>
      </c>
      <c r="I1466" t="s">
        <v>589</v>
      </c>
      <c r="J1466" t="s">
        <v>1843</v>
      </c>
    </row>
    <row r="1467" spans="1:10" x14ac:dyDescent="0.25">
      <c r="A1467" s="43" t="s">
        <v>4413</v>
      </c>
      <c r="B1467" t="s">
        <v>773</v>
      </c>
      <c r="C1467" t="s">
        <v>1179</v>
      </c>
      <c r="D1467" t="s">
        <v>84</v>
      </c>
      <c r="E1467" t="s">
        <v>1243</v>
      </c>
      <c r="G1467" t="s">
        <v>8</v>
      </c>
      <c r="H1467" t="s">
        <v>907</v>
      </c>
      <c r="I1467" t="s">
        <v>787</v>
      </c>
      <c r="J1467" t="s">
        <v>1843</v>
      </c>
    </row>
    <row r="1468" spans="1:10" x14ac:dyDescent="0.25">
      <c r="A1468" s="43" t="s">
        <v>3781</v>
      </c>
      <c r="B1468" t="s">
        <v>3782</v>
      </c>
      <c r="C1468" t="s">
        <v>1181</v>
      </c>
      <c r="D1468" t="s">
        <v>318</v>
      </c>
      <c r="G1468" t="s">
        <v>1290</v>
      </c>
      <c r="H1468" t="s">
        <v>898</v>
      </c>
      <c r="I1468" t="s">
        <v>1275</v>
      </c>
      <c r="J1468" t="s">
        <v>3783</v>
      </c>
    </row>
    <row r="1469" spans="1:10" x14ac:dyDescent="0.25">
      <c r="A1469" s="43" t="s">
        <v>2846</v>
      </c>
      <c r="B1469" t="s">
        <v>31</v>
      </c>
      <c r="C1469" t="s">
        <v>1190</v>
      </c>
      <c r="D1469" t="s">
        <v>27</v>
      </c>
      <c r="E1469" t="s">
        <v>1347</v>
      </c>
      <c r="G1469" t="s">
        <v>1248</v>
      </c>
      <c r="H1469" t="s">
        <v>898</v>
      </c>
      <c r="I1469" t="s">
        <v>360</v>
      </c>
      <c r="J1469" t="s">
        <v>1778</v>
      </c>
    </row>
    <row r="1470" spans="1:10" x14ac:dyDescent="0.25">
      <c r="A1470" s="43" t="s">
        <v>4389</v>
      </c>
      <c r="B1470" t="s">
        <v>31</v>
      </c>
      <c r="C1470" t="s">
        <v>1190</v>
      </c>
      <c r="D1470" t="s">
        <v>27</v>
      </c>
      <c r="E1470" t="s">
        <v>1347</v>
      </c>
      <c r="G1470" t="s">
        <v>8</v>
      </c>
      <c r="H1470" t="s">
        <v>898</v>
      </c>
      <c r="I1470" t="s">
        <v>360</v>
      </c>
      <c r="J1470" t="s">
        <v>1778</v>
      </c>
    </row>
    <row r="1471" spans="1:10" x14ac:dyDescent="0.25">
      <c r="A1471" s="43" t="s">
        <v>3780</v>
      </c>
      <c r="B1471" t="s">
        <v>31</v>
      </c>
      <c r="C1471" t="s">
        <v>1190</v>
      </c>
      <c r="D1471" t="s">
        <v>27</v>
      </c>
      <c r="E1471" t="s">
        <v>1347</v>
      </c>
      <c r="G1471" t="s">
        <v>1328</v>
      </c>
      <c r="H1471" t="s">
        <v>898</v>
      </c>
      <c r="I1471" t="s">
        <v>360</v>
      </c>
      <c r="J1471" t="s">
        <v>1778</v>
      </c>
    </row>
    <row r="1472" spans="1:10" x14ac:dyDescent="0.25">
      <c r="A1472" s="43" t="s">
        <v>2845</v>
      </c>
      <c r="B1472" t="s">
        <v>31</v>
      </c>
      <c r="C1472" t="s">
        <v>1190</v>
      </c>
      <c r="D1472" t="s">
        <v>27</v>
      </c>
      <c r="E1472" t="s">
        <v>1347</v>
      </c>
      <c r="G1472" t="s">
        <v>1290</v>
      </c>
      <c r="H1472" t="s">
        <v>898</v>
      </c>
      <c r="I1472" t="s">
        <v>360</v>
      </c>
      <c r="J1472" t="s">
        <v>1778</v>
      </c>
    </row>
    <row r="1473" spans="1:10" x14ac:dyDescent="0.25">
      <c r="A1473" s="43" t="s">
        <v>3779</v>
      </c>
      <c r="B1473" t="s">
        <v>3039</v>
      </c>
      <c r="C1473" t="s">
        <v>1181</v>
      </c>
      <c r="D1473" t="s">
        <v>27</v>
      </c>
      <c r="G1473" t="s">
        <v>8</v>
      </c>
      <c r="H1473" t="s">
        <v>898</v>
      </c>
      <c r="I1473" t="s">
        <v>1259</v>
      </c>
      <c r="J1473" t="s">
        <v>1904</v>
      </c>
    </row>
    <row r="1474" spans="1:10" x14ac:dyDescent="0.25">
      <c r="A1474" s="43" t="s">
        <v>4371</v>
      </c>
      <c r="B1474" t="s">
        <v>202</v>
      </c>
      <c r="C1474" t="s">
        <v>1195</v>
      </c>
      <c r="D1474" t="s">
        <v>203</v>
      </c>
      <c r="E1474" t="s">
        <v>1239</v>
      </c>
      <c r="G1474" t="s">
        <v>1290</v>
      </c>
      <c r="H1474" t="s">
        <v>907</v>
      </c>
      <c r="I1474" t="s">
        <v>4086</v>
      </c>
      <c r="J1474" t="s">
        <v>1883</v>
      </c>
    </row>
    <row r="1475" spans="1:10" x14ac:dyDescent="0.25">
      <c r="A1475" s="43" t="s">
        <v>2671</v>
      </c>
      <c r="B1475" t="s">
        <v>202</v>
      </c>
      <c r="C1475" t="s">
        <v>1195</v>
      </c>
      <c r="D1475" t="s">
        <v>203</v>
      </c>
      <c r="E1475" t="s">
        <v>1331</v>
      </c>
      <c r="G1475" t="s">
        <v>1290</v>
      </c>
      <c r="H1475" t="s">
        <v>907</v>
      </c>
      <c r="I1475" t="s">
        <v>2605</v>
      </c>
      <c r="J1475" t="s">
        <v>2158</v>
      </c>
    </row>
    <row r="1476" spans="1:10" x14ac:dyDescent="0.25">
      <c r="A1476" s="43" t="s">
        <v>4370</v>
      </c>
      <c r="B1476" t="s">
        <v>202</v>
      </c>
      <c r="C1476" t="s">
        <v>1195</v>
      </c>
      <c r="D1476" t="s">
        <v>203</v>
      </c>
      <c r="E1476" t="s">
        <v>1239</v>
      </c>
      <c r="G1476" t="s">
        <v>1226</v>
      </c>
      <c r="H1476" t="s">
        <v>907</v>
      </c>
      <c r="I1476" t="s">
        <v>4086</v>
      </c>
      <c r="J1476" t="s">
        <v>1883</v>
      </c>
    </row>
    <row r="1477" spans="1:10" x14ac:dyDescent="0.25">
      <c r="A1477" s="43" t="s">
        <v>4085</v>
      </c>
      <c r="B1477" t="s">
        <v>202</v>
      </c>
      <c r="C1477" t="s">
        <v>1195</v>
      </c>
      <c r="D1477" t="s">
        <v>203</v>
      </c>
      <c r="E1477" t="s">
        <v>1239</v>
      </c>
      <c r="G1477" t="s">
        <v>8</v>
      </c>
      <c r="H1477" t="s">
        <v>907</v>
      </c>
      <c r="I1477" t="s">
        <v>4086</v>
      </c>
      <c r="J1477" t="s">
        <v>1883</v>
      </c>
    </row>
    <row r="1478" spans="1:10" x14ac:dyDescent="0.25">
      <c r="A1478" s="43" t="s">
        <v>4302</v>
      </c>
      <c r="B1478" t="s">
        <v>202</v>
      </c>
      <c r="C1478" t="s">
        <v>1195</v>
      </c>
      <c r="D1478" t="s">
        <v>203</v>
      </c>
      <c r="E1478" t="s">
        <v>1331</v>
      </c>
      <c r="G1478" t="s">
        <v>1226</v>
      </c>
      <c r="H1478" t="s">
        <v>907</v>
      </c>
      <c r="I1478" t="s">
        <v>2605</v>
      </c>
      <c r="J1478" t="s">
        <v>2158</v>
      </c>
    </row>
    <row r="1479" spans="1:10" x14ac:dyDescent="0.25">
      <c r="A1479" s="43" t="s">
        <v>2604</v>
      </c>
      <c r="B1479" t="s">
        <v>202</v>
      </c>
      <c r="C1479" t="s">
        <v>1195</v>
      </c>
      <c r="D1479" t="s">
        <v>203</v>
      </c>
      <c r="E1479" t="s">
        <v>1331</v>
      </c>
      <c r="G1479" t="s">
        <v>8</v>
      </c>
      <c r="H1479" t="s">
        <v>907</v>
      </c>
      <c r="I1479" t="s">
        <v>2605</v>
      </c>
      <c r="J1479" t="s">
        <v>2158</v>
      </c>
    </row>
    <row r="1480" spans="1:10" x14ac:dyDescent="0.25">
      <c r="A1480" s="43" t="s">
        <v>4236</v>
      </c>
      <c r="B1480" t="s">
        <v>192</v>
      </c>
      <c r="C1480" t="s">
        <v>1177</v>
      </c>
      <c r="E1480" t="s">
        <v>1239</v>
      </c>
      <c r="G1480" t="s">
        <v>1290</v>
      </c>
      <c r="H1480" t="s">
        <v>907</v>
      </c>
      <c r="I1480" t="s">
        <v>193</v>
      </c>
      <c r="J1480" t="s">
        <v>1719</v>
      </c>
    </row>
    <row r="1481" spans="1:10" x14ac:dyDescent="0.25">
      <c r="A1481" s="43" t="s">
        <v>2593</v>
      </c>
      <c r="B1481" t="s">
        <v>192</v>
      </c>
      <c r="C1481" t="s">
        <v>1177</v>
      </c>
      <c r="E1481" t="s">
        <v>1239</v>
      </c>
      <c r="G1481" t="s">
        <v>1226</v>
      </c>
      <c r="H1481" t="s">
        <v>907</v>
      </c>
      <c r="I1481" t="s">
        <v>193</v>
      </c>
      <c r="J1481" t="s">
        <v>1719</v>
      </c>
    </row>
    <row r="1482" spans="1:10" x14ac:dyDescent="0.25">
      <c r="A1482" s="43" t="s">
        <v>4463</v>
      </c>
      <c r="B1482" t="s">
        <v>192</v>
      </c>
      <c r="C1482" t="s">
        <v>1177</v>
      </c>
      <c r="E1482" t="s">
        <v>1239</v>
      </c>
      <c r="G1482" t="s">
        <v>8</v>
      </c>
      <c r="H1482" t="s">
        <v>907</v>
      </c>
      <c r="I1482" t="s">
        <v>193</v>
      </c>
      <c r="J1482" t="s">
        <v>1719</v>
      </c>
    </row>
    <row r="1483" spans="1:10" x14ac:dyDescent="0.25">
      <c r="A1483" s="43" t="s">
        <v>4388</v>
      </c>
      <c r="B1483" t="s">
        <v>277</v>
      </c>
      <c r="C1483" t="s">
        <v>1177</v>
      </c>
      <c r="D1483" t="s">
        <v>56</v>
      </c>
      <c r="E1483" t="s">
        <v>1257</v>
      </c>
      <c r="G1483" t="s">
        <v>1248</v>
      </c>
      <c r="H1483" t="s">
        <v>898</v>
      </c>
      <c r="I1483" t="s">
        <v>327</v>
      </c>
      <c r="J1483" t="s">
        <v>1871</v>
      </c>
    </row>
    <row r="1484" spans="1:10" x14ac:dyDescent="0.25">
      <c r="A1484" s="43" t="s">
        <v>4235</v>
      </c>
      <c r="B1484" t="s">
        <v>277</v>
      </c>
      <c r="C1484" t="s">
        <v>1177</v>
      </c>
      <c r="D1484" t="s">
        <v>56</v>
      </c>
      <c r="E1484" t="s">
        <v>1257</v>
      </c>
      <c r="G1484" t="s">
        <v>8</v>
      </c>
      <c r="H1484" t="s">
        <v>898</v>
      </c>
      <c r="I1484" t="s">
        <v>327</v>
      </c>
      <c r="J1484" t="s">
        <v>1871</v>
      </c>
    </row>
    <row r="1485" spans="1:10" x14ac:dyDescent="0.25">
      <c r="A1485" s="43" t="s">
        <v>4234</v>
      </c>
      <c r="B1485" t="s">
        <v>277</v>
      </c>
      <c r="C1485" t="s">
        <v>1177</v>
      </c>
      <c r="D1485" t="s">
        <v>56</v>
      </c>
      <c r="E1485" t="s">
        <v>1257</v>
      </c>
      <c r="G1485" t="s">
        <v>1328</v>
      </c>
      <c r="H1485" t="s">
        <v>898</v>
      </c>
      <c r="I1485" t="s">
        <v>327</v>
      </c>
      <c r="J1485" t="s">
        <v>1871</v>
      </c>
    </row>
    <row r="1486" spans="1:10" x14ac:dyDescent="0.25">
      <c r="A1486" s="43" t="s">
        <v>3778</v>
      </c>
      <c r="B1486" t="s">
        <v>277</v>
      </c>
      <c r="C1486" t="s">
        <v>1177</v>
      </c>
      <c r="D1486" t="s">
        <v>56</v>
      </c>
      <c r="E1486" t="s">
        <v>1257</v>
      </c>
      <c r="G1486" t="s">
        <v>1290</v>
      </c>
      <c r="H1486" t="s">
        <v>898</v>
      </c>
      <c r="I1486" t="s">
        <v>327</v>
      </c>
      <c r="J1486" t="s">
        <v>1871</v>
      </c>
    </row>
    <row r="1487" spans="1:10" x14ac:dyDescent="0.25">
      <c r="A1487" s="43" t="s">
        <v>4343</v>
      </c>
      <c r="B1487" t="s">
        <v>277</v>
      </c>
      <c r="C1487" t="s">
        <v>1177</v>
      </c>
      <c r="D1487" t="s">
        <v>56</v>
      </c>
      <c r="E1487" t="s">
        <v>1257</v>
      </c>
      <c r="G1487" t="s">
        <v>8</v>
      </c>
      <c r="H1487" t="s">
        <v>898</v>
      </c>
      <c r="I1487" t="s">
        <v>327</v>
      </c>
      <c r="J1487" t="s">
        <v>1871</v>
      </c>
    </row>
    <row r="1488" spans="1:10" x14ac:dyDescent="0.25">
      <c r="A1488" s="43" t="s">
        <v>4342</v>
      </c>
      <c r="B1488" t="s">
        <v>277</v>
      </c>
      <c r="C1488" t="s">
        <v>1177</v>
      </c>
      <c r="D1488" t="s">
        <v>15</v>
      </c>
      <c r="E1488" t="s">
        <v>1237</v>
      </c>
      <c r="G1488" t="s">
        <v>1248</v>
      </c>
      <c r="H1488" t="s">
        <v>898</v>
      </c>
      <c r="I1488" t="s">
        <v>105</v>
      </c>
      <c r="J1488" t="s">
        <v>1898</v>
      </c>
    </row>
    <row r="1489" spans="1:10" x14ac:dyDescent="0.25">
      <c r="A1489" s="43" t="s">
        <v>4341</v>
      </c>
      <c r="B1489" t="s">
        <v>277</v>
      </c>
      <c r="C1489" t="s">
        <v>1177</v>
      </c>
      <c r="D1489" t="s">
        <v>15</v>
      </c>
      <c r="E1489" t="s">
        <v>1237</v>
      </c>
      <c r="G1489" t="s">
        <v>8</v>
      </c>
      <c r="H1489" t="s">
        <v>898</v>
      </c>
      <c r="I1489" t="s">
        <v>105</v>
      </c>
      <c r="J1489" t="s">
        <v>1898</v>
      </c>
    </row>
    <row r="1490" spans="1:10" x14ac:dyDescent="0.25">
      <c r="A1490" s="43" t="s">
        <v>4084</v>
      </c>
      <c r="B1490" t="s">
        <v>398</v>
      </c>
      <c r="C1490" t="s">
        <v>1194</v>
      </c>
      <c r="D1490" t="s">
        <v>15</v>
      </c>
      <c r="E1490" t="s">
        <v>1247</v>
      </c>
      <c r="G1490" t="s">
        <v>1226</v>
      </c>
      <c r="H1490" t="s">
        <v>907</v>
      </c>
      <c r="I1490" t="s">
        <v>163</v>
      </c>
      <c r="J1490" t="s">
        <v>1763</v>
      </c>
    </row>
    <row r="1491" spans="1:10" x14ac:dyDescent="0.25">
      <c r="A1491" s="43" t="s">
        <v>3773</v>
      </c>
      <c r="B1491" t="s">
        <v>398</v>
      </c>
      <c r="C1491" t="s">
        <v>1194</v>
      </c>
      <c r="D1491" t="s">
        <v>15</v>
      </c>
      <c r="E1491" t="s">
        <v>1247</v>
      </c>
      <c r="G1491" t="s">
        <v>8</v>
      </c>
      <c r="H1491" t="s">
        <v>907</v>
      </c>
      <c r="I1491" t="s">
        <v>163</v>
      </c>
      <c r="J1491" t="s">
        <v>1763</v>
      </c>
    </row>
    <row r="1492" spans="1:10" x14ac:dyDescent="0.25">
      <c r="A1492" s="43" t="s">
        <v>4083</v>
      </c>
      <c r="B1492" t="s">
        <v>398</v>
      </c>
      <c r="C1492" t="s">
        <v>1194</v>
      </c>
      <c r="D1492" t="s">
        <v>15</v>
      </c>
      <c r="E1492" t="s">
        <v>1247</v>
      </c>
      <c r="G1492" t="s">
        <v>1290</v>
      </c>
      <c r="H1492" t="s">
        <v>907</v>
      </c>
      <c r="I1492" t="s">
        <v>163</v>
      </c>
      <c r="J1492" t="s">
        <v>1763</v>
      </c>
    </row>
    <row r="1493" spans="1:10" x14ac:dyDescent="0.25">
      <c r="A1493" s="43" t="s">
        <v>3417</v>
      </c>
      <c r="B1493" t="s">
        <v>421</v>
      </c>
      <c r="C1493" t="s">
        <v>1195</v>
      </c>
      <c r="D1493" t="s">
        <v>197</v>
      </c>
      <c r="E1493" t="s">
        <v>1239</v>
      </c>
      <c r="G1493" t="s">
        <v>1226</v>
      </c>
      <c r="H1493" t="s">
        <v>907</v>
      </c>
      <c r="I1493" t="s">
        <v>3418</v>
      </c>
      <c r="J1493" t="s">
        <v>1781</v>
      </c>
    </row>
    <row r="1494" spans="1:10" x14ac:dyDescent="0.25">
      <c r="A1494" s="43" t="s">
        <v>3420</v>
      </c>
      <c r="B1494" t="s">
        <v>421</v>
      </c>
      <c r="C1494" t="s">
        <v>1195</v>
      </c>
      <c r="D1494" t="s">
        <v>197</v>
      </c>
      <c r="E1494" t="s">
        <v>1239</v>
      </c>
      <c r="G1494" t="s">
        <v>8</v>
      </c>
      <c r="H1494" t="s">
        <v>907</v>
      </c>
      <c r="I1494" t="s">
        <v>3418</v>
      </c>
      <c r="J1494" t="s">
        <v>1781</v>
      </c>
    </row>
    <row r="1495" spans="1:10" x14ac:dyDescent="0.25">
      <c r="A1495" s="43" t="s">
        <v>3419</v>
      </c>
      <c r="B1495" t="s">
        <v>421</v>
      </c>
      <c r="C1495" t="s">
        <v>1195</v>
      </c>
      <c r="D1495" t="s">
        <v>197</v>
      </c>
      <c r="E1495" t="s">
        <v>1239</v>
      </c>
      <c r="G1495" t="s">
        <v>1290</v>
      </c>
      <c r="H1495" t="s">
        <v>907</v>
      </c>
      <c r="I1495" t="s">
        <v>3418</v>
      </c>
      <c r="J1495" t="s">
        <v>1781</v>
      </c>
    </row>
    <row r="1496" spans="1:10" x14ac:dyDescent="0.25">
      <c r="A1496" s="43" t="s">
        <v>4091</v>
      </c>
      <c r="B1496" t="s">
        <v>479</v>
      </c>
      <c r="C1496" t="s">
        <v>1177</v>
      </c>
      <c r="D1496" t="s">
        <v>21</v>
      </c>
      <c r="E1496" t="s">
        <v>1239</v>
      </c>
      <c r="G1496" t="s">
        <v>1290</v>
      </c>
      <c r="H1496" t="s">
        <v>907</v>
      </c>
      <c r="I1496" t="s">
        <v>494</v>
      </c>
      <c r="J1496" t="s">
        <v>1805</v>
      </c>
    </row>
    <row r="1497" spans="1:10" x14ac:dyDescent="0.25">
      <c r="A1497" s="43" t="s">
        <v>4412</v>
      </c>
      <c r="B1497" t="s">
        <v>479</v>
      </c>
      <c r="C1497" t="s">
        <v>1177</v>
      </c>
      <c r="D1497" t="s">
        <v>21</v>
      </c>
      <c r="E1497" t="s">
        <v>1239</v>
      </c>
      <c r="G1497" t="s">
        <v>1226</v>
      </c>
      <c r="H1497" t="s">
        <v>907</v>
      </c>
      <c r="I1497" t="s">
        <v>494</v>
      </c>
      <c r="J1497" t="s">
        <v>1805</v>
      </c>
    </row>
    <row r="1498" spans="1:10" x14ac:dyDescent="0.25">
      <c r="A1498" s="43" t="s">
        <v>2677</v>
      </c>
      <c r="B1498" t="s">
        <v>479</v>
      </c>
      <c r="C1498" t="s">
        <v>1177</v>
      </c>
      <c r="D1498" t="s">
        <v>21</v>
      </c>
      <c r="E1498" t="s">
        <v>1239</v>
      </c>
      <c r="G1498" t="s">
        <v>8</v>
      </c>
      <c r="H1498" t="s">
        <v>907</v>
      </c>
      <c r="I1498" t="s">
        <v>494</v>
      </c>
      <c r="J1498" t="s">
        <v>1805</v>
      </c>
    </row>
    <row r="1499" spans="1:10" x14ac:dyDescent="0.25">
      <c r="A1499" s="43" t="s">
        <v>4484</v>
      </c>
      <c r="B1499" t="s">
        <v>479</v>
      </c>
      <c r="C1499" t="s">
        <v>1177</v>
      </c>
      <c r="D1499" t="s">
        <v>21</v>
      </c>
      <c r="E1499" t="s">
        <v>1239</v>
      </c>
      <c r="G1499" t="s">
        <v>1226</v>
      </c>
      <c r="H1499" t="s">
        <v>907</v>
      </c>
      <c r="I1499" t="s">
        <v>1278</v>
      </c>
      <c r="J1499" t="s">
        <v>1691</v>
      </c>
    </row>
    <row r="1500" spans="1:10" x14ac:dyDescent="0.25">
      <c r="A1500" s="43" t="s">
        <v>2532</v>
      </c>
      <c r="B1500" t="s">
        <v>479</v>
      </c>
      <c r="C1500" t="s">
        <v>1177</v>
      </c>
      <c r="D1500" t="s">
        <v>21</v>
      </c>
      <c r="E1500" t="s">
        <v>1239</v>
      </c>
      <c r="G1500" t="s">
        <v>8</v>
      </c>
      <c r="H1500" t="s">
        <v>907</v>
      </c>
      <c r="I1500" t="s">
        <v>480</v>
      </c>
      <c r="J1500" t="s">
        <v>1656</v>
      </c>
    </row>
    <row r="1501" spans="1:10" x14ac:dyDescent="0.25">
      <c r="A1501" s="43" t="s">
        <v>2676</v>
      </c>
      <c r="B1501" t="s">
        <v>548</v>
      </c>
      <c r="C1501" t="s">
        <v>1177</v>
      </c>
      <c r="D1501" t="s">
        <v>56</v>
      </c>
      <c r="E1501" t="s">
        <v>1331</v>
      </c>
      <c r="G1501" t="s">
        <v>1226</v>
      </c>
      <c r="H1501" t="s">
        <v>907</v>
      </c>
      <c r="I1501" t="s">
        <v>549</v>
      </c>
      <c r="J1501" t="s">
        <v>550</v>
      </c>
    </row>
    <row r="1502" spans="1:10" x14ac:dyDescent="0.25">
      <c r="A1502" s="43" t="s">
        <v>4411</v>
      </c>
      <c r="B1502" t="s">
        <v>548</v>
      </c>
      <c r="C1502" t="s">
        <v>1177</v>
      </c>
      <c r="D1502" t="s">
        <v>56</v>
      </c>
      <c r="E1502" t="s">
        <v>1331</v>
      </c>
      <c r="G1502" t="s">
        <v>8</v>
      </c>
      <c r="H1502" t="s">
        <v>907</v>
      </c>
      <c r="I1502" t="s">
        <v>549</v>
      </c>
      <c r="J1502" t="s">
        <v>550</v>
      </c>
    </row>
    <row r="1503" spans="1:10" x14ac:dyDescent="0.25">
      <c r="A1503" s="43" t="s">
        <v>4233</v>
      </c>
      <c r="B1503" t="s">
        <v>548</v>
      </c>
      <c r="C1503" t="s">
        <v>1177</v>
      </c>
      <c r="D1503" t="s">
        <v>56</v>
      </c>
      <c r="E1503" t="s">
        <v>1331</v>
      </c>
      <c r="G1503" t="s">
        <v>1328</v>
      </c>
      <c r="H1503" t="s">
        <v>907</v>
      </c>
      <c r="I1503" t="s">
        <v>549</v>
      </c>
      <c r="J1503" t="s">
        <v>550</v>
      </c>
    </row>
    <row r="1504" spans="1:10" x14ac:dyDescent="0.25">
      <c r="A1504" s="43" t="s">
        <v>4232</v>
      </c>
      <c r="B1504" t="s">
        <v>548</v>
      </c>
      <c r="C1504" t="s">
        <v>1177</v>
      </c>
      <c r="D1504" t="s">
        <v>56</v>
      </c>
      <c r="E1504" t="s">
        <v>1331</v>
      </c>
      <c r="G1504" t="s">
        <v>1290</v>
      </c>
      <c r="H1504" t="s">
        <v>907</v>
      </c>
      <c r="I1504" t="s">
        <v>549</v>
      </c>
      <c r="J1504" t="s">
        <v>550</v>
      </c>
    </row>
    <row r="1505" spans="1:10" x14ac:dyDescent="0.25">
      <c r="A1505" s="43" t="s">
        <v>4231</v>
      </c>
      <c r="B1505" t="s">
        <v>592</v>
      </c>
      <c r="C1505" t="s">
        <v>1180</v>
      </c>
      <c r="D1505" t="s">
        <v>56</v>
      </c>
      <c r="E1505" t="s">
        <v>1396</v>
      </c>
      <c r="G1505" t="s">
        <v>1290</v>
      </c>
      <c r="H1505" t="s">
        <v>907</v>
      </c>
      <c r="I1505" t="s">
        <v>252</v>
      </c>
      <c r="J1505" t="s">
        <v>1895</v>
      </c>
    </row>
    <row r="1506" spans="1:10" x14ac:dyDescent="0.25">
      <c r="A1506" s="43" t="s">
        <v>4340</v>
      </c>
      <c r="B1506" t="s">
        <v>592</v>
      </c>
      <c r="C1506" t="s">
        <v>1180</v>
      </c>
      <c r="D1506" t="s">
        <v>56</v>
      </c>
      <c r="E1506" t="s">
        <v>1396</v>
      </c>
      <c r="G1506" t="s">
        <v>1226</v>
      </c>
      <c r="H1506" t="s">
        <v>907</v>
      </c>
      <c r="I1506" t="s">
        <v>252</v>
      </c>
      <c r="J1506" t="s">
        <v>1895</v>
      </c>
    </row>
    <row r="1507" spans="1:10" x14ac:dyDescent="0.25">
      <c r="A1507" s="43" t="s">
        <v>2606</v>
      </c>
      <c r="B1507" t="s">
        <v>592</v>
      </c>
      <c r="C1507" t="s">
        <v>1180</v>
      </c>
      <c r="D1507" t="s">
        <v>56</v>
      </c>
      <c r="E1507" t="s">
        <v>1396</v>
      </c>
      <c r="G1507" t="s">
        <v>8</v>
      </c>
      <c r="H1507" t="s">
        <v>907</v>
      </c>
      <c r="I1507" t="s">
        <v>92</v>
      </c>
      <c r="J1507" t="s">
        <v>2438</v>
      </c>
    </row>
    <row r="1508" spans="1:10" x14ac:dyDescent="0.25">
      <c r="A1508" s="43" t="s">
        <v>3777</v>
      </c>
      <c r="B1508" t="s">
        <v>635</v>
      </c>
      <c r="C1508" t="s">
        <v>1180</v>
      </c>
      <c r="D1508" t="s">
        <v>56</v>
      </c>
      <c r="E1508" t="s">
        <v>1440</v>
      </c>
      <c r="G1508" t="s">
        <v>1290</v>
      </c>
      <c r="H1508" t="s">
        <v>907</v>
      </c>
      <c r="I1508" t="s">
        <v>64</v>
      </c>
      <c r="J1508" t="s">
        <v>2353</v>
      </c>
    </row>
    <row r="1509" spans="1:10" x14ac:dyDescent="0.25">
      <c r="A1509" s="43" t="s">
        <v>4230</v>
      </c>
      <c r="B1509" t="s">
        <v>635</v>
      </c>
      <c r="C1509" t="s">
        <v>1180</v>
      </c>
      <c r="D1509" t="s">
        <v>56</v>
      </c>
      <c r="E1509" t="s">
        <v>1440</v>
      </c>
      <c r="G1509" t="s">
        <v>1226</v>
      </c>
      <c r="H1509" t="s">
        <v>907</v>
      </c>
      <c r="I1509" t="s">
        <v>64</v>
      </c>
      <c r="J1509" t="s">
        <v>2353</v>
      </c>
    </row>
    <row r="1510" spans="1:10" x14ac:dyDescent="0.25">
      <c r="A1510" s="43" t="s">
        <v>2675</v>
      </c>
      <c r="B1510" t="s">
        <v>635</v>
      </c>
      <c r="C1510" t="s">
        <v>1180</v>
      </c>
      <c r="D1510" t="s">
        <v>56</v>
      </c>
      <c r="E1510" t="s">
        <v>1440</v>
      </c>
      <c r="G1510" t="s">
        <v>8</v>
      </c>
      <c r="H1510" t="s">
        <v>907</v>
      </c>
      <c r="I1510" t="s">
        <v>23</v>
      </c>
      <c r="J1510" t="s">
        <v>2450</v>
      </c>
    </row>
    <row r="1511" spans="1:10" x14ac:dyDescent="0.25">
      <c r="A1511" s="43" t="s">
        <v>2764</v>
      </c>
      <c r="B1511" t="s">
        <v>741</v>
      </c>
      <c r="C1511" t="s">
        <v>1183</v>
      </c>
      <c r="D1511" t="s">
        <v>62</v>
      </c>
      <c r="E1511" t="s">
        <v>1247</v>
      </c>
      <c r="G1511" t="s">
        <v>1248</v>
      </c>
      <c r="H1511" t="s">
        <v>898</v>
      </c>
      <c r="I1511" t="s">
        <v>330</v>
      </c>
      <c r="J1511" t="s">
        <v>747</v>
      </c>
    </row>
    <row r="1512" spans="1:10" x14ac:dyDescent="0.25">
      <c r="A1512" s="43" t="s">
        <v>4339</v>
      </c>
      <c r="B1512" t="s">
        <v>741</v>
      </c>
      <c r="C1512" t="s">
        <v>1183</v>
      </c>
      <c r="D1512" t="s">
        <v>62</v>
      </c>
      <c r="E1512" t="s">
        <v>1247</v>
      </c>
      <c r="G1512" t="s">
        <v>8</v>
      </c>
      <c r="H1512" t="s">
        <v>898</v>
      </c>
      <c r="I1512" t="s">
        <v>330</v>
      </c>
      <c r="J1512" t="s">
        <v>747</v>
      </c>
    </row>
    <row r="1513" spans="1:10" x14ac:dyDescent="0.25">
      <c r="A1513" s="43" t="s">
        <v>4090</v>
      </c>
      <c r="B1513" t="s">
        <v>741</v>
      </c>
      <c r="C1513" t="s">
        <v>1183</v>
      </c>
      <c r="D1513" t="s">
        <v>62</v>
      </c>
      <c r="E1513" t="s">
        <v>1247</v>
      </c>
      <c r="G1513" t="s">
        <v>1290</v>
      </c>
      <c r="H1513" t="s">
        <v>898</v>
      </c>
      <c r="I1513" t="s">
        <v>330</v>
      </c>
      <c r="J1513" t="s">
        <v>747</v>
      </c>
    </row>
    <row r="1514" spans="1:10" x14ac:dyDescent="0.25">
      <c r="A1514" s="43" t="s">
        <v>2763</v>
      </c>
      <c r="B1514" t="s">
        <v>749</v>
      </c>
      <c r="C1514" t="s">
        <v>1177</v>
      </c>
      <c r="D1514" t="s">
        <v>27</v>
      </c>
      <c r="E1514" t="s">
        <v>1337</v>
      </c>
      <c r="G1514" t="s">
        <v>1226</v>
      </c>
      <c r="H1514" t="s">
        <v>907</v>
      </c>
      <c r="I1514" t="s">
        <v>126</v>
      </c>
      <c r="J1514" t="s">
        <v>1814</v>
      </c>
    </row>
    <row r="1515" spans="1:10" x14ac:dyDescent="0.25">
      <c r="A1515" s="43" t="s">
        <v>2762</v>
      </c>
      <c r="B1515" t="s">
        <v>749</v>
      </c>
      <c r="C1515" t="s">
        <v>1177</v>
      </c>
      <c r="D1515" t="s">
        <v>27</v>
      </c>
      <c r="E1515" t="s">
        <v>1337</v>
      </c>
      <c r="G1515" t="s">
        <v>8</v>
      </c>
      <c r="H1515" t="s">
        <v>907</v>
      </c>
      <c r="I1515" t="s">
        <v>126</v>
      </c>
      <c r="J1515" t="s">
        <v>1814</v>
      </c>
    </row>
    <row r="1516" spans="1:10" x14ac:dyDescent="0.25">
      <c r="A1516" s="43" t="s">
        <v>2674</v>
      </c>
      <c r="B1516" t="s">
        <v>749</v>
      </c>
      <c r="C1516" t="s">
        <v>1177</v>
      </c>
      <c r="D1516" t="s">
        <v>27</v>
      </c>
      <c r="E1516" t="s">
        <v>1337</v>
      </c>
      <c r="G1516" t="s">
        <v>1328</v>
      </c>
      <c r="H1516" t="s">
        <v>907</v>
      </c>
      <c r="I1516" t="s">
        <v>126</v>
      </c>
      <c r="J1516" t="s">
        <v>1814</v>
      </c>
    </row>
    <row r="1517" spans="1:10" x14ac:dyDescent="0.25">
      <c r="A1517" s="43" t="s">
        <v>4089</v>
      </c>
      <c r="B1517" t="s">
        <v>749</v>
      </c>
      <c r="C1517" t="s">
        <v>1177</v>
      </c>
      <c r="D1517" t="s">
        <v>27</v>
      </c>
      <c r="E1517" t="s">
        <v>1337</v>
      </c>
      <c r="G1517" t="s">
        <v>1290</v>
      </c>
      <c r="H1517" t="s">
        <v>907</v>
      </c>
      <c r="I1517" t="s">
        <v>126</v>
      </c>
      <c r="J1517" t="s">
        <v>1814</v>
      </c>
    </row>
    <row r="1518" spans="1:10" x14ac:dyDescent="0.25">
      <c r="A1518" s="43" t="s">
        <v>2760</v>
      </c>
      <c r="B1518" t="s">
        <v>749</v>
      </c>
      <c r="C1518" t="s">
        <v>1177</v>
      </c>
      <c r="D1518" t="s">
        <v>27</v>
      </c>
      <c r="E1518" t="s">
        <v>1297</v>
      </c>
      <c r="G1518" t="s">
        <v>1290</v>
      </c>
      <c r="H1518" t="s">
        <v>907</v>
      </c>
      <c r="I1518" t="s">
        <v>2761</v>
      </c>
      <c r="J1518" t="s">
        <v>2326</v>
      </c>
    </row>
    <row r="1519" spans="1:10" x14ac:dyDescent="0.25">
      <c r="A1519" s="43" t="s">
        <v>4372</v>
      </c>
      <c r="B1519" t="s">
        <v>749</v>
      </c>
      <c r="C1519" t="s">
        <v>1177</v>
      </c>
      <c r="D1519" t="s">
        <v>27</v>
      </c>
      <c r="E1519" t="s">
        <v>1297</v>
      </c>
      <c r="G1519" t="s">
        <v>1226</v>
      </c>
      <c r="H1519" t="s">
        <v>907</v>
      </c>
      <c r="I1519" t="s">
        <v>2761</v>
      </c>
      <c r="J1519" t="s">
        <v>2326</v>
      </c>
    </row>
    <row r="1520" spans="1:10" x14ac:dyDescent="0.25">
      <c r="A1520" s="43" t="s">
        <v>3776</v>
      </c>
      <c r="B1520" t="s">
        <v>749</v>
      </c>
      <c r="C1520" t="s">
        <v>1177</v>
      </c>
      <c r="D1520" t="s">
        <v>27</v>
      </c>
      <c r="E1520" t="s">
        <v>1297</v>
      </c>
      <c r="G1520" t="s">
        <v>8</v>
      </c>
      <c r="H1520" t="s">
        <v>907</v>
      </c>
      <c r="I1520" t="s">
        <v>2761</v>
      </c>
      <c r="J1520" t="s">
        <v>2326</v>
      </c>
    </row>
    <row r="1521" spans="1:10" x14ac:dyDescent="0.25">
      <c r="A1521" s="43" t="s">
        <v>2553</v>
      </c>
      <c r="B1521" t="s">
        <v>749</v>
      </c>
      <c r="C1521" t="s">
        <v>1177</v>
      </c>
      <c r="D1521" t="s">
        <v>27</v>
      </c>
      <c r="E1521" t="s">
        <v>1256</v>
      </c>
      <c r="G1521" t="s">
        <v>1226</v>
      </c>
      <c r="H1521" t="s">
        <v>907</v>
      </c>
      <c r="I1521" t="s">
        <v>765</v>
      </c>
      <c r="J1521" t="s">
        <v>1696</v>
      </c>
    </row>
    <row r="1522" spans="1:10" x14ac:dyDescent="0.25">
      <c r="A1522" s="43" t="s">
        <v>4493</v>
      </c>
      <c r="B1522" t="s">
        <v>749</v>
      </c>
      <c r="C1522" t="s">
        <v>1177</v>
      </c>
      <c r="D1522" t="s">
        <v>27</v>
      </c>
      <c r="E1522" t="s">
        <v>1256</v>
      </c>
      <c r="G1522" t="s">
        <v>8</v>
      </c>
      <c r="H1522" t="s">
        <v>907</v>
      </c>
      <c r="I1522" t="s">
        <v>2620</v>
      </c>
      <c r="J1522" t="s">
        <v>1663</v>
      </c>
    </row>
    <row r="1523" spans="1:10" x14ac:dyDescent="0.25">
      <c r="A1523" s="43" t="s">
        <v>4410</v>
      </c>
      <c r="B1523" t="s">
        <v>773</v>
      </c>
      <c r="C1523" t="s">
        <v>1179</v>
      </c>
      <c r="D1523" t="s">
        <v>84</v>
      </c>
      <c r="E1523" t="s">
        <v>1268</v>
      </c>
      <c r="G1523" t="s">
        <v>1290</v>
      </c>
      <c r="H1523" t="s">
        <v>907</v>
      </c>
      <c r="I1523" t="s">
        <v>790</v>
      </c>
      <c r="J1523" t="s">
        <v>1807</v>
      </c>
    </row>
    <row r="1524" spans="1:10" x14ac:dyDescent="0.25">
      <c r="A1524" s="43" t="s">
        <v>4462</v>
      </c>
      <c r="B1524" t="s">
        <v>773</v>
      </c>
      <c r="C1524" t="s">
        <v>1179</v>
      </c>
      <c r="D1524" t="s">
        <v>84</v>
      </c>
      <c r="E1524" t="s">
        <v>1268</v>
      </c>
      <c r="G1524" t="s">
        <v>1226</v>
      </c>
      <c r="H1524" t="s">
        <v>907</v>
      </c>
      <c r="I1524" t="s">
        <v>790</v>
      </c>
      <c r="J1524" t="s">
        <v>1807</v>
      </c>
    </row>
    <row r="1525" spans="1:10" x14ac:dyDescent="0.25">
      <c r="A1525" s="43" t="s">
        <v>4409</v>
      </c>
      <c r="B1525" t="s">
        <v>773</v>
      </c>
      <c r="C1525" t="s">
        <v>1179</v>
      </c>
      <c r="D1525" t="s">
        <v>84</v>
      </c>
      <c r="E1525" t="s">
        <v>1268</v>
      </c>
      <c r="G1525" t="s">
        <v>8</v>
      </c>
      <c r="H1525" t="s">
        <v>907</v>
      </c>
      <c r="I1525" t="s">
        <v>790</v>
      </c>
      <c r="J1525" t="s">
        <v>1807</v>
      </c>
    </row>
    <row r="1526" spans="1:10" x14ac:dyDescent="0.25">
      <c r="A1526" s="43" t="s">
        <v>4088</v>
      </c>
      <c r="B1526" t="s">
        <v>822</v>
      </c>
      <c r="C1526" t="s">
        <v>1180</v>
      </c>
      <c r="D1526" t="s">
        <v>56</v>
      </c>
      <c r="E1526" t="s">
        <v>1383</v>
      </c>
      <c r="G1526" t="s">
        <v>1290</v>
      </c>
      <c r="H1526" t="s">
        <v>907</v>
      </c>
      <c r="I1526" t="s">
        <v>486</v>
      </c>
      <c r="J1526" t="s">
        <v>1860</v>
      </c>
    </row>
    <row r="1527" spans="1:10" x14ac:dyDescent="0.25">
      <c r="A1527" s="43" t="s">
        <v>2673</v>
      </c>
      <c r="B1527" t="s">
        <v>822</v>
      </c>
      <c r="C1527" t="s">
        <v>1180</v>
      </c>
      <c r="D1527" t="s">
        <v>56</v>
      </c>
      <c r="E1527" t="s">
        <v>1383</v>
      </c>
      <c r="G1527" t="s">
        <v>1226</v>
      </c>
      <c r="H1527" t="s">
        <v>907</v>
      </c>
      <c r="I1527" t="s">
        <v>486</v>
      </c>
      <c r="J1527" t="s">
        <v>1860</v>
      </c>
    </row>
    <row r="1528" spans="1:10" x14ac:dyDescent="0.25">
      <c r="A1528" s="43" t="s">
        <v>4408</v>
      </c>
      <c r="B1528" t="s">
        <v>822</v>
      </c>
      <c r="C1528" t="s">
        <v>1180</v>
      </c>
      <c r="D1528" t="s">
        <v>56</v>
      </c>
      <c r="E1528" t="s">
        <v>1383</v>
      </c>
      <c r="G1528" t="s">
        <v>8</v>
      </c>
      <c r="H1528" t="s">
        <v>907</v>
      </c>
      <c r="I1528" t="s">
        <v>486</v>
      </c>
      <c r="J1528" t="s">
        <v>1860</v>
      </c>
    </row>
    <row r="1529" spans="1:10" x14ac:dyDescent="0.25">
      <c r="A1529" s="43" t="s">
        <v>2672</v>
      </c>
      <c r="B1529" t="s">
        <v>863</v>
      </c>
      <c r="C1529" t="s">
        <v>1177</v>
      </c>
      <c r="D1529" t="s">
        <v>62</v>
      </c>
      <c r="E1529" t="s">
        <v>1247</v>
      </c>
      <c r="G1529" t="s">
        <v>1226</v>
      </c>
      <c r="H1529" t="s">
        <v>907</v>
      </c>
      <c r="I1529" t="s">
        <v>321</v>
      </c>
      <c r="J1529" t="s">
        <v>1863</v>
      </c>
    </row>
    <row r="1530" spans="1:10" x14ac:dyDescent="0.25">
      <c r="A1530" s="43" t="s">
        <v>4087</v>
      </c>
      <c r="B1530" t="s">
        <v>863</v>
      </c>
      <c r="C1530" t="s">
        <v>1177</v>
      </c>
      <c r="D1530" t="s">
        <v>62</v>
      </c>
      <c r="E1530" t="s">
        <v>1247</v>
      </c>
      <c r="G1530" t="s">
        <v>8</v>
      </c>
      <c r="H1530" t="s">
        <v>907</v>
      </c>
      <c r="I1530" t="s">
        <v>321</v>
      </c>
      <c r="J1530" t="s">
        <v>1863</v>
      </c>
    </row>
    <row r="1531" spans="1:10" x14ac:dyDescent="0.25">
      <c r="A1531" s="43" t="s">
        <v>3775</v>
      </c>
      <c r="B1531" t="s">
        <v>863</v>
      </c>
      <c r="C1531" t="s">
        <v>1177</v>
      </c>
      <c r="D1531" t="s">
        <v>62</v>
      </c>
      <c r="E1531" t="s">
        <v>1247</v>
      </c>
      <c r="G1531" t="s">
        <v>1328</v>
      </c>
      <c r="H1531" t="s">
        <v>907</v>
      </c>
      <c r="I1531" t="s">
        <v>321</v>
      </c>
      <c r="J1531" t="s">
        <v>1863</v>
      </c>
    </row>
    <row r="1532" spans="1:10" x14ac:dyDescent="0.25">
      <c r="A1532" s="43" t="s">
        <v>2759</v>
      </c>
      <c r="B1532" t="s">
        <v>863</v>
      </c>
      <c r="C1532" t="s">
        <v>1177</v>
      </c>
      <c r="D1532" t="s">
        <v>62</v>
      </c>
      <c r="E1532" t="s">
        <v>1247</v>
      </c>
      <c r="G1532" t="s">
        <v>1290</v>
      </c>
      <c r="H1532" t="s">
        <v>907</v>
      </c>
      <c r="I1532" t="s">
        <v>321</v>
      </c>
      <c r="J1532" t="s">
        <v>1863</v>
      </c>
    </row>
    <row r="1533" spans="1:10" x14ac:dyDescent="0.25">
      <c r="A1533" s="43" t="s">
        <v>4229</v>
      </c>
      <c r="B1533" t="s">
        <v>863</v>
      </c>
      <c r="C1533" t="s">
        <v>1177</v>
      </c>
      <c r="D1533" t="s">
        <v>62</v>
      </c>
      <c r="E1533" t="s">
        <v>1247</v>
      </c>
      <c r="G1533" t="s">
        <v>8</v>
      </c>
      <c r="H1533" t="s">
        <v>907</v>
      </c>
      <c r="I1533" t="s">
        <v>321</v>
      </c>
      <c r="J1533" t="s">
        <v>1863</v>
      </c>
    </row>
    <row r="1534" spans="1:10" x14ac:dyDescent="0.25">
      <c r="A1534" s="43" t="s">
        <v>940</v>
      </c>
      <c r="B1534" t="s">
        <v>863</v>
      </c>
      <c r="C1534" t="s">
        <v>1177</v>
      </c>
      <c r="D1534" t="s">
        <v>91</v>
      </c>
      <c r="E1534" t="s">
        <v>1247</v>
      </c>
      <c r="G1534" t="s">
        <v>1290</v>
      </c>
      <c r="H1534" t="s">
        <v>907</v>
      </c>
      <c r="I1534" t="s">
        <v>108</v>
      </c>
      <c r="J1534" t="s">
        <v>1870</v>
      </c>
    </row>
    <row r="1535" spans="1:10" x14ac:dyDescent="0.25">
      <c r="A1535" s="43" t="s">
        <v>3774</v>
      </c>
      <c r="B1535" t="s">
        <v>863</v>
      </c>
      <c r="C1535" t="s">
        <v>1177</v>
      </c>
      <c r="D1535" t="s">
        <v>84</v>
      </c>
      <c r="E1535" t="s">
        <v>1247</v>
      </c>
      <c r="G1535" t="s">
        <v>1290</v>
      </c>
      <c r="H1535" t="s">
        <v>907</v>
      </c>
      <c r="I1535" t="s">
        <v>246</v>
      </c>
      <c r="J1535" t="s">
        <v>1697</v>
      </c>
    </row>
    <row r="1536" spans="1:10" x14ac:dyDescent="0.25">
      <c r="A1536" s="43" t="s">
        <v>1171</v>
      </c>
      <c r="B1536" t="s">
        <v>863</v>
      </c>
      <c r="C1536" t="s">
        <v>1177</v>
      </c>
      <c r="D1536" t="s">
        <v>91</v>
      </c>
      <c r="E1536" t="s">
        <v>1247</v>
      </c>
      <c r="G1536" t="s">
        <v>1226</v>
      </c>
      <c r="H1536" t="s">
        <v>907</v>
      </c>
      <c r="I1536" t="s">
        <v>108</v>
      </c>
      <c r="J1536" t="s">
        <v>1870</v>
      </c>
    </row>
    <row r="1537" spans="1:10" x14ac:dyDescent="0.25">
      <c r="A1537" s="43" t="s">
        <v>911</v>
      </c>
      <c r="B1537" t="s">
        <v>863</v>
      </c>
      <c r="C1537" t="s">
        <v>1177</v>
      </c>
      <c r="D1537" t="s">
        <v>84</v>
      </c>
      <c r="E1537" t="s">
        <v>1247</v>
      </c>
      <c r="G1537" t="s">
        <v>1226</v>
      </c>
      <c r="H1537" t="s">
        <v>907</v>
      </c>
      <c r="I1537" t="s">
        <v>246</v>
      </c>
      <c r="J1537" t="s">
        <v>1697</v>
      </c>
    </row>
    <row r="1538" spans="1:10" x14ac:dyDescent="0.25">
      <c r="A1538" s="43" t="s">
        <v>961</v>
      </c>
      <c r="B1538" t="s">
        <v>863</v>
      </c>
      <c r="C1538" t="s">
        <v>1177</v>
      </c>
      <c r="D1538" t="s">
        <v>91</v>
      </c>
      <c r="E1538" t="s">
        <v>1247</v>
      </c>
      <c r="G1538" t="s">
        <v>8</v>
      </c>
      <c r="H1538" t="s">
        <v>907</v>
      </c>
      <c r="I1538" t="s">
        <v>108</v>
      </c>
      <c r="J1538" t="s">
        <v>1870</v>
      </c>
    </row>
    <row r="1539" spans="1:10" x14ac:dyDescent="0.25">
      <c r="A1539" s="43" t="s">
        <v>1162</v>
      </c>
      <c r="B1539" t="s">
        <v>863</v>
      </c>
      <c r="C1539" t="s">
        <v>1177</v>
      </c>
      <c r="D1539" t="s">
        <v>84</v>
      </c>
      <c r="E1539" t="s">
        <v>1247</v>
      </c>
      <c r="G1539" t="s">
        <v>8</v>
      </c>
      <c r="H1539" t="s">
        <v>907</v>
      </c>
      <c r="I1539" t="s">
        <v>246</v>
      </c>
      <c r="J1539" t="s">
        <v>1697</v>
      </c>
    </row>
    <row r="1540" spans="1:10" x14ac:dyDescent="0.25">
      <c r="A1540" s="43" t="s">
        <v>4082</v>
      </c>
      <c r="B1540" t="s">
        <v>4</v>
      </c>
      <c r="C1540" t="s">
        <v>1190</v>
      </c>
      <c r="E1540" t="s">
        <v>1392</v>
      </c>
      <c r="G1540" t="s">
        <v>1248</v>
      </c>
      <c r="H1540" t="s">
        <v>898</v>
      </c>
      <c r="I1540" t="s">
        <v>10</v>
      </c>
      <c r="J1540" t="s">
        <v>1887</v>
      </c>
    </row>
    <row r="1541" spans="1:10" x14ac:dyDescent="0.25">
      <c r="A1541" s="43" t="s">
        <v>3057</v>
      </c>
      <c r="B1541" t="s">
        <v>4</v>
      </c>
      <c r="C1541" t="s">
        <v>1190</v>
      </c>
      <c r="E1541" t="s">
        <v>1392</v>
      </c>
      <c r="G1541" t="s">
        <v>8</v>
      </c>
      <c r="H1541" t="s">
        <v>898</v>
      </c>
      <c r="I1541" t="s">
        <v>10</v>
      </c>
      <c r="J1541" t="s">
        <v>1887</v>
      </c>
    </row>
    <row r="1542" spans="1:10" x14ac:dyDescent="0.25">
      <c r="A1542" s="43" t="s">
        <v>3056</v>
      </c>
      <c r="B1542" t="s">
        <v>4</v>
      </c>
      <c r="C1542" t="s">
        <v>1190</v>
      </c>
      <c r="E1542" t="s">
        <v>1392</v>
      </c>
      <c r="G1542" t="s">
        <v>1248</v>
      </c>
      <c r="H1542" t="s">
        <v>907</v>
      </c>
      <c r="I1542" t="s">
        <v>10</v>
      </c>
      <c r="J1542" t="s">
        <v>2234</v>
      </c>
    </row>
    <row r="1543" spans="1:10" x14ac:dyDescent="0.25">
      <c r="A1543" s="43" t="s">
        <v>3055</v>
      </c>
      <c r="B1543" t="s">
        <v>4</v>
      </c>
      <c r="C1543" t="s">
        <v>1190</v>
      </c>
      <c r="E1543" t="s">
        <v>1392</v>
      </c>
      <c r="G1543" t="s">
        <v>8</v>
      </c>
      <c r="H1543" t="s">
        <v>907</v>
      </c>
      <c r="I1543" t="s">
        <v>10</v>
      </c>
      <c r="J1543" t="s">
        <v>2234</v>
      </c>
    </row>
    <row r="1544" spans="1:10" x14ac:dyDescent="0.25">
      <c r="A1544" s="43" t="s">
        <v>3416</v>
      </c>
      <c r="B1544" t="s">
        <v>260</v>
      </c>
      <c r="C1544" t="s">
        <v>1184</v>
      </c>
      <c r="D1544" t="s">
        <v>27</v>
      </c>
      <c r="E1544" t="s">
        <v>1550</v>
      </c>
      <c r="G1544" t="s">
        <v>1248</v>
      </c>
      <c r="H1544" t="s">
        <v>898</v>
      </c>
      <c r="I1544" t="s">
        <v>246</v>
      </c>
      <c r="J1544" t="s">
        <v>261</v>
      </c>
    </row>
    <row r="1545" spans="1:10" x14ac:dyDescent="0.25">
      <c r="A1545" s="43" t="s">
        <v>1106</v>
      </c>
      <c r="B1545" t="s">
        <v>260</v>
      </c>
      <c r="C1545" t="s">
        <v>1184</v>
      </c>
      <c r="D1545" t="s">
        <v>27</v>
      </c>
      <c r="E1545" t="s">
        <v>1550</v>
      </c>
      <c r="G1545" t="s">
        <v>8</v>
      </c>
      <c r="H1545" t="s">
        <v>898</v>
      </c>
      <c r="I1545" t="s">
        <v>246</v>
      </c>
      <c r="J1545" t="s">
        <v>261</v>
      </c>
    </row>
    <row r="1546" spans="1:10" x14ac:dyDescent="0.25">
      <c r="A1546" s="43" t="s">
        <v>3415</v>
      </c>
      <c r="B1546" t="s">
        <v>271</v>
      </c>
      <c r="C1546" t="s">
        <v>1178</v>
      </c>
      <c r="E1546" t="s">
        <v>1517</v>
      </c>
      <c r="G1546" t="s">
        <v>1226</v>
      </c>
      <c r="H1546" t="s">
        <v>907</v>
      </c>
      <c r="I1546" t="s">
        <v>123</v>
      </c>
      <c r="J1546" t="s">
        <v>2226</v>
      </c>
    </row>
    <row r="1547" spans="1:10" x14ac:dyDescent="0.25">
      <c r="A1547" s="43" t="s">
        <v>1052</v>
      </c>
      <c r="B1547" t="s">
        <v>271</v>
      </c>
      <c r="C1547" t="s">
        <v>1178</v>
      </c>
      <c r="E1547" t="s">
        <v>1517</v>
      </c>
      <c r="G1547" t="s">
        <v>8</v>
      </c>
      <c r="H1547" t="s">
        <v>907</v>
      </c>
      <c r="I1547" t="s">
        <v>123</v>
      </c>
      <c r="J1547" t="s">
        <v>2226</v>
      </c>
    </row>
    <row r="1548" spans="1:10" x14ac:dyDescent="0.25">
      <c r="A1548" s="43" t="s">
        <v>3414</v>
      </c>
    </row>
    <row r="1549" spans="1:10" x14ac:dyDescent="0.25">
      <c r="A1549" s="43" t="s">
        <v>2881</v>
      </c>
      <c r="B1549" t="s">
        <v>61</v>
      </c>
      <c r="C1549" t="s">
        <v>1177</v>
      </c>
      <c r="D1549" t="s">
        <v>62</v>
      </c>
      <c r="E1549" t="s">
        <v>1247</v>
      </c>
      <c r="G1549" t="s">
        <v>1226</v>
      </c>
      <c r="H1549" t="s">
        <v>907</v>
      </c>
      <c r="I1549" t="s">
        <v>64</v>
      </c>
      <c r="J1549" t="s">
        <v>1840</v>
      </c>
    </row>
    <row r="1550" spans="1:10" x14ac:dyDescent="0.25">
      <c r="A1550" s="43" t="s">
        <v>2880</v>
      </c>
      <c r="B1550" t="s">
        <v>61</v>
      </c>
      <c r="C1550" t="s">
        <v>1177</v>
      </c>
      <c r="D1550" t="s">
        <v>62</v>
      </c>
      <c r="E1550" t="s">
        <v>1247</v>
      </c>
      <c r="G1550" t="s">
        <v>8</v>
      </c>
      <c r="H1550" t="s">
        <v>907</v>
      </c>
      <c r="I1550" t="s">
        <v>64</v>
      </c>
      <c r="J1550" t="s">
        <v>1840</v>
      </c>
    </row>
    <row r="1551" spans="1:10" x14ac:dyDescent="0.25">
      <c r="A1551" s="43" t="s">
        <v>4228</v>
      </c>
      <c r="B1551" t="s">
        <v>103</v>
      </c>
      <c r="C1551" t="s">
        <v>1177</v>
      </c>
      <c r="D1551" t="s">
        <v>27</v>
      </c>
      <c r="E1551" t="s">
        <v>1364</v>
      </c>
      <c r="G1551" t="s">
        <v>1248</v>
      </c>
      <c r="H1551" t="s">
        <v>898</v>
      </c>
      <c r="I1551" t="s">
        <v>111</v>
      </c>
      <c r="J1551" t="s">
        <v>1839</v>
      </c>
    </row>
    <row r="1552" spans="1:10" x14ac:dyDescent="0.25">
      <c r="A1552" s="43" t="s">
        <v>4227</v>
      </c>
      <c r="B1552" t="s">
        <v>103</v>
      </c>
      <c r="C1552" t="s">
        <v>1177</v>
      </c>
      <c r="D1552" t="s">
        <v>27</v>
      </c>
      <c r="E1552" t="s">
        <v>1364</v>
      </c>
      <c r="G1552" t="s">
        <v>8</v>
      </c>
      <c r="H1552" t="s">
        <v>898</v>
      </c>
      <c r="I1552" t="s">
        <v>111</v>
      </c>
      <c r="J1552" t="s">
        <v>1839</v>
      </c>
    </row>
    <row r="1553" spans="1:10" x14ac:dyDescent="0.25">
      <c r="A1553" s="43" t="s">
        <v>1063</v>
      </c>
      <c r="B1553" t="s">
        <v>103</v>
      </c>
      <c r="C1553" t="s">
        <v>1177</v>
      </c>
      <c r="D1553" t="s">
        <v>27</v>
      </c>
      <c r="E1553" t="s">
        <v>1364</v>
      </c>
      <c r="G1553" t="s">
        <v>1290</v>
      </c>
      <c r="H1553" t="s">
        <v>898</v>
      </c>
      <c r="I1553" t="s">
        <v>111</v>
      </c>
      <c r="J1553" t="s">
        <v>1839</v>
      </c>
    </row>
    <row r="1554" spans="1:10" x14ac:dyDescent="0.25">
      <c r="A1554" s="43" t="s">
        <v>932</v>
      </c>
      <c r="B1554" t="s">
        <v>103</v>
      </c>
      <c r="C1554" t="s">
        <v>1177</v>
      </c>
      <c r="D1554" t="s">
        <v>27</v>
      </c>
      <c r="E1554" t="s">
        <v>1364</v>
      </c>
      <c r="G1554" t="s">
        <v>1248</v>
      </c>
      <c r="H1554" t="s">
        <v>898</v>
      </c>
      <c r="I1554" t="s">
        <v>108</v>
      </c>
      <c r="J1554" t="s">
        <v>1808</v>
      </c>
    </row>
    <row r="1555" spans="1:10" x14ac:dyDescent="0.25">
      <c r="A1555" s="43" t="s">
        <v>1160</v>
      </c>
      <c r="B1555" t="s">
        <v>103</v>
      </c>
      <c r="C1555" t="s">
        <v>1177</v>
      </c>
      <c r="D1555" t="s">
        <v>27</v>
      </c>
      <c r="E1555" t="s">
        <v>1364</v>
      </c>
      <c r="G1555" t="s">
        <v>8</v>
      </c>
      <c r="H1555" t="s">
        <v>898</v>
      </c>
      <c r="I1555" t="s">
        <v>108</v>
      </c>
      <c r="J1555" t="s">
        <v>1808</v>
      </c>
    </row>
    <row r="1556" spans="1:10" x14ac:dyDescent="0.25">
      <c r="A1556" s="43" t="s">
        <v>1083</v>
      </c>
      <c r="B1556" t="s">
        <v>110</v>
      </c>
      <c r="C1556" t="s">
        <v>1177</v>
      </c>
      <c r="D1556" t="s">
        <v>21</v>
      </c>
      <c r="E1556" t="s">
        <v>1533</v>
      </c>
      <c r="G1556" t="s">
        <v>1248</v>
      </c>
      <c r="H1556" t="s">
        <v>898</v>
      </c>
      <c r="I1556" t="s">
        <v>111</v>
      </c>
      <c r="J1556" t="s">
        <v>112</v>
      </c>
    </row>
    <row r="1557" spans="1:10" x14ac:dyDescent="0.25">
      <c r="A1557" s="43" t="s">
        <v>1165</v>
      </c>
      <c r="B1557" t="s">
        <v>110</v>
      </c>
      <c r="C1557" t="s">
        <v>1177</v>
      </c>
      <c r="D1557" t="s">
        <v>21</v>
      </c>
      <c r="E1557" t="s">
        <v>1533</v>
      </c>
      <c r="G1557" t="s">
        <v>8</v>
      </c>
      <c r="H1557" t="s">
        <v>898</v>
      </c>
      <c r="I1557" t="s">
        <v>111</v>
      </c>
      <c r="J1557" t="s">
        <v>112</v>
      </c>
    </row>
    <row r="1558" spans="1:10" x14ac:dyDescent="0.25">
      <c r="A1558" s="43" t="s">
        <v>3053</v>
      </c>
      <c r="B1558" t="s">
        <v>114</v>
      </c>
      <c r="C1558" t="s">
        <v>1178</v>
      </c>
      <c r="D1558" t="s">
        <v>27</v>
      </c>
      <c r="E1558" t="s">
        <v>1297</v>
      </c>
      <c r="G1558" t="s">
        <v>1248</v>
      </c>
      <c r="H1558" t="s">
        <v>898</v>
      </c>
      <c r="I1558" t="s">
        <v>64</v>
      </c>
      <c r="J1558" t="s">
        <v>3054</v>
      </c>
    </row>
    <row r="1559" spans="1:10" x14ac:dyDescent="0.25">
      <c r="A1559" s="43" t="s">
        <v>4301</v>
      </c>
      <c r="B1559" t="s">
        <v>114</v>
      </c>
      <c r="C1559" t="s">
        <v>1178</v>
      </c>
      <c r="D1559" t="s">
        <v>27</v>
      </c>
      <c r="E1559" t="s">
        <v>1297</v>
      </c>
      <c r="G1559" t="s">
        <v>8</v>
      </c>
      <c r="H1559" t="s">
        <v>898</v>
      </c>
      <c r="I1559" t="s">
        <v>64</v>
      </c>
      <c r="J1559" t="s">
        <v>3054</v>
      </c>
    </row>
    <row r="1560" spans="1:10" x14ac:dyDescent="0.25">
      <c r="A1560" s="43" t="s">
        <v>3413</v>
      </c>
      <c r="B1560" t="s">
        <v>130</v>
      </c>
      <c r="C1560" t="s">
        <v>1178</v>
      </c>
      <c r="D1560" t="s">
        <v>27</v>
      </c>
      <c r="E1560" t="s">
        <v>1627</v>
      </c>
      <c r="G1560" t="s">
        <v>1248</v>
      </c>
      <c r="H1560" t="s">
        <v>898</v>
      </c>
      <c r="I1560" t="s">
        <v>123</v>
      </c>
      <c r="J1560" t="s">
        <v>2475</v>
      </c>
    </row>
    <row r="1561" spans="1:10" x14ac:dyDescent="0.25">
      <c r="A1561" s="43" t="s">
        <v>4338</v>
      </c>
      <c r="B1561" t="s">
        <v>130</v>
      </c>
      <c r="C1561" t="s">
        <v>1178</v>
      </c>
      <c r="D1561" t="s">
        <v>27</v>
      </c>
      <c r="E1561" t="s">
        <v>1627</v>
      </c>
      <c r="G1561" t="s">
        <v>8</v>
      </c>
      <c r="H1561" t="s">
        <v>898</v>
      </c>
      <c r="I1561" t="s">
        <v>123</v>
      </c>
      <c r="J1561" t="s">
        <v>2475</v>
      </c>
    </row>
    <row r="1562" spans="1:10" x14ac:dyDescent="0.25">
      <c r="A1562" s="43" t="s">
        <v>1094</v>
      </c>
      <c r="B1562" t="s">
        <v>169</v>
      </c>
      <c r="C1562" t="s">
        <v>1183</v>
      </c>
      <c r="D1562" t="s">
        <v>21</v>
      </c>
      <c r="E1562" t="s">
        <v>1545</v>
      </c>
      <c r="G1562" t="s">
        <v>1248</v>
      </c>
      <c r="H1562" t="s">
        <v>898</v>
      </c>
      <c r="I1562" t="s">
        <v>88</v>
      </c>
      <c r="J1562" t="s">
        <v>170</v>
      </c>
    </row>
    <row r="1563" spans="1:10" x14ac:dyDescent="0.25">
      <c r="A1563" s="43" t="s">
        <v>1093</v>
      </c>
      <c r="B1563" t="s">
        <v>169</v>
      </c>
      <c r="C1563" t="s">
        <v>1183</v>
      </c>
      <c r="D1563" t="s">
        <v>21</v>
      </c>
      <c r="E1563" t="s">
        <v>1545</v>
      </c>
      <c r="G1563" t="s">
        <v>8</v>
      </c>
      <c r="H1563" t="s">
        <v>898</v>
      </c>
      <c r="I1563" t="s">
        <v>88</v>
      </c>
      <c r="J1563" t="s">
        <v>170</v>
      </c>
    </row>
    <row r="1564" spans="1:10" x14ac:dyDescent="0.25">
      <c r="A1564" s="43" t="s">
        <v>3412</v>
      </c>
      <c r="B1564" t="s">
        <v>232</v>
      </c>
      <c r="C1564" t="s">
        <v>1177</v>
      </c>
      <c r="E1564" t="s">
        <v>1380</v>
      </c>
      <c r="G1564" t="s">
        <v>1226</v>
      </c>
      <c r="H1564" t="s">
        <v>907</v>
      </c>
      <c r="I1564" t="s">
        <v>233</v>
      </c>
      <c r="J1564" t="s">
        <v>1855</v>
      </c>
    </row>
    <row r="1565" spans="1:10" x14ac:dyDescent="0.25">
      <c r="A1565" s="43" t="s">
        <v>4337</v>
      </c>
      <c r="B1565" t="s">
        <v>232</v>
      </c>
      <c r="C1565" t="s">
        <v>1177</v>
      </c>
      <c r="E1565" t="s">
        <v>1380</v>
      </c>
      <c r="G1565" t="s">
        <v>8</v>
      </c>
      <c r="H1565" t="s">
        <v>907</v>
      </c>
      <c r="I1565" t="s">
        <v>233</v>
      </c>
      <c r="J1565" t="s">
        <v>1855</v>
      </c>
    </row>
    <row r="1566" spans="1:10" x14ac:dyDescent="0.25">
      <c r="A1566" s="43" t="s">
        <v>959</v>
      </c>
      <c r="B1566" t="s">
        <v>479</v>
      </c>
      <c r="C1566" t="s">
        <v>1177</v>
      </c>
      <c r="D1566" t="s">
        <v>21</v>
      </c>
      <c r="E1566" t="s">
        <v>1442</v>
      </c>
      <c r="G1566" t="s">
        <v>1226</v>
      </c>
      <c r="H1566" t="s">
        <v>907</v>
      </c>
      <c r="I1566" t="s">
        <v>497</v>
      </c>
      <c r="J1566" t="s">
        <v>2004</v>
      </c>
    </row>
    <row r="1567" spans="1:10" x14ac:dyDescent="0.25">
      <c r="A1567" s="43" t="s">
        <v>1142</v>
      </c>
      <c r="B1567" t="s">
        <v>479</v>
      </c>
      <c r="C1567" t="s">
        <v>1177</v>
      </c>
      <c r="D1567" t="s">
        <v>21</v>
      </c>
      <c r="E1567" t="s">
        <v>1442</v>
      </c>
      <c r="G1567" t="s">
        <v>8</v>
      </c>
      <c r="H1567" t="s">
        <v>907</v>
      </c>
      <c r="I1567" t="s">
        <v>497</v>
      </c>
      <c r="J1567" t="s">
        <v>2004</v>
      </c>
    </row>
    <row r="1568" spans="1:10" x14ac:dyDescent="0.25">
      <c r="A1568" s="43" t="s">
        <v>3410</v>
      </c>
      <c r="B1568" t="s">
        <v>592</v>
      </c>
      <c r="C1568" t="s">
        <v>1177</v>
      </c>
      <c r="D1568" t="s">
        <v>318</v>
      </c>
      <c r="E1568" t="s">
        <v>1247</v>
      </c>
      <c r="G1568" t="s">
        <v>1248</v>
      </c>
      <c r="H1568" t="s">
        <v>898</v>
      </c>
      <c r="I1568" t="s">
        <v>607</v>
      </c>
      <c r="J1568" t="s">
        <v>3411</v>
      </c>
    </row>
    <row r="1569" spans="1:10" x14ac:dyDescent="0.25">
      <c r="A1569" s="43" t="s">
        <v>1172</v>
      </c>
      <c r="B1569" t="s">
        <v>749</v>
      </c>
      <c r="C1569" t="s">
        <v>1178</v>
      </c>
      <c r="D1569" t="s">
        <v>56</v>
      </c>
      <c r="E1569" t="s">
        <v>1250</v>
      </c>
      <c r="G1569" t="s">
        <v>8</v>
      </c>
      <c r="H1569" t="s">
        <v>907</v>
      </c>
      <c r="I1569" t="s">
        <v>1482</v>
      </c>
      <c r="J1569" t="s">
        <v>1900</v>
      </c>
    </row>
    <row r="1570" spans="1:10" x14ac:dyDescent="0.25">
      <c r="A1570" s="43" t="s">
        <v>1166</v>
      </c>
      <c r="B1570" t="s">
        <v>441</v>
      </c>
      <c r="C1570" t="s">
        <v>1183</v>
      </c>
      <c r="D1570" t="s">
        <v>84</v>
      </c>
      <c r="E1570" t="s">
        <v>1619</v>
      </c>
      <c r="G1570" t="s">
        <v>1218</v>
      </c>
      <c r="H1570" t="s">
        <v>907</v>
      </c>
      <c r="I1570" t="s">
        <v>312</v>
      </c>
      <c r="J1570" t="s">
        <v>2443</v>
      </c>
    </row>
    <row r="1571" spans="1:10" x14ac:dyDescent="0.25">
      <c r="A1571" s="43" t="s">
        <v>3408</v>
      </c>
      <c r="B1571" t="s">
        <v>572</v>
      </c>
      <c r="C1571" t="s">
        <v>1210</v>
      </c>
      <c r="D1571" t="s">
        <v>62</v>
      </c>
      <c r="E1571" t="s">
        <v>1243</v>
      </c>
      <c r="G1571" t="s">
        <v>1224</v>
      </c>
      <c r="H1571" t="s">
        <v>1225</v>
      </c>
      <c r="I1571" t="s">
        <v>1395</v>
      </c>
      <c r="J1571" t="s">
        <v>3409</v>
      </c>
    </row>
    <row r="1572" spans="1:10" x14ac:dyDescent="0.25">
      <c r="A1572" s="43" t="s">
        <v>3407</v>
      </c>
      <c r="B1572" t="s">
        <v>908</v>
      </c>
      <c r="C1572" t="s">
        <v>1488</v>
      </c>
      <c r="D1572" t="s">
        <v>27</v>
      </c>
      <c r="G1572" t="s">
        <v>1224</v>
      </c>
      <c r="H1572" t="s">
        <v>907</v>
      </c>
      <c r="I1572" t="s">
        <v>1555</v>
      </c>
    </row>
    <row r="1573" spans="1:10" x14ac:dyDescent="0.25">
      <c r="A1573" s="43" t="s">
        <v>3406</v>
      </c>
      <c r="B1573" t="s">
        <v>263</v>
      </c>
      <c r="C1573" t="s">
        <v>1488</v>
      </c>
      <c r="D1573" t="s">
        <v>27</v>
      </c>
      <c r="G1573" t="s">
        <v>1224</v>
      </c>
      <c r="H1573" t="s">
        <v>907</v>
      </c>
      <c r="I1573" t="s">
        <v>1555</v>
      </c>
    </row>
    <row r="1574" spans="1:10" x14ac:dyDescent="0.25">
      <c r="A1574" s="43" t="s">
        <v>3405</v>
      </c>
      <c r="B1574" t="s">
        <v>526</v>
      </c>
      <c r="C1574" t="s">
        <v>1488</v>
      </c>
      <c r="D1574" t="s">
        <v>27</v>
      </c>
      <c r="G1574" t="s">
        <v>1224</v>
      </c>
      <c r="H1574" t="s">
        <v>898</v>
      </c>
      <c r="I1574" t="s">
        <v>1553</v>
      </c>
    </row>
    <row r="1575" spans="1:10" x14ac:dyDescent="0.25">
      <c r="A1575" s="43" t="s">
        <v>3052</v>
      </c>
      <c r="B1575" t="s">
        <v>526</v>
      </c>
      <c r="C1575" t="s">
        <v>1488</v>
      </c>
      <c r="D1575" t="s">
        <v>27</v>
      </c>
      <c r="G1575" t="s">
        <v>1218</v>
      </c>
      <c r="H1575" t="s">
        <v>898</v>
      </c>
      <c r="I1575" t="s">
        <v>1553</v>
      </c>
    </row>
    <row r="1576" spans="1:10" x14ac:dyDescent="0.25">
      <c r="A1576" s="43" t="s">
        <v>3772</v>
      </c>
      <c r="B1576" t="s">
        <v>592</v>
      </c>
      <c r="C1576" t="s">
        <v>1488</v>
      </c>
      <c r="D1576" t="s">
        <v>27</v>
      </c>
      <c r="G1576" t="s">
        <v>1224</v>
      </c>
      <c r="H1576" t="s">
        <v>907</v>
      </c>
      <c r="I1576" t="s">
        <v>229</v>
      </c>
    </row>
    <row r="1577" spans="1:10" x14ac:dyDescent="0.25">
      <c r="A1577" s="43" t="s">
        <v>3771</v>
      </c>
      <c r="B1577" t="s">
        <v>592</v>
      </c>
      <c r="C1577" t="s">
        <v>1488</v>
      </c>
      <c r="D1577" t="s">
        <v>27</v>
      </c>
      <c r="G1577" t="s">
        <v>1218</v>
      </c>
      <c r="H1577" t="s">
        <v>907</v>
      </c>
      <c r="I1577" t="s">
        <v>229</v>
      </c>
    </row>
    <row r="1578" spans="1:10" x14ac:dyDescent="0.25">
      <c r="A1578" s="43" t="s">
        <v>3770</v>
      </c>
      <c r="B1578" t="s">
        <v>678</v>
      </c>
      <c r="C1578" t="s">
        <v>1488</v>
      </c>
      <c r="D1578" t="s">
        <v>27</v>
      </c>
      <c r="G1578" t="s">
        <v>1224</v>
      </c>
      <c r="H1578" t="s">
        <v>907</v>
      </c>
      <c r="I1578" t="s">
        <v>1554</v>
      </c>
    </row>
    <row r="1579" spans="1:10" x14ac:dyDescent="0.25">
      <c r="A1579" s="43" t="s">
        <v>3769</v>
      </c>
      <c r="B1579" t="s">
        <v>678</v>
      </c>
      <c r="C1579" t="s">
        <v>1488</v>
      </c>
      <c r="D1579" t="s">
        <v>27</v>
      </c>
      <c r="G1579" t="s">
        <v>1218</v>
      </c>
      <c r="H1579" t="s">
        <v>907</v>
      </c>
      <c r="I1579" t="s">
        <v>1554</v>
      </c>
    </row>
    <row r="1580" spans="1:10" x14ac:dyDescent="0.25">
      <c r="A1580" s="43" t="s">
        <v>3768</v>
      </c>
      <c r="B1580" t="s">
        <v>822</v>
      </c>
      <c r="C1580" t="s">
        <v>1488</v>
      </c>
      <c r="G1580" t="s">
        <v>1224</v>
      </c>
      <c r="H1580" t="s">
        <v>907</v>
      </c>
    </row>
    <row r="1581" spans="1:10" x14ac:dyDescent="0.25">
      <c r="A1581" s="43" t="s">
        <v>3767</v>
      </c>
      <c r="B1581" t="s">
        <v>822</v>
      </c>
      <c r="C1581" t="s">
        <v>1488</v>
      </c>
      <c r="G1581" t="s">
        <v>1218</v>
      </c>
      <c r="H1581" t="s">
        <v>907</v>
      </c>
    </row>
    <row r="1582" spans="1:10" x14ac:dyDescent="0.25">
      <c r="A1582" s="43" t="s">
        <v>4369</v>
      </c>
      <c r="B1582" t="s">
        <v>933</v>
      </c>
      <c r="C1582" t="s">
        <v>1183</v>
      </c>
      <c r="D1582" t="s">
        <v>56</v>
      </c>
      <c r="E1582" t="s">
        <v>1243</v>
      </c>
      <c r="G1582" t="s">
        <v>1218</v>
      </c>
      <c r="H1582" t="s">
        <v>907</v>
      </c>
      <c r="J1582" t="s">
        <v>2490</v>
      </c>
    </row>
    <row r="1583" spans="1:10" x14ac:dyDescent="0.25">
      <c r="A1583" s="43" t="s">
        <v>3766</v>
      </c>
      <c r="B1583" t="s">
        <v>941</v>
      </c>
      <c r="C1583" t="s">
        <v>1180</v>
      </c>
      <c r="D1583" t="s">
        <v>318</v>
      </c>
      <c r="E1583" t="s">
        <v>1305</v>
      </c>
      <c r="G1583" t="s">
        <v>1340</v>
      </c>
      <c r="H1583" t="s">
        <v>1445</v>
      </c>
      <c r="I1583" t="s">
        <v>1236</v>
      </c>
      <c r="J1583" t="s">
        <v>2403</v>
      </c>
    </row>
    <row r="1584" spans="1:10" x14ac:dyDescent="0.25">
      <c r="A1584" s="43" t="s">
        <v>3765</v>
      </c>
      <c r="B1584" t="s">
        <v>459</v>
      </c>
      <c r="C1584" t="s">
        <v>1178</v>
      </c>
      <c r="G1584" t="s">
        <v>1340</v>
      </c>
      <c r="H1584" t="s">
        <v>1445</v>
      </c>
      <c r="I1584" t="s">
        <v>1609</v>
      </c>
      <c r="J1584" t="s">
        <v>2398</v>
      </c>
    </row>
    <row r="1585" spans="1:10" x14ac:dyDescent="0.25">
      <c r="A1585" s="43" t="s">
        <v>3764</v>
      </c>
      <c r="B1585" t="s">
        <v>526</v>
      </c>
      <c r="C1585" t="s">
        <v>1178</v>
      </c>
      <c r="D1585" t="s">
        <v>1344</v>
      </c>
      <c r="G1585" t="s">
        <v>1340</v>
      </c>
      <c r="H1585" t="s">
        <v>1445</v>
      </c>
      <c r="I1585" t="s">
        <v>1610</v>
      </c>
    </row>
    <row r="1586" spans="1:10" x14ac:dyDescent="0.25">
      <c r="A1586" s="43" t="s">
        <v>3051</v>
      </c>
      <c r="B1586" t="s">
        <v>459</v>
      </c>
      <c r="C1586" t="s">
        <v>1178</v>
      </c>
      <c r="G1586" t="s">
        <v>1340</v>
      </c>
      <c r="H1586" t="s">
        <v>1445</v>
      </c>
      <c r="I1586" t="s">
        <v>1613</v>
      </c>
      <c r="J1586" t="s">
        <v>2404</v>
      </c>
    </row>
    <row r="1587" spans="1:10" x14ac:dyDescent="0.25">
      <c r="A1587" s="43" t="s">
        <v>3763</v>
      </c>
      <c r="B1587" t="s">
        <v>592</v>
      </c>
      <c r="C1587" t="s">
        <v>1203</v>
      </c>
      <c r="G1587" t="s">
        <v>1340</v>
      </c>
      <c r="H1587" t="s">
        <v>1445</v>
      </c>
      <c r="I1587" t="s">
        <v>1425</v>
      </c>
      <c r="J1587" t="s">
        <v>2399</v>
      </c>
    </row>
    <row r="1588" spans="1:10" x14ac:dyDescent="0.25">
      <c r="A1588" s="43" t="s">
        <v>3050</v>
      </c>
      <c r="B1588" t="s">
        <v>592</v>
      </c>
      <c r="C1588" t="s">
        <v>1193</v>
      </c>
      <c r="G1588" t="s">
        <v>1340</v>
      </c>
      <c r="H1588" t="s">
        <v>1445</v>
      </c>
      <c r="I1588" t="s">
        <v>312</v>
      </c>
      <c r="J1588" t="s">
        <v>2351</v>
      </c>
    </row>
    <row r="1589" spans="1:10" x14ac:dyDescent="0.25">
      <c r="A1589" s="43" t="s">
        <v>3762</v>
      </c>
      <c r="B1589" t="s">
        <v>592</v>
      </c>
      <c r="C1589" t="s">
        <v>1188</v>
      </c>
      <c r="D1589" t="s">
        <v>931</v>
      </c>
      <c r="G1589" t="s">
        <v>1340</v>
      </c>
      <c r="H1589" t="s">
        <v>1445</v>
      </c>
      <c r="I1589" t="s">
        <v>597</v>
      </c>
      <c r="J1589" t="s">
        <v>2405</v>
      </c>
    </row>
    <row r="1590" spans="1:10" x14ac:dyDescent="0.25">
      <c r="A1590" s="43" t="s">
        <v>3761</v>
      </c>
      <c r="B1590" t="s">
        <v>631</v>
      </c>
      <c r="C1590" t="s">
        <v>1188</v>
      </c>
      <c r="G1590" t="s">
        <v>1340</v>
      </c>
      <c r="H1590" t="s">
        <v>1445</v>
      </c>
      <c r="I1590" t="s">
        <v>1430</v>
      </c>
      <c r="J1590" t="s">
        <v>2016</v>
      </c>
    </row>
    <row r="1591" spans="1:10" x14ac:dyDescent="0.25">
      <c r="A1591" s="43" t="s">
        <v>3760</v>
      </c>
      <c r="B1591" t="s">
        <v>678</v>
      </c>
      <c r="C1591" t="s">
        <v>1591</v>
      </c>
      <c r="D1591" t="s">
        <v>91</v>
      </c>
      <c r="G1591" t="s">
        <v>1340</v>
      </c>
      <c r="H1591" t="s">
        <v>1445</v>
      </c>
      <c r="I1591" t="s">
        <v>1418</v>
      </c>
      <c r="J1591" t="s">
        <v>2372</v>
      </c>
    </row>
    <row r="1592" spans="1:10" x14ac:dyDescent="0.25">
      <c r="A1592" s="43" t="s">
        <v>3049</v>
      </c>
      <c r="B1592" t="s">
        <v>678</v>
      </c>
      <c r="C1592" t="s">
        <v>1462</v>
      </c>
      <c r="G1592" t="s">
        <v>1340</v>
      </c>
      <c r="H1592" t="s">
        <v>1445</v>
      </c>
      <c r="I1592" t="s">
        <v>1577</v>
      </c>
      <c r="J1592" t="s">
        <v>2352</v>
      </c>
    </row>
    <row r="1593" spans="1:10" x14ac:dyDescent="0.25">
      <c r="A1593" s="43" t="s">
        <v>3759</v>
      </c>
      <c r="B1593" t="s">
        <v>222</v>
      </c>
      <c r="C1593" t="s">
        <v>1446</v>
      </c>
      <c r="G1593" t="s">
        <v>1340</v>
      </c>
      <c r="H1593" t="s">
        <v>1445</v>
      </c>
      <c r="I1593" t="s">
        <v>1611</v>
      </c>
      <c r="J1593" t="s">
        <v>2400</v>
      </c>
    </row>
    <row r="1594" spans="1:10" x14ac:dyDescent="0.25">
      <c r="A1594" s="43" t="s">
        <v>3048</v>
      </c>
      <c r="B1594" t="s">
        <v>908</v>
      </c>
      <c r="C1594" t="s">
        <v>1192</v>
      </c>
      <c r="D1594" t="s">
        <v>56</v>
      </c>
      <c r="G1594" t="s">
        <v>1340</v>
      </c>
      <c r="H1594" t="s">
        <v>1445</v>
      </c>
      <c r="I1594" t="s">
        <v>1475</v>
      </c>
      <c r="J1594" t="s">
        <v>2081</v>
      </c>
    </row>
    <row r="1595" spans="1:10" x14ac:dyDescent="0.25">
      <c r="A1595" s="43" t="s">
        <v>3047</v>
      </c>
      <c r="B1595" t="s">
        <v>459</v>
      </c>
      <c r="C1595" t="s">
        <v>1180</v>
      </c>
      <c r="D1595" t="s">
        <v>91</v>
      </c>
      <c r="G1595" t="s">
        <v>1340</v>
      </c>
      <c r="H1595" t="s">
        <v>1445</v>
      </c>
      <c r="I1595" t="s">
        <v>1575</v>
      </c>
      <c r="J1595" t="s">
        <v>2347</v>
      </c>
    </row>
    <row r="1596" spans="1:10" x14ac:dyDescent="0.25">
      <c r="A1596" s="43" t="s">
        <v>3046</v>
      </c>
      <c r="B1596" t="s">
        <v>552</v>
      </c>
      <c r="C1596" t="s">
        <v>1183</v>
      </c>
      <c r="D1596" t="s">
        <v>1213</v>
      </c>
      <c r="G1596" t="s">
        <v>1340</v>
      </c>
      <c r="H1596" t="s">
        <v>1445</v>
      </c>
      <c r="I1596" t="s">
        <v>1590</v>
      </c>
      <c r="J1596" t="s">
        <v>2370</v>
      </c>
    </row>
    <row r="1597" spans="1:10" x14ac:dyDescent="0.25">
      <c r="A1597" s="43" t="s">
        <v>4300</v>
      </c>
      <c r="B1597" t="s">
        <v>95</v>
      </c>
      <c r="C1597" t="s">
        <v>1192</v>
      </c>
      <c r="G1597" t="s">
        <v>1218</v>
      </c>
      <c r="H1597" t="s">
        <v>907</v>
      </c>
      <c r="I1597" t="s">
        <v>1229</v>
      </c>
      <c r="J1597" t="s">
        <v>2027</v>
      </c>
    </row>
    <row r="1598" spans="1:10" x14ac:dyDescent="0.25">
      <c r="A1598" s="43" t="s">
        <v>3045</v>
      </c>
      <c r="B1598" t="s">
        <v>908</v>
      </c>
      <c r="C1598" t="s">
        <v>1192</v>
      </c>
      <c r="G1598" t="s">
        <v>1218</v>
      </c>
      <c r="H1598" t="s">
        <v>907</v>
      </c>
      <c r="J1598" t="s">
        <v>2406</v>
      </c>
    </row>
    <row r="1599" spans="1:10" x14ac:dyDescent="0.25">
      <c r="A1599" s="43" t="s">
        <v>4299</v>
      </c>
      <c r="B1599" t="s">
        <v>222</v>
      </c>
      <c r="C1599" t="s">
        <v>1446</v>
      </c>
      <c r="D1599" t="s">
        <v>91</v>
      </c>
      <c r="G1599" t="s">
        <v>1218</v>
      </c>
      <c r="H1599" t="s">
        <v>907</v>
      </c>
      <c r="I1599" t="s">
        <v>1581</v>
      </c>
      <c r="J1599" t="s">
        <v>2359</v>
      </c>
    </row>
    <row r="1600" spans="1:10" x14ac:dyDescent="0.25">
      <c r="A1600" s="43" t="s">
        <v>4336</v>
      </c>
      <c r="B1600" t="s">
        <v>43</v>
      </c>
      <c r="C1600" t="s">
        <v>1208</v>
      </c>
      <c r="D1600" t="s">
        <v>15</v>
      </c>
      <c r="G1600" t="s">
        <v>1224</v>
      </c>
      <c r="H1600" t="s">
        <v>1225</v>
      </c>
      <c r="I1600" t="s">
        <v>1456</v>
      </c>
      <c r="J1600" t="s">
        <v>2330</v>
      </c>
    </row>
    <row r="1601" spans="1:10" x14ac:dyDescent="0.25">
      <c r="A1601" s="43" t="s">
        <v>4335</v>
      </c>
      <c r="B1601" t="s">
        <v>1096</v>
      </c>
      <c r="C1601" t="s">
        <v>1208</v>
      </c>
      <c r="D1601" t="s">
        <v>91</v>
      </c>
      <c r="E1601" t="s">
        <v>1268</v>
      </c>
      <c r="G1601" t="s">
        <v>1224</v>
      </c>
      <c r="H1601" t="s">
        <v>1225</v>
      </c>
      <c r="I1601" t="s">
        <v>64</v>
      </c>
      <c r="J1601" t="s">
        <v>2280</v>
      </c>
    </row>
    <row r="1602" spans="1:10" x14ac:dyDescent="0.25">
      <c r="A1602" s="43" t="s">
        <v>4368</v>
      </c>
      <c r="B1602" t="s">
        <v>526</v>
      </c>
      <c r="C1602" t="s">
        <v>1208</v>
      </c>
      <c r="D1602" t="s">
        <v>318</v>
      </c>
      <c r="G1602" t="s">
        <v>1224</v>
      </c>
      <c r="H1602" t="s">
        <v>1225</v>
      </c>
      <c r="I1602" t="s">
        <v>1284</v>
      </c>
      <c r="J1602" t="s">
        <v>1903</v>
      </c>
    </row>
    <row r="1603" spans="1:10" x14ac:dyDescent="0.25">
      <c r="A1603" s="43" t="s">
        <v>2601</v>
      </c>
      <c r="B1603" t="s">
        <v>631</v>
      </c>
      <c r="C1603" t="s">
        <v>1193</v>
      </c>
      <c r="D1603" t="s">
        <v>91</v>
      </c>
      <c r="E1603" t="s">
        <v>2602</v>
      </c>
      <c r="G1603" t="s">
        <v>1218</v>
      </c>
      <c r="H1603" t="s">
        <v>907</v>
      </c>
      <c r="I1603" t="s">
        <v>303</v>
      </c>
      <c r="J1603" t="s">
        <v>2603</v>
      </c>
    </row>
    <row r="1604" spans="1:10" x14ac:dyDescent="0.25">
      <c r="A1604" s="43" t="s">
        <v>3043</v>
      </c>
      <c r="B1604" t="s">
        <v>918</v>
      </c>
      <c r="C1604" t="s">
        <v>1208</v>
      </c>
      <c r="D1604" t="s">
        <v>91</v>
      </c>
      <c r="G1604" t="s">
        <v>1224</v>
      </c>
      <c r="H1604" t="s">
        <v>1225</v>
      </c>
      <c r="J1604" t="s">
        <v>3044</v>
      </c>
    </row>
    <row r="1605" spans="1:10" x14ac:dyDescent="0.25">
      <c r="A1605" s="43" t="s">
        <v>3436</v>
      </c>
      <c r="B1605" t="s">
        <v>91</v>
      </c>
      <c r="C1605" t="s">
        <v>1188</v>
      </c>
      <c r="D1605" t="s">
        <v>91</v>
      </c>
      <c r="G1605" t="s">
        <v>8</v>
      </c>
      <c r="H1605" t="s">
        <v>907</v>
      </c>
      <c r="I1605" t="s">
        <v>697</v>
      </c>
      <c r="J1605" t="s">
        <v>2371</v>
      </c>
    </row>
    <row r="1606" spans="1:10" x14ac:dyDescent="0.25">
      <c r="A1606" s="43" t="s">
        <v>3042</v>
      </c>
      <c r="B1606" t="s">
        <v>91</v>
      </c>
      <c r="C1606" t="s">
        <v>1188</v>
      </c>
      <c r="D1606" t="s">
        <v>318</v>
      </c>
      <c r="G1606" t="s">
        <v>8</v>
      </c>
      <c r="H1606" t="s">
        <v>907</v>
      </c>
      <c r="I1606" t="s">
        <v>697</v>
      </c>
      <c r="J1606" t="s">
        <v>2369</v>
      </c>
    </row>
    <row r="1607" spans="1:10" x14ac:dyDescent="0.25">
      <c r="A1607" s="43" t="s">
        <v>3041</v>
      </c>
      <c r="B1607" t="s">
        <v>631</v>
      </c>
      <c r="C1607" t="s">
        <v>1183</v>
      </c>
      <c r="D1607" t="s">
        <v>318</v>
      </c>
      <c r="E1607" t="s">
        <v>1262</v>
      </c>
      <c r="G1607" t="s">
        <v>8</v>
      </c>
      <c r="H1607" t="s">
        <v>907</v>
      </c>
      <c r="I1607" t="s">
        <v>597</v>
      </c>
      <c r="J1607" t="s">
        <v>2360</v>
      </c>
    </row>
    <row r="1608" spans="1:10" x14ac:dyDescent="0.25">
      <c r="A1608" s="43" t="s">
        <v>3040</v>
      </c>
      <c r="B1608" t="s">
        <v>95</v>
      </c>
      <c r="C1608" t="s">
        <v>1192</v>
      </c>
      <c r="G1608" t="s">
        <v>1340</v>
      </c>
      <c r="H1608" t="s">
        <v>1445</v>
      </c>
      <c r="I1608" t="s">
        <v>1588</v>
      </c>
      <c r="J1608" t="s">
        <v>2366</v>
      </c>
    </row>
    <row r="1609" spans="1:10" x14ac:dyDescent="0.25">
      <c r="A1609" s="43" t="s">
        <v>3435</v>
      </c>
      <c r="B1609" t="s">
        <v>908</v>
      </c>
      <c r="C1609" t="s">
        <v>1192</v>
      </c>
      <c r="G1609" t="s">
        <v>1340</v>
      </c>
      <c r="H1609" t="s">
        <v>1445</v>
      </c>
      <c r="J1609" t="s">
        <v>2368</v>
      </c>
    </row>
    <row r="1610" spans="1:10" x14ac:dyDescent="0.25">
      <c r="A1610" s="43" t="s">
        <v>4081</v>
      </c>
      <c r="B1610" t="s">
        <v>222</v>
      </c>
      <c r="C1610" t="s">
        <v>1446</v>
      </c>
      <c r="D1610" t="s">
        <v>91</v>
      </c>
      <c r="G1610" t="s">
        <v>1340</v>
      </c>
      <c r="H1610" t="s">
        <v>1445</v>
      </c>
      <c r="J1610" t="s">
        <v>2401</v>
      </c>
    </row>
    <row r="1611" spans="1:10" x14ac:dyDescent="0.25">
      <c r="A1611" s="43" t="s">
        <v>4080</v>
      </c>
      <c r="B1611" t="s">
        <v>631</v>
      </c>
      <c r="C1611" t="s">
        <v>1177</v>
      </c>
      <c r="D1611" t="s">
        <v>1216</v>
      </c>
      <c r="G1611" t="s">
        <v>1340</v>
      </c>
      <c r="H1611" t="s">
        <v>1445</v>
      </c>
      <c r="I1611" t="s">
        <v>1612</v>
      </c>
      <c r="J1611" t="s">
        <v>2402</v>
      </c>
    </row>
    <row r="1612" spans="1:10" x14ac:dyDescent="0.25">
      <c r="A1612" s="43" t="s">
        <v>4079</v>
      </c>
      <c r="B1612" t="s">
        <v>678</v>
      </c>
      <c r="C1612" t="s">
        <v>1194</v>
      </c>
      <c r="D1612" t="s">
        <v>939</v>
      </c>
      <c r="G1612" t="s">
        <v>1340</v>
      </c>
      <c r="H1612" t="s">
        <v>1445</v>
      </c>
      <c r="I1612" t="s">
        <v>1589</v>
      </c>
      <c r="J1612" t="s">
        <v>2367</v>
      </c>
    </row>
    <row r="1613" spans="1:10" x14ac:dyDescent="0.25">
      <c r="A1613" s="43" t="s">
        <v>4078</v>
      </c>
      <c r="B1613" t="s">
        <v>592</v>
      </c>
      <c r="C1613" t="s">
        <v>1185</v>
      </c>
      <c r="D1613" t="s">
        <v>931</v>
      </c>
      <c r="G1613" t="s">
        <v>1340</v>
      </c>
      <c r="H1613" t="s">
        <v>1445</v>
      </c>
      <c r="I1613" t="s">
        <v>1450</v>
      </c>
      <c r="J1613" t="s">
        <v>2035</v>
      </c>
    </row>
    <row r="1614" spans="1:10" x14ac:dyDescent="0.25">
      <c r="A1614" s="43" t="s">
        <v>4077</v>
      </c>
      <c r="B1614" t="s">
        <v>592</v>
      </c>
      <c r="C1614" t="s">
        <v>1185</v>
      </c>
      <c r="D1614" t="s">
        <v>931</v>
      </c>
      <c r="G1614" t="s">
        <v>1340</v>
      </c>
      <c r="H1614" t="s">
        <v>1445</v>
      </c>
      <c r="I1614" t="s">
        <v>1451</v>
      </c>
      <c r="J1614" t="s">
        <v>2035</v>
      </c>
    </row>
    <row r="1615" spans="1:10" x14ac:dyDescent="0.25">
      <c r="A1615" s="43" t="s">
        <v>4075</v>
      </c>
      <c r="B1615" t="s">
        <v>908</v>
      </c>
      <c r="C1615" t="s">
        <v>1177</v>
      </c>
      <c r="D1615" t="s">
        <v>15</v>
      </c>
      <c r="G1615" t="s">
        <v>1295</v>
      </c>
      <c r="H1615" t="s">
        <v>898</v>
      </c>
      <c r="I1615" t="s">
        <v>223</v>
      </c>
    </row>
    <row r="1616" spans="1:10" x14ac:dyDescent="0.25">
      <c r="A1616" s="43" t="s">
        <v>4074</v>
      </c>
      <c r="B1616" t="s">
        <v>908</v>
      </c>
      <c r="C1616" t="s">
        <v>1177</v>
      </c>
      <c r="D1616" t="s">
        <v>15</v>
      </c>
      <c r="G1616" t="s">
        <v>1283</v>
      </c>
      <c r="H1616" t="s">
        <v>898</v>
      </c>
      <c r="I1616" t="s">
        <v>223</v>
      </c>
    </row>
    <row r="1617" spans="1:10" x14ac:dyDescent="0.25">
      <c r="A1617" s="43" t="s">
        <v>2879</v>
      </c>
      <c r="B1617" t="s">
        <v>908</v>
      </c>
      <c r="C1617" t="s">
        <v>1177</v>
      </c>
      <c r="D1617" t="s">
        <v>15</v>
      </c>
      <c r="G1617" t="s">
        <v>1224</v>
      </c>
      <c r="H1617" t="s">
        <v>898</v>
      </c>
      <c r="I1617" t="s">
        <v>223</v>
      </c>
    </row>
    <row r="1618" spans="1:10" x14ac:dyDescent="0.25">
      <c r="A1618" s="43" t="s">
        <v>4073</v>
      </c>
      <c r="B1618" t="s">
        <v>908</v>
      </c>
      <c r="C1618" t="s">
        <v>1177</v>
      </c>
      <c r="D1618" t="s">
        <v>15</v>
      </c>
      <c r="G1618" t="s">
        <v>1311</v>
      </c>
      <c r="H1618" t="s">
        <v>898</v>
      </c>
      <c r="I1618" t="s">
        <v>223</v>
      </c>
    </row>
    <row r="1619" spans="1:10" x14ac:dyDescent="0.25">
      <c r="A1619" s="43" t="s">
        <v>3428</v>
      </c>
      <c r="B1619" t="s">
        <v>908</v>
      </c>
      <c r="C1619" t="s">
        <v>1177</v>
      </c>
      <c r="D1619" t="s">
        <v>15</v>
      </c>
      <c r="G1619" t="s">
        <v>1218</v>
      </c>
      <c r="H1619" t="s">
        <v>898</v>
      </c>
      <c r="I1619" t="s">
        <v>223</v>
      </c>
    </row>
    <row r="1620" spans="1:10" x14ac:dyDescent="0.25">
      <c r="A1620" s="43" t="s">
        <v>3427</v>
      </c>
      <c r="B1620" t="s">
        <v>526</v>
      </c>
      <c r="C1620" t="s">
        <v>1208</v>
      </c>
      <c r="D1620" t="s">
        <v>62</v>
      </c>
      <c r="G1620" t="s">
        <v>1295</v>
      </c>
      <c r="H1620" t="s">
        <v>898</v>
      </c>
      <c r="I1620" t="s">
        <v>64</v>
      </c>
      <c r="J1620" t="s">
        <v>2121</v>
      </c>
    </row>
    <row r="1621" spans="1:10" x14ac:dyDescent="0.25">
      <c r="A1621" s="43" t="s">
        <v>3426</v>
      </c>
      <c r="B1621" t="s">
        <v>526</v>
      </c>
      <c r="C1621" t="s">
        <v>1208</v>
      </c>
      <c r="D1621" t="s">
        <v>62</v>
      </c>
      <c r="G1621" t="s">
        <v>1283</v>
      </c>
      <c r="H1621" t="s">
        <v>898</v>
      </c>
      <c r="I1621" t="s">
        <v>64</v>
      </c>
      <c r="J1621" t="s">
        <v>2121</v>
      </c>
    </row>
    <row r="1622" spans="1:10" x14ac:dyDescent="0.25">
      <c r="A1622" s="43" t="s">
        <v>2878</v>
      </c>
      <c r="B1622" t="s">
        <v>526</v>
      </c>
      <c r="C1622" t="s">
        <v>1208</v>
      </c>
      <c r="D1622" t="s">
        <v>62</v>
      </c>
      <c r="G1622" t="s">
        <v>1224</v>
      </c>
      <c r="H1622" t="s">
        <v>898</v>
      </c>
      <c r="I1622" t="s">
        <v>64</v>
      </c>
      <c r="J1622" t="s">
        <v>2121</v>
      </c>
    </row>
    <row r="1623" spans="1:10" x14ac:dyDescent="0.25">
      <c r="A1623" s="43" t="s">
        <v>4072</v>
      </c>
      <c r="B1623" t="s">
        <v>526</v>
      </c>
      <c r="C1623" t="s">
        <v>1208</v>
      </c>
      <c r="D1623" t="s">
        <v>62</v>
      </c>
      <c r="G1623" t="s">
        <v>1311</v>
      </c>
      <c r="H1623" t="s">
        <v>898</v>
      </c>
      <c r="I1623" t="s">
        <v>64</v>
      </c>
      <c r="J1623" t="s">
        <v>2121</v>
      </c>
    </row>
    <row r="1624" spans="1:10" x14ac:dyDescent="0.25">
      <c r="A1624" s="43" t="s">
        <v>2877</v>
      </c>
      <c r="B1624" t="s">
        <v>526</v>
      </c>
      <c r="C1624" t="s">
        <v>1208</v>
      </c>
      <c r="D1624" t="s">
        <v>62</v>
      </c>
      <c r="G1624" t="s">
        <v>1218</v>
      </c>
      <c r="H1624" t="s">
        <v>898</v>
      </c>
      <c r="I1624" t="s">
        <v>64</v>
      </c>
      <c r="J1624" t="s">
        <v>2121</v>
      </c>
    </row>
    <row r="1625" spans="1:10" x14ac:dyDescent="0.25">
      <c r="A1625" s="43" t="s">
        <v>3425</v>
      </c>
      <c r="B1625" t="s">
        <v>552</v>
      </c>
      <c r="C1625" t="s">
        <v>1177</v>
      </c>
      <c r="D1625" t="s">
        <v>1212</v>
      </c>
      <c r="G1625" t="s">
        <v>1295</v>
      </c>
      <c r="H1625" t="s">
        <v>898</v>
      </c>
      <c r="I1625" t="s">
        <v>1489</v>
      </c>
      <c r="J1625" t="s">
        <v>2122</v>
      </c>
    </row>
    <row r="1626" spans="1:10" x14ac:dyDescent="0.25">
      <c r="A1626" s="43" t="s">
        <v>3424</v>
      </c>
      <c r="B1626" t="s">
        <v>552</v>
      </c>
      <c r="C1626" t="s">
        <v>1177</v>
      </c>
      <c r="D1626" t="s">
        <v>1212</v>
      </c>
      <c r="G1626" t="s">
        <v>1283</v>
      </c>
      <c r="H1626" t="s">
        <v>898</v>
      </c>
      <c r="I1626" t="s">
        <v>1489</v>
      </c>
      <c r="J1626" t="s">
        <v>2122</v>
      </c>
    </row>
    <row r="1627" spans="1:10" x14ac:dyDescent="0.25">
      <c r="A1627" s="43" t="s">
        <v>3423</v>
      </c>
      <c r="B1627" t="s">
        <v>552</v>
      </c>
      <c r="C1627" t="s">
        <v>1177</v>
      </c>
      <c r="D1627" t="s">
        <v>1212</v>
      </c>
      <c r="G1627" t="s">
        <v>1224</v>
      </c>
      <c r="H1627" t="s">
        <v>898</v>
      </c>
      <c r="I1627" t="s">
        <v>1489</v>
      </c>
      <c r="J1627" t="s">
        <v>2122</v>
      </c>
    </row>
    <row r="1628" spans="1:10" x14ac:dyDescent="0.25">
      <c r="A1628" s="43" t="s">
        <v>3422</v>
      </c>
      <c r="B1628" t="s">
        <v>552</v>
      </c>
      <c r="C1628" t="s">
        <v>1177</v>
      </c>
      <c r="D1628" t="s">
        <v>1212</v>
      </c>
      <c r="G1628" t="s">
        <v>1311</v>
      </c>
      <c r="H1628" t="s">
        <v>898</v>
      </c>
      <c r="I1628" t="s">
        <v>1489</v>
      </c>
      <c r="J1628" t="s">
        <v>2122</v>
      </c>
    </row>
    <row r="1629" spans="1:10" x14ac:dyDescent="0.25">
      <c r="A1629" s="43" t="s">
        <v>4071</v>
      </c>
      <c r="B1629" t="s">
        <v>552</v>
      </c>
      <c r="C1629" t="s">
        <v>1177</v>
      </c>
      <c r="D1629" t="s">
        <v>1212</v>
      </c>
      <c r="G1629" t="s">
        <v>1218</v>
      </c>
      <c r="H1629" t="s">
        <v>898</v>
      </c>
      <c r="I1629" t="s">
        <v>1489</v>
      </c>
      <c r="J1629" t="s">
        <v>2122</v>
      </c>
    </row>
    <row r="1630" spans="1:10" x14ac:dyDescent="0.25">
      <c r="A1630" s="43" t="s">
        <v>3421</v>
      </c>
      <c r="B1630" t="s">
        <v>592</v>
      </c>
      <c r="C1630" t="s">
        <v>1185</v>
      </c>
      <c r="D1630" t="s">
        <v>1212</v>
      </c>
      <c r="G1630" t="s">
        <v>1295</v>
      </c>
      <c r="H1630" t="s">
        <v>898</v>
      </c>
      <c r="I1630" t="s">
        <v>1491</v>
      </c>
      <c r="J1630" t="s">
        <v>2123</v>
      </c>
    </row>
    <row r="1631" spans="1:10" x14ac:dyDescent="0.25">
      <c r="A1631" s="43" t="s">
        <v>4070</v>
      </c>
      <c r="B1631" t="s">
        <v>592</v>
      </c>
      <c r="C1631" t="s">
        <v>1185</v>
      </c>
      <c r="D1631" t="s">
        <v>1212</v>
      </c>
      <c r="G1631" t="s">
        <v>1283</v>
      </c>
      <c r="H1631" t="s">
        <v>898</v>
      </c>
      <c r="I1631" t="s">
        <v>1491</v>
      </c>
      <c r="J1631" t="s">
        <v>2123</v>
      </c>
    </row>
    <row r="1632" spans="1:10" x14ac:dyDescent="0.25">
      <c r="A1632" s="43" t="s">
        <v>4069</v>
      </c>
      <c r="B1632" t="s">
        <v>592</v>
      </c>
      <c r="C1632" t="s">
        <v>1185</v>
      </c>
      <c r="D1632" t="s">
        <v>1212</v>
      </c>
      <c r="G1632" t="s">
        <v>1224</v>
      </c>
      <c r="H1632" t="s">
        <v>898</v>
      </c>
      <c r="I1632" t="s">
        <v>1491</v>
      </c>
      <c r="J1632" t="s">
        <v>2123</v>
      </c>
    </row>
    <row r="1633" spans="1:10" x14ac:dyDescent="0.25">
      <c r="A1633" s="43" t="s">
        <v>4298</v>
      </c>
      <c r="B1633" t="s">
        <v>592</v>
      </c>
      <c r="C1633" t="s">
        <v>1185</v>
      </c>
      <c r="D1633" t="s">
        <v>1212</v>
      </c>
      <c r="G1633" t="s">
        <v>1311</v>
      </c>
      <c r="H1633" t="s">
        <v>898</v>
      </c>
      <c r="I1633" t="s">
        <v>1491</v>
      </c>
      <c r="J1633" t="s">
        <v>2123</v>
      </c>
    </row>
    <row r="1634" spans="1:10" x14ac:dyDescent="0.25">
      <c r="A1634" s="43" t="s">
        <v>4068</v>
      </c>
      <c r="B1634" t="s">
        <v>592</v>
      </c>
      <c r="C1634" t="s">
        <v>1185</v>
      </c>
      <c r="D1634" t="s">
        <v>1212</v>
      </c>
      <c r="G1634" t="s">
        <v>1218</v>
      </c>
      <c r="H1634" t="s">
        <v>898</v>
      </c>
      <c r="I1634" t="s">
        <v>1491</v>
      </c>
      <c r="J1634" t="s">
        <v>2123</v>
      </c>
    </row>
    <row r="1635" spans="1:10" x14ac:dyDescent="0.25">
      <c r="A1635" s="43" t="s">
        <v>3758</v>
      </c>
      <c r="B1635" t="s">
        <v>678</v>
      </c>
      <c r="C1635" t="s">
        <v>1183</v>
      </c>
      <c r="D1635" t="s">
        <v>1212</v>
      </c>
      <c r="G1635" t="s">
        <v>1295</v>
      </c>
      <c r="H1635" t="s">
        <v>898</v>
      </c>
      <c r="I1635" t="s">
        <v>1492</v>
      </c>
      <c r="J1635" t="s">
        <v>2123</v>
      </c>
    </row>
    <row r="1636" spans="1:10" x14ac:dyDescent="0.25">
      <c r="A1636" s="43" t="s">
        <v>3757</v>
      </c>
      <c r="B1636" t="s">
        <v>678</v>
      </c>
      <c r="C1636" t="s">
        <v>1183</v>
      </c>
      <c r="D1636" t="s">
        <v>1212</v>
      </c>
      <c r="G1636" t="s">
        <v>1283</v>
      </c>
      <c r="H1636" t="s">
        <v>898</v>
      </c>
      <c r="I1636" t="s">
        <v>1492</v>
      </c>
      <c r="J1636" t="s">
        <v>2123</v>
      </c>
    </row>
    <row r="1637" spans="1:10" x14ac:dyDescent="0.25">
      <c r="A1637" s="43" t="s">
        <v>3756</v>
      </c>
      <c r="B1637" t="s">
        <v>678</v>
      </c>
      <c r="C1637" t="s">
        <v>1183</v>
      </c>
      <c r="D1637" t="s">
        <v>1212</v>
      </c>
      <c r="G1637" t="s">
        <v>1224</v>
      </c>
      <c r="H1637" t="s">
        <v>898</v>
      </c>
      <c r="I1637" t="s">
        <v>1492</v>
      </c>
      <c r="J1637" t="s">
        <v>2123</v>
      </c>
    </row>
    <row r="1638" spans="1:10" x14ac:dyDescent="0.25">
      <c r="A1638" s="43" t="s">
        <v>3755</v>
      </c>
      <c r="B1638" t="s">
        <v>678</v>
      </c>
      <c r="C1638" t="s">
        <v>1183</v>
      </c>
      <c r="D1638" t="s">
        <v>1212</v>
      </c>
      <c r="G1638" t="s">
        <v>1311</v>
      </c>
      <c r="H1638" t="s">
        <v>898</v>
      </c>
      <c r="I1638" t="s">
        <v>1492</v>
      </c>
      <c r="J1638" t="s">
        <v>2123</v>
      </c>
    </row>
    <row r="1639" spans="1:10" x14ac:dyDescent="0.25">
      <c r="A1639" s="43" t="s">
        <v>3754</v>
      </c>
      <c r="B1639" t="s">
        <v>678</v>
      </c>
      <c r="C1639" t="s">
        <v>1183</v>
      </c>
      <c r="D1639" t="s">
        <v>1212</v>
      </c>
      <c r="G1639" t="s">
        <v>1218</v>
      </c>
      <c r="H1639" t="s">
        <v>898</v>
      </c>
      <c r="I1639" t="s">
        <v>1492</v>
      </c>
      <c r="J1639" t="s">
        <v>2123</v>
      </c>
    </row>
    <row r="1640" spans="1:10" x14ac:dyDescent="0.25">
      <c r="A1640" s="43" t="s">
        <v>3434</v>
      </c>
      <c r="B1640" t="s">
        <v>856</v>
      </c>
      <c r="C1640" t="s">
        <v>1194</v>
      </c>
      <c r="G1640" t="s">
        <v>1248</v>
      </c>
      <c r="H1640" t="s">
        <v>898</v>
      </c>
      <c r="I1640" t="s">
        <v>105</v>
      </c>
    </row>
    <row r="1641" spans="1:10" x14ac:dyDescent="0.25">
      <c r="A1641" s="43" t="s">
        <v>3433</v>
      </c>
      <c r="B1641" t="s">
        <v>856</v>
      </c>
      <c r="C1641" t="s">
        <v>1194</v>
      </c>
      <c r="G1641" t="s">
        <v>1295</v>
      </c>
      <c r="H1641" t="s">
        <v>898</v>
      </c>
      <c r="I1641" t="s">
        <v>105</v>
      </c>
    </row>
    <row r="1642" spans="1:10" x14ac:dyDescent="0.25">
      <c r="A1642" s="43" t="s">
        <v>3432</v>
      </c>
      <c r="B1642" t="s">
        <v>856</v>
      </c>
      <c r="C1642" t="s">
        <v>1194</v>
      </c>
      <c r="G1642" t="s">
        <v>1283</v>
      </c>
      <c r="H1642" t="s">
        <v>898</v>
      </c>
      <c r="I1642" t="s">
        <v>105</v>
      </c>
    </row>
    <row r="1643" spans="1:10" x14ac:dyDescent="0.25">
      <c r="A1643" s="43" t="s">
        <v>4076</v>
      </c>
      <c r="B1643" t="s">
        <v>856</v>
      </c>
      <c r="C1643" t="s">
        <v>1194</v>
      </c>
      <c r="G1643" t="s">
        <v>1224</v>
      </c>
      <c r="H1643" t="s">
        <v>898</v>
      </c>
      <c r="I1643" t="s">
        <v>105</v>
      </c>
    </row>
    <row r="1644" spans="1:10" x14ac:dyDescent="0.25">
      <c r="A1644" s="43" t="s">
        <v>3431</v>
      </c>
      <c r="B1644" t="s">
        <v>856</v>
      </c>
      <c r="C1644" t="s">
        <v>1194</v>
      </c>
      <c r="G1644" t="s">
        <v>1311</v>
      </c>
      <c r="H1644" t="s">
        <v>898</v>
      </c>
      <c r="I1644" t="s">
        <v>105</v>
      </c>
    </row>
    <row r="1645" spans="1:10" x14ac:dyDescent="0.25">
      <c r="A1645" s="43" t="s">
        <v>3430</v>
      </c>
      <c r="B1645" t="s">
        <v>856</v>
      </c>
      <c r="C1645" t="s">
        <v>1194</v>
      </c>
      <c r="G1645" t="s">
        <v>8</v>
      </c>
      <c r="H1645" t="s">
        <v>898</v>
      </c>
      <c r="I1645" t="s">
        <v>105</v>
      </c>
    </row>
    <row r="1646" spans="1:10" x14ac:dyDescent="0.25">
      <c r="A1646" s="43" t="s">
        <v>3429</v>
      </c>
      <c r="B1646" t="s">
        <v>856</v>
      </c>
      <c r="C1646" t="s">
        <v>1194</v>
      </c>
      <c r="G1646" t="s">
        <v>1218</v>
      </c>
      <c r="H1646" t="s">
        <v>898</v>
      </c>
      <c r="I1646" t="s">
        <v>105</v>
      </c>
    </row>
    <row r="1647" spans="1:10" x14ac:dyDescent="0.25">
      <c r="A1647" s="43" t="s">
        <v>3548</v>
      </c>
      <c r="B1647" t="s">
        <v>61</v>
      </c>
      <c r="C1647" t="s">
        <v>1177</v>
      </c>
      <c r="D1647" t="s">
        <v>56</v>
      </c>
      <c r="E1647" t="s">
        <v>1247</v>
      </c>
      <c r="G1647" t="s">
        <v>1295</v>
      </c>
      <c r="H1647" t="s">
        <v>898</v>
      </c>
      <c r="I1647" t="s">
        <v>1498</v>
      </c>
      <c r="J1647" t="s">
        <v>2136</v>
      </c>
    </row>
    <row r="1648" spans="1:10" x14ac:dyDescent="0.25">
      <c r="A1648" s="43" t="s">
        <v>4060</v>
      </c>
      <c r="B1648" t="s">
        <v>61</v>
      </c>
      <c r="C1648" t="s">
        <v>1177</v>
      </c>
      <c r="D1648" t="s">
        <v>56</v>
      </c>
      <c r="E1648" t="s">
        <v>1247</v>
      </c>
      <c r="G1648" t="s">
        <v>1283</v>
      </c>
      <c r="H1648" t="s">
        <v>898</v>
      </c>
      <c r="I1648" t="s">
        <v>1498</v>
      </c>
      <c r="J1648" t="s">
        <v>2136</v>
      </c>
    </row>
    <row r="1649" spans="1:10" x14ac:dyDescent="0.25">
      <c r="A1649" s="43" t="s">
        <v>3547</v>
      </c>
      <c r="B1649" t="s">
        <v>61</v>
      </c>
      <c r="C1649" t="s">
        <v>1177</v>
      </c>
      <c r="D1649" t="s">
        <v>56</v>
      </c>
      <c r="E1649" t="s">
        <v>1247</v>
      </c>
      <c r="G1649" t="s">
        <v>1224</v>
      </c>
      <c r="H1649" t="s">
        <v>1225</v>
      </c>
      <c r="I1649" t="s">
        <v>1498</v>
      </c>
      <c r="J1649" t="s">
        <v>2136</v>
      </c>
    </row>
    <row r="1650" spans="1:10" x14ac:dyDescent="0.25">
      <c r="A1650" s="43" t="s">
        <v>3546</v>
      </c>
      <c r="B1650" t="s">
        <v>61</v>
      </c>
      <c r="C1650" t="s">
        <v>1177</v>
      </c>
      <c r="D1650" t="s">
        <v>56</v>
      </c>
      <c r="E1650" t="s">
        <v>1247</v>
      </c>
      <c r="G1650" t="s">
        <v>1330</v>
      </c>
      <c r="H1650" t="s">
        <v>898</v>
      </c>
      <c r="I1650" t="s">
        <v>1498</v>
      </c>
      <c r="J1650" t="s">
        <v>2136</v>
      </c>
    </row>
    <row r="1651" spans="1:10" x14ac:dyDescent="0.25">
      <c r="A1651" s="43" t="s">
        <v>3545</v>
      </c>
      <c r="B1651" t="s">
        <v>61</v>
      </c>
      <c r="C1651" t="s">
        <v>1177</v>
      </c>
      <c r="D1651" t="s">
        <v>56</v>
      </c>
      <c r="E1651" t="s">
        <v>1247</v>
      </c>
      <c r="G1651" t="s">
        <v>1218</v>
      </c>
      <c r="H1651" t="s">
        <v>907</v>
      </c>
      <c r="I1651" t="s">
        <v>1498</v>
      </c>
      <c r="J1651" t="s">
        <v>2136</v>
      </c>
    </row>
    <row r="1652" spans="1:10" x14ac:dyDescent="0.25">
      <c r="A1652" s="43" t="s">
        <v>3544</v>
      </c>
      <c r="B1652" t="s">
        <v>61</v>
      </c>
      <c r="C1652" t="s">
        <v>1177</v>
      </c>
      <c r="D1652" t="s">
        <v>56</v>
      </c>
      <c r="E1652" t="s">
        <v>1247</v>
      </c>
      <c r="G1652" t="s">
        <v>1226</v>
      </c>
      <c r="H1652" t="s">
        <v>907</v>
      </c>
      <c r="I1652" t="s">
        <v>1498</v>
      </c>
      <c r="J1652" t="s">
        <v>2136</v>
      </c>
    </row>
    <row r="1653" spans="1:10" x14ac:dyDescent="0.25">
      <c r="A1653" s="43" t="s">
        <v>4059</v>
      </c>
      <c r="B1653" t="s">
        <v>61</v>
      </c>
      <c r="C1653" t="s">
        <v>1177</v>
      </c>
      <c r="D1653" t="s">
        <v>56</v>
      </c>
      <c r="E1653" t="s">
        <v>1247</v>
      </c>
      <c r="G1653" t="s">
        <v>8</v>
      </c>
      <c r="H1653" t="s">
        <v>907</v>
      </c>
      <c r="I1653" t="s">
        <v>1498</v>
      </c>
      <c r="J1653" t="s">
        <v>2136</v>
      </c>
    </row>
    <row r="1654" spans="1:10" x14ac:dyDescent="0.25">
      <c r="A1654" s="43" t="s">
        <v>3543</v>
      </c>
      <c r="B1654" t="s">
        <v>61</v>
      </c>
      <c r="C1654" t="s">
        <v>1463</v>
      </c>
      <c r="D1654" t="s">
        <v>56</v>
      </c>
      <c r="E1654" t="s">
        <v>1247</v>
      </c>
      <c r="G1654" t="s">
        <v>1295</v>
      </c>
      <c r="H1654" t="s">
        <v>898</v>
      </c>
      <c r="I1654" t="s">
        <v>1501</v>
      </c>
      <c r="J1654" t="s">
        <v>2294</v>
      </c>
    </row>
    <row r="1655" spans="1:10" x14ac:dyDescent="0.25">
      <c r="A1655" s="43" t="s">
        <v>3542</v>
      </c>
      <c r="B1655" t="s">
        <v>61</v>
      </c>
      <c r="C1655" t="s">
        <v>1463</v>
      </c>
      <c r="D1655" t="s">
        <v>56</v>
      </c>
      <c r="E1655" t="s">
        <v>1247</v>
      </c>
      <c r="G1655" t="s">
        <v>1225</v>
      </c>
      <c r="H1655" t="s">
        <v>1225</v>
      </c>
      <c r="I1655" t="s">
        <v>1501</v>
      </c>
      <c r="J1655" t="s">
        <v>2294</v>
      </c>
    </row>
    <row r="1656" spans="1:10" x14ac:dyDescent="0.25">
      <c r="A1656" s="43" t="s">
        <v>4058</v>
      </c>
      <c r="B1656" t="s">
        <v>61</v>
      </c>
      <c r="C1656" t="s">
        <v>1463</v>
      </c>
      <c r="D1656" t="s">
        <v>56</v>
      </c>
      <c r="E1656" t="s">
        <v>1247</v>
      </c>
      <c r="G1656" t="s">
        <v>1283</v>
      </c>
      <c r="H1656" t="s">
        <v>898</v>
      </c>
      <c r="I1656" t="s">
        <v>1501</v>
      </c>
      <c r="J1656" t="s">
        <v>2294</v>
      </c>
    </row>
    <row r="1657" spans="1:10" x14ac:dyDescent="0.25">
      <c r="A1657" s="43" t="s">
        <v>3541</v>
      </c>
      <c r="B1657" t="s">
        <v>61</v>
      </c>
      <c r="C1657" t="s">
        <v>1463</v>
      </c>
      <c r="D1657" t="s">
        <v>56</v>
      </c>
      <c r="E1657" t="s">
        <v>1247</v>
      </c>
      <c r="G1657" t="s">
        <v>1224</v>
      </c>
      <c r="H1657" t="s">
        <v>1225</v>
      </c>
      <c r="I1657" t="s">
        <v>1501</v>
      </c>
      <c r="J1657" t="s">
        <v>2294</v>
      </c>
    </row>
    <row r="1658" spans="1:10" x14ac:dyDescent="0.25">
      <c r="A1658" s="43" t="s">
        <v>4057</v>
      </c>
      <c r="B1658" t="s">
        <v>61</v>
      </c>
      <c r="C1658" t="s">
        <v>1463</v>
      </c>
      <c r="D1658" t="s">
        <v>56</v>
      </c>
      <c r="E1658" t="s">
        <v>1247</v>
      </c>
      <c r="G1658" t="s">
        <v>1218</v>
      </c>
      <c r="H1658" t="s">
        <v>907</v>
      </c>
      <c r="I1658" t="s">
        <v>1501</v>
      </c>
      <c r="J1658" t="s">
        <v>2294</v>
      </c>
    </row>
    <row r="1659" spans="1:10" x14ac:dyDescent="0.25">
      <c r="A1659" s="43" t="s">
        <v>3540</v>
      </c>
      <c r="B1659" t="s">
        <v>61</v>
      </c>
      <c r="C1659" t="s">
        <v>1463</v>
      </c>
      <c r="D1659" t="s">
        <v>56</v>
      </c>
      <c r="E1659" t="s">
        <v>1247</v>
      </c>
      <c r="G1659" t="s">
        <v>1226</v>
      </c>
      <c r="H1659" t="s">
        <v>907</v>
      </c>
      <c r="I1659" t="s">
        <v>1501</v>
      </c>
      <c r="J1659" t="s">
        <v>2294</v>
      </c>
    </row>
    <row r="1660" spans="1:10" x14ac:dyDescent="0.25">
      <c r="A1660" s="43" t="s">
        <v>3539</v>
      </c>
      <c r="B1660" t="s">
        <v>61</v>
      </c>
      <c r="C1660" t="s">
        <v>1463</v>
      </c>
      <c r="D1660" t="s">
        <v>56</v>
      </c>
      <c r="E1660" t="s">
        <v>1247</v>
      </c>
      <c r="G1660" t="s">
        <v>8</v>
      </c>
      <c r="H1660" t="s">
        <v>907</v>
      </c>
      <c r="I1660" t="s">
        <v>1501</v>
      </c>
      <c r="J1660" t="s">
        <v>2294</v>
      </c>
    </row>
    <row r="1661" spans="1:10" x14ac:dyDescent="0.25">
      <c r="A1661" s="43" t="s">
        <v>3538</v>
      </c>
      <c r="B1661" t="s">
        <v>61</v>
      </c>
      <c r="C1661" t="s">
        <v>1463</v>
      </c>
      <c r="D1661" t="s">
        <v>56</v>
      </c>
      <c r="E1661" t="s">
        <v>1247</v>
      </c>
      <c r="G1661" t="s">
        <v>1328</v>
      </c>
      <c r="H1661" t="s">
        <v>907</v>
      </c>
      <c r="I1661" t="s">
        <v>1501</v>
      </c>
      <c r="J1661" t="s">
        <v>2294</v>
      </c>
    </row>
    <row r="1662" spans="1:10" x14ac:dyDescent="0.25">
      <c r="A1662" s="43" t="s">
        <v>3073</v>
      </c>
      <c r="B1662" t="s">
        <v>95</v>
      </c>
      <c r="C1662" t="s">
        <v>1177</v>
      </c>
      <c r="G1662" t="s">
        <v>1226</v>
      </c>
      <c r="H1662" t="s">
        <v>898</v>
      </c>
      <c r="I1662" t="s">
        <v>96</v>
      </c>
      <c r="J1662" t="s">
        <v>97</v>
      </c>
    </row>
    <row r="1663" spans="1:10" x14ac:dyDescent="0.25">
      <c r="A1663" s="43" t="s">
        <v>3471</v>
      </c>
      <c r="B1663" t="s">
        <v>95</v>
      </c>
      <c r="C1663" t="s">
        <v>1177</v>
      </c>
      <c r="G1663" t="s">
        <v>1225</v>
      </c>
      <c r="H1663" t="s">
        <v>898</v>
      </c>
      <c r="I1663" t="s">
        <v>96</v>
      </c>
      <c r="J1663" t="s">
        <v>97</v>
      </c>
    </row>
    <row r="1664" spans="1:10" x14ac:dyDescent="0.25">
      <c r="A1664" s="43" t="s">
        <v>3470</v>
      </c>
      <c r="B1664" t="s">
        <v>95</v>
      </c>
      <c r="C1664" t="s">
        <v>1177</v>
      </c>
      <c r="G1664" t="s">
        <v>1283</v>
      </c>
      <c r="H1664" t="s">
        <v>898</v>
      </c>
      <c r="I1664" t="s">
        <v>96</v>
      </c>
      <c r="J1664" t="s">
        <v>97</v>
      </c>
    </row>
    <row r="1665" spans="1:10" x14ac:dyDescent="0.25">
      <c r="A1665" s="43" t="s">
        <v>3469</v>
      </c>
      <c r="B1665" t="s">
        <v>95</v>
      </c>
      <c r="C1665" t="s">
        <v>1177</v>
      </c>
      <c r="G1665" t="s">
        <v>1224</v>
      </c>
      <c r="H1665" t="s">
        <v>1225</v>
      </c>
      <c r="I1665" t="s">
        <v>96</v>
      </c>
      <c r="J1665" t="s">
        <v>97</v>
      </c>
    </row>
    <row r="1666" spans="1:10" x14ac:dyDescent="0.25">
      <c r="A1666" s="43" t="s">
        <v>3072</v>
      </c>
      <c r="B1666" t="s">
        <v>95</v>
      </c>
      <c r="C1666" t="s">
        <v>1177</v>
      </c>
      <c r="G1666" t="s">
        <v>8</v>
      </c>
      <c r="H1666" t="s">
        <v>898</v>
      </c>
      <c r="I1666" t="s">
        <v>96</v>
      </c>
      <c r="J1666" t="s">
        <v>97</v>
      </c>
    </row>
    <row r="1667" spans="1:10" x14ac:dyDescent="0.25">
      <c r="A1667" s="43" t="s">
        <v>3468</v>
      </c>
      <c r="B1667" t="s">
        <v>95</v>
      </c>
      <c r="C1667" t="s">
        <v>1177</v>
      </c>
      <c r="G1667" t="s">
        <v>1330</v>
      </c>
      <c r="H1667" t="s">
        <v>898</v>
      </c>
      <c r="I1667" t="s">
        <v>96</v>
      </c>
      <c r="J1667" t="s">
        <v>97</v>
      </c>
    </row>
    <row r="1668" spans="1:10" x14ac:dyDescent="0.25">
      <c r="A1668" s="43" t="s">
        <v>3467</v>
      </c>
      <c r="B1668" t="s">
        <v>95</v>
      </c>
      <c r="C1668" t="s">
        <v>1177</v>
      </c>
      <c r="G1668" t="s">
        <v>1290</v>
      </c>
      <c r="H1668" t="s">
        <v>898</v>
      </c>
      <c r="I1668" t="s">
        <v>96</v>
      </c>
      <c r="J1668" t="s">
        <v>97</v>
      </c>
    </row>
    <row r="1669" spans="1:10" x14ac:dyDescent="0.25">
      <c r="A1669" s="43" t="s">
        <v>3466</v>
      </c>
      <c r="B1669" t="s">
        <v>95</v>
      </c>
      <c r="C1669" t="s">
        <v>1177</v>
      </c>
      <c r="G1669" t="s">
        <v>1218</v>
      </c>
      <c r="H1669" t="s">
        <v>898</v>
      </c>
      <c r="I1669" t="s">
        <v>96</v>
      </c>
      <c r="J1669" t="s">
        <v>97</v>
      </c>
    </row>
    <row r="1670" spans="1:10" x14ac:dyDescent="0.25">
      <c r="A1670" s="43" t="s">
        <v>3465</v>
      </c>
      <c r="B1670" t="s">
        <v>95</v>
      </c>
      <c r="C1670" t="s">
        <v>1463</v>
      </c>
      <c r="G1670" t="s">
        <v>1295</v>
      </c>
      <c r="H1670" t="s">
        <v>898</v>
      </c>
      <c r="I1670" t="s">
        <v>339</v>
      </c>
      <c r="J1670" t="s">
        <v>2060</v>
      </c>
    </row>
    <row r="1671" spans="1:10" x14ac:dyDescent="0.25">
      <c r="A1671" s="43" t="s">
        <v>3464</v>
      </c>
      <c r="B1671" t="s">
        <v>95</v>
      </c>
      <c r="C1671" t="s">
        <v>1463</v>
      </c>
      <c r="G1671" t="s">
        <v>1283</v>
      </c>
      <c r="H1671" t="s">
        <v>898</v>
      </c>
      <c r="I1671" t="s">
        <v>339</v>
      </c>
      <c r="J1671" t="s">
        <v>2060</v>
      </c>
    </row>
    <row r="1672" spans="1:10" x14ac:dyDescent="0.25">
      <c r="A1672" s="43" t="s">
        <v>3463</v>
      </c>
      <c r="B1672" t="s">
        <v>95</v>
      </c>
      <c r="C1672" t="s">
        <v>1463</v>
      </c>
      <c r="G1672" t="s">
        <v>1224</v>
      </c>
      <c r="H1672" t="s">
        <v>898</v>
      </c>
      <c r="I1672" t="s">
        <v>339</v>
      </c>
      <c r="J1672" t="s">
        <v>2060</v>
      </c>
    </row>
    <row r="1673" spans="1:10" x14ac:dyDescent="0.25">
      <c r="A1673" s="43" t="s">
        <v>3462</v>
      </c>
      <c r="B1673" t="s">
        <v>95</v>
      </c>
      <c r="C1673" t="s">
        <v>1463</v>
      </c>
      <c r="G1673" t="s">
        <v>1328</v>
      </c>
      <c r="H1673" t="s">
        <v>898</v>
      </c>
      <c r="I1673" t="s">
        <v>1434</v>
      </c>
      <c r="J1673" t="s">
        <v>2306</v>
      </c>
    </row>
    <row r="1674" spans="1:10" x14ac:dyDescent="0.25">
      <c r="A1674" s="43" t="s">
        <v>3461</v>
      </c>
      <c r="B1674" t="s">
        <v>95</v>
      </c>
      <c r="C1674" t="s">
        <v>1463</v>
      </c>
      <c r="G1674" t="s">
        <v>1330</v>
      </c>
      <c r="H1674" t="s">
        <v>898</v>
      </c>
      <c r="I1674" t="s">
        <v>339</v>
      </c>
      <c r="J1674" t="s">
        <v>2060</v>
      </c>
    </row>
    <row r="1675" spans="1:10" x14ac:dyDescent="0.25">
      <c r="A1675" s="43" t="s">
        <v>3460</v>
      </c>
      <c r="B1675" t="s">
        <v>95</v>
      </c>
      <c r="C1675" t="s">
        <v>1463</v>
      </c>
      <c r="G1675" t="s">
        <v>1218</v>
      </c>
      <c r="H1675" t="s">
        <v>898</v>
      </c>
      <c r="I1675" t="s">
        <v>339</v>
      </c>
      <c r="J1675" t="s">
        <v>2060</v>
      </c>
    </row>
    <row r="1676" spans="1:10" x14ac:dyDescent="0.25">
      <c r="A1676" s="43" t="s">
        <v>3459</v>
      </c>
      <c r="B1676" t="s">
        <v>95</v>
      </c>
      <c r="C1676" t="s">
        <v>1463</v>
      </c>
      <c r="G1676" t="s">
        <v>1226</v>
      </c>
      <c r="H1676" t="s">
        <v>898</v>
      </c>
      <c r="I1676" t="s">
        <v>123</v>
      </c>
      <c r="J1676" t="s">
        <v>2215</v>
      </c>
    </row>
    <row r="1677" spans="1:10" x14ac:dyDescent="0.25">
      <c r="A1677" s="43" t="s">
        <v>3071</v>
      </c>
      <c r="B1677" t="s">
        <v>95</v>
      </c>
      <c r="C1677" t="s">
        <v>1463</v>
      </c>
      <c r="G1677" t="s">
        <v>8</v>
      </c>
      <c r="H1677" t="s">
        <v>898</v>
      </c>
      <c r="I1677" t="s">
        <v>1434</v>
      </c>
      <c r="J1677" t="s">
        <v>2167</v>
      </c>
    </row>
    <row r="1678" spans="1:10" x14ac:dyDescent="0.25">
      <c r="A1678" s="43" t="s">
        <v>3458</v>
      </c>
      <c r="B1678" t="s">
        <v>908</v>
      </c>
      <c r="C1678" t="s">
        <v>1183</v>
      </c>
      <c r="D1678" t="s">
        <v>56</v>
      </c>
      <c r="G1678" t="s">
        <v>1295</v>
      </c>
      <c r="H1678" t="s">
        <v>898</v>
      </c>
      <c r="I1678" t="s">
        <v>1316</v>
      </c>
      <c r="J1678" t="s">
        <v>1924</v>
      </c>
    </row>
    <row r="1679" spans="1:10" x14ac:dyDescent="0.25">
      <c r="A1679" s="43" t="s">
        <v>3457</v>
      </c>
      <c r="B1679" t="s">
        <v>908</v>
      </c>
      <c r="C1679" t="s">
        <v>1183</v>
      </c>
      <c r="D1679" t="s">
        <v>56</v>
      </c>
      <c r="G1679" t="s">
        <v>1283</v>
      </c>
      <c r="H1679" t="s">
        <v>898</v>
      </c>
      <c r="I1679" t="s">
        <v>1316</v>
      </c>
      <c r="J1679" t="s">
        <v>1924</v>
      </c>
    </row>
    <row r="1680" spans="1:10" x14ac:dyDescent="0.25">
      <c r="A1680" s="43" t="s">
        <v>2875</v>
      </c>
      <c r="B1680" t="s">
        <v>908</v>
      </c>
      <c r="C1680" t="s">
        <v>1183</v>
      </c>
      <c r="D1680" t="s">
        <v>56</v>
      </c>
      <c r="G1680" t="s">
        <v>1224</v>
      </c>
      <c r="H1680" t="s">
        <v>1225</v>
      </c>
      <c r="I1680" t="s">
        <v>1316</v>
      </c>
      <c r="J1680" t="s">
        <v>1924</v>
      </c>
    </row>
    <row r="1681" spans="1:10" x14ac:dyDescent="0.25">
      <c r="A1681" s="43" t="s">
        <v>4367</v>
      </c>
      <c r="B1681" t="s">
        <v>908</v>
      </c>
      <c r="C1681" t="s">
        <v>1183</v>
      </c>
      <c r="D1681" t="s">
        <v>56</v>
      </c>
      <c r="G1681" t="s">
        <v>1224</v>
      </c>
      <c r="H1681" t="s">
        <v>1225</v>
      </c>
      <c r="I1681" t="s">
        <v>1316</v>
      </c>
      <c r="J1681" t="s">
        <v>1924</v>
      </c>
    </row>
    <row r="1682" spans="1:10" x14ac:dyDescent="0.25">
      <c r="A1682" s="43" t="s">
        <v>3456</v>
      </c>
      <c r="B1682" t="s">
        <v>908</v>
      </c>
      <c r="C1682" t="s">
        <v>1183</v>
      </c>
      <c r="D1682" t="s">
        <v>56</v>
      </c>
      <c r="G1682" t="s">
        <v>1330</v>
      </c>
      <c r="H1682" t="s">
        <v>898</v>
      </c>
      <c r="I1682" t="s">
        <v>1316</v>
      </c>
      <c r="J1682" t="s">
        <v>1924</v>
      </c>
    </row>
    <row r="1683" spans="1:10" x14ac:dyDescent="0.25">
      <c r="A1683" s="43" t="s">
        <v>3070</v>
      </c>
      <c r="B1683" t="s">
        <v>908</v>
      </c>
      <c r="C1683" t="s">
        <v>1183</v>
      </c>
      <c r="D1683" t="s">
        <v>56</v>
      </c>
      <c r="G1683" t="s">
        <v>1218</v>
      </c>
      <c r="H1683" t="s">
        <v>898</v>
      </c>
      <c r="I1683" t="s">
        <v>1316</v>
      </c>
      <c r="J1683" t="s">
        <v>1924</v>
      </c>
    </row>
    <row r="1684" spans="1:10" x14ac:dyDescent="0.25">
      <c r="A1684" s="43" t="s">
        <v>3730</v>
      </c>
      <c r="B1684" t="s">
        <v>908</v>
      </c>
      <c r="C1684" t="s">
        <v>1183</v>
      </c>
      <c r="D1684" t="s">
        <v>56</v>
      </c>
      <c r="G1684" t="s">
        <v>1218</v>
      </c>
      <c r="H1684" t="s">
        <v>898</v>
      </c>
      <c r="I1684" t="s">
        <v>1316</v>
      </c>
      <c r="J1684" t="s">
        <v>1924</v>
      </c>
    </row>
    <row r="1685" spans="1:10" x14ac:dyDescent="0.25">
      <c r="A1685" s="43" t="s">
        <v>3729</v>
      </c>
      <c r="B1685" t="s">
        <v>908</v>
      </c>
      <c r="C1685" t="s">
        <v>1488</v>
      </c>
      <c r="D1685" t="s">
        <v>56</v>
      </c>
      <c r="G1685" t="s">
        <v>1295</v>
      </c>
      <c r="H1685" t="s">
        <v>898</v>
      </c>
      <c r="I1685" t="s">
        <v>388</v>
      </c>
      <c r="J1685" t="s">
        <v>2307</v>
      </c>
    </row>
    <row r="1686" spans="1:10" x14ac:dyDescent="0.25">
      <c r="A1686" s="43" t="s">
        <v>3728</v>
      </c>
      <c r="B1686" t="s">
        <v>908</v>
      </c>
      <c r="C1686" t="s">
        <v>1488</v>
      </c>
      <c r="D1686" t="s">
        <v>56</v>
      </c>
      <c r="G1686" t="s">
        <v>1283</v>
      </c>
      <c r="H1686" t="s">
        <v>1225</v>
      </c>
      <c r="I1686" t="s">
        <v>388</v>
      </c>
      <c r="J1686" t="s">
        <v>2307</v>
      </c>
    </row>
    <row r="1687" spans="1:10" x14ac:dyDescent="0.25">
      <c r="A1687" s="43" t="s">
        <v>3069</v>
      </c>
      <c r="B1687" t="s">
        <v>908</v>
      </c>
      <c r="C1687" t="s">
        <v>1488</v>
      </c>
      <c r="D1687" t="s">
        <v>56</v>
      </c>
      <c r="G1687" t="s">
        <v>1224</v>
      </c>
      <c r="H1687" t="s">
        <v>1225</v>
      </c>
      <c r="I1687" t="s">
        <v>388</v>
      </c>
      <c r="J1687" t="s">
        <v>2307</v>
      </c>
    </row>
    <row r="1688" spans="1:10" x14ac:dyDescent="0.25">
      <c r="A1688" s="43" t="s">
        <v>3727</v>
      </c>
      <c r="B1688" t="s">
        <v>908</v>
      </c>
      <c r="C1688" t="s">
        <v>1488</v>
      </c>
      <c r="D1688" t="s">
        <v>56</v>
      </c>
      <c r="G1688" t="s">
        <v>1330</v>
      </c>
      <c r="H1688" t="s">
        <v>1225</v>
      </c>
      <c r="I1688" t="s">
        <v>388</v>
      </c>
      <c r="J1688" t="s">
        <v>2307</v>
      </c>
    </row>
    <row r="1689" spans="1:10" x14ac:dyDescent="0.25">
      <c r="A1689" s="43" t="s">
        <v>3068</v>
      </c>
      <c r="B1689" t="s">
        <v>908</v>
      </c>
      <c r="C1689" t="s">
        <v>1488</v>
      </c>
      <c r="D1689" t="s">
        <v>56</v>
      </c>
      <c r="G1689" t="s">
        <v>1218</v>
      </c>
      <c r="H1689" t="s">
        <v>898</v>
      </c>
      <c r="I1689" t="s">
        <v>388</v>
      </c>
      <c r="J1689" t="s">
        <v>2307</v>
      </c>
    </row>
    <row r="1690" spans="1:10" x14ac:dyDescent="0.25">
      <c r="A1690" s="43" t="s">
        <v>3726</v>
      </c>
      <c r="B1690" t="s">
        <v>908</v>
      </c>
      <c r="C1690" t="s">
        <v>1177</v>
      </c>
      <c r="G1690" t="s">
        <v>1283</v>
      </c>
      <c r="H1690" t="s">
        <v>907</v>
      </c>
      <c r="I1690" t="s">
        <v>3720</v>
      </c>
      <c r="J1690" t="s">
        <v>2264</v>
      </c>
    </row>
    <row r="1691" spans="1:10" x14ac:dyDescent="0.25">
      <c r="A1691" s="43" t="s">
        <v>3723</v>
      </c>
      <c r="B1691" t="s">
        <v>908</v>
      </c>
      <c r="C1691" t="s">
        <v>1177</v>
      </c>
      <c r="G1691" t="s">
        <v>1218</v>
      </c>
      <c r="H1691" t="s">
        <v>907</v>
      </c>
      <c r="I1691" t="s">
        <v>3724</v>
      </c>
      <c r="J1691" t="s">
        <v>3725</v>
      </c>
    </row>
    <row r="1692" spans="1:10" x14ac:dyDescent="0.25">
      <c r="A1692" s="43" t="s">
        <v>3722</v>
      </c>
      <c r="B1692" t="s">
        <v>908</v>
      </c>
      <c r="C1692" t="s">
        <v>1177</v>
      </c>
      <c r="G1692" t="s">
        <v>1226</v>
      </c>
      <c r="H1692" t="s">
        <v>907</v>
      </c>
      <c r="I1692" t="s">
        <v>278</v>
      </c>
      <c r="J1692" t="s">
        <v>2059</v>
      </c>
    </row>
    <row r="1693" spans="1:10" x14ac:dyDescent="0.25">
      <c r="A1693" s="43" t="s">
        <v>3719</v>
      </c>
      <c r="B1693" t="s">
        <v>908</v>
      </c>
      <c r="C1693" t="s">
        <v>1177</v>
      </c>
      <c r="G1693" t="s">
        <v>1295</v>
      </c>
      <c r="H1693" t="s">
        <v>907</v>
      </c>
      <c r="I1693" t="s">
        <v>3720</v>
      </c>
      <c r="J1693" t="s">
        <v>3721</v>
      </c>
    </row>
    <row r="1694" spans="1:10" x14ac:dyDescent="0.25">
      <c r="A1694" s="43" t="s">
        <v>3718</v>
      </c>
      <c r="B1694" t="s">
        <v>908</v>
      </c>
      <c r="C1694" t="s">
        <v>1177</v>
      </c>
      <c r="G1694" t="s">
        <v>1225</v>
      </c>
      <c r="H1694" t="s">
        <v>907</v>
      </c>
      <c r="I1694" t="s">
        <v>278</v>
      </c>
      <c r="J1694" t="s">
        <v>2059</v>
      </c>
    </row>
    <row r="1695" spans="1:10" x14ac:dyDescent="0.25">
      <c r="A1695" s="43" t="s">
        <v>3717</v>
      </c>
      <c r="B1695" t="s">
        <v>908</v>
      </c>
      <c r="C1695" t="s">
        <v>1177</v>
      </c>
      <c r="G1695" t="s">
        <v>1224</v>
      </c>
      <c r="H1695" t="s">
        <v>907</v>
      </c>
      <c r="I1695" t="s">
        <v>278</v>
      </c>
      <c r="J1695" t="s">
        <v>2059</v>
      </c>
    </row>
    <row r="1696" spans="1:10" x14ac:dyDescent="0.25">
      <c r="A1696" s="43" t="s">
        <v>3716</v>
      </c>
      <c r="B1696" t="s">
        <v>908</v>
      </c>
      <c r="C1696" t="s">
        <v>1177</v>
      </c>
      <c r="G1696" t="s">
        <v>8</v>
      </c>
      <c r="H1696" t="s">
        <v>907</v>
      </c>
      <c r="I1696" t="s">
        <v>278</v>
      </c>
      <c r="J1696" t="s">
        <v>2059</v>
      </c>
    </row>
    <row r="1697" spans="1:10" x14ac:dyDescent="0.25">
      <c r="A1697" s="43" t="s">
        <v>3715</v>
      </c>
      <c r="B1697" t="s">
        <v>908</v>
      </c>
      <c r="C1697" t="s">
        <v>1177</v>
      </c>
      <c r="G1697" t="s">
        <v>1328</v>
      </c>
      <c r="H1697" t="s">
        <v>907</v>
      </c>
      <c r="I1697" t="s">
        <v>278</v>
      </c>
      <c r="J1697" t="s">
        <v>2059</v>
      </c>
    </row>
    <row r="1698" spans="1:10" x14ac:dyDescent="0.25">
      <c r="A1698" s="43" t="s">
        <v>3067</v>
      </c>
      <c r="B1698" t="s">
        <v>908</v>
      </c>
      <c r="C1698" t="s">
        <v>1177</v>
      </c>
      <c r="G1698" t="s">
        <v>1330</v>
      </c>
      <c r="H1698" t="s">
        <v>907</v>
      </c>
      <c r="I1698" t="s">
        <v>278</v>
      </c>
      <c r="J1698" t="s">
        <v>2059</v>
      </c>
    </row>
    <row r="1699" spans="1:10" x14ac:dyDescent="0.25">
      <c r="A1699" s="43" t="s">
        <v>3714</v>
      </c>
      <c r="B1699" t="s">
        <v>908</v>
      </c>
      <c r="C1699" t="s">
        <v>1177</v>
      </c>
      <c r="G1699" t="s">
        <v>1290</v>
      </c>
      <c r="H1699" t="s">
        <v>907</v>
      </c>
      <c r="I1699" t="s">
        <v>278</v>
      </c>
      <c r="J1699" t="s">
        <v>2059</v>
      </c>
    </row>
    <row r="1700" spans="1:10" x14ac:dyDescent="0.25">
      <c r="A1700" s="43" t="s">
        <v>3713</v>
      </c>
      <c r="B1700" t="s">
        <v>908</v>
      </c>
      <c r="C1700" t="s">
        <v>1463</v>
      </c>
      <c r="G1700" t="s">
        <v>1226</v>
      </c>
      <c r="H1700" t="s">
        <v>898</v>
      </c>
      <c r="I1700" t="s">
        <v>278</v>
      </c>
      <c r="J1700" t="s">
        <v>2059</v>
      </c>
    </row>
    <row r="1701" spans="1:10" x14ac:dyDescent="0.25">
      <c r="A1701" s="43" t="s">
        <v>3489</v>
      </c>
      <c r="B1701" t="s">
        <v>908</v>
      </c>
      <c r="C1701" t="s">
        <v>1463</v>
      </c>
      <c r="G1701" t="s">
        <v>8</v>
      </c>
      <c r="H1701" t="s">
        <v>898</v>
      </c>
      <c r="I1701" t="s">
        <v>278</v>
      </c>
      <c r="J1701" t="s">
        <v>2059</v>
      </c>
    </row>
    <row r="1702" spans="1:10" x14ac:dyDescent="0.25">
      <c r="A1702" s="43" t="s">
        <v>3488</v>
      </c>
      <c r="B1702" t="s">
        <v>908</v>
      </c>
      <c r="C1702" t="s">
        <v>1463</v>
      </c>
      <c r="G1702" t="s">
        <v>1330</v>
      </c>
      <c r="H1702" t="s">
        <v>898</v>
      </c>
      <c r="I1702" t="s">
        <v>278</v>
      </c>
      <c r="J1702" t="s">
        <v>2059</v>
      </c>
    </row>
    <row r="1703" spans="1:10" x14ac:dyDescent="0.25">
      <c r="A1703" s="43" t="s">
        <v>3537</v>
      </c>
      <c r="B1703" t="s">
        <v>148</v>
      </c>
      <c r="C1703" t="s">
        <v>1183</v>
      </c>
      <c r="D1703" t="s">
        <v>27</v>
      </c>
      <c r="G1703" t="s">
        <v>8</v>
      </c>
      <c r="H1703" t="s">
        <v>907</v>
      </c>
      <c r="I1703" t="s">
        <v>229</v>
      </c>
      <c r="J1703" t="s">
        <v>2298</v>
      </c>
    </row>
    <row r="1704" spans="1:10" x14ac:dyDescent="0.25">
      <c r="A1704" s="43" t="s">
        <v>3536</v>
      </c>
      <c r="B1704" t="s">
        <v>148</v>
      </c>
      <c r="C1704" t="s">
        <v>1183</v>
      </c>
      <c r="D1704" t="s">
        <v>27</v>
      </c>
      <c r="G1704" t="s">
        <v>1226</v>
      </c>
      <c r="H1704" t="s">
        <v>907</v>
      </c>
      <c r="I1704" t="s">
        <v>1394</v>
      </c>
      <c r="J1704" t="s">
        <v>2298</v>
      </c>
    </row>
    <row r="1705" spans="1:10" x14ac:dyDescent="0.25">
      <c r="A1705" s="43" t="s">
        <v>3535</v>
      </c>
      <c r="B1705" t="s">
        <v>148</v>
      </c>
      <c r="C1705" t="s">
        <v>1183</v>
      </c>
      <c r="D1705" t="s">
        <v>27</v>
      </c>
      <c r="G1705" t="s">
        <v>1295</v>
      </c>
      <c r="H1705" t="s">
        <v>907</v>
      </c>
      <c r="I1705" t="s">
        <v>1604</v>
      </c>
      <c r="J1705" t="s">
        <v>2298</v>
      </c>
    </row>
    <row r="1706" spans="1:10" x14ac:dyDescent="0.25">
      <c r="A1706" s="43" t="s">
        <v>3533</v>
      </c>
      <c r="B1706" t="s">
        <v>148</v>
      </c>
      <c r="C1706" t="s">
        <v>1183</v>
      </c>
      <c r="D1706" t="s">
        <v>27</v>
      </c>
      <c r="G1706" t="s">
        <v>1224</v>
      </c>
      <c r="H1706" t="s">
        <v>907</v>
      </c>
      <c r="I1706" t="s">
        <v>3534</v>
      </c>
      <c r="J1706" t="s">
        <v>2298</v>
      </c>
    </row>
    <row r="1707" spans="1:10" x14ac:dyDescent="0.25">
      <c r="A1707" s="43" t="s">
        <v>3531</v>
      </c>
      <c r="B1707" t="s">
        <v>148</v>
      </c>
      <c r="C1707" t="s">
        <v>1183</v>
      </c>
      <c r="D1707" t="s">
        <v>27</v>
      </c>
      <c r="G1707" t="s">
        <v>1328</v>
      </c>
      <c r="H1707" t="s">
        <v>907</v>
      </c>
      <c r="I1707" t="s">
        <v>3532</v>
      </c>
      <c r="J1707" t="s">
        <v>2298</v>
      </c>
    </row>
    <row r="1708" spans="1:10" x14ac:dyDescent="0.25">
      <c r="A1708" s="43" t="s">
        <v>3665</v>
      </c>
      <c r="B1708" t="s">
        <v>148</v>
      </c>
      <c r="C1708" t="s">
        <v>1183</v>
      </c>
      <c r="D1708" t="s">
        <v>27</v>
      </c>
      <c r="G1708" t="s">
        <v>1290</v>
      </c>
      <c r="H1708" t="s">
        <v>907</v>
      </c>
      <c r="I1708" t="s">
        <v>3532</v>
      </c>
      <c r="J1708" t="s">
        <v>2298</v>
      </c>
    </row>
    <row r="1709" spans="1:10" x14ac:dyDescent="0.25">
      <c r="A1709" s="43" t="s">
        <v>4296</v>
      </c>
      <c r="B1709" t="s">
        <v>148</v>
      </c>
      <c r="C1709" t="s">
        <v>1183</v>
      </c>
      <c r="D1709" t="s">
        <v>27</v>
      </c>
      <c r="G1709" t="s">
        <v>1218</v>
      </c>
      <c r="H1709" t="s">
        <v>907</v>
      </c>
      <c r="I1709" t="s">
        <v>476</v>
      </c>
      <c r="J1709" t="s">
        <v>2298</v>
      </c>
    </row>
    <row r="1710" spans="1:10" x14ac:dyDescent="0.25">
      <c r="A1710" s="43" t="s">
        <v>3663</v>
      </c>
      <c r="B1710" t="s">
        <v>148</v>
      </c>
      <c r="C1710" t="s">
        <v>1488</v>
      </c>
      <c r="D1710" t="s">
        <v>27</v>
      </c>
      <c r="G1710" t="s">
        <v>1226</v>
      </c>
      <c r="H1710" t="s">
        <v>907</v>
      </c>
      <c r="I1710" t="s">
        <v>3664</v>
      </c>
      <c r="J1710" t="s">
        <v>2298</v>
      </c>
    </row>
    <row r="1711" spans="1:10" x14ac:dyDescent="0.25">
      <c r="A1711" s="43" t="s">
        <v>3662</v>
      </c>
      <c r="B1711" t="s">
        <v>148</v>
      </c>
      <c r="C1711" t="s">
        <v>1488</v>
      </c>
      <c r="D1711" t="s">
        <v>27</v>
      </c>
      <c r="G1711" t="s">
        <v>1225</v>
      </c>
      <c r="H1711" t="s">
        <v>907</v>
      </c>
      <c r="I1711" t="s">
        <v>1551</v>
      </c>
      <c r="J1711" t="s">
        <v>2298</v>
      </c>
    </row>
    <row r="1712" spans="1:10" x14ac:dyDescent="0.25">
      <c r="A1712" s="43" t="s">
        <v>3661</v>
      </c>
      <c r="B1712" t="s">
        <v>148</v>
      </c>
      <c r="C1712" t="s">
        <v>1488</v>
      </c>
      <c r="D1712" t="s">
        <v>27</v>
      </c>
      <c r="G1712" t="s">
        <v>1224</v>
      </c>
      <c r="H1712" t="s">
        <v>907</v>
      </c>
      <c r="I1712" t="s">
        <v>163</v>
      </c>
      <c r="J1712" t="s">
        <v>2298</v>
      </c>
    </row>
    <row r="1713" spans="1:10" x14ac:dyDescent="0.25">
      <c r="A1713" s="43" t="s">
        <v>3660</v>
      </c>
      <c r="B1713" t="s">
        <v>148</v>
      </c>
      <c r="C1713" t="s">
        <v>1488</v>
      </c>
      <c r="D1713" t="s">
        <v>27</v>
      </c>
      <c r="G1713" t="s">
        <v>8</v>
      </c>
      <c r="H1713" t="s">
        <v>907</v>
      </c>
      <c r="I1713" t="s">
        <v>1578</v>
      </c>
      <c r="J1713" t="s">
        <v>2298</v>
      </c>
    </row>
    <row r="1714" spans="1:10" x14ac:dyDescent="0.25">
      <c r="A1714" s="43" t="s">
        <v>3659</v>
      </c>
      <c r="B1714" t="s">
        <v>148</v>
      </c>
      <c r="C1714" t="s">
        <v>1488</v>
      </c>
      <c r="D1714" t="s">
        <v>27</v>
      </c>
      <c r="G1714" t="s">
        <v>1330</v>
      </c>
      <c r="H1714" t="s">
        <v>907</v>
      </c>
      <c r="I1714" t="s">
        <v>759</v>
      </c>
      <c r="J1714" t="s">
        <v>2298</v>
      </c>
    </row>
    <row r="1715" spans="1:10" x14ac:dyDescent="0.25">
      <c r="A1715" s="43" t="s">
        <v>3658</v>
      </c>
      <c r="B1715" t="s">
        <v>148</v>
      </c>
      <c r="C1715" t="s">
        <v>1488</v>
      </c>
      <c r="D1715" t="s">
        <v>27</v>
      </c>
      <c r="G1715" t="s">
        <v>1290</v>
      </c>
      <c r="H1715" t="s">
        <v>907</v>
      </c>
      <c r="I1715" t="s">
        <v>1222</v>
      </c>
      <c r="J1715" t="s">
        <v>2298</v>
      </c>
    </row>
    <row r="1716" spans="1:10" x14ac:dyDescent="0.25">
      <c r="A1716" s="43" t="s">
        <v>3656</v>
      </c>
      <c r="B1716" t="s">
        <v>148</v>
      </c>
      <c r="C1716" t="s">
        <v>1488</v>
      </c>
      <c r="D1716" t="s">
        <v>27</v>
      </c>
      <c r="G1716" t="s">
        <v>1218</v>
      </c>
      <c r="H1716" t="s">
        <v>907</v>
      </c>
      <c r="I1716" t="s">
        <v>3657</v>
      </c>
      <c r="J1716" t="s">
        <v>2298</v>
      </c>
    </row>
    <row r="1717" spans="1:10" x14ac:dyDescent="0.25">
      <c r="A1717" s="43" t="s">
        <v>3487</v>
      </c>
      <c r="B1717" t="s">
        <v>176</v>
      </c>
      <c r="C1717" t="s">
        <v>1177</v>
      </c>
      <c r="G1717" t="s">
        <v>1226</v>
      </c>
      <c r="H1717" t="s">
        <v>907</v>
      </c>
      <c r="I1717" t="s">
        <v>108</v>
      </c>
      <c r="J1717" t="s">
        <v>1907</v>
      </c>
    </row>
    <row r="1718" spans="1:10" x14ac:dyDescent="0.25">
      <c r="A1718" s="43" t="s">
        <v>3486</v>
      </c>
      <c r="B1718" t="s">
        <v>176</v>
      </c>
      <c r="C1718" t="s">
        <v>1177</v>
      </c>
      <c r="G1718" t="s">
        <v>1295</v>
      </c>
      <c r="H1718" t="s">
        <v>907</v>
      </c>
      <c r="I1718" t="s">
        <v>108</v>
      </c>
      <c r="J1718" t="s">
        <v>2077</v>
      </c>
    </row>
    <row r="1719" spans="1:10" x14ac:dyDescent="0.25">
      <c r="A1719" s="43" t="s">
        <v>3485</v>
      </c>
      <c r="B1719" t="s">
        <v>176</v>
      </c>
      <c r="C1719" t="s">
        <v>1177</v>
      </c>
      <c r="G1719" t="s">
        <v>1225</v>
      </c>
      <c r="H1719" t="s">
        <v>1225</v>
      </c>
      <c r="I1719" t="s">
        <v>108</v>
      </c>
      <c r="J1719" t="s">
        <v>1907</v>
      </c>
    </row>
    <row r="1720" spans="1:10" x14ac:dyDescent="0.25">
      <c r="A1720" s="43" t="s">
        <v>3065</v>
      </c>
      <c r="B1720" t="s">
        <v>176</v>
      </c>
      <c r="C1720" t="s">
        <v>1177</v>
      </c>
      <c r="G1720" t="s">
        <v>1224</v>
      </c>
      <c r="H1720" t="s">
        <v>1225</v>
      </c>
      <c r="I1720" t="s">
        <v>111</v>
      </c>
      <c r="J1720" t="s">
        <v>3066</v>
      </c>
    </row>
    <row r="1721" spans="1:10" x14ac:dyDescent="0.25">
      <c r="A1721" s="43" t="s">
        <v>3064</v>
      </c>
      <c r="B1721" t="s">
        <v>176</v>
      </c>
      <c r="C1721" t="s">
        <v>1177</v>
      </c>
      <c r="G1721" t="s">
        <v>8</v>
      </c>
      <c r="H1721" t="s">
        <v>907</v>
      </c>
      <c r="I1721" t="s">
        <v>108</v>
      </c>
      <c r="J1721" t="s">
        <v>1907</v>
      </c>
    </row>
    <row r="1722" spans="1:10" x14ac:dyDescent="0.25">
      <c r="A1722" s="43" t="s">
        <v>3484</v>
      </c>
      <c r="B1722" t="s">
        <v>176</v>
      </c>
      <c r="C1722" t="s">
        <v>1177</v>
      </c>
      <c r="G1722" t="s">
        <v>1328</v>
      </c>
      <c r="H1722" t="s">
        <v>907</v>
      </c>
      <c r="I1722" t="s">
        <v>108</v>
      </c>
      <c r="J1722" t="s">
        <v>1907</v>
      </c>
    </row>
    <row r="1723" spans="1:10" x14ac:dyDescent="0.25">
      <c r="A1723" s="43" t="s">
        <v>3483</v>
      </c>
      <c r="B1723" t="s">
        <v>176</v>
      </c>
      <c r="C1723" t="s">
        <v>1177</v>
      </c>
      <c r="G1723" t="s">
        <v>1330</v>
      </c>
      <c r="H1723" t="s">
        <v>898</v>
      </c>
      <c r="I1723" t="s">
        <v>108</v>
      </c>
      <c r="J1723" t="s">
        <v>1907</v>
      </c>
    </row>
    <row r="1724" spans="1:10" x14ac:dyDescent="0.25">
      <c r="A1724" s="43" t="s">
        <v>3063</v>
      </c>
      <c r="B1724" t="s">
        <v>176</v>
      </c>
      <c r="C1724" t="s">
        <v>1177</v>
      </c>
      <c r="G1724" t="s">
        <v>1290</v>
      </c>
      <c r="H1724" t="s">
        <v>898</v>
      </c>
      <c r="I1724" t="s">
        <v>108</v>
      </c>
      <c r="J1724" t="s">
        <v>1907</v>
      </c>
    </row>
    <row r="1725" spans="1:10" x14ac:dyDescent="0.25">
      <c r="A1725" s="43" t="s">
        <v>2874</v>
      </c>
      <c r="B1725" t="s">
        <v>176</v>
      </c>
      <c r="C1725" t="s">
        <v>1177</v>
      </c>
      <c r="G1725" t="s">
        <v>1218</v>
      </c>
      <c r="H1725" t="s">
        <v>907</v>
      </c>
      <c r="I1725" t="s">
        <v>108</v>
      </c>
      <c r="J1725" t="s">
        <v>2077</v>
      </c>
    </row>
    <row r="1726" spans="1:10" x14ac:dyDescent="0.25">
      <c r="A1726" s="43" t="s">
        <v>3482</v>
      </c>
      <c r="B1726" t="s">
        <v>176</v>
      </c>
      <c r="C1726" t="s">
        <v>1463</v>
      </c>
      <c r="G1726" t="s">
        <v>1295</v>
      </c>
      <c r="H1726" t="s">
        <v>898</v>
      </c>
      <c r="I1726" t="s">
        <v>1512</v>
      </c>
      <c r="J1726" t="s">
        <v>2203</v>
      </c>
    </row>
    <row r="1727" spans="1:10" x14ac:dyDescent="0.25">
      <c r="A1727" s="43" t="s">
        <v>3481</v>
      </c>
      <c r="B1727" t="s">
        <v>176</v>
      </c>
      <c r="C1727" t="s">
        <v>1463</v>
      </c>
      <c r="G1727" t="s">
        <v>1226</v>
      </c>
      <c r="H1727" t="s">
        <v>907</v>
      </c>
      <c r="I1727" t="s">
        <v>508</v>
      </c>
      <c r="J1727" t="s">
        <v>2077</v>
      </c>
    </row>
    <row r="1728" spans="1:10" x14ac:dyDescent="0.25">
      <c r="A1728" s="43" t="s">
        <v>3480</v>
      </c>
      <c r="B1728" t="s">
        <v>176</v>
      </c>
      <c r="C1728" t="s">
        <v>1463</v>
      </c>
      <c r="G1728" t="s">
        <v>1225</v>
      </c>
      <c r="H1728" t="s">
        <v>1225</v>
      </c>
      <c r="I1728" t="s">
        <v>3060</v>
      </c>
      <c r="J1728" t="s">
        <v>2205</v>
      </c>
    </row>
    <row r="1729" spans="1:10" x14ac:dyDescent="0.25">
      <c r="A1729" s="43" t="s">
        <v>3479</v>
      </c>
      <c r="B1729" t="s">
        <v>176</v>
      </c>
      <c r="C1729" t="s">
        <v>1463</v>
      </c>
      <c r="G1729" t="s">
        <v>1283</v>
      </c>
      <c r="H1729" t="s">
        <v>907</v>
      </c>
      <c r="I1729" t="s">
        <v>508</v>
      </c>
      <c r="J1729" t="s">
        <v>2077</v>
      </c>
    </row>
    <row r="1730" spans="1:10" x14ac:dyDescent="0.25">
      <c r="A1730" s="43" t="s">
        <v>3478</v>
      </c>
      <c r="B1730" t="s">
        <v>176</v>
      </c>
      <c r="C1730" t="s">
        <v>1463</v>
      </c>
      <c r="G1730" t="s">
        <v>1224</v>
      </c>
      <c r="H1730" t="s">
        <v>1225</v>
      </c>
      <c r="I1730" t="s">
        <v>3060</v>
      </c>
      <c r="J1730" t="s">
        <v>2205</v>
      </c>
    </row>
    <row r="1731" spans="1:10" x14ac:dyDescent="0.25">
      <c r="A1731" s="43" t="s">
        <v>3477</v>
      </c>
      <c r="B1731" t="s">
        <v>176</v>
      </c>
      <c r="C1731" t="s">
        <v>1463</v>
      </c>
      <c r="G1731" t="s">
        <v>1311</v>
      </c>
      <c r="H1731" t="s">
        <v>907</v>
      </c>
      <c r="I1731" t="s">
        <v>1467</v>
      </c>
      <c r="J1731" t="s">
        <v>2073</v>
      </c>
    </row>
    <row r="1732" spans="1:10" x14ac:dyDescent="0.25">
      <c r="A1732" s="43" t="s">
        <v>3062</v>
      </c>
      <c r="B1732" t="s">
        <v>176</v>
      </c>
      <c r="C1732" t="s">
        <v>1463</v>
      </c>
      <c r="G1732" t="s">
        <v>8</v>
      </c>
      <c r="H1732" t="s">
        <v>907</v>
      </c>
      <c r="I1732" t="s">
        <v>1467</v>
      </c>
      <c r="J1732" t="s">
        <v>2073</v>
      </c>
    </row>
    <row r="1733" spans="1:10" x14ac:dyDescent="0.25">
      <c r="A1733" s="43" t="s">
        <v>3474</v>
      </c>
      <c r="B1733" t="s">
        <v>176</v>
      </c>
      <c r="C1733" t="s">
        <v>1463</v>
      </c>
      <c r="G1733" t="s">
        <v>1330</v>
      </c>
      <c r="H1733" t="s">
        <v>898</v>
      </c>
      <c r="I1733" t="s">
        <v>3475</v>
      </c>
      <c r="J1733" t="s">
        <v>3476</v>
      </c>
    </row>
    <row r="1734" spans="1:10" x14ac:dyDescent="0.25">
      <c r="A1734" s="43" t="s">
        <v>3473</v>
      </c>
      <c r="B1734" t="s">
        <v>176</v>
      </c>
      <c r="C1734" t="s">
        <v>1463</v>
      </c>
      <c r="G1734" t="s">
        <v>1290</v>
      </c>
      <c r="H1734" t="s">
        <v>898</v>
      </c>
      <c r="I1734" t="s">
        <v>1519</v>
      </c>
      <c r="J1734" t="s">
        <v>2213</v>
      </c>
    </row>
    <row r="1735" spans="1:10" x14ac:dyDescent="0.25">
      <c r="A1735" s="43" t="s">
        <v>3472</v>
      </c>
      <c r="B1735" t="s">
        <v>176</v>
      </c>
      <c r="C1735" t="s">
        <v>1463</v>
      </c>
      <c r="G1735" t="s">
        <v>1218</v>
      </c>
      <c r="H1735" t="s">
        <v>907</v>
      </c>
      <c r="I1735" t="s">
        <v>1472</v>
      </c>
      <c r="J1735" t="s">
        <v>2078</v>
      </c>
    </row>
    <row r="1736" spans="1:10" x14ac:dyDescent="0.25">
      <c r="A1736" s="43" t="s">
        <v>3712</v>
      </c>
      <c r="B1736" t="s">
        <v>263</v>
      </c>
      <c r="C1736" t="s">
        <v>1183</v>
      </c>
      <c r="D1736" t="s">
        <v>27</v>
      </c>
      <c r="G1736" t="s">
        <v>1226</v>
      </c>
      <c r="H1736" t="s">
        <v>898</v>
      </c>
      <c r="I1736" t="s">
        <v>1495</v>
      </c>
      <c r="J1736" t="s">
        <v>509</v>
      </c>
    </row>
    <row r="1737" spans="1:10" x14ac:dyDescent="0.25">
      <c r="A1737" s="43" t="s">
        <v>3711</v>
      </c>
      <c r="B1737" t="s">
        <v>263</v>
      </c>
      <c r="C1737" t="s">
        <v>1183</v>
      </c>
      <c r="D1737" t="s">
        <v>27</v>
      </c>
      <c r="G1737" t="s">
        <v>1283</v>
      </c>
      <c r="H1737" t="s">
        <v>898</v>
      </c>
      <c r="I1737" t="s">
        <v>268</v>
      </c>
      <c r="J1737" t="s">
        <v>86</v>
      </c>
    </row>
    <row r="1738" spans="1:10" x14ac:dyDescent="0.25">
      <c r="A1738" s="43" t="s">
        <v>3710</v>
      </c>
      <c r="B1738" t="s">
        <v>263</v>
      </c>
      <c r="C1738" t="s">
        <v>1183</v>
      </c>
      <c r="D1738" t="s">
        <v>27</v>
      </c>
      <c r="G1738" t="s">
        <v>1224</v>
      </c>
      <c r="H1738" t="s">
        <v>1225</v>
      </c>
      <c r="I1738" t="s">
        <v>246</v>
      </c>
      <c r="J1738" t="s">
        <v>2109</v>
      </c>
    </row>
    <row r="1739" spans="1:10" x14ac:dyDescent="0.25">
      <c r="A1739" s="43" t="s">
        <v>3709</v>
      </c>
      <c r="B1739" t="s">
        <v>263</v>
      </c>
      <c r="C1739" t="s">
        <v>1183</v>
      </c>
      <c r="D1739" t="s">
        <v>27</v>
      </c>
      <c r="G1739" t="s">
        <v>8</v>
      </c>
      <c r="H1739" t="s">
        <v>898</v>
      </c>
      <c r="I1739" t="s">
        <v>1332</v>
      </c>
      <c r="J1739" t="s">
        <v>34</v>
      </c>
    </row>
    <row r="1740" spans="1:10" x14ac:dyDescent="0.25">
      <c r="A1740" s="43" t="s">
        <v>3707</v>
      </c>
      <c r="B1740" t="s">
        <v>263</v>
      </c>
      <c r="C1740" t="s">
        <v>1183</v>
      </c>
      <c r="D1740" t="s">
        <v>27</v>
      </c>
      <c r="G1740" t="s">
        <v>1328</v>
      </c>
      <c r="H1740" t="s">
        <v>898</v>
      </c>
      <c r="I1740" t="s">
        <v>3708</v>
      </c>
      <c r="J1740" t="s">
        <v>2375</v>
      </c>
    </row>
    <row r="1741" spans="1:10" x14ac:dyDescent="0.25">
      <c r="A1741" s="43" t="s">
        <v>3706</v>
      </c>
      <c r="B1741" t="s">
        <v>263</v>
      </c>
      <c r="C1741" t="s">
        <v>1183</v>
      </c>
      <c r="D1741" t="s">
        <v>27</v>
      </c>
      <c r="G1741" t="s">
        <v>1330</v>
      </c>
      <c r="H1741" t="s">
        <v>898</v>
      </c>
      <c r="I1741" t="s">
        <v>1467</v>
      </c>
      <c r="J1741" t="s">
        <v>514</v>
      </c>
    </row>
    <row r="1742" spans="1:10" x14ac:dyDescent="0.25">
      <c r="A1742" s="43" t="s">
        <v>3705</v>
      </c>
      <c r="B1742" t="s">
        <v>263</v>
      </c>
      <c r="C1742" t="s">
        <v>1183</v>
      </c>
      <c r="D1742" t="s">
        <v>27</v>
      </c>
      <c r="G1742" t="s">
        <v>1218</v>
      </c>
      <c r="H1742" t="s">
        <v>898</v>
      </c>
      <c r="I1742" t="s">
        <v>472</v>
      </c>
      <c r="J1742" t="s">
        <v>509</v>
      </c>
    </row>
    <row r="1743" spans="1:10" x14ac:dyDescent="0.25">
      <c r="A1743" s="43" t="s">
        <v>3704</v>
      </c>
      <c r="B1743" t="s">
        <v>263</v>
      </c>
      <c r="C1743" t="s">
        <v>1488</v>
      </c>
      <c r="D1743" t="s">
        <v>27</v>
      </c>
      <c r="G1743" t="s">
        <v>1226</v>
      </c>
      <c r="H1743" t="s">
        <v>898</v>
      </c>
      <c r="I1743" t="s">
        <v>1434</v>
      </c>
      <c r="J1743" t="s">
        <v>2126</v>
      </c>
    </row>
    <row r="1744" spans="1:10" x14ac:dyDescent="0.25">
      <c r="A1744" s="43" t="s">
        <v>3702</v>
      </c>
      <c r="B1744" t="s">
        <v>263</v>
      </c>
      <c r="C1744" t="s">
        <v>1488</v>
      </c>
      <c r="D1744" t="s">
        <v>27</v>
      </c>
      <c r="G1744" t="s">
        <v>1295</v>
      </c>
      <c r="H1744" t="s">
        <v>898</v>
      </c>
      <c r="I1744" t="s">
        <v>508</v>
      </c>
      <c r="J1744" t="s">
        <v>3703</v>
      </c>
    </row>
    <row r="1745" spans="1:10" x14ac:dyDescent="0.25">
      <c r="A1745" s="43" t="s">
        <v>3701</v>
      </c>
      <c r="B1745" t="s">
        <v>263</v>
      </c>
      <c r="C1745" t="s">
        <v>1488</v>
      </c>
      <c r="D1745" t="s">
        <v>27</v>
      </c>
      <c r="G1745" t="s">
        <v>1225</v>
      </c>
      <c r="H1745" t="s">
        <v>898</v>
      </c>
      <c r="I1745" t="s">
        <v>246</v>
      </c>
      <c r="J1745" t="s">
        <v>2285</v>
      </c>
    </row>
    <row r="1746" spans="1:10" x14ac:dyDescent="0.25">
      <c r="A1746" s="43" t="s">
        <v>3700</v>
      </c>
      <c r="B1746" t="s">
        <v>263</v>
      </c>
      <c r="C1746" t="s">
        <v>1488</v>
      </c>
      <c r="D1746" t="s">
        <v>27</v>
      </c>
      <c r="G1746" t="s">
        <v>1283</v>
      </c>
      <c r="H1746" t="s">
        <v>898</v>
      </c>
      <c r="I1746" t="s">
        <v>96</v>
      </c>
      <c r="J1746" t="s">
        <v>2284</v>
      </c>
    </row>
    <row r="1747" spans="1:10" x14ac:dyDescent="0.25">
      <c r="A1747" s="43" t="s">
        <v>3699</v>
      </c>
      <c r="B1747" t="s">
        <v>263</v>
      </c>
      <c r="C1747" t="s">
        <v>1488</v>
      </c>
      <c r="D1747" t="s">
        <v>27</v>
      </c>
      <c r="G1747" t="s">
        <v>1224</v>
      </c>
      <c r="H1747" t="s">
        <v>1225</v>
      </c>
      <c r="I1747" t="s">
        <v>508</v>
      </c>
      <c r="J1747" t="s">
        <v>2286</v>
      </c>
    </row>
    <row r="1748" spans="1:10" x14ac:dyDescent="0.25">
      <c r="A1748" s="43" t="s">
        <v>3698</v>
      </c>
      <c r="B1748" t="s">
        <v>263</v>
      </c>
      <c r="C1748" t="s">
        <v>1488</v>
      </c>
      <c r="D1748" t="s">
        <v>27</v>
      </c>
      <c r="G1748" t="s">
        <v>8</v>
      </c>
      <c r="H1748" t="s">
        <v>898</v>
      </c>
      <c r="I1748" t="s">
        <v>726</v>
      </c>
      <c r="J1748" t="s">
        <v>2287</v>
      </c>
    </row>
    <row r="1749" spans="1:10" x14ac:dyDescent="0.25">
      <c r="A1749" s="43" t="s">
        <v>3697</v>
      </c>
      <c r="B1749" t="s">
        <v>263</v>
      </c>
      <c r="C1749" t="s">
        <v>1488</v>
      </c>
      <c r="D1749" t="s">
        <v>27</v>
      </c>
      <c r="G1749" t="s">
        <v>1328</v>
      </c>
      <c r="H1749" t="s">
        <v>898</v>
      </c>
      <c r="I1749" t="s">
        <v>726</v>
      </c>
      <c r="J1749" t="s">
        <v>2357</v>
      </c>
    </row>
    <row r="1750" spans="1:10" x14ac:dyDescent="0.25">
      <c r="A1750" s="43" t="s">
        <v>3506</v>
      </c>
      <c r="B1750" t="s">
        <v>263</v>
      </c>
      <c r="C1750" t="s">
        <v>1488</v>
      </c>
      <c r="D1750" t="s">
        <v>27</v>
      </c>
      <c r="G1750" t="s">
        <v>1330</v>
      </c>
      <c r="H1750" t="s">
        <v>898</v>
      </c>
      <c r="I1750" t="s">
        <v>268</v>
      </c>
      <c r="J1750" t="s">
        <v>2288</v>
      </c>
    </row>
    <row r="1751" spans="1:10" x14ac:dyDescent="0.25">
      <c r="A1751" s="43" t="s">
        <v>3505</v>
      </c>
      <c r="B1751" t="s">
        <v>263</v>
      </c>
      <c r="C1751" t="s">
        <v>1488</v>
      </c>
      <c r="D1751" t="s">
        <v>27</v>
      </c>
      <c r="G1751" t="s">
        <v>1290</v>
      </c>
      <c r="H1751" t="s">
        <v>898</v>
      </c>
      <c r="I1751" t="s">
        <v>356</v>
      </c>
      <c r="J1751" t="s">
        <v>2290</v>
      </c>
    </row>
    <row r="1752" spans="1:10" x14ac:dyDescent="0.25">
      <c r="A1752" s="43" t="s">
        <v>3504</v>
      </c>
      <c r="B1752" t="s">
        <v>263</v>
      </c>
      <c r="C1752" t="s">
        <v>1488</v>
      </c>
      <c r="D1752" t="s">
        <v>27</v>
      </c>
      <c r="G1752" t="s">
        <v>1218</v>
      </c>
      <c r="H1752" t="s">
        <v>898</v>
      </c>
      <c r="I1752" t="s">
        <v>508</v>
      </c>
      <c r="J1752" t="s">
        <v>2289</v>
      </c>
    </row>
    <row r="1753" spans="1:10" x14ac:dyDescent="0.25">
      <c r="A1753" s="43" t="s">
        <v>3503</v>
      </c>
      <c r="B1753" t="s">
        <v>505</v>
      </c>
      <c r="C1753" t="s">
        <v>1188</v>
      </c>
      <c r="D1753" t="s">
        <v>27</v>
      </c>
      <c r="G1753" t="s">
        <v>1295</v>
      </c>
      <c r="H1753" t="s">
        <v>907</v>
      </c>
      <c r="I1753" t="s">
        <v>1434</v>
      </c>
      <c r="J1753" t="s">
        <v>2045</v>
      </c>
    </row>
    <row r="1754" spans="1:10" x14ac:dyDescent="0.25">
      <c r="A1754" s="43" t="s">
        <v>3502</v>
      </c>
      <c r="B1754" t="s">
        <v>505</v>
      </c>
      <c r="C1754" t="s">
        <v>1188</v>
      </c>
      <c r="D1754" t="s">
        <v>27</v>
      </c>
      <c r="G1754" t="s">
        <v>1283</v>
      </c>
      <c r="H1754" t="s">
        <v>907</v>
      </c>
      <c r="I1754" t="s">
        <v>339</v>
      </c>
      <c r="J1754" t="s">
        <v>2182</v>
      </c>
    </row>
    <row r="1755" spans="1:10" x14ac:dyDescent="0.25">
      <c r="A1755" s="43" t="s">
        <v>3501</v>
      </c>
      <c r="B1755" t="s">
        <v>505</v>
      </c>
      <c r="C1755" t="s">
        <v>1188</v>
      </c>
      <c r="D1755" t="s">
        <v>27</v>
      </c>
      <c r="G1755" t="s">
        <v>1226</v>
      </c>
      <c r="H1755" t="s">
        <v>907</v>
      </c>
      <c r="I1755" t="s">
        <v>246</v>
      </c>
      <c r="J1755" t="s">
        <v>2084</v>
      </c>
    </row>
    <row r="1756" spans="1:10" x14ac:dyDescent="0.25">
      <c r="A1756" s="43" t="s">
        <v>3500</v>
      </c>
      <c r="B1756" t="s">
        <v>505</v>
      </c>
      <c r="C1756" t="s">
        <v>1188</v>
      </c>
      <c r="D1756" t="s">
        <v>27</v>
      </c>
      <c r="G1756" t="s">
        <v>1225</v>
      </c>
      <c r="H1756" t="s">
        <v>1225</v>
      </c>
      <c r="I1756" t="s">
        <v>3475</v>
      </c>
      <c r="J1756" t="s">
        <v>470</v>
      </c>
    </row>
    <row r="1757" spans="1:10" x14ac:dyDescent="0.25">
      <c r="A1757" s="43" t="s">
        <v>3499</v>
      </c>
      <c r="B1757" t="s">
        <v>505</v>
      </c>
      <c r="C1757" t="s">
        <v>1188</v>
      </c>
      <c r="D1757" t="s">
        <v>27</v>
      </c>
      <c r="G1757" t="s">
        <v>1224</v>
      </c>
      <c r="H1757" t="s">
        <v>1225</v>
      </c>
      <c r="I1757" t="s">
        <v>246</v>
      </c>
      <c r="J1757" t="s">
        <v>470</v>
      </c>
    </row>
    <row r="1758" spans="1:10" x14ac:dyDescent="0.25">
      <c r="A1758" s="43" t="s">
        <v>3498</v>
      </c>
      <c r="B1758" t="s">
        <v>505</v>
      </c>
      <c r="C1758" t="s">
        <v>1188</v>
      </c>
      <c r="D1758" t="s">
        <v>27</v>
      </c>
      <c r="G1758" t="s">
        <v>1311</v>
      </c>
      <c r="H1758" t="s">
        <v>907</v>
      </c>
      <c r="I1758" t="s">
        <v>246</v>
      </c>
      <c r="J1758" t="s">
        <v>364</v>
      </c>
    </row>
    <row r="1759" spans="1:10" x14ac:dyDescent="0.25">
      <c r="A1759" s="43" t="s">
        <v>3497</v>
      </c>
      <c r="B1759" t="s">
        <v>505</v>
      </c>
      <c r="C1759" t="s">
        <v>1188</v>
      </c>
      <c r="D1759" t="s">
        <v>27</v>
      </c>
      <c r="G1759" t="s">
        <v>8</v>
      </c>
      <c r="H1759" t="s">
        <v>907</v>
      </c>
      <c r="I1759" t="s">
        <v>246</v>
      </c>
      <c r="J1759" t="s">
        <v>364</v>
      </c>
    </row>
    <row r="1760" spans="1:10" x14ac:dyDescent="0.25">
      <c r="A1760" s="43" t="s">
        <v>3496</v>
      </c>
      <c r="B1760" t="s">
        <v>505</v>
      </c>
      <c r="C1760" t="s">
        <v>1188</v>
      </c>
      <c r="D1760" t="s">
        <v>27</v>
      </c>
      <c r="G1760" t="s">
        <v>1328</v>
      </c>
      <c r="H1760" t="s">
        <v>907</v>
      </c>
      <c r="I1760" t="s">
        <v>1519</v>
      </c>
      <c r="J1760" t="s">
        <v>2253</v>
      </c>
    </row>
    <row r="1761" spans="1:10" x14ac:dyDescent="0.25">
      <c r="A1761" s="43" t="s">
        <v>3495</v>
      </c>
      <c r="B1761" t="s">
        <v>505</v>
      </c>
      <c r="C1761" t="s">
        <v>1188</v>
      </c>
      <c r="D1761" t="s">
        <v>27</v>
      </c>
      <c r="G1761" t="s">
        <v>1330</v>
      </c>
      <c r="H1761" t="s">
        <v>898</v>
      </c>
      <c r="I1761" t="s">
        <v>339</v>
      </c>
      <c r="J1761" t="s">
        <v>86</v>
      </c>
    </row>
    <row r="1762" spans="1:10" x14ac:dyDescent="0.25">
      <c r="A1762" s="43" t="s">
        <v>3493</v>
      </c>
      <c r="B1762" t="s">
        <v>505</v>
      </c>
      <c r="C1762" t="s">
        <v>1188</v>
      </c>
      <c r="D1762" t="s">
        <v>27</v>
      </c>
      <c r="G1762" t="s">
        <v>1290</v>
      </c>
      <c r="H1762" t="s">
        <v>898</v>
      </c>
      <c r="I1762" t="s">
        <v>3494</v>
      </c>
      <c r="J1762" t="s">
        <v>519</v>
      </c>
    </row>
    <row r="1763" spans="1:10" x14ac:dyDescent="0.25">
      <c r="A1763" s="43" t="s">
        <v>3492</v>
      </c>
      <c r="B1763" t="s">
        <v>505</v>
      </c>
      <c r="C1763" t="s">
        <v>1188</v>
      </c>
      <c r="D1763" t="s">
        <v>27</v>
      </c>
      <c r="G1763" t="s">
        <v>1218</v>
      </c>
      <c r="H1763" t="s">
        <v>898</v>
      </c>
      <c r="I1763" t="s">
        <v>246</v>
      </c>
      <c r="J1763" t="s">
        <v>2084</v>
      </c>
    </row>
    <row r="1764" spans="1:10" x14ac:dyDescent="0.25">
      <c r="A1764" s="43" t="s">
        <v>3061</v>
      </c>
      <c r="B1764" t="s">
        <v>505</v>
      </c>
      <c r="C1764" t="s">
        <v>1462</v>
      </c>
      <c r="D1764" t="s">
        <v>27</v>
      </c>
      <c r="G1764" t="s">
        <v>1295</v>
      </c>
      <c r="H1764" t="s">
        <v>898</v>
      </c>
      <c r="I1764" t="s">
        <v>339</v>
      </c>
      <c r="J1764" t="s">
        <v>2045</v>
      </c>
    </row>
    <row r="1765" spans="1:10" x14ac:dyDescent="0.25">
      <c r="A1765" s="43" t="s">
        <v>3491</v>
      </c>
      <c r="B1765" t="s">
        <v>505</v>
      </c>
      <c r="C1765" t="s">
        <v>1462</v>
      </c>
      <c r="D1765" t="s">
        <v>27</v>
      </c>
      <c r="G1765" t="s">
        <v>1283</v>
      </c>
      <c r="H1765" t="s">
        <v>898</v>
      </c>
      <c r="I1765" t="s">
        <v>77</v>
      </c>
      <c r="J1765" t="s">
        <v>2045</v>
      </c>
    </row>
    <row r="1766" spans="1:10" x14ac:dyDescent="0.25">
      <c r="A1766" s="43" t="s">
        <v>3490</v>
      </c>
      <c r="B1766" t="s">
        <v>505</v>
      </c>
      <c r="C1766" t="s">
        <v>1462</v>
      </c>
      <c r="D1766" t="s">
        <v>27</v>
      </c>
      <c r="G1766" t="s">
        <v>1479</v>
      </c>
      <c r="H1766" t="s">
        <v>898</v>
      </c>
      <c r="I1766" t="s">
        <v>268</v>
      </c>
      <c r="J1766" t="s">
        <v>2084</v>
      </c>
    </row>
    <row r="1767" spans="1:10" x14ac:dyDescent="0.25">
      <c r="A1767" s="43" t="s">
        <v>3696</v>
      </c>
      <c r="B1767" t="s">
        <v>505</v>
      </c>
      <c r="C1767" t="s">
        <v>1462</v>
      </c>
      <c r="D1767" t="s">
        <v>27</v>
      </c>
      <c r="G1767" t="s">
        <v>1226</v>
      </c>
      <c r="H1767" t="s">
        <v>907</v>
      </c>
      <c r="I1767" t="s">
        <v>268</v>
      </c>
      <c r="J1767" t="s">
        <v>2084</v>
      </c>
    </row>
    <row r="1768" spans="1:10" x14ac:dyDescent="0.25">
      <c r="A1768" s="43" t="s">
        <v>3695</v>
      </c>
      <c r="B1768" t="s">
        <v>505</v>
      </c>
      <c r="C1768" t="s">
        <v>1462</v>
      </c>
      <c r="D1768" t="s">
        <v>27</v>
      </c>
      <c r="G1768" t="s">
        <v>1225</v>
      </c>
      <c r="H1768" t="s">
        <v>1225</v>
      </c>
      <c r="I1768" t="s">
        <v>3694</v>
      </c>
      <c r="J1768" t="s">
        <v>2255</v>
      </c>
    </row>
    <row r="1769" spans="1:10" x14ac:dyDescent="0.25">
      <c r="A1769" s="43" t="s">
        <v>3693</v>
      </c>
      <c r="B1769" t="s">
        <v>505</v>
      </c>
      <c r="C1769" t="s">
        <v>1462</v>
      </c>
      <c r="D1769" t="s">
        <v>27</v>
      </c>
      <c r="G1769" t="s">
        <v>1224</v>
      </c>
      <c r="H1769" t="s">
        <v>1225</v>
      </c>
      <c r="I1769" t="s">
        <v>3694</v>
      </c>
      <c r="J1769" t="s">
        <v>2255</v>
      </c>
    </row>
    <row r="1770" spans="1:10" x14ac:dyDescent="0.25">
      <c r="A1770" s="43" t="s">
        <v>3692</v>
      </c>
      <c r="B1770" t="s">
        <v>505</v>
      </c>
      <c r="C1770" t="s">
        <v>1462</v>
      </c>
      <c r="D1770" t="s">
        <v>27</v>
      </c>
      <c r="G1770" t="s">
        <v>1311</v>
      </c>
      <c r="H1770" t="s">
        <v>907</v>
      </c>
      <c r="I1770" t="s">
        <v>123</v>
      </c>
      <c r="J1770" t="s">
        <v>364</v>
      </c>
    </row>
    <row r="1771" spans="1:10" x14ac:dyDescent="0.25">
      <c r="A1771" s="43" t="s">
        <v>3691</v>
      </c>
      <c r="B1771" t="s">
        <v>505</v>
      </c>
      <c r="C1771" t="s">
        <v>1462</v>
      </c>
      <c r="D1771" t="s">
        <v>27</v>
      </c>
      <c r="G1771" t="s">
        <v>8</v>
      </c>
      <c r="H1771" t="s">
        <v>907</v>
      </c>
      <c r="I1771" t="s">
        <v>123</v>
      </c>
      <c r="J1771" t="s">
        <v>364</v>
      </c>
    </row>
    <row r="1772" spans="1:10" x14ac:dyDescent="0.25">
      <c r="A1772" s="43" t="s">
        <v>3690</v>
      </c>
      <c r="B1772" t="s">
        <v>505</v>
      </c>
      <c r="C1772" t="s">
        <v>1462</v>
      </c>
      <c r="D1772" t="s">
        <v>27</v>
      </c>
      <c r="G1772" t="s">
        <v>1328</v>
      </c>
      <c r="H1772" t="s">
        <v>898</v>
      </c>
      <c r="I1772" t="s">
        <v>123</v>
      </c>
      <c r="J1772" t="s">
        <v>2253</v>
      </c>
    </row>
    <row r="1773" spans="1:10" x14ac:dyDescent="0.25">
      <c r="A1773" s="43" t="s">
        <v>3688</v>
      </c>
      <c r="B1773" t="s">
        <v>505</v>
      </c>
      <c r="C1773" t="s">
        <v>1462</v>
      </c>
      <c r="D1773" t="s">
        <v>27</v>
      </c>
      <c r="G1773" t="s">
        <v>1330</v>
      </c>
      <c r="H1773" t="s">
        <v>898</v>
      </c>
      <c r="I1773" t="s">
        <v>3689</v>
      </c>
      <c r="J1773" t="s">
        <v>86</v>
      </c>
    </row>
    <row r="1774" spans="1:10" x14ac:dyDescent="0.25">
      <c r="A1774" s="43" t="s">
        <v>3687</v>
      </c>
      <c r="B1774" t="s">
        <v>505</v>
      </c>
      <c r="C1774" t="s">
        <v>1462</v>
      </c>
      <c r="D1774" t="s">
        <v>27</v>
      </c>
      <c r="G1774" t="s">
        <v>1290</v>
      </c>
      <c r="H1774" t="s">
        <v>898</v>
      </c>
      <c r="I1774" t="s">
        <v>1453</v>
      </c>
      <c r="J1774" t="s">
        <v>519</v>
      </c>
    </row>
    <row r="1775" spans="1:10" x14ac:dyDescent="0.25">
      <c r="A1775" s="43" t="s">
        <v>3059</v>
      </c>
      <c r="B1775" t="s">
        <v>505</v>
      </c>
      <c r="C1775" t="s">
        <v>1462</v>
      </c>
      <c r="D1775" t="s">
        <v>27</v>
      </c>
      <c r="G1775" t="s">
        <v>1218</v>
      </c>
      <c r="H1775" t="s">
        <v>898</v>
      </c>
      <c r="I1775" t="s">
        <v>3060</v>
      </c>
      <c r="J1775" t="s">
        <v>2252</v>
      </c>
    </row>
    <row r="1776" spans="1:10" x14ac:dyDescent="0.25">
      <c r="A1776" s="43" t="s">
        <v>3655</v>
      </c>
      <c r="B1776" t="s">
        <v>572</v>
      </c>
      <c r="C1776" t="s">
        <v>1210</v>
      </c>
      <c r="G1776" t="s">
        <v>1226</v>
      </c>
      <c r="H1776" t="s">
        <v>898</v>
      </c>
      <c r="I1776" t="s">
        <v>442</v>
      </c>
      <c r="J1776" t="s">
        <v>2302</v>
      </c>
    </row>
    <row r="1777" spans="1:10" x14ac:dyDescent="0.25">
      <c r="A1777" s="43" t="s">
        <v>3654</v>
      </c>
      <c r="B1777" t="s">
        <v>572</v>
      </c>
      <c r="C1777" t="s">
        <v>1210</v>
      </c>
      <c r="G1777" t="s">
        <v>8</v>
      </c>
      <c r="H1777" t="s">
        <v>898</v>
      </c>
      <c r="I1777" t="s">
        <v>442</v>
      </c>
      <c r="J1777" t="s">
        <v>2302</v>
      </c>
    </row>
    <row r="1778" spans="1:10" x14ac:dyDescent="0.25">
      <c r="A1778" s="43" t="s">
        <v>3653</v>
      </c>
      <c r="B1778" t="s">
        <v>572</v>
      </c>
      <c r="C1778" t="s">
        <v>1210</v>
      </c>
      <c r="G1778" t="s">
        <v>1290</v>
      </c>
      <c r="H1778" t="s">
        <v>898</v>
      </c>
      <c r="I1778" t="s">
        <v>442</v>
      </c>
      <c r="J1778" t="s">
        <v>2302</v>
      </c>
    </row>
    <row r="1779" spans="1:10" x14ac:dyDescent="0.25">
      <c r="A1779" s="43" t="s">
        <v>3652</v>
      </c>
      <c r="B1779" t="s">
        <v>572</v>
      </c>
      <c r="C1779" t="s">
        <v>1210</v>
      </c>
      <c r="G1779" t="s">
        <v>1295</v>
      </c>
      <c r="H1779" t="s">
        <v>898</v>
      </c>
      <c r="I1779" t="s">
        <v>1405</v>
      </c>
      <c r="J1779" t="s">
        <v>1922</v>
      </c>
    </row>
    <row r="1780" spans="1:10" x14ac:dyDescent="0.25">
      <c r="A1780" s="43" t="s">
        <v>3651</v>
      </c>
      <c r="B1780" t="s">
        <v>572</v>
      </c>
      <c r="C1780" t="s">
        <v>1210</v>
      </c>
      <c r="G1780" t="s">
        <v>1295</v>
      </c>
      <c r="H1780" t="s">
        <v>898</v>
      </c>
      <c r="I1780" t="s">
        <v>1405</v>
      </c>
      <c r="J1780" t="s">
        <v>1922</v>
      </c>
    </row>
    <row r="1781" spans="1:10" x14ac:dyDescent="0.25">
      <c r="A1781" s="43" t="s">
        <v>3650</v>
      </c>
      <c r="B1781" t="s">
        <v>572</v>
      </c>
      <c r="C1781" t="s">
        <v>1210</v>
      </c>
      <c r="G1781" t="s">
        <v>1283</v>
      </c>
      <c r="H1781" t="s">
        <v>898</v>
      </c>
      <c r="I1781" t="s">
        <v>3566</v>
      </c>
      <c r="J1781" t="s">
        <v>1922</v>
      </c>
    </row>
    <row r="1782" spans="1:10" x14ac:dyDescent="0.25">
      <c r="A1782" s="43" t="s">
        <v>3565</v>
      </c>
      <c r="B1782" t="s">
        <v>572</v>
      </c>
      <c r="C1782" t="s">
        <v>1210</v>
      </c>
      <c r="G1782" t="s">
        <v>1283</v>
      </c>
      <c r="H1782" t="s">
        <v>898</v>
      </c>
      <c r="I1782" t="s">
        <v>3566</v>
      </c>
      <c r="J1782" t="s">
        <v>1922</v>
      </c>
    </row>
    <row r="1783" spans="1:10" x14ac:dyDescent="0.25">
      <c r="A1783" s="43" t="s">
        <v>4295</v>
      </c>
      <c r="B1783" t="s">
        <v>572</v>
      </c>
      <c r="C1783" t="s">
        <v>1210</v>
      </c>
      <c r="G1783" t="s">
        <v>1224</v>
      </c>
      <c r="H1783" t="s">
        <v>1225</v>
      </c>
      <c r="I1783" t="s">
        <v>1406</v>
      </c>
      <c r="J1783" t="s">
        <v>1923</v>
      </c>
    </row>
    <row r="1784" spans="1:10" x14ac:dyDescent="0.25">
      <c r="A1784" s="43" t="s">
        <v>3564</v>
      </c>
      <c r="B1784" t="s">
        <v>572</v>
      </c>
      <c r="C1784" t="s">
        <v>1210</v>
      </c>
      <c r="G1784" t="s">
        <v>1224</v>
      </c>
      <c r="H1784" t="s">
        <v>1225</v>
      </c>
      <c r="I1784" t="s">
        <v>1406</v>
      </c>
      <c r="J1784" t="s">
        <v>1923</v>
      </c>
    </row>
    <row r="1785" spans="1:10" x14ac:dyDescent="0.25">
      <c r="A1785" s="43" t="s">
        <v>3563</v>
      </c>
      <c r="B1785" t="s">
        <v>572</v>
      </c>
      <c r="C1785" t="s">
        <v>1210</v>
      </c>
      <c r="G1785" t="s">
        <v>1218</v>
      </c>
      <c r="H1785" t="s">
        <v>898</v>
      </c>
      <c r="I1785" t="s">
        <v>1405</v>
      </c>
      <c r="J1785" t="s">
        <v>1922</v>
      </c>
    </row>
    <row r="1786" spans="1:10" x14ac:dyDescent="0.25">
      <c r="A1786" s="43" t="s">
        <v>2869</v>
      </c>
      <c r="B1786" t="s">
        <v>572</v>
      </c>
      <c r="C1786" t="s">
        <v>1210</v>
      </c>
      <c r="G1786" t="s">
        <v>1218</v>
      </c>
      <c r="H1786" t="s">
        <v>898</v>
      </c>
      <c r="I1786" t="s">
        <v>1405</v>
      </c>
      <c r="J1786" t="s">
        <v>1922</v>
      </c>
    </row>
    <row r="1787" spans="1:10" x14ac:dyDescent="0.25">
      <c r="A1787" s="43" t="s">
        <v>3058</v>
      </c>
      <c r="B1787" t="s">
        <v>592</v>
      </c>
      <c r="C1787" t="s">
        <v>1188</v>
      </c>
      <c r="D1787" t="s">
        <v>27</v>
      </c>
      <c r="G1787" t="s">
        <v>1295</v>
      </c>
      <c r="H1787" t="s">
        <v>898</v>
      </c>
      <c r="I1787" t="s">
        <v>1576</v>
      </c>
      <c r="J1787" t="s">
        <v>2058</v>
      </c>
    </row>
    <row r="1788" spans="1:10" x14ac:dyDescent="0.25">
      <c r="A1788" s="43" t="s">
        <v>3686</v>
      </c>
      <c r="B1788" t="s">
        <v>592</v>
      </c>
      <c r="C1788" t="s">
        <v>1188</v>
      </c>
      <c r="D1788" t="s">
        <v>27</v>
      </c>
      <c r="G1788" t="s">
        <v>1226</v>
      </c>
      <c r="I1788" t="s">
        <v>399</v>
      </c>
      <c r="J1788" t="s">
        <v>2242</v>
      </c>
    </row>
    <row r="1789" spans="1:10" x14ac:dyDescent="0.25">
      <c r="A1789" s="43" t="s">
        <v>3685</v>
      </c>
      <c r="B1789" t="s">
        <v>592</v>
      </c>
      <c r="C1789" t="s">
        <v>1188</v>
      </c>
      <c r="D1789" t="s">
        <v>27</v>
      </c>
      <c r="G1789" t="s">
        <v>1226</v>
      </c>
      <c r="H1789" t="s">
        <v>907</v>
      </c>
      <c r="I1789" t="s">
        <v>1384</v>
      </c>
      <c r="J1789" t="s">
        <v>1861</v>
      </c>
    </row>
    <row r="1790" spans="1:10" x14ac:dyDescent="0.25">
      <c r="A1790" s="43" t="s">
        <v>3684</v>
      </c>
      <c r="B1790" t="s">
        <v>592</v>
      </c>
      <c r="C1790" t="s">
        <v>1188</v>
      </c>
      <c r="D1790" t="s">
        <v>27</v>
      </c>
      <c r="G1790" t="s">
        <v>1225</v>
      </c>
      <c r="H1790" t="s">
        <v>1225</v>
      </c>
      <c r="I1790" t="s">
        <v>1384</v>
      </c>
      <c r="J1790" t="s">
        <v>1861</v>
      </c>
    </row>
    <row r="1791" spans="1:10" x14ac:dyDescent="0.25">
      <c r="A1791" s="43" t="s">
        <v>3683</v>
      </c>
      <c r="B1791" t="s">
        <v>592</v>
      </c>
      <c r="C1791" t="s">
        <v>1188</v>
      </c>
      <c r="D1791" t="s">
        <v>27</v>
      </c>
      <c r="G1791" t="s">
        <v>1283</v>
      </c>
      <c r="H1791" t="s">
        <v>907</v>
      </c>
      <c r="I1791" t="s">
        <v>1384</v>
      </c>
      <c r="J1791" t="s">
        <v>1861</v>
      </c>
    </row>
    <row r="1792" spans="1:10" x14ac:dyDescent="0.25">
      <c r="A1792" s="43" t="s">
        <v>3682</v>
      </c>
      <c r="B1792" t="s">
        <v>592</v>
      </c>
      <c r="C1792" t="s">
        <v>1188</v>
      </c>
      <c r="D1792" t="s">
        <v>27</v>
      </c>
      <c r="G1792" t="s">
        <v>1311</v>
      </c>
      <c r="H1792" t="s">
        <v>907</v>
      </c>
      <c r="I1792" t="s">
        <v>1384</v>
      </c>
      <c r="J1792" t="s">
        <v>1861</v>
      </c>
    </row>
    <row r="1793" spans="1:10" x14ac:dyDescent="0.25">
      <c r="A1793" s="43" t="s">
        <v>4067</v>
      </c>
      <c r="B1793" t="s">
        <v>592</v>
      </c>
      <c r="C1793" t="s">
        <v>1188</v>
      </c>
      <c r="D1793" t="s">
        <v>27</v>
      </c>
      <c r="G1793" t="s">
        <v>8</v>
      </c>
      <c r="H1793" t="s">
        <v>907</v>
      </c>
      <c r="I1793" t="s">
        <v>1384</v>
      </c>
      <c r="J1793" t="s">
        <v>1861</v>
      </c>
    </row>
    <row r="1794" spans="1:10" x14ac:dyDescent="0.25">
      <c r="A1794" s="43" t="s">
        <v>3681</v>
      </c>
      <c r="B1794" t="s">
        <v>592</v>
      </c>
      <c r="C1794" t="s">
        <v>1188</v>
      </c>
      <c r="D1794" t="s">
        <v>27</v>
      </c>
      <c r="G1794" t="s">
        <v>1328</v>
      </c>
      <c r="H1794" t="s">
        <v>907</v>
      </c>
      <c r="I1794" t="s">
        <v>1384</v>
      </c>
      <c r="J1794" t="s">
        <v>1861</v>
      </c>
    </row>
    <row r="1795" spans="1:10" x14ac:dyDescent="0.25">
      <c r="A1795" s="43" t="s">
        <v>3530</v>
      </c>
      <c r="B1795" t="s">
        <v>592</v>
      </c>
      <c r="C1795" t="s">
        <v>1188</v>
      </c>
      <c r="D1795" t="s">
        <v>27</v>
      </c>
      <c r="G1795" t="s">
        <v>1330</v>
      </c>
      <c r="H1795" t="s">
        <v>898</v>
      </c>
      <c r="I1795" t="s">
        <v>1384</v>
      </c>
      <c r="J1795" t="s">
        <v>1861</v>
      </c>
    </row>
    <row r="1796" spans="1:10" x14ac:dyDescent="0.25">
      <c r="A1796" s="43" t="s">
        <v>3529</v>
      </c>
      <c r="B1796" t="s">
        <v>592</v>
      </c>
      <c r="C1796" t="s">
        <v>1188</v>
      </c>
      <c r="D1796" t="s">
        <v>27</v>
      </c>
      <c r="G1796" t="s">
        <v>1290</v>
      </c>
      <c r="H1796" t="s">
        <v>898</v>
      </c>
      <c r="I1796" t="s">
        <v>1384</v>
      </c>
      <c r="J1796" t="s">
        <v>1861</v>
      </c>
    </row>
    <row r="1797" spans="1:10" x14ac:dyDescent="0.25">
      <c r="A1797" s="43" t="s">
        <v>3528</v>
      </c>
      <c r="B1797" t="s">
        <v>592</v>
      </c>
      <c r="C1797" t="s">
        <v>1188</v>
      </c>
      <c r="D1797" t="s">
        <v>27</v>
      </c>
      <c r="G1797" t="s">
        <v>1218</v>
      </c>
      <c r="H1797" t="s">
        <v>898</v>
      </c>
      <c r="I1797" t="s">
        <v>1384</v>
      </c>
      <c r="J1797" t="s">
        <v>1861</v>
      </c>
    </row>
    <row r="1798" spans="1:10" x14ac:dyDescent="0.25">
      <c r="A1798" s="43" t="s">
        <v>3526</v>
      </c>
      <c r="B1798" t="s">
        <v>592</v>
      </c>
      <c r="C1798" t="s">
        <v>1462</v>
      </c>
      <c r="D1798" t="s">
        <v>27</v>
      </c>
      <c r="G1798" t="s">
        <v>1330</v>
      </c>
      <c r="H1798" t="s">
        <v>898</v>
      </c>
      <c r="I1798" t="s">
        <v>3527</v>
      </c>
      <c r="J1798" t="s">
        <v>2241</v>
      </c>
    </row>
    <row r="1799" spans="1:10" x14ac:dyDescent="0.25">
      <c r="A1799" s="43" t="s">
        <v>3525</v>
      </c>
      <c r="B1799" t="s">
        <v>592</v>
      </c>
      <c r="C1799" t="s">
        <v>1462</v>
      </c>
      <c r="D1799" t="s">
        <v>27</v>
      </c>
      <c r="G1799" t="s">
        <v>1226</v>
      </c>
      <c r="H1799" t="s">
        <v>907</v>
      </c>
      <c r="I1799" t="s">
        <v>486</v>
      </c>
      <c r="J1799" t="s">
        <v>1861</v>
      </c>
    </row>
    <row r="1800" spans="1:10" x14ac:dyDescent="0.25">
      <c r="A1800" s="43" t="s">
        <v>3524</v>
      </c>
      <c r="B1800" t="s">
        <v>592</v>
      </c>
      <c r="C1800" t="s">
        <v>1462</v>
      </c>
      <c r="D1800" t="s">
        <v>27</v>
      </c>
      <c r="G1800" t="s">
        <v>1225</v>
      </c>
      <c r="H1800" t="s">
        <v>1225</v>
      </c>
      <c r="I1800" t="s">
        <v>3522</v>
      </c>
      <c r="J1800" t="s">
        <v>2244</v>
      </c>
    </row>
    <row r="1801" spans="1:10" x14ac:dyDescent="0.25">
      <c r="A1801" s="43" t="s">
        <v>3523</v>
      </c>
      <c r="B1801" t="s">
        <v>592</v>
      </c>
      <c r="C1801" t="s">
        <v>1462</v>
      </c>
      <c r="D1801" t="s">
        <v>27</v>
      </c>
      <c r="G1801" t="s">
        <v>1283</v>
      </c>
      <c r="H1801" t="s">
        <v>907</v>
      </c>
      <c r="I1801" t="s">
        <v>486</v>
      </c>
      <c r="J1801" t="s">
        <v>1861</v>
      </c>
    </row>
    <row r="1802" spans="1:10" x14ac:dyDescent="0.25">
      <c r="A1802" s="43" t="s">
        <v>3521</v>
      </c>
      <c r="B1802" t="s">
        <v>592</v>
      </c>
      <c r="C1802" t="s">
        <v>1462</v>
      </c>
      <c r="D1802" t="s">
        <v>27</v>
      </c>
      <c r="G1802" t="s">
        <v>1224</v>
      </c>
      <c r="H1802" t="s">
        <v>1225</v>
      </c>
      <c r="I1802" t="s">
        <v>3522</v>
      </c>
      <c r="J1802" t="s">
        <v>2244</v>
      </c>
    </row>
    <row r="1803" spans="1:10" x14ac:dyDescent="0.25">
      <c r="A1803" s="43" t="s">
        <v>3520</v>
      </c>
      <c r="B1803" t="s">
        <v>592</v>
      </c>
      <c r="C1803" t="s">
        <v>1462</v>
      </c>
      <c r="D1803" t="s">
        <v>27</v>
      </c>
      <c r="G1803" t="s">
        <v>8</v>
      </c>
      <c r="H1803" t="s">
        <v>907</v>
      </c>
      <c r="I1803" t="s">
        <v>1367</v>
      </c>
      <c r="J1803" t="s">
        <v>2242</v>
      </c>
    </row>
    <row r="1804" spans="1:10" x14ac:dyDescent="0.25">
      <c r="A1804" s="43" t="s">
        <v>3519</v>
      </c>
      <c r="B1804" t="s">
        <v>592</v>
      </c>
      <c r="C1804" t="s">
        <v>1462</v>
      </c>
      <c r="D1804" t="s">
        <v>27</v>
      </c>
      <c r="G1804" t="s">
        <v>1328</v>
      </c>
      <c r="H1804" t="s">
        <v>907</v>
      </c>
      <c r="I1804" t="s">
        <v>119</v>
      </c>
      <c r="J1804" t="s">
        <v>2058</v>
      </c>
    </row>
    <row r="1805" spans="1:10" x14ac:dyDescent="0.25">
      <c r="A1805" s="43" t="s">
        <v>3517</v>
      </c>
      <c r="B1805" t="s">
        <v>592</v>
      </c>
      <c r="C1805" t="s">
        <v>1462</v>
      </c>
      <c r="D1805" t="s">
        <v>27</v>
      </c>
      <c r="G1805" t="s">
        <v>1290</v>
      </c>
      <c r="H1805" t="s">
        <v>898</v>
      </c>
      <c r="I1805" t="s">
        <v>3518</v>
      </c>
      <c r="J1805" t="s">
        <v>1771</v>
      </c>
    </row>
    <row r="1806" spans="1:10" x14ac:dyDescent="0.25">
      <c r="A1806" s="43" t="s">
        <v>3515</v>
      </c>
      <c r="B1806" t="s">
        <v>592</v>
      </c>
      <c r="C1806" t="s">
        <v>1462</v>
      </c>
      <c r="D1806" t="s">
        <v>27</v>
      </c>
      <c r="G1806" t="s">
        <v>1218</v>
      </c>
      <c r="H1806" t="s">
        <v>898</v>
      </c>
      <c r="I1806" t="s">
        <v>3516</v>
      </c>
      <c r="J1806" t="s">
        <v>2240</v>
      </c>
    </row>
    <row r="1807" spans="1:10" x14ac:dyDescent="0.25">
      <c r="A1807" s="43" t="s">
        <v>3562</v>
      </c>
      <c r="B1807" t="s">
        <v>664</v>
      </c>
      <c r="C1807" t="s">
        <v>1210</v>
      </c>
      <c r="D1807" t="s">
        <v>1521</v>
      </c>
      <c r="G1807" t="s">
        <v>1226</v>
      </c>
      <c r="H1807" t="s">
        <v>907</v>
      </c>
      <c r="I1807" t="s">
        <v>901</v>
      </c>
      <c r="J1807" t="s">
        <v>2249</v>
      </c>
    </row>
    <row r="1808" spans="1:10" x14ac:dyDescent="0.25">
      <c r="A1808" s="43" t="s">
        <v>3561</v>
      </c>
      <c r="B1808" t="s">
        <v>664</v>
      </c>
      <c r="C1808" t="s">
        <v>1210</v>
      </c>
      <c r="D1808" t="s">
        <v>1521</v>
      </c>
      <c r="G1808" t="s">
        <v>1295</v>
      </c>
      <c r="H1808" t="s">
        <v>907</v>
      </c>
      <c r="I1808" t="s">
        <v>901</v>
      </c>
      <c r="J1808" t="s">
        <v>2249</v>
      </c>
    </row>
    <row r="1809" spans="1:10" x14ac:dyDescent="0.25">
      <c r="A1809" s="43" t="s">
        <v>4056</v>
      </c>
      <c r="B1809" t="s">
        <v>664</v>
      </c>
      <c r="C1809" t="s">
        <v>1210</v>
      </c>
      <c r="D1809" t="s">
        <v>1521</v>
      </c>
      <c r="G1809" t="s">
        <v>8</v>
      </c>
      <c r="H1809" t="s">
        <v>907</v>
      </c>
      <c r="I1809" t="s">
        <v>901</v>
      </c>
      <c r="J1809" t="s">
        <v>2249</v>
      </c>
    </row>
    <row r="1810" spans="1:10" x14ac:dyDescent="0.25">
      <c r="A1810" s="43" t="s">
        <v>3560</v>
      </c>
      <c r="B1810" t="s">
        <v>664</v>
      </c>
      <c r="C1810" t="s">
        <v>1210</v>
      </c>
      <c r="D1810" t="s">
        <v>1521</v>
      </c>
      <c r="G1810" t="s">
        <v>1328</v>
      </c>
      <c r="H1810" t="s">
        <v>907</v>
      </c>
      <c r="I1810" t="s">
        <v>901</v>
      </c>
      <c r="J1810" t="s">
        <v>2249</v>
      </c>
    </row>
    <row r="1811" spans="1:10" x14ac:dyDescent="0.25">
      <c r="A1811" s="43" t="s">
        <v>3559</v>
      </c>
      <c r="B1811" t="s">
        <v>664</v>
      </c>
      <c r="C1811" t="s">
        <v>1210</v>
      </c>
      <c r="D1811" t="s">
        <v>1521</v>
      </c>
      <c r="G1811" t="s">
        <v>1330</v>
      </c>
      <c r="H1811" t="s">
        <v>898</v>
      </c>
      <c r="I1811" t="s">
        <v>901</v>
      </c>
      <c r="J1811" t="s">
        <v>2249</v>
      </c>
    </row>
    <row r="1812" spans="1:10" x14ac:dyDescent="0.25">
      <c r="A1812" s="43" t="s">
        <v>4055</v>
      </c>
      <c r="B1812" t="s">
        <v>664</v>
      </c>
      <c r="C1812" t="s">
        <v>1210</v>
      </c>
      <c r="D1812" t="s">
        <v>1521</v>
      </c>
      <c r="G1812" t="s">
        <v>1290</v>
      </c>
      <c r="H1812" t="s">
        <v>898</v>
      </c>
      <c r="I1812" t="s">
        <v>901</v>
      </c>
      <c r="J1812" t="s">
        <v>2249</v>
      </c>
    </row>
    <row r="1813" spans="1:10" x14ac:dyDescent="0.25">
      <c r="A1813" s="43" t="s">
        <v>3558</v>
      </c>
      <c r="B1813" t="s">
        <v>664</v>
      </c>
      <c r="C1813" t="s">
        <v>1210</v>
      </c>
      <c r="D1813" t="s">
        <v>1521</v>
      </c>
      <c r="G1813" t="s">
        <v>1218</v>
      </c>
      <c r="H1813" t="s">
        <v>898</v>
      </c>
      <c r="I1813" t="s">
        <v>339</v>
      </c>
      <c r="J1813" t="s">
        <v>184</v>
      </c>
    </row>
    <row r="1814" spans="1:10" x14ac:dyDescent="0.25">
      <c r="A1814" s="43" t="s">
        <v>4054</v>
      </c>
      <c r="B1814" t="s">
        <v>664</v>
      </c>
      <c r="C1814" t="s">
        <v>1210</v>
      </c>
      <c r="D1814" t="s">
        <v>1521</v>
      </c>
      <c r="H1814" t="s">
        <v>907</v>
      </c>
      <c r="I1814" t="s">
        <v>901</v>
      </c>
      <c r="J1814" t="s">
        <v>2249</v>
      </c>
    </row>
    <row r="1815" spans="1:10" x14ac:dyDescent="0.25">
      <c r="A1815" s="43" t="s">
        <v>3555</v>
      </c>
      <c r="B1815" t="s">
        <v>664</v>
      </c>
      <c r="C1815" t="s">
        <v>1196</v>
      </c>
      <c r="D1815" t="s">
        <v>3556</v>
      </c>
      <c r="H1815" t="s">
        <v>907</v>
      </c>
      <c r="I1815" t="s">
        <v>697</v>
      </c>
      <c r="J1815" t="s">
        <v>3557</v>
      </c>
    </row>
    <row r="1816" spans="1:10" x14ac:dyDescent="0.25">
      <c r="A1816" s="43" t="s">
        <v>4066</v>
      </c>
      <c r="B1816" t="s">
        <v>678</v>
      </c>
      <c r="C1816" t="s">
        <v>1193</v>
      </c>
      <c r="D1816" t="s">
        <v>84</v>
      </c>
      <c r="G1816" t="s">
        <v>1283</v>
      </c>
      <c r="H1816" t="s">
        <v>898</v>
      </c>
      <c r="I1816" t="s">
        <v>825</v>
      </c>
      <c r="J1816" t="s">
        <v>3514</v>
      </c>
    </row>
    <row r="1817" spans="1:10" x14ac:dyDescent="0.25">
      <c r="A1817" s="43" t="s">
        <v>2873</v>
      </c>
      <c r="B1817" t="s">
        <v>678</v>
      </c>
      <c r="C1817" t="s">
        <v>1193</v>
      </c>
      <c r="D1817" t="s">
        <v>84</v>
      </c>
      <c r="G1817" t="s">
        <v>1224</v>
      </c>
      <c r="H1817" t="s">
        <v>1225</v>
      </c>
      <c r="I1817" t="s">
        <v>1282</v>
      </c>
      <c r="J1817" t="s">
        <v>1915</v>
      </c>
    </row>
    <row r="1818" spans="1:10" x14ac:dyDescent="0.25">
      <c r="A1818" s="43" t="s">
        <v>3513</v>
      </c>
      <c r="B1818" t="s">
        <v>678</v>
      </c>
      <c r="C1818" t="s">
        <v>1193</v>
      </c>
      <c r="D1818" t="s">
        <v>84</v>
      </c>
      <c r="G1818" t="s">
        <v>1218</v>
      </c>
      <c r="H1818" t="s">
        <v>898</v>
      </c>
      <c r="I1818" t="s">
        <v>363</v>
      </c>
      <c r="J1818" t="s">
        <v>3514</v>
      </c>
    </row>
    <row r="1819" spans="1:10" x14ac:dyDescent="0.25">
      <c r="A1819" s="43" t="s">
        <v>3511</v>
      </c>
      <c r="B1819" t="s">
        <v>678</v>
      </c>
      <c r="C1819" t="s">
        <v>1462</v>
      </c>
      <c r="D1819" t="s">
        <v>27</v>
      </c>
      <c r="G1819" t="s">
        <v>1225</v>
      </c>
      <c r="H1819" t="s">
        <v>1225</v>
      </c>
      <c r="I1819" t="s">
        <v>726</v>
      </c>
      <c r="J1819" t="s">
        <v>3512</v>
      </c>
    </row>
    <row r="1820" spans="1:10" x14ac:dyDescent="0.25">
      <c r="A1820" s="43" t="s">
        <v>3509</v>
      </c>
      <c r="B1820" t="s">
        <v>678</v>
      </c>
      <c r="C1820" t="s">
        <v>1462</v>
      </c>
      <c r="D1820" t="s">
        <v>27</v>
      </c>
      <c r="G1820" t="s">
        <v>1283</v>
      </c>
      <c r="H1820" t="s">
        <v>1225</v>
      </c>
      <c r="I1820" t="s">
        <v>77</v>
      </c>
      <c r="J1820" t="s">
        <v>3510</v>
      </c>
    </row>
    <row r="1821" spans="1:10" x14ac:dyDescent="0.25">
      <c r="A1821" s="43" t="s">
        <v>3507</v>
      </c>
      <c r="B1821" t="s">
        <v>678</v>
      </c>
      <c r="C1821" t="s">
        <v>1462</v>
      </c>
      <c r="D1821" t="s">
        <v>27</v>
      </c>
      <c r="G1821" t="s">
        <v>1224</v>
      </c>
      <c r="H1821" t="s">
        <v>1225</v>
      </c>
      <c r="I1821" t="s">
        <v>1434</v>
      </c>
      <c r="J1821" t="s">
        <v>3508</v>
      </c>
    </row>
    <row r="1822" spans="1:10" x14ac:dyDescent="0.25">
      <c r="A1822" s="43" t="s">
        <v>3679</v>
      </c>
      <c r="B1822" t="s">
        <v>678</v>
      </c>
      <c r="C1822" t="s">
        <v>1462</v>
      </c>
      <c r="D1822" t="s">
        <v>27</v>
      </c>
      <c r="G1822" t="s">
        <v>1330</v>
      </c>
      <c r="H1822" t="s">
        <v>898</v>
      </c>
      <c r="I1822" t="s">
        <v>1434</v>
      </c>
      <c r="J1822" t="s">
        <v>3680</v>
      </c>
    </row>
    <row r="1823" spans="1:10" x14ac:dyDescent="0.25">
      <c r="A1823" s="43" t="s">
        <v>3678</v>
      </c>
      <c r="B1823" t="s">
        <v>678</v>
      </c>
      <c r="C1823" t="s">
        <v>1462</v>
      </c>
      <c r="D1823" t="s">
        <v>27</v>
      </c>
      <c r="G1823" t="s">
        <v>1226</v>
      </c>
      <c r="H1823" t="s">
        <v>907</v>
      </c>
      <c r="I1823" t="s">
        <v>108</v>
      </c>
      <c r="J1823" t="s">
        <v>2310</v>
      </c>
    </row>
    <row r="1824" spans="1:10" x14ac:dyDescent="0.25">
      <c r="A1824" s="43" t="s">
        <v>3677</v>
      </c>
      <c r="B1824" t="s">
        <v>678</v>
      </c>
      <c r="C1824" t="s">
        <v>1462</v>
      </c>
      <c r="D1824" t="s">
        <v>27</v>
      </c>
      <c r="G1824" t="s">
        <v>1295</v>
      </c>
      <c r="I1824" t="s">
        <v>108</v>
      </c>
      <c r="J1824" t="s">
        <v>2310</v>
      </c>
    </row>
    <row r="1825" spans="1:10" x14ac:dyDescent="0.25">
      <c r="A1825" s="43" t="s">
        <v>3676</v>
      </c>
      <c r="B1825" t="s">
        <v>678</v>
      </c>
      <c r="C1825" t="s">
        <v>1462</v>
      </c>
      <c r="D1825" t="s">
        <v>27</v>
      </c>
      <c r="G1825" t="s">
        <v>8</v>
      </c>
      <c r="H1825" t="s">
        <v>907</v>
      </c>
      <c r="I1825" t="s">
        <v>108</v>
      </c>
      <c r="J1825" t="s">
        <v>2310</v>
      </c>
    </row>
    <row r="1826" spans="1:10" x14ac:dyDescent="0.25">
      <c r="A1826" s="43" t="s">
        <v>4064</v>
      </c>
      <c r="B1826" t="s">
        <v>678</v>
      </c>
      <c r="C1826" t="s">
        <v>1462</v>
      </c>
      <c r="D1826" t="s">
        <v>27</v>
      </c>
      <c r="G1826" t="s">
        <v>1328</v>
      </c>
      <c r="H1826" t="s">
        <v>898</v>
      </c>
      <c r="I1826" t="s">
        <v>501</v>
      </c>
      <c r="J1826" t="s">
        <v>4065</v>
      </c>
    </row>
    <row r="1827" spans="1:10" x14ac:dyDescent="0.25">
      <c r="A1827" s="43" t="s">
        <v>4063</v>
      </c>
      <c r="B1827" t="s">
        <v>678</v>
      </c>
      <c r="C1827" t="s">
        <v>1462</v>
      </c>
      <c r="D1827" t="s">
        <v>27</v>
      </c>
      <c r="G1827" t="s">
        <v>1218</v>
      </c>
      <c r="H1827" t="s">
        <v>907</v>
      </c>
      <c r="I1827" t="s">
        <v>123</v>
      </c>
      <c r="J1827" t="s">
        <v>2230</v>
      </c>
    </row>
    <row r="1828" spans="1:10" x14ac:dyDescent="0.25">
      <c r="A1828" s="43" t="s">
        <v>3554</v>
      </c>
      <c r="B1828" t="s">
        <v>905</v>
      </c>
      <c r="C1828" t="s">
        <v>1474</v>
      </c>
      <c r="D1828" t="s">
        <v>203</v>
      </c>
      <c r="G1828" t="s">
        <v>1226</v>
      </c>
      <c r="H1828" t="s">
        <v>898</v>
      </c>
      <c r="I1828" t="s">
        <v>491</v>
      </c>
      <c r="J1828" t="s">
        <v>903</v>
      </c>
    </row>
    <row r="1829" spans="1:10" x14ac:dyDescent="0.25">
      <c r="A1829" s="43" t="s">
        <v>3553</v>
      </c>
      <c r="B1829" t="s">
        <v>905</v>
      </c>
      <c r="C1829" t="s">
        <v>1474</v>
      </c>
      <c r="D1829" t="s">
        <v>203</v>
      </c>
      <c r="G1829" t="s">
        <v>1226</v>
      </c>
      <c r="H1829" t="s">
        <v>898</v>
      </c>
      <c r="I1829" t="s">
        <v>491</v>
      </c>
      <c r="J1829" t="s">
        <v>903</v>
      </c>
    </row>
    <row r="1830" spans="1:10" x14ac:dyDescent="0.25">
      <c r="A1830" s="43" t="s">
        <v>3552</v>
      </c>
      <c r="B1830" t="s">
        <v>905</v>
      </c>
      <c r="C1830" t="s">
        <v>1474</v>
      </c>
      <c r="D1830" t="s">
        <v>203</v>
      </c>
      <c r="G1830" t="s">
        <v>1295</v>
      </c>
      <c r="H1830" t="s">
        <v>898</v>
      </c>
      <c r="I1830" t="s">
        <v>491</v>
      </c>
      <c r="J1830" t="s">
        <v>903</v>
      </c>
    </row>
    <row r="1831" spans="1:10" x14ac:dyDescent="0.25">
      <c r="A1831" s="43" t="s">
        <v>3551</v>
      </c>
      <c r="B1831" t="s">
        <v>905</v>
      </c>
      <c r="C1831" t="s">
        <v>1474</v>
      </c>
      <c r="D1831" t="s">
        <v>203</v>
      </c>
      <c r="H1831" t="s">
        <v>898</v>
      </c>
      <c r="I1831" t="s">
        <v>491</v>
      </c>
      <c r="J1831" t="s">
        <v>903</v>
      </c>
    </row>
    <row r="1832" spans="1:10" x14ac:dyDescent="0.25">
      <c r="A1832" s="43" t="s">
        <v>4053</v>
      </c>
      <c r="B1832" t="s">
        <v>905</v>
      </c>
      <c r="C1832" t="s">
        <v>1474</v>
      </c>
      <c r="D1832" t="s">
        <v>203</v>
      </c>
      <c r="G1832" t="s">
        <v>8</v>
      </c>
      <c r="H1832" t="s">
        <v>898</v>
      </c>
      <c r="I1832" t="s">
        <v>491</v>
      </c>
      <c r="J1832" t="s">
        <v>903</v>
      </c>
    </row>
    <row r="1833" spans="1:10" x14ac:dyDescent="0.25">
      <c r="A1833" s="43" t="s">
        <v>3096</v>
      </c>
      <c r="B1833" t="s">
        <v>905</v>
      </c>
      <c r="C1833" t="s">
        <v>1474</v>
      </c>
      <c r="D1833" t="s">
        <v>203</v>
      </c>
      <c r="G1833" t="s">
        <v>1290</v>
      </c>
      <c r="H1833" t="s">
        <v>898</v>
      </c>
      <c r="I1833" t="s">
        <v>491</v>
      </c>
      <c r="J1833" t="s">
        <v>903</v>
      </c>
    </row>
    <row r="1834" spans="1:10" x14ac:dyDescent="0.25">
      <c r="A1834" s="43" t="s">
        <v>4334</v>
      </c>
      <c r="B1834" t="s">
        <v>905</v>
      </c>
      <c r="C1834" t="s">
        <v>1474</v>
      </c>
      <c r="D1834" t="s">
        <v>203</v>
      </c>
      <c r="G1834" t="s">
        <v>1218</v>
      </c>
      <c r="H1834" t="s">
        <v>898</v>
      </c>
      <c r="I1834" t="s">
        <v>491</v>
      </c>
      <c r="J1834" t="s">
        <v>903</v>
      </c>
    </row>
    <row r="1835" spans="1:10" x14ac:dyDescent="0.25">
      <c r="A1835" s="43" t="s">
        <v>3550</v>
      </c>
      <c r="B1835" t="s">
        <v>905</v>
      </c>
      <c r="C1835" t="s">
        <v>1474</v>
      </c>
      <c r="D1835" t="s">
        <v>203</v>
      </c>
      <c r="G1835" t="s">
        <v>1226</v>
      </c>
      <c r="H1835" t="s">
        <v>898</v>
      </c>
      <c r="I1835" t="s">
        <v>491</v>
      </c>
      <c r="J1835" t="s">
        <v>903</v>
      </c>
    </row>
    <row r="1836" spans="1:10" x14ac:dyDescent="0.25">
      <c r="A1836" s="43" t="s">
        <v>2867</v>
      </c>
      <c r="B1836" t="s">
        <v>905</v>
      </c>
      <c r="C1836" t="s">
        <v>2868</v>
      </c>
      <c r="H1836" t="s">
        <v>907</v>
      </c>
    </row>
    <row r="1837" spans="1:10" x14ac:dyDescent="0.25">
      <c r="A1837" s="43" t="s">
        <v>943</v>
      </c>
      <c r="B1837" t="s">
        <v>910</v>
      </c>
      <c r="C1837" t="s">
        <v>1194</v>
      </c>
      <c r="G1837" t="s">
        <v>1224</v>
      </c>
      <c r="H1837" t="s">
        <v>1225</v>
      </c>
      <c r="I1837" t="s">
        <v>1260</v>
      </c>
      <c r="J1837" t="s">
        <v>1906</v>
      </c>
    </row>
    <row r="1838" spans="1:10" x14ac:dyDescent="0.25">
      <c r="A1838" s="43" t="s">
        <v>975</v>
      </c>
      <c r="B1838" t="s">
        <v>910</v>
      </c>
      <c r="C1838" t="s">
        <v>1194</v>
      </c>
      <c r="G1838" t="s">
        <v>1224</v>
      </c>
      <c r="H1838" t="s">
        <v>1225</v>
      </c>
      <c r="I1838" t="s">
        <v>1260</v>
      </c>
      <c r="J1838" t="s">
        <v>1906</v>
      </c>
    </row>
    <row r="1839" spans="1:10" x14ac:dyDescent="0.25">
      <c r="A1839" s="43" t="s">
        <v>3095</v>
      </c>
      <c r="B1839" t="s">
        <v>815</v>
      </c>
      <c r="C1839" t="s">
        <v>1196</v>
      </c>
      <c r="D1839" t="s">
        <v>592</v>
      </c>
      <c r="G1839" t="s">
        <v>1226</v>
      </c>
      <c r="H1839" t="s">
        <v>907</v>
      </c>
      <c r="I1839" t="s">
        <v>1531</v>
      </c>
      <c r="J1839" t="s">
        <v>2082</v>
      </c>
    </row>
    <row r="1840" spans="1:10" x14ac:dyDescent="0.25">
      <c r="A1840" s="43" t="s">
        <v>3549</v>
      </c>
      <c r="B1840" t="s">
        <v>815</v>
      </c>
      <c r="C1840" t="s">
        <v>1196</v>
      </c>
      <c r="D1840" t="s">
        <v>592</v>
      </c>
      <c r="G1840" t="s">
        <v>1295</v>
      </c>
      <c r="H1840" t="s">
        <v>898</v>
      </c>
      <c r="I1840" t="s">
        <v>1476</v>
      </c>
      <c r="J1840" t="s">
        <v>2082</v>
      </c>
    </row>
    <row r="1841" spans="1:10" x14ac:dyDescent="0.25">
      <c r="A1841" s="43" t="s">
        <v>1084</v>
      </c>
      <c r="B1841" t="s">
        <v>815</v>
      </c>
      <c r="C1841" t="s">
        <v>1196</v>
      </c>
      <c r="D1841" t="s">
        <v>592</v>
      </c>
      <c r="G1841" t="s">
        <v>1225</v>
      </c>
      <c r="H1841" t="s">
        <v>1225</v>
      </c>
      <c r="I1841" t="s">
        <v>1531</v>
      </c>
      <c r="J1841" t="s">
        <v>2082</v>
      </c>
    </row>
    <row r="1842" spans="1:10" x14ac:dyDescent="0.25">
      <c r="A1842" s="43" t="s">
        <v>1089</v>
      </c>
      <c r="B1842" t="s">
        <v>815</v>
      </c>
      <c r="C1842" t="s">
        <v>1196</v>
      </c>
      <c r="D1842" t="s">
        <v>592</v>
      </c>
      <c r="G1842" t="s">
        <v>1283</v>
      </c>
      <c r="H1842" t="s">
        <v>907</v>
      </c>
      <c r="I1842" t="s">
        <v>1531</v>
      </c>
      <c r="J1842" t="s">
        <v>2082</v>
      </c>
    </row>
    <row r="1843" spans="1:10" x14ac:dyDescent="0.25">
      <c r="A1843" s="43" t="s">
        <v>4366</v>
      </c>
      <c r="B1843" t="s">
        <v>815</v>
      </c>
      <c r="C1843" t="s">
        <v>1196</v>
      </c>
      <c r="D1843" t="s">
        <v>592</v>
      </c>
      <c r="G1843" t="s">
        <v>1224</v>
      </c>
      <c r="H1843" t="s">
        <v>1225</v>
      </c>
      <c r="I1843" t="s">
        <v>1531</v>
      </c>
      <c r="J1843" t="s">
        <v>2082</v>
      </c>
    </row>
    <row r="1844" spans="1:10" x14ac:dyDescent="0.25">
      <c r="A1844" s="43" t="s">
        <v>3649</v>
      </c>
      <c r="B1844" t="s">
        <v>815</v>
      </c>
      <c r="C1844" t="s">
        <v>1196</v>
      </c>
      <c r="D1844" t="s">
        <v>592</v>
      </c>
      <c r="G1844" t="s">
        <v>8</v>
      </c>
      <c r="H1844" t="s">
        <v>907</v>
      </c>
      <c r="I1844" t="s">
        <v>1531</v>
      </c>
      <c r="J1844" t="s">
        <v>2082</v>
      </c>
    </row>
    <row r="1845" spans="1:10" x14ac:dyDescent="0.25">
      <c r="A1845" s="43" t="s">
        <v>3094</v>
      </c>
      <c r="B1845" t="s">
        <v>815</v>
      </c>
      <c r="C1845" t="s">
        <v>1196</v>
      </c>
      <c r="D1845" t="s">
        <v>592</v>
      </c>
      <c r="G1845" t="s">
        <v>1328</v>
      </c>
      <c r="H1845" t="s">
        <v>907</v>
      </c>
      <c r="I1845" t="s">
        <v>1531</v>
      </c>
      <c r="J1845" t="s">
        <v>2082</v>
      </c>
    </row>
    <row r="1846" spans="1:10" x14ac:dyDescent="0.25">
      <c r="A1846" s="43" t="s">
        <v>3648</v>
      </c>
      <c r="B1846" t="s">
        <v>815</v>
      </c>
      <c r="C1846" t="s">
        <v>1196</v>
      </c>
      <c r="D1846" t="s">
        <v>592</v>
      </c>
      <c r="G1846" t="s">
        <v>1479</v>
      </c>
      <c r="H1846" t="s">
        <v>1479</v>
      </c>
      <c r="I1846" t="s">
        <v>1531</v>
      </c>
      <c r="J1846" t="s">
        <v>2082</v>
      </c>
    </row>
    <row r="1847" spans="1:10" x14ac:dyDescent="0.25">
      <c r="A1847" s="43" t="s">
        <v>3647</v>
      </c>
      <c r="B1847" t="s">
        <v>815</v>
      </c>
      <c r="C1847" t="s">
        <v>1196</v>
      </c>
      <c r="D1847" t="s">
        <v>592</v>
      </c>
      <c r="G1847" t="s">
        <v>1330</v>
      </c>
      <c r="H1847" t="s">
        <v>898</v>
      </c>
      <c r="I1847" t="s">
        <v>1531</v>
      </c>
      <c r="J1847" t="s">
        <v>2082</v>
      </c>
    </row>
    <row r="1848" spans="1:10" x14ac:dyDescent="0.25">
      <c r="A1848" s="43" t="s">
        <v>3646</v>
      </c>
      <c r="B1848" t="s">
        <v>815</v>
      </c>
      <c r="C1848" t="s">
        <v>1196</v>
      </c>
      <c r="D1848" t="s">
        <v>592</v>
      </c>
      <c r="G1848" t="s">
        <v>1290</v>
      </c>
      <c r="H1848" t="s">
        <v>898</v>
      </c>
      <c r="I1848" t="s">
        <v>1531</v>
      </c>
      <c r="J1848" t="s">
        <v>2082</v>
      </c>
    </row>
    <row r="1849" spans="1:10" x14ac:dyDescent="0.25">
      <c r="A1849" s="43" t="s">
        <v>2797</v>
      </c>
      <c r="B1849" t="s">
        <v>815</v>
      </c>
      <c r="C1849" t="s">
        <v>1196</v>
      </c>
      <c r="D1849" t="s">
        <v>592</v>
      </c>
      <c r="G1849" t="s">
        <v>1218</v>
      </c>
      <c r="H1849" t="s">
        <v>898</v>
      </c>
      <c r="I1849" t="s">
        <v>1531</v>
      </c>
      <c r="J1849" t="s">
        <v>2082</v>
      </c>
    </row>
    <row r="1850" spans="1:10" x14ac:dyDescent="0.25">
      <c r="A1850" s="43" t="s">
        <v>2866</v>
      </c>
      <c r="B1850" t="s">
        <v>815</v>
      </c>
      <c r="C1850" t="s">
        <v>1196</v>
      </c>
      <c r="D1850" t="s">
        <v>592</v>
      </c>
      <c r="H1850" t="s">
        <v>907</v>
      </c>
      <c r="I1850" t="s">
        <v>1531</v>
      </c>
      <c r="J1850" t="s">
        <v>2082</v>
      </c>
    </row>
    <row r="1851" spans="1:10" x14ac:dyDescent="0.25">
      <c r="A1851" s="43" t="s">
        <v>2872</v>
      </c>
      <c r="B1851" t="s">
        <v>822</v>
      </c>
      <c r="C1851" t="s">
        <v>1188</v>
      </c>
      <c r="D1851" t="s">
        <v>15</v>
      </c>
      <c r="G1851" t="s">
        <v>1218</v>
      </c>
      <c r="H1851" t="s">
        <v>907</v>
      </c>
      <c r="I1851" t="s">
        <v>105</v>
      </c>
      <c r="J1851" t="s">
        <v>2107</v>
      </c>
    </row>
    <row r="1852" spans="1:10" x14ac:dyDescent="0.25">
      <c r="A1852" s="43" t="s">
        <v>3675</v>
      </c>
      <c r="B1852" t="s">
        <v>822</v>
      </c>
      <c r="C1852" t="s">
        <v>1188</v>
      </c>
      <c r="D1852" t="s">
        <v>15</v>
      </c>
      <c r="G1852" t="s">
        <v>1226</v>
      </c>
      <c r="H1852" t="s">
        <v>907</v>
      </c>
      <c r="I1852" t="s">
        <v>64</v>
      </c>
      <c r="J1852" t="s">
        <v>2195</v>
      </c>
    </row>
    <row r="1853" spans="1:10" x14ac:dyDescent="0.25">
      <c r="A1853" s="43" t="s">
        <v>2871</v>
      </c>
      <c r="B1853" t="s">
        <v>822</v>
      </c>
      <c r="C1853" t="s">
        <v>1188</v>
      </c>
      <c r="D1853" t="s">
        <v>15</v>
      </c>
      <c r="G1853" t="s">
        <v>1225</v>
      </c>
      <c r="H1853" t="s">
        <v>1225</v>
      </c>
      <c r="I1853" t="s">
        <v>23</v>
      </c>
      <c r="J1853" t="s">
        <v>2079</v>
      </c>
    </row>
    <row r="1854" spans="1:10" x14ac:dyDescent="0.25">
      <c r="A1854" s="43" t="s">
        <v>4062</v>
      </c>
      <c r="B1854" t="s">
        <v>822</v>
      </c>
      <c r="C1854" t="s">
        <v>1188</v>
      </c>
      <c r="D1854" t="s">
        <v>15</v>
      </c>
      <c r="G1854" t="s">
        <v>1224</v>
      </c>
      <c r="H1854" t="s">
        <v>1225</v>
      </c>
      <c r="I1854" t="s">
        <v>23</v>
      </c>
      <c r="J1854" t="s">
        <v>2079</v>
      </c>
    </row>
    <row r="1855" spans="1:10" x14ac:dyDescent="0.25">
      <c r="A1855" s="43" t="s">
        <v>2870</v>
      </c>
      <c r="B1855" t="s">
        <v>822</v>
      </c>
      <c r="C1855" t="s">
        <v>1188</v>
      </c>
      <c r="D1855" t="s">
        <v>15</v>
      </c>
      <c r="G1855" t="s">
        <v>8</v>
      </c>
      <c r="H1855" t="s">
        <v>907</v>
      </c>
      <c r="I1855" t="s">
        <v>549</v>
      </c>
      <c r="J1855" t="s">
        <v>1761</v>
      </c>
    </row>
    <row r="1856" spans="1:10" x14ac:dyDescent="0.25">
      <c r="A1856" s="43" t="s">
        <v>3674</v>
      </c>
      <c r="B1856" t="s">
        <v>822</v>
      </c>
      <c r="C1856" t="s">
        <v>1188</v>
      </c>
      <c r="D1856" t="s">
        <v>15</v>
      </c>
      <c r="G1856" t="s">
        <v>1290</v>
      </c>
      <c r="H1856" t="s">
        <v>898</v>
      </c>
      <c r="I1856" t="s">
        <v>612</v>
      </c>
      <c r="J1856" t="s">
        <v>2063</v>
      </c>
    </row>
    <row r="1857" spans="1:10" x14ac:dyDescent="0.25">
      <c r="A1857" s="43" t="s">
        <v>3673</v>
      </c>
      <c r="B1857" t="s">
        <v>822</v>
      </c>
      <c r="C1857" t="s">
        <v>1462</v>
      </c>
      <c r="D1857" t="s">
        <v>15</v>
      </c>
      <c r="G1857" t="s">
        <v>1295</v>
      </c>
      <c r="H1857" t="s">
        <v>907</v>
      </c>
      <c r="I1857" t="s">
        <v>77</v>
      </c>
      <c r="J1857" t="s">
        <v>2196</v>
      </c>
    </row>
    <row r="1858" spans="1:10" x14ac:dyDescent="0.25">
      <c r="A1858" s="43" t="s">
        <v>3672</v>
      </c>
      <c r="B1858" t="s">
        <v>822</v>
      </c>
      <c r="C1858" t="s">
        <v>1462</v>
      </c>
      <c r="D1858" t="s">
        <v>15</v>
      </c>
      <c r="G1858" t="s">
        <v>1283</v>
      </c>
      <c r="H1858" t="s">
        <v>907</v>
      </c>
      <c r="I1858" t="s">
        <v>555</v>
      </c>
      <c r="J1858" t="s">
        <v>2152</v>
      </c>
    </row>
    <row r="1859" spans="1:10" x14ac:dyDescent="0.25">
      <c r="A1859" s="43" t="s">
        <v>4061</v>
      </c>
      <c r="B1859" t="s">
        <v>822</v>
      </c>
      <c r="C1859" t="s">
        <v>1462</v>
      </c>
      <c r="D1859" t="s">
        <v>15</v>
      </c>
      <c r="G1859" t="s">
        <v>1226</v>
      </c>
      <c r="H1859" t="s">
        <v>907</v>
      </c>
      <c r="I1859" t="s">
        <v>105</v>
      </c>
      <c r="J1859" t="s">
        <v>2079</v>
      </c>
    </row>
    <row r="1860" spans="1:10" x14ac:dyDescent="0.25">
      <c r="A1860" s="43" t="s">
        <v>3671</v>
      </c>
      <c r="B1860" t="s">
        <v>822</v>
      </c>
      <c r="C1860" t="s">
        <v>1462</v>
      </c>
      <c r="D1860" t="s">
        <v>15</v>
      </c>
      <c r="G1860" t="s">
        <v>1225</v>
      </c>
      <c r="H1860" t="s">
        <v>1225</v>
      </c>
      <c r="I1860" t="s">
        <v>726</v>
      </c>
      <c r="J1860" t="s">
        <v>2079</v>
      </c>
    </row>
    <row r="1861" spans="1:10" x14ac:dyDescent="0.25">
      <c r="A1861" s="43" t="s">
        <v>3670</v>
      </c>
      <c r="B1861" t="s">
        <v>822</v>
      </c>
      <c r="C1861" t="s">
        <v>1462</v>
      </c>
      <c r="D1861" t="s">
        <v>15</v>
      </c>
      <c r="G1861" t="s">
        <v>1224</v>
      </c>
      <c r="H1861" t="s">
        <v>1225</v>
      </c>
      <c r="I1861" t="s">
        <v>726</v>
      </c>
      <c r="J1861" t="s">
        <v>2079</v>
      </c>
    </row>
    <row r="1862" spans="1:10" x14ac:dyDescent="0.25">
      <c r="A1862" s="43" t="s">
        <v>3669</v>
      </c>
      <c r="B1862" t="s">
        <v>822</v>
      </c>
      <c r="C1862" t="s">
        <v>1462</v>
      </c>
      <c r="D1862" t="s">
        <v>15</v>
      </c>
      <c r="G1862" t="s">
        <v>1311</v>
      </c>
      <c r="H1862" t="s">
        <v>907</v>
      </c>
      <c r="I1862" t="s">
        <v>108</v>
      </c>
      <c r="J1862" t="s">
        <v>2079</v>
      </c>
    </row>
    <row r="1863" spans="1:10" x14ac:dyDescent="0.25">
      <c r="A1863" s="43" t="s">
        <v>4297</v>
      </c>
      <c r="B1863" t="s">
        <v>822</v>
      </c>
      <c r="C1863" t="s">
        <v>1462</v>
      </c>
      <c r="D1863" t="s">
        <v>15</v>
      </c>
      <c r="G1863" t="s">
        <v>8</v>
      </c>
      <c r="H1863" t="s">
        <v>907</v>
      </c>
      <c r="I1863" t="s">
        <v>108</v>
      </c>
      <c r="J1863" t="s">
        <v>2079</v>
      </c>
    </row>
    <row r="1864" spans="1:10" x14ac:dyDescent="0.25">
      <c r="A1864" s="43" t="s">
        <v>3668</v>
      </c>
      <c r="B1864" t="s">
        <v>822</v>
      </c>
      <c r="C1864" t="s">
        <v>1462</v>
      </c>
      <c r="D1864" t="s">
        <v>15</v>
      </c>
      <c r="G1864" t="s">
        <v>1330</v>
      </c>
      <c r="H1864" t="s">
        <v>898</v>
      </c>
      <c r="I1864" t="s">
        <v>1434</v>
      </c>
      <c r="J1864" t="s">
        <v>2079</v>
      </c>
    </row>
    <row r="1865" spans="1:10" x14ac:dyDescent="0.25">
      <c r="A1865" s="43" t="s">
        <v>3667</v>
      </c>
      <c r="B1865" t="s">
        <v>822</v>
      </c>
      <c r="C1865" t="s">
        <v>1462</v>
      </c>
      <c r="D1865" t="s">
        <v>15</v>
      </c>
      <c r="G1865" t="s">
        <v>1290</v>
      </c>
      <c r="H1865" t="s">
        <v>898</v>
      </c>
      <c r="I1865" t="s">
        <v>123</v>
      </c>
      <c r="J1865" t="s">
        <v>2079</v>
      </c>
    </row>
    <row r="1866" spans="1:10" x14ac:dyDescent="0.25">
      <c r="A1866" s="43" t="s">
        <v>3666</v>
      </c>
      <c r="B1866" t="s">
        <v>822</v>
      </c>
      <c r="C1866" t="s">
        <v>1462</v>
      </c>
      <c r="D1866" t="s">
        <v>15</v>
      </c>
      <c r="G1866" t="s">
        <v>1218</v>
      </c>
      <c r="H1866" t="s">
        <v>898</v>
      </c>
      <c r="I1866" t="s">
        <v>123</v>
      </c>
      <c r="J1866" t="s">
        <v>2079</v>
      </c>
    </row>
    <row r="1867" spans="1:10" x14ac:dyDescent="0.25">
      <c r="A1867" s="43" t="s">
        <v>3753</v>
      </c>
      <c r="B1867" t="s">
        <v>856</v>
      </c>
      <c r="C1867" t="s">
        <v>1177</v>
      </c>
      <c r="G1867" t="s">
        <v>1283</v>
      </c>
      <c r="H1867" t="s">
        <v>898</v>
      </c>
      <c r="I1867" t="s">
        <v>1316</v>
      </c>
      <c r="J1867" t="s">
        <v>2130</v>
      </c>
    </row>
    <row r="1868" spans="1:10" x14ac:dyDescent="0.25">
      <c r="A1868" s="43" t="s">
        <v>3752</v>
      </c>
      <c r="B1868" t="s">
        <v>856</v>
      </c>
      <c r="C1868" t="s">
        <v>1177</v>
      </c>
      <c r="G1868" t="s">
        <v>1218</v>
      </c>
      <c r="H1868" t="s">
        <v>898</v>
      </c>
      <c r="I1868" t="s">
        <v>1419</v>
      </c>
      <c r="J1868" t="s">
        <v>2127</v>
      </c>
    </row>
    <row r="1869" spans="1:10" x14ac:dyDescent="0.25">
      <c r="A1869" s="43" t="s">
        <v>3751</v>
      </c>
      <c r="B1869" t="s">
        <v>856</v>
      </c>
      <c r="C1869" t="s">
        <v>1177</v>
      </c>
      <c r="G1869" t="s">
        <v>1218</v>
      </c>
      <c r="H1869" t="s">
        <v>898</v>
      </c>
      <c r="I1869" t="s">
        <v>1419</v>
      </c>
      <c r="J1869" t="s">
        <v>2127</v>
      </c>
    </row>
    <row r="1870" spans="1:10" x14ac:dyDescent="0.25">
      <c r="A1870" s="43" t="s">
        <v>3750</v>
      </c>
      <c r="B1870" t="s">
        <v>856</v>
      </c>
      <c r="C1870" t="s">
        <v>1177</v>
      </c>
      <c r="G1870" t="s">
        <v>1330</v>
      </c>
      <c r="H1870" t="s">
        <v>898</v>
      </c>
      <c r="I1870" t="s">
        <v>1254</v>
      </c>
      <c r="J1870" t="s">
        <v>1750</v>
      </c>
    </row>
    <row r="1871" spans="1:10" x14ac:dyDescent="0.25">
      <c r="A1871" s="43" t="s">
        <v>3074</v>
      </c>
      <c r="B1871" t="s">
        <v>856</v>
      </c>
      <c r="C1871" t="s">
        <v>1177</v>
      </c>
      <c r="G1871" t="s">
        <v>1295</v>
      </c>
      <c r="H1871" t="s">
        <v>898</v>
      </c>
      <c r="I1871" t="s">
        <v>265</v>
      </c>
      <c r="J1871" t="s">
        <v>2003</v>
      </c>
    </row>
    <row r="1872" spans="1:10" x14ac:dyDescent="0.25">
      <c r="A1872" s="43" t="s">
        <v>3749</v>
      </c>
      <c r="B1872" t="s">
        <v>856</v>
      </c>
      <c r="C1872" t="s">
        <v>1177</v>
      </c>
      <c r="G1872" t="s">
        <v>1283</v>
      </c>
      <c r="H1872" t="s">
        <v>898</v>
      </c>
      <c r="I1872" t="s">
        <v>265</v>
      </c>
      <c r="J1872" t="s">
        <v>2003</v>
      </c>
    </row>
    <row r="1873" spans="1:10" x14ac:dyDescent="0.25">
      <c r="A1873" s="43" t="s">
        <v>3748</v>
      </c>
      <c r="B1873" t="s">
        <v>856</v>
      </c>
      <c r="C1873" t="s">
        <v>1177</v>
      </c>
      <c r="G1873" t="s">
        <v>1330</v>
      </c>
      <c r="H1873" t="s">
        <v>898</v>
      </c>
      <c r="I1873" t="s">
        <v>265</v>
      </c>
      <c r="J1873" t="s">
        <v>2003</v>
      </c>
    </row>
    <row r="1874" spans="1:10" x14ac:dyDescent="0.25">
      <c r="A1874" s="43" t="s">
        <v>3747</v>
      </c>
      <c r="B1874" t="s">
        <v>856</v>
      </c>
      <c r="C1874" t="s">
        <v>1177</v>
      </c>
      <c r="G1874" t="s">
        <v>1218</v>
      </c>
      <c r="H1874" t="s">
        <v>898</v>
      </c>
      <c r="I1874" t="s">
        <v>265</v>
      </c>
      <c r="J1874" t="s">
        <v>2003</v>
      </c>
    </row>
    <row r="1875" spans="1:10" x14ac:dyDescent="0.25">
      <c r="A1875" s="43" t="s">
        <v>3746</v>
      </c>
      <c r="B1875" t="s">
        <v>856</v>
      </c>
      <c r="C1875" t="s">
        <v>1177</v>
      </c>
      <c r="G1875" t="s">
        <v>1218</v>
      </c>
      <c r="H1875" t="s">
        <v>898</v>
      </c>
      <c r="I1875" t="s">
        <v>265</v>
      </c>
      <c r="J1875" t="s">
        <v>2003</v>
      </c>
    </row>
    <row r="1876" spans="1:10" x14ac:dyDescent="0.25">
      <c r="A1876" s="43" t="s">
        <v>3455</v>
      </c>
      <c r="B1876" t="s">
        <v>856</v>
      </c>
      <c r="C1876" t="s">
        <v>1463</v>
      </c>
      <c r="G1876" t="s">
        <v>1295</v>
      </c>
      <c r="H1876" t="s">
        <v>898</v>
      </c>
      <c r="I1876" t="s">
        <v>388</v>
      </c>
      <c r="J1876" t="s">
        <v>2061</v>
      </c>
    </row>
    <row r="1877" spans="1:10" x14ac:dyDescent="0.25">
      <c r="A1877" s="43" t="s">
        <v>3454</v>
      </c>
      <c r="B1877" t="s">
        <v>856</v>
      </c>
      <c r="C1877" t="s">
        <v>1463</v>
      </c>
      <c r="G1877" t="s">
        <v>1283</v>
      </c>
      <c r="H1877" t="s">
        <v>898</v>
      </c>
      <c r="I1877" t="s">
        <v>388</v>
      </c>
      <c r="J1877" t="s">
        <v>2061</v>
      </c>
    </row>
    <row r="1878" spans="1:10" x14ac:dyDescent="0.25">
      <c r="A1878" s="43" t="s">
        <v>3453</v>
      </c>
      <c r="B1878" t="s">
        <v>856</v>
      </c>
      <c r="C1878" t="s">
        <v>1463</v>
      </c>
      <c r="G1878" t="s">
        <v>1330</v>
      </c>
      <c r="H1878" t="s">
        <v>898</v>
      </c>
      <c r="I1878" t="s">
        <v>388</v>
      </c>
      <c r="J1878" t="s">
        <v>2061</v>
      </c>
    </row>
    <row r="1879" spans="1:10" x14ac:dyDescent="0.25">
      <c r="A1879" s="43" t="s">
        <v>3452</v>
      </c>
      <c r="B1879" t="s">
        <v>856</v>
      </c>
      <c r="C1879" t="s">
        <v>1463</v>
      </c>
      <c r="G1879" t="s">
        <v>1218</v>
      </c>
      <c r="H1879" t="s">
        <v>898</v>
      </c>
      <c r="I1879" t="s">
        <v>388</v>
      </c>
      <c r="J1879" t="s">
        <v>2061</v>
      </c>
    </row>
    <row r="1880" spans="1:10" x14ac:dyDescent="0.25">
      <c r="A1880" s="43" t="s">
        <v>3451</v>
      </c>
      <c r="B1880" t="s">
        <v>856</v>
      </c>
      <c r="C1880" t="s">
        <v>1194</v>
      </c>
      <c r="G1880" t="s">
        <v>1226</v>
      </c>
      <c r="H1880" t="s">
        <v>898</v>
      </c>
      <c r="I1880" t="s">
        <v>37</v>
      </c>
      <c r="J1880" t="s">
        <v>2014</v>
      </c>
    </row>
    <row r="1881" spans="1:10" x14ac:dyDescent="0.25">
      <c r="A1881" s="43" t="s">
        <v>3450</v>
      </c>
      <c r="B1881" t="s">
        <v>856</v>
      </c>
      <c r="C1881" t="s">
        <v>1194</v>
      </c>
      <c r="G1881" t="s">
        <v>1224</v>
      </c>
      <c r="H1881" t="s">
        <v>1225</v>
      </c>
      <c r="I1881" t="s">
        <v>330</v>
      </c>
      <c r="J1881" t="s">
        <v>239</v>
      </c>
    </row>
    <row r="1882" spans="1:10" x14ac:dyDescent="0.25">
      <c r="A1882" s="43" t="s">
        <v>3449</v>
      </c>
      <c r="B1882" t="s">
        <v>856</v>
      </c>
      <c r="C1882" t="s">
        <v>1194</v>
      </c>
      <c r="G1882" t="s">
        <v>8</v>
      </c>
      <c r="H1882" t="s">
        <v>898</v>
      </c>
      <c r="I1882" t="s">
        <v>330</v>
      </c>
      <c r="J1882" t="s">
        <v>239</v>
      </c>
    </row>
    <row r="1883" spans="1:10" x14ac:dyDescent="0.25">
      <c r="A1883" s="43" t="s">
        <v>3448</v>
      </c>
      <c r="B1883" t="s">
        <v>856</v>
      </c>
      <c r="C1883" t="s">
        <v>1194</v>
      </c>
      <c r="G1883" t="s">
        <v>1328</v>
      </c>
      <c r="H1883" t="s">
        <v>898</v>
      </c>
      <c r="I1883" t="s">
        <v>330</v>
      </c>
      <c r="J1883" t="s">
        <v>239</v>
      </c>
    </row>
    <row r="1884" spans="1:10" x14ac:dyDescent="0.25">
      <c r="A1884" s="43" t="s">
        <v>3447</v>
      </c>
      <c r="B1884" t="s">
        <v>856</v>
      </c>
      <c r="C1884" t="s">
        <v>1194</v>
      </c>
      <c r="G1884" t="s">
        <v>1218</v>
      </c>
      <c r="H1884" t="s">
        <v>898</v>
      </c>
      <c r="I1884" t="s">
        <v>330</v>
      </c>
      <c r="J1884" t="s">
        <v>239</v>
      </c>
    </row>
    <row r="1885" spans="1:10" x14ac:dyDescent="0.25">
      <c r="A1885" s="43" t="s">
        <v>2876</v>
      </c>
      <c r="B1885" t="s">
        <v>856</v>
      </c>
      <c r="C1885" t="s">
        <v>1194</v>
      </c>
      <c r="G1885" t="s">
        <v>1226</v>
      </c>
      <c r="H1885" t="s">
        <v>898</v>
      </c>
      <c r="I1885" t="s">
        <v>37</v>
      </c>
      <c r="J1885" t="s">
        <v>2014</v>
      </c>
    </row>
    <row r="1886" spans="1:10" x14ac:dyDescent="0.25">
      <c r="A1886" s="43" t="s">
        <v>3446</v>
      </c>
      <c r="B1886" t="s">
        <v>856</v>
      </c>
      <c r="C1886" t="s">
        <v>1194</v>
      </c>
      <c r="G1886" t="s">
        <v>1295</v>
      </c>
      <c r="I1886" t="s">
        <v>37</v>
      </c>
      <c r="J1886" t="s">
        <v>2014</v>
      </c>
    </row>
    <row r="1887" spans="1:10" x14ac:dyDescent="0.25">
      <c r="A1887" s="43" t="s">
        <v>3444</v>
      </c>
      <c r="B1887" t="s">
        <v>856</v>
      </c>
      <c r="C1887" t="s">
        <v>1194</v>
      </c>
      <c r="G1887" t="s">
        <v>1225</v>
      </c>
      <c r="H1887" t="s">
        <v>898</v>
      </c>
      <c r="I1887" t="s">
        <v>327</v>
      </c>
      <c r="J1887" t="s">
        <v>3445</v>
      </c>
    </row>
    <row r="1888" spans="1:10" x14ac:dyDescent="0.25">
      <c r="A1888" s="43" t="s">
        <v>3443</v>
      </c>
      <c r="B1888" t="s">
        <v>856</v>
      </c>
      <c r="C1888" t="s">
        <v>1194</v>
      </c>
      <c r="G1888" t="s">
        <v>1283</v>
      </c>
      <c r="H1888" t="s">
        <v>898</v>
      </c>
      <c r="I1888" t="s">
        <v>37</v>
      </c>
      <c r="J1888" t="s">
        <v>2014</v>
      </c>
    </row>
    <row r="1889" spans="1:10" x14ac:dyDescent="0.25">
      <c r="A1889" s="43" t="s">
        <v>3442</v>
      </c>
      <c r="B1889" t="s">
        <v>856</v>
      </c>
      <c r="C1889" t="s">
        <v>1194</v>
      </c>
      <c r="G1889" t="s">
        <v>1311</v>
      </c>
      <c r="H1889" t="s">
        <v>898</v>
      </c>
      <c r="I1889" t="s">
        <v>330</v>
      </c>
      <c r="J1889" t="s">
        <v>239</v>
      </c>
    </row>
    <row r="1890" spans="1:10" x14ac:dyDescent="0.25">
      <c r="A1890" s="43" t="s">
        <v>3441</v>
      </c>
      <c r="B1890" t="s">
        <v>856</v>
      </c>
      <c r="C1890" t="s">
        <v>1194</v>
      </c>
      <c r="G1890" t="s">
        <v>8</v>
      </c>
      <c r="H1890" t="s">
        <v>898</v>
      </c>
      <c r="I1890" t="s">
        <v>330</v>
      </c>
      <c r="J1890" t="s">
        <v>239</v>
      </c>
    </row>
    <row r="1891" spans="1:10" x14ac:dyDescent="0.25">
      <c r="A1891" s="43" t="s">
        <v>3439</v>
      </c>
      <c r="B1891" t="s">
        <v>856</v>
      </c>
      <c r="C1891" t="s">
        <v>1194</v>
      </c>
      <c r="G1891" t="s">
        <v>1328</v>
      </c>
      <c r="H1891" t="s">
        <v>898</v>
      </c>
      <c r="I1891" t="s">
        <v>1284</v>
      </c>
      <c r="J1891" t="s">
        <v>3440</v>
      </c>
    </row>
    <row r="1892" spans="1:10" x14ac:dyDescent="0.25">
      <c r="A1892" s="43" t="s">
        <v>3437</v>
      </c>
      <c r="B1892" t="s">
        <v>856</v>
      </c>
      <c r="C1892" t="s">
        <v>1194</v>
      </c>
      <c r="G1892" t="s">
        <v>1330</v>
      </c>
      <c r="H1892" t="s">
        <v>898</v>
      </c>
      <c r="I1892" t="s">
        <v>33</v>
      </c>
      <c r="J1892" t="s">
        <v>3438</v>
      </c>
    </row>
    <row r="1893" spans="1:10" x14ac:dyDescent="0.25">
      <c r="A1893" s="43" t="s">
        <v>3745</v>
      </c>
      <c r="B1893" t="s">
        <v>856</v>
      </c>
      <c r="C1893" t="s">
        <v>1194</v>
      </c>
      <c r="G1893" t="s">
        <v>1290</v>
      </c>
      <c r="H1893" t="s">
        <v>898</v>
      </c>
      <c r="I1893" t="s">
        <v>303</v>
      </c>
      <c r="J1893" t="s">
        <v>3732</v>
      </c>
    </row>
    <row r="1894" spans="1:10" x14ac:dyDescent="0.25">
      <c r="A1894" s="43" t="s">
        <v>3744</v>
      </c>
      <c r="B1894" t="s">
        <v>856</v>
      </c>
      <c r="C1894" t="s">
        <v>1194</v>
      </c>
      <c r="G1894" t="s">
        <v>1218</v>
      </c>
      <c r="H1894" t="s">
        <v>898</v>
      </c>
      <c r="I1894" t="s">
        <v>303</v>
      </c>
      <c r="J1894" t="s">
        <v>3732</v>
      </c>
    </row>
    <row r="1895" spans="1:10" x14ac:dyDescent="0.25">
      <c r="A1895" s="43" t="s">
        <v>3743</v>
      </c>
      <c r="B1895" t="s">
        <v>856</v>
      </c>
      <c r="C1895" t="s">
        <v>1460</v>
      </c>
      <c r="G1895" t="s">
        <v>1226</v>
      </c>
      <c r="H1895" t="s">
        <v>898</v>
      </c>
      <c r="I1895" t="s">
        <v>303</v>
      </c>
      <c r="J1895" t="s">
        <v>2014</v>
      </c>
    </row>
    <row r="1896" spans="1:10" x14ac:dyDescent="0.25">
      <c r="A1896" s="43" t="s">
        <v>3742</v>
      </c>
      <c r="B1896" t="s">
        <v>856</v>
      </c>
      <c r="C1896" t="s">
        <v>1460</v>
      </c>
      <c r="G1896" t="s">
        <v>1295</v>
      </c>
      <c r="H1896" t="s">
        <v>898</v>
      </c>
      <c r="I1896" t="s">
        <v>303</v>
      </c>
      <c r="J1896" t="s">
        <v>2014</v>
      </c>
    </row>
    <row r="1897" spans="1:10" x14ac:dyDescent="0.25">
      <c r="A1897" s="43" t="s">
        <v>3741</v>
      </c>
      <c r="B1897" t="s">
        <v>856</v>
      </c>
      <c r="C1897" t="s">
        <v>1460</v>
      </c>
      <c r="G1897" t="s">
        <v>1225</v>
      </c>
      <c r="H1897" t="s">
        <v>898</v>
      </c>
      <c r="I1897" t="s">
        <v>327</v>
      </c>
      <c r="J1897" t="s">
        <v>3445</v>
      </c>
    </row>
    <row r="1898" spans="1:10" x14ac:dyDescent="0.25">
      <c r="A1898" s="43" t="s">
        <v>3740</v>
      </c>
      <c r="B1898" t="s">
        <v>856</v>
      </c>
      <c r="C1898" t="s">
        <v>1460</v>
      </c>
      <c r="G1898" t="s">
        <v>1224</v>
      </c>
      <c r="H1898" t="s">
        <v>1225</v>
      </c>
      <c r="I1898" t="s">
        <v>327</v>
      </c>
      <c r="J1898" t="s">
        <v>3445</v>
      </c>
    </row>
    <row r="1899" spans="1:10" x14ac:dyDescent="0.25">
      <c r="A1899" s="43" t="s">
        <v>3739</v>
      </c>
      <c r="B1899" t="s">
        <v>856</v>
      </c>
      <c r="C1899" t="s">
        <v>1460</v>
      </c>
      <c r="G1899" t="s">
        <v>1311</v>
      </c>
      <c r="H1899" t="s">
        <v>898</v>
      </c>
      <c r="I1899" t="s">
        <v>376</v>
      </c>
      <c r="J1899" t="s">
        <v>1846</v>
      </c>
    </row>
    <row r="1900" spans="1:10" x14ac:dyDescent="0.25">
      <c r="A1900" s="43" t="s">
        <v>3738</v>
      </c>
      <c r="B1900" t="s">
        <v>856</v>
      </c>
      <c r="C1900" t="s">
        <v>1460</v>
      </c>
      <c r="G1900" t="s">
        <v>8</v>
      </c>
      <c r="H1900" t="s">
        <v>898</v>
      </c>
      <c r="I1900" t="s">
        <v>376</v>
      </c>
      <c r="J1900" t="s">
        <v>1846</v>
      </c>
    </row>
    <row r="1901" spans="1:10" x14ac:dyDescent="0.25">
      <c r="A1901" s="43" t="s">
        <v>3737</v>
      </c>
      <c r="B1901" t="s">
        <v>856</v>
      </c>
      <c r="C1901" t="s">
        <v>1460</v>
      </c>
      <c r="G1901" t="s">
        <v>1330</v>
      </c>
      <c r="H1901" t="s">
        <v>898</v>
      </c>
      <c r="I1901" t="s">
        <v>37</v>
      </c>
      <c r="J1901" t="s">
        <v>3438</v>
      </c>
    </row>
    <row r="1902" spans="1:10" x14ac:dyDescent="0.25">
      <c r="A1902" s="43" t="s">
        <v>3736</v>
      </c>
      <c r="B1902" t="s">
        <v>856</v>
      </c>
      <c r="C1902" t="s">
        <v>1460</v>
      </c>
      <c r="G1902" t="s">
        <v>1290</v>
      </c>
      <c r="H1902" t="s">
        <v>898</v>
      </c>
      <c r="I1902" t="s">
        <v>1284</v>
      </c>
      <c r="J1902" t="s">
        <v>3732</v>
      </c>
    </row>
    <row r="1903" spans="1:10" x14ac:dyDescent="0.25">
      <c r="A1903" s="43" t="s">
        <v>3735</v>
      </c>
      <c r="B1903" t="s">
        <v>856</v>
      </c>
      <c r="C1903" t="s">
        <v>1460</v>
      </c>
      <c r="G1903" t="s">
        <v>1226</v>
      </c>
      <c r="H1903" t="s">
        <v>898</v>
      </c>
      <c r="I1903" t="s">
        <v>303</v>
      </c>
      <c r="J1903" t="s">
        <v>2014</v>
      </c>
    </row>
    <row r="1904" spans="1:10" x14ac:dyDescent="0.25">
      <c r="A1904" s="43" t="s">
        <v>3734</v>
      </c>
      <c r="B1904" t="s">
        <v>856</v>
      </c>
      <c r="C1904" t="s">
        <v>1460</v>
      </c>
      <c r="G1904" t="s">
        <v>1225</v>
      </c>
      <c r="H1904" t="s">
        <v>898</v>
      </c>
      <c r="I1904" t="s">
        <v>327</v>
      </c>
      <c r="J1904" t="s">
        <v>3445</v>
      </c>
    </row>
    <row r="1905" spans="1:10" x14ac:dyDescent="0.25">
      <c r="A1905" s="43" t="s">
        <v>3733</v>
      </c>
      <c r="B1905" t="s">
        <v>856</v>
      </c>
      <c r="C1905" t="s">
        <v>1460</v>
      </c>
      <c r="G1905" t="s">
        <v>8</v>
      </c>
      <c r="H1905" t="s">
        <v>898</v>
      </c>
      <c r="I1905" t="s">
        <v>376</v>
      </c>
      <c r="J1905" t="s">
        <v>1846</v>
      </c>
    </row>
    <row r="1906" spans="1:10" x14ac:dyDescent="0.25">
      <c r="A1906" s="43" t="s">
        <v>3731</v>
      </c>
      <c r="B1906" t="s">
        <v>856</v>
      </c>
      <c r="C1906" t="s">
        <v>1460</v>
      </c>
      <c r="G1906" t="s">
        <v>1290</v>
      </c>
      <c r="H1906" t="s">
        <v>898</v>
      </c>
      <c r="I1906" t="s">
        <v>1284</v>
      </c>
      <c r="J1906" t="s">
        <v>3732</v>
      </c>
    </row>
    <row r="1907" spans="1:10" x14ac:dyDescent="0.25">
      <c r="A1907" s="43" t="s">
        <v>3645</v>
      </c>
      <c r="G1907" t="s">
        <v>1226</v>
      </c>
    </row>
    <row r="1908" spans="1:10" x14ac:dyDescent="0.25">
      <c r="A1908" s="43" t="s">
        <v>3644</v>
      </c>
      <c r="G1908" t="s">
        <v>8</v>
      </c>
    </row>
    <row r="1909" spans="1:10" x14ac:dyDescent="0.25">
      <c r="A1909" s="43" t="s">
        <v>3093</v>
      </c>
      <c r="G1909" t="s">
        <v>8</v>
      </c>
    </row>
    <row r="1910" spans="1:10" x14ac:dyDescent="0.25">
      <c r="A1910" s="43" t="s">
        <v>3643</v>
      </c>
      <c r="G1910" t="s">
        <v>8</v>
      </c>
    </row>
    <row r="1911" spans="1:10" x14ac:dyDescent="0.25">
      <c r="A1911" s="43" t="s">
        <v>3642</v>
      </c>
      <c r="G1911" t="s">
        <v>1226</v>
      </c>
    </row>
    <row r="1912" spans="1:10" x14ac:dyDescent="0.25">
      <c r="A1912" s="43" t="s">
        <v>3641</v>
      </c>
      <c r="G1912" t="s">
        <v>8</v>
      </c>
    </row>
    <row r="1913" spans="1:10" x14ac:dyDescent="0.25">
      <c r="A1913" s="43" t="s">
        <v>3640</v>
      </c>
      <c r="G1913" t="s">
        <v>8</v>
      </c>
    </row>
    <row r="1914" spans="1:10" x14ac:dyDescent="0.25">
      <c r="A1914" s="43" t="s">
        <v>3639</v>
      </c>
      <c r="G1914" t="s">
        <v>1226</v>
      </c>
    </row>
    <row r="1915" spans="1:10" x14ac:dyDescent="0.25">
      <c r="A1915" s="43" t="s">
        <v>3638</v>
      </c>
      <c r="G1915" t="s">
        <v>8</v>
      </c>
    </row>
    <row r="1916" spans="1:10" x14ac:dyDescent="0.25">
      <c r="A1916" s="43" t="s">
        <v>3586</v>
      </c>
      <c r="G1916" t="s">
        <v>1290</v>
      </c>
    </row>
    <row r="1917" spans="1:10" x14ac:dyDescent="0.25">
      <c r="A1917" s="43" t="s">
        <v>3585</v>
      </c>
      <c r="G1917" t="s">
        <v>1218</v>
      </c>
    </row>
    <row r="1918" spans="1:10" x14ac:dyDescent="0.25">
      <c r="A1918" s="43" t="s">
        <v>3091</v>
      </c>
      <c r="B1918" t="s">
        <v>505</v>
      </c>
      <c r="C1918" t="s">
        <v>1194</v>
      </c>
      <c r="D1918" t="s">
        <v>21</v>
      </c>
      <c r="G1918" t="s">
        <v>1295</v>
      </c>
      <c r="H1918" t="s">
        <v>898</v>
      </c>
      <c r="I1918" t="s">
        <v>3092</v>
      </c>
      <c r="J1918" t="s">
        <v>2313</v>
      </c>
    </row>
    <row r="1919" spans="1:10" x14ac:dyDescent="0.25">
      <c r="A1919" s="43" t="s">
        <v>3584</v>
      </c>
      <c r="B1919" t="s">
        <v>505</v>
      </c>
      <c r="C1919" t="s">
        <v>1194</v>
      </c>
      <c r="D1919" t="s">
        <v>21</v>
      </c>
      <c r="G1919" t="s">
        <v>1283</v>
      </c>
      <c r="H1919" t="s">
        <v>898</v>
      </c>
      <c r="I1919" t="s">
        <v>272</v>
      </c>
      <c r="J1919" t="s">
        <v>2313</v>
      </c>
    </row>
    <row r="1920" spans="1:10" x14ac:dyDescent="0.25">
      <c r="A1920" s="43" t="s">
        <v>3090</v>
      </c>
      <c r="B1920" t="s">
        <v>505</v>
      </c>
      <c r="C1920" t="s">
        <v>1194</v>
      </c>
      <c r="D1920" t="s">
        <v>21</v>
      </c>
      <c r="G1920" t="s">
        <v>1224</v>
      </c>
      <c r="H1920" t="s">
        <v>898</v>
      </c>
      <c r="I1920" t="s">
        <v>513</v>
      </c>
      <c r="J1920" t="s">
        <v>2057</v>
      </c>
    </row>
    <row r="1921" spans="1:10" x14ac:dyDescent="0.25">
      <c r="A1921" s="43" t="s">
        <v>3582</v>
      </c>
      <c r="B1921" t="s">
        <v>505</v>
      </c>
      <c r="C1921" t="s">
        <v>1194</v>
      </c>
      <c r="D1921" t="s">
        <v>21</v>
      </c>
      <c r="G1921" t="s">
        <v>1226</v>
      </c>
      <c r="H1921" t="s">
        <v>907</v>
      </c>
      <c r="I1921" t="s">
        <v>119</v>
      </c>
      <c r="J1921" t="s">
        <v>3583</v>
      </c>
    </row>
    <row r="1922" spans="1:10" x14ac:dyDescent="0.25">
      <c r="A1922" s="43" t="s">
        <v>3580</v>
      </c>
      <c r="B1922" t="s">
        <v>505</v>
      </c>
      <c r="C1922" t="s">
        <v>1194</v>
      </c>
      <c r="D1922" t="s">
        <v>21</v>
      </c>
      <c r="G1922" t="s">
        <v>1225</v>
      </c>
      <c r="H1922" t="s">
        <v>898</v>
      </c>
      <c r="I1922" t="s">
        <v>1353</v>
      </c>
      <c r="J1922" t="s">
        <v>3581</v>
      </c>
    </row>
    <row r="1923" spans="1:10" x14ac:dyDescent="0.25">
      <c r="A1923" s="43" t="s">
        <v>3089</v>
      </c>
      <c r="B1923" t="s">
        <v>505</v>
      </c>
      <c r="C1923" t="s">
        <v>1194</v>
      </c>
      <c r="D1923" t="s">
        <v>21</v>
      </c>
      <c r="G1923" t="s">
        <v>8</v>
      </c>
      <c r="H1923" t="s">
        <v>907</v>
      </c>
      <c r="I1923" t="s">
        <v>119</v>
      </c>
      <c r="J1923" t="s">
        <v>288</v>
      </c>
    </row>
    <row r="1924" spans="1:10" x14ac:dyDescent="0.25">
      <c r="A1924" s="43" t="s">
        <v>3579</v>
      </c>
      <c r="B1924" t="s">
        <v>505</v>
      </c>
      <c r="C1924" t="s">
        <v>1194</v>
      </c>
      <c r="D1924" t="s">
        <v>21</v>
      </c>
      <c r="G1924" t="s">
        <v>1328</v>
      </c>
      <c r="H1924" t="s">
        <v>907</v>
      </c>
      <c r="I1924" t="s">
        <v>119</v>
      </c>
      <c r="J1924" t="s">
        <v>288</v>
      </c>
    </row>
    <row r="1925" spans="1:10" x14ac:dyDescent="0.25">
      <c r="A1925" s="43" t="s">
        <v>3578</v>
      </c>
      <c r="B1925" t="s">
        <v>505</v>
      </c>
      <c r="C1925" t="s">
        <v>1194</v>
      </c>
      <c r="D1925" t="s">
        <v>21</v>
      </c>
      <c r="G1925" t="s">
        <v>1290</v>
      </c>
      <c r="H1925" t="s">
        <v>898</v>
      </c>
      <c r="I1925" t="s">
        <v>119</v>
      </c>
      <c r="J1925" t="s">
        <v>288</v>
      </c>
    </row>
    <row r="1926" spans="1:10" x14ac:dyDescent="0.25">
      <c r="A1926" s="43" t="s">
        <v>3088</v>
      </c>
      <c r="B1926" t="s">
        <v>505</v>
      </c>
      <c r="C1926" t="s">
        <v>1194</v>
      </c>
      <c r="D1926" t="s">
        <v>21</v>
      </c>
      <c r="G1926" t="s">
        <v>1218</v>
      </c>
      <c r="H1926" t="s">
        <v>907</v>
      </c>
      <c r="I1926" t="s">
        <v>1384</v>
      </c>
      <c r="J1926" t="s">
        <v>2229</v>
      </c>
    </row>
    <row r="1927" spans="1:10" x14ac:dyDescent="0.25">
      <c r="A1927" s="43" t="s">
        <v>2864</v>
      </c>
      <c r="B1927" t="s">
        <v>61</v>
      </c>
      <c r="C1927" t="s">
        <v>1183</v>
      </c>
      <c r="D1927" t="s">
        <v>91</v>
      </c>
      <c r="E1927" t="s">
        <v>1249</v>
      </c>
      <c r="G1927" t="s">
        <v>1226</v>
      </c>
      <c r="H1927" t="s">
        <v>907</v>
      </c>
      <c r="I1927" t="s">
        <v>2865</v>
      </c>
      <c r="J1927" t="s">
        <v>101</v>
      </c>
    </row>
    <row r="1928" spans="1:10" x14ac:dyDescent="0.25">
      <c r="A1928" s="43" t="s">
        <v>2796</v>
      </c>
      <c r="B1928" t="s">
        <v>592</v>
      </c>
      <c r="C1928" t="s">
        <v>1183</v>
      </c>
      <c r="D1928" t="s">
        <v>318</v>
      </c>
      <c r="E1928" t="s">
        <v>1219</v>
      </c>
      <c r="G1928" t="s">
        <v>1226</v>
      </c>
      <c r="H1928" t="s">
        <v>898</v>
      </c>
      <c r="I1928" t="s">
        <v>681</v>
      </c>
      <c r="J1928" t="s">
        <v>1662</v>
      </c>
    </row>
    <row r="1929" spans="1:10" x14ac:dyDescent="0.25">
      <c r="A1929" s="43" t="s">
        <v>2600</v>
      </c>
      <c r="B1929" t="s">
        <v>678</v>
      </c>
      <c r="C1929" t="s">
        <v>1180</v>
      </c>
      <c r="D1929" t="s">
        <v>318</v>
      </c>
      <c r="E1929" t="s">
        <v>1230</v>
      </c>
      <c r="G1929" t="s">
        <v>1226</v>
      </c>
      <c r="H1929" t="s">
        <v>898</v>
      </c>
      <c r="I1929" t="s">
        <v>1302</v>
      </c>
      <c r="J1929" t="s">
        <v>2274</v>
      </c>
    </row>
    <row r="1930" spans="1:10" x14ac:dyDescent="0.25">
      <c r="A1930" s="43" t="s">
        <v>2795</v>
      </c>
      <c r="B1930" t="s">
        <v>822</v>
      </c>
      <c r="C1930" t="s">
        <v>1180</v>
      </c>
      <c r="D1930" t="s">
        <v>91</v>
      </c>
      <c r="E1930" t="s">
        <v>1228</v>
      </c>
      <c r="G1930" t="s">
        <v>1226</v>
      </c>
      <c r="H1930" t="s">
        <v>907</v>
      </c>
      <c r="I1930" t="s">
        <v>33</v>
      </c>
      <c r="J1930" t="s">
        <v>2345</v>
      </c>
    </row>
    <row r="1931" spans="1:10" x14ac:dyDescent="0.25">
      <c r="A1931" s="43" t="s">
        <v>4425</v>
      </c>
      <c r="B1931" t="s">
        <v>148</v>
      </c>
      <c r="C1931" t="s">
        <v>1177</v>
      </c>
      <c r="D1931" t="s">
        <v>56</v>
      </c>
      <c r="E1931" t="s">
        <v>1272</v>
      </c>
      <c r="G1931" t="s">
        <v>1218</v>
      </c>
      <c r="H1931" t="s">
        <v>907</v>
      </c>
      <c r="I1931" t="s">
        <v>1519</v>
      </c>
      <c r="J1931" t="s">
        <v>2232</v>
      </c>
    </row>
    <row r="1932" spans="1:10" x14ac:dyDescent="0.25">
      <c r="A1932" s="43" t="s">
        <v>4427</v>
      </c>
      <c r="B1932" t="s">
        <v>407</v>
      </c>
      <c r="C1932" t="s">
        <v>1177</v>
      </c>
      <c r="D1932" t="s">
        <v>27</v>
      </c>
      <c r="E1932" t="s">
        <v>1632</v>
      </c>
      <c r="G1932" t="s">
        <v>1218</v>
      </c>
      <c r="H1932" t="s">
        <v>907</v>
      </c>
      <c r="I1932" t="s">
        <v>223</v>
      </c>
      <c r="J1932" t="s">
        <v>2489</v>
      </c>
    </row>
    <row r="1933" spans="1:10" x14ac:dyDescent="0.25">
      <c r="A1933" s="43" t="s">
        <v>4426</v>
      </c>
      <c r="B1933" t="s">
        <v>526</v>
      </c>
      <c r="C1933" t="s">
        <v>1183</v>
      </c>
      <c r="D1933" t="s">
        <v>56</v>
      </c>
      <c r="E1933" t="s">
        <v>1361</v>
      </c>
      <c r="G1933" t="s">
        <v>1218</v>
      </c>
      <c r="H1933" t="s">
        <v>907</v>
      </c>
      <c r="I1933" t="s">
        <v>719</v>
      </c>
      <c r="J1933" t="s">
        <v>2451</v>
      </c>
    </row>
    <row r="1934" spans="1:10" x14ac:dyDescent="0.25">
      <c r="A1934" s="43" t="s">
        <v>2670</v>
      </c>
      <c r="B1934" t="s">
        <v>822</v>
      </c>
      <c r="C1934" t="s">
        <v>1180</v>
      </c>
      <c r="D1934" t="s">
        <v>56</v>
      </c>
      <c r="E1934" t="s">
        <v>1630</v>
      </c>
      <c r="G1934" t="s">
        <v>1218</v>
      </c>
      <c r="H1934" t="s">
        <v>907</v>
      </c>
      <c r="I1934" t="s">
        <v>100</v>
      </c>
      <c r="J1934" t="s">
        <v>2480</v>
      </c>
    </row>
    <row r="1935" spans="1:10" x14ac:dyDescent="0.25">
      <c r="A1935" s="43" t="s">
        <v>4333</v>
      </c>
      <c r="B1935" t="s">
        <v>459</v>
      </c>
      <c r="C1935" t="s">
        <v>1177</v>
      </c>
      <c r="D1935" t="s">
        <v>318</v>
      </c>
      <c r="E1935" t="s">
        <v>1563</v>
      </c>
      <c r="G1935" t="s">
        <v>1218</v>
      </c>
      <c r="H1935" t="s">
        <v>907</v>
      </c>
      <c r="I1935" t="s">
        <v>1564</v>
      </c>
      <c r="J1935" t="s">
        <v>2322</v>
      </c>
    </row>
    <row r="1936" spans="1:10" x14ac:dyDescent="0.25">
      <c r="A1936" s="43" t="s">
        <v>2794</v>
      </c>
      <c r="B1936" t="s">
        <v>592</v>
      </c>
      <c r="C1936" t="s">
        <v>1183</v>
      </c>
      <c r="D1936" t="s">
        <v>318</v>
      </c>
      <c r="E1936" t="s">
        <v>1477</v>
      </c>
      <c r="G1936" t="s">
        <v>1218</v>
      </c>
      <c r="H1936" t="s">
        <v>907</v>
      </c>
      <c r="I1936" t="s">
        <v>607</v>
      </c>
      <c r="J1936" t="s">
        <v>2083</v>
      </c>
    </row>
    <row r="1937" spans="1:10" x14ac:dyDescent="0.25">
      <c r="A1937" s="43" t="s">
        <v>3577</v>
      </c>
      <c r="B1937" t="s">
        <v>678</v>
      </c>
      <c r="C1937" t="s">
        <v>1183</v>
      </c>
      <c r="D1937" t="s">
        <v>318</v>
      </c>
      <c r="E1937" t="s">
        <v>1432</v>
      </c>
      <c r="G1937" t="s">
        <v>1218</v>
      </c>
      <c r="H1937" t="s">
        <v>907</v>
      </c>
      <c r="I1937" t="s">
        <v>697</v>
      </c>
      <c r="J1937" t="s">
        <v>2083</v>
      </c>
    </row>
    <row r="1938" spans="1:10" x14ac:dyDescent="0.25">
      <c r="A1938" s="43" t="s">
        <v>2791</v>
      </c>
      <c r="B1938" t="s">
        <v>822</v>
      </c>
      <c r="C1938" t="s">
        <v>1201</v>
      </c>
      <c r="D1938" t="s">
        <v>318</v>
      </c>
      <c r="E1938" t="s">
        <v>1383</v>
      </c>
      <c r="G1938" t="s">
        <v>1218</v>
      </c>
      <c r="H1938" t="s">
        <v>907</v>
      </c>
      <c r="I1938" t="s">
        <v>2792</v>
      </c>
      <c r="J1938" t="s">
        <v>2793</v>
      </c>
    </row>
    <row r="1939" spans="1:10" x14ac:dyDescent="0.25">
      <c r="A1939" s="43" t="s">
        <v>4226</v>
      </c>
      <c r="B1939" t="s">
        <v>908</v>
      </c>
      <c r="C1939" t="s">
        <v>1177</v>
      </c>
      <c r="D1939" t="s">
        <v>56</v>
      </c>
      <c r="E1939" t="s">
        <v>1420</v>
      </c>
      <c r="G1939" t="s">
        <v>1283</v>
      </c>
      <c r="H1939" t="s">
        <v>898</v>
      </c>
      <c r="I1939" t="s">
        <v>442</v>
      </c>
      <c r="J1939" t="s">
        <v>2228</v>
      </c>
    </row>
    <row r="1940" spans="1:10" x14ac:dyDescent="0.25">
      <c r="A1940" s="43" t="s">
        <v>2790</v>
      </c>
      <c r="B1940" t="s">
        <v>908</v>
      </c>
      <c r="C1940" t="s">
        <v>1177</v>
      </c>
      <c r="D1940" t="s">
        <v>56</v>
      </c>
      <c r="E1940" t="s">
        <v>1420</v>
      </c>
      <c r="G1940" t="s">
        <v>1218</v>
      </c>
      <c r="H1940" t="s">
        <v>898</v>
      </c>
      <c r="I1940" t="s">
        <v>1316</v>
      </c>
      <c r="J1940" t="s">
        <v>2228</v>
      </c>
    </row>
    <row r="1941" spans="1:10" x14ac:dyDescent="0.25">
      <c r="A1941" s="43" t="s">
        <v>4332</v>
      </c>
      <c r="B1941" t="s">
        <v>950</v>
      </c>
      <c r="C1941" t="s">
        <v>1180</v>
      </c>
      <c r="D1941" t="s">
        <v>318</v>
      </c>
      <c r="E1941" t="s">
        <v>1420</v>
      </c>
      <c r="G1941" t="s">
        <v>1283</v>
      </c>
      <c r="H1941" t="s">
        <v>898</v>
      </c>
      <c r="I1941" t="s">
        <v>1254</v>
      </c>
      <c r="J1941" t="s">
        <v>1962</v>
      </c>
    </row>
    <row r="1942" spans="1:10" x14ac:dyDescent="0.25">
      <c r="A1942" s="43" t="s">
        <v>2788</v>
      </c>
      <c r="B1942" t="s">
        <v>950</v>
      </c>
      <c r="C1942" t="s">
        <v>1180</v>
      </c>
      <c r="D1942" t="s">
        <v>318</v>
      </c>
      <c r="E1942" t="s">
        <v>1420</v>
      </c>
      <c r="G1942" t="s">
        <v>1218</v>
      </c>
      <c r="H1942" t="s">
        <v>898</v>
      </c>
      <c r="I1942" t="s">
        <v>597</v>
      </c>
      <c r="J1942" t="s">
        <v>2789</v>
      </c>
    </row>
    <row r="1943" spans="1:10" x14ac:dyDescent="0.25">
      <c r="A1943" s="43" t="s">
        <v>4225</v>
      </c>
      <c r="B1943" t="s">
        <v>678</v>
      </c>
      <c r="C1943" t="s">
        <v>1177</v>
      </c>
      <c r="D1943" t="s">
        <v>318</v>
      </c>
      <c r="E1943" t="s">
        <v>1247</v>
      </c>
      <c r="G1943" t="s">
        <v>1283</v>
      </c>
      <c r="H1943" t="s">
        <v>898</v>
      </c>
      <c r="I1943" t="s">
        <v>265</v>
      </c>
      <c r="J1943" t="s">
        <v>2225</v>
      </c>
    </row>
    <row r="1944" spans="1:10" x14ac:dyDescent="0.25">
      <c r="A1944" s="43" t="s">
        <v>3576</v>
      </c>
      <c r="B1944" t="s">
        <v>678</v>
      </c>
      <c r="C1944" t="s">
        <v>1177</v>
      </c>
      <c r="D1944" t="s">
        <v>318</v>
      </c>
      <c r="E1944" t="s">
        <v>1247</v>
      </c>
      <c r="G1944" t="s">
        <v>1218</v>
      </c>
      <c r="H1944" t="s">
        <v>898</v>
      </c>
      <c r="I1944" t="s">
        <v>265</v>
      </c>
      <c r="J1944" t="s">
        <v>2225</v>
      </c>
    </row>
    <row r="1945" spans="1:10" x14ac:dyDescent="0.25">
      <c r="A1945" s="43" t="s">
        <v>3574</v>
      </c>
      <c r="B1945" t="s">
        <v>148</v>
      </c>
      <c r="C1945" t="s">
        <v>1183</v>
      </c>
      <c r="D1945" t="s">
        <v>27</v>
      </c>
      <c r="E1945" t="s">
        <v>1268</v>
      </c>
      <c r="G1945" t="s">
        <v>1226</v>
      </c>
      <c r="H1945" t="s">
        <v>907</v>
      </c>
      <c r="I1945" t="s">
        <v>1604</v>
      </c>
      <c r="J1945" t="s">
        <v>3575</v>
      </c>
    </row>
    <row r="1946" spans="1:10" x14ac:dyDescent="0.25">
      <c r="A1946" s="43" t="s">
        <v>3573</v>
      </c>
      <c r="B1946" t="s">
        <v>222</v>
      </c>
      <c r="C1946" t="s">
        <v>1177</v>
      </c>
      <c r="D1946" t="s">
        <v>203</v>
      </c>
      <c r="E1946" t="s">
        <v>1478</v>
      </c>
      <c r="G1946" t="s">
        <v>1226</v>
      </c>
      <c r="H1946" t="s">
        <v>907</v>
      </c>
      <c r="I1946" t="s">
        <v>226</v>
      </c>
      <c r="J1946" t="s">
        <v>227</v>
      </c>
    </row>
    <row r="1947" spans="1:10" x14ac:dyDescent="0.25">
      <c r="A1947" s="43" t="s">
        <v>3087</v>
      </c>
      <c r="B1947" t="s">
        <v>407</v>
      </c>
      <c r="C1947" t="s">
        <v>1194</v>
      </c>
      <c r="D1947" t="s">
        <v>21</v>
      </c>
      <c r="E1947" t="s">
        <v>1497</v>
      </c>
      <c r="G1947" t="s">
        <v>1226</v>
      </c>
      <c r="H1947" t="s">
        <v>907</v>
      </c>
      <c r="I1947" t="s">
        <v>28</v>
      </c>
      <c r="J1947" t="s">
        <v>408</v>
      </c>
    </row>
    <row r="1948" spans="1:10" x14ac:dyDescent="0.25">
      <c r="A1948" s="43" t="s">
        <v>3572</v>
      </c>
      <c r="B1948" t="s">
        <v>459</v>
      </c>
      <c r="C1948" t="s">
        <v>1177</v>
      </c>
      <c r="D1948" t="s">
        <v>21</v>
      </c>
      <c r="G1948" t="s">
        <v>1226</v>
      </c>
      <c r="H1948" t="s">
        <v>907</v>
      </c>
      <c r="I1948" t="s">
        <v>123</v>
      </c>
      <c r="J1948" t="s">
        <v>2024</v>
      </c>
    </row>
    <row r="1949" spans="1:10" x14ac:dyDescent="0.25">
      <c r="A1949" s="43" t="s">
        <v>3570</v>
      </c>
      <c r="B1949" t="s">
        <v>526</v>
      </c>
      <c r="C1949" t="s">
        <v>1183</v>
      </c>
      <c r="D1949" t="s">
        <v>56</v>
      </c>
      <c r="E1949" t="s">
        <v>1246</v>
      </c>
      <c r="G1949" t="s">
        <v>1226</v>
      </c>
      <c r="H1949" t="s">
        <v>907</v>
      </c>
      <c r="I1949" t="s">
        <v>123</v>
      </c>
      <c r="J1949" t="s">
        <v>3571</v>
      </c>
    </row>
    <row r="1950" spans="1:10" x14ac:dyDescent="0.25">
      <c r="A1950" s="43" t="s">
        <v>3569</v>
      </c>
      <c r="B1950" t="s">
        <v>552</v>
      </c>
      <c r="C1950" t="s">
        <v>1183</v>
      </c>
      <c r="E1950" t="s">
        <v>1268</v>
      </c>
      <c r="G1950" t="s">
        <v>1226</v>
      </c>
      <c r="H1950" t="s">
        <v>907</v>
      </c>
      <c r="I1950" t="s">
        <v>612</v>
      </c>
      <c r="J1950" t="s">
        <v>2320</v>
      </c>
    </row>
    <row r="1951" spans="1:10" x14ac:dyDescent="0.25">
      <c r="A1951" s="43" t="s">
        <v>3086</v>
      </c>
      <c r="B1951" t="s">
        <v>592</v>
      </c>
      <c r="C1951" t="s">
        <v>1188</v>
      </c>
      <c r="D1951" t="s">
        <v>15</v>
      </c>
      <c r="E1951" t="s">
        <v>1239</v>
      </c>
      <c r="G1951" t="s">
        <v>1226</v>
      </c>
      <c r="H1951" t="s">
        <v>907</v>
      </c>
      <c r="I1951" t="s">
        <v>480</v>
      </c>
      <c r="J1951" t="s">
        <v>610</v>
      </c>
    </row>
    <row r="1952" spans="1:10" x14ac:dyDescent="0.25">
      <c r="A1952" s="43" t="s">
        <v>3568</v>
      </c>
      <c r="B1952" t="s">
        <v>592</v>
      </c>
      <c r="C1952" t="s">
        <v>1183</v>
      </c>
      <c r="D1952" t="s">
        <v>91</v>
      </c>
      <c r="G1952" t="s">
        <v>1226</v>
      </c>
      <c r="H1952" t="s">
        <v>907</v>
      </c>
      <c r="I1952" t="s">
        <v>612</v>
      </c>
      <c r="J1952" t="s">
        <v>1780</v>
      </c>
    </row>
    <row r="1953" spans="1:10" x14ac:dyDescent="0.25">
      <c r="A1953" s="43" t="s">
        <v>3567</v>
      </c>
      <c r="B1953" t="s">
        <v>61</v>
      </c>
      <c r="C1953" t="s">
        <v>1183</v>
      </c>
      <c r="D1953" t="s">
        <v>56</v>
      </c>
      <c r="E1953" t="s">
        <v>1243</v>
      </c>
      <c r="G1953" t="s">
        <v>1226</v>
      </c>
      <c r="H1953" t="s">
        <v>907</v>
      </c>
      <c r="I1953" t="s">
        <v>242</v>
      </c>
      <c r="J1953" t="s">
        <v>304</v>
      </c>
    </row>
    <row r="1954" spans="1:10" x14ac:dyDescent="0.25">
      <c r="A1954" s="43" t="s">
        <v>4224</v>
      </c>
      <c r="B1954" t="s">
        <v>678</v>
      </c>
      <c r="C1954" t="s">
        <v>1183</v>
      </c>
      <c r="D1954" t="s">
        <v>56</v>
      </c>
      <c r="G1954" t="s">
        <v>1226</v>
      </c>
      <c r="H1954" t="s">
        <v>907</v>
      </c>
      <c r="I1954" t="s">
        <v>612</v>
      </c>
      <c r="J1954" t="s">
        <v>2028</v>
      </c>
    </row>
    <row r="1955" spans="1:10" x14ac:dyDescent="0.25">
      <c r="A1955" s="43" t="s">
        <v>3622</v>
      </c>
      <c r="B1955" t="s">
        <v>61</v>
      </c>
      <c r="C1955" t="s">
        <v>1183</v>
      </c>
      <c r="D1955" t="s">
        <v>56</v>
      </c>
      <c r="E1955" t="s">
        <v>1243</v>
      </c>
      <c r="G1955" t="s">
        <v>1226</v>
      </c>
      <c r="H1955" t="s">
        <v>907</v>
      </c>
      <c r="I1955" t="s">
        <v>3623</v>
      </c>
      <c r="J1955" t="s">
        <v>3624</v>
      </c>
    </row>
    <row r="1956" spans="1:10" x14ac:dyDescent="0.25">
      <c r="A1956" s="43" t="s">
        <v>3079</v>
      </c>
      <c r="B1956" t="s">
        <v>148</v>
      </c>
      <c r="C1956" t="s">
        <v>1183</v>
      </c>
      <c r="D1956" t="s">
        <v>27</v>
      </c>
      <c r="E1956" t="s">
        <v>1268</v>
      </c>
      <c r="G1956" t="s">
        <v>1226</v>
      </c>
      <c r="H1956" t="s">
        <v>907</v>
      </c>
      <c r="I1956" t="s">
        <v>2611</v>
      </c>
      <c r="J1956" t="s">
        <v>3080</v>
      </c>
    </row>
    <row r="1957" spans="1:10" x14ac:dyDescent="0.25">
      <c r="A1957" s="43" t="s">
        <v>3635</v>
      </c>
      <c r="B1957" t="s">
        <v>222</v>
      </c>
      <c r="C1957" t="s">
        <v>1177</v>
      </c>
      <c r="D1957" t="s">
        <v>203</v>
      </c>
      <c r="E1957" t="s">
        <v>1420</v>
      </c>
      <c r="G1957" t="s">
        <v>1226</v>
      </c>
      <c r="H1957" t="s">
        <v>907</v>
      </c>
      <c r="I1957" t="s">
        <v>3636</v>
      </c>
      <c r="J1957" t="s">
        <v>3637</v>
      </c>
    </row>
    <row r="1958" spans="1:10" x14ac:dyDescent="0.25">
      <c r="A1958" s="43" t="s">
        <v>4222</v>
      </c>
      <c r="B1958" t="s">
        <v>407</v>
      </c>
      <c r="C1958" t="s">
        <v>1177</v>
      </c>
      <c r="D1958" t="s">
        <v>27</v>
      </c>
      <c r="E1958" t="s">
        <v>1374</v>
      </c>
      <c r="G1958" t="s">
        <v>1226</v>
      </c>
      <c r="H1958" t="s">
        <v>907</v>
      </c>
      <c r="I1958" t="s">
        <v>4223</v>
      </c>
      <c r="J1958" t="s">
        <v>2201</v>
      </c>
    </row>
    <row r="1959" spans="1:10" x14ac:dyDescent="0.25">
      <c r="A1959" s="43" t="s">
        <v>3634</v>
      </c>
      <c r="B1959" t="s">
        <v>459</v>
      </c>
      <c r="C1959" t="s">
        <v>1177</v>
      </c>
      <c r="D1959" t="s">
        <v>21</v>
      </c>
      <c r="E1959" t="s">
        <v>1239</v>
      </c>
      <c r="G1959" t="s">
        <v>1226</v>
      </c>
      <c r="H1959" t="s">
        <v>907</v>
      </c>
      <c r="I1959" t="s">
        <v>1515</v>
      </c>
      <c r="J1959" t="s">
        <v>2209</v>
      </c>
    </row>
    <row r="1960" spans="1:10" x14ac:dyDescent="0.25">
      <c r="A1960" s="43" t="s">
        <v>3631</v>
      </c>
      <c r="B1960" t="s">
        <v>526</v>
      </c>
      <c r="C1960" t="s">
        <v>1188</v>
      </c>
      <c r="D1960" t="s">
        <v>21</v>
      </c>
      <c r="E1960" t="s">
        <v>1378</v>
      </c>
      <c r="G1960" t="s">
        <v>1226</v>
      </c>
      <c r="H1960" t="s">
        <v>907</v>
      </c>
      <c r="I1960" t="s">
        <v>3632</v>
      </c>
      <c r="J1960" t="s">
        <v>3633</v>
      </c>
    </row>
    <row r="1961" spans="1:10" x14ac:dyDescent="0.25">
      <c r="A1961" s="43" t="s">
        <v>3084</v>
      </c>
      <c r="B1961" t="s">
        <v>592</v>
      </c>
      <c r="C1961" t="s">
        <v>1188</v>
      </c>
      <c r="D1961" t="s">
        <v>15</v>
      </c>
      <c r="E1961" t="s">
        <v>1378</v>
      </c>
      <c r="G1961" t="s">
        <v>1226</v>
      </c>
      <c r="H1961" t="s">
        <v>907</v>
      </c>
      <c r="I1961" t="s">
        <v>189</v>
      </c>
      <c r="J1961" t="s">
        <v>3085</v>
      </c>
    </row>
    <row r="1962" spans="1:10" x14ac:dyDescent="0.25">
      <c r="A1962" s="43" t="s">
        <v>3630</v>
      </c>
      <c r="B1962" t="s">
        <v>592</v>
      </c>
      <c r="C1962" t="s">
        <v>1183</v>
      </c>
      <c r="D1962" t="s">
        <v>91</v>
      </c>
      <c r="E1962" t="s">
        <v>1272</v>
      </c>
      <c r="G1962" t="s">
        <v>1226</v>
      </c>
      <c r="H1962" t="s">
        <v>907</v>
      </c>
      <c r="I1962" t="s">
        <v>618</v>
      </c>
      <c r="J1962" t="s">
        <v>619</v>
      </c>
    </row>
    <row r="1963" spans="1:10" x14ac:dyDescent="0.25">
      <c r="A1963" s="43" t="s">
        <v>3081</v>
      </c>
      <c r="B1963" t="s">
        <v>678</v>
      </c>
      <c r="C1963" t="s">
        <v>1188</v>
      </c>
      <c r="D1963" t="s">
        <v>56</v>
      </c>
      <c r="E1963" t="s">
        <v>1231</v>
      </c>
      <c r="G1963" t="s">
        <v>1226</v>
      </c>
      <c r="H1963" t="s">
        <v>907</v>
      </c>
      <c r="I1963" t="s">
        <v>3082</v>
      </c>
      <c r="J1963" t="s">
        <v>3083</v>
      </c>
    </row>
    <row r="1964" spans="1:10" x14ac:dyDescent="0.25">
      <c r="A1964" s="43" t="s">
        <v>3628</v>
      </c>
      <c r="B1964" t="s">
        <v>678</v>
      </c>
      <c r="C1964" t="s">
        <v>1183</v>
      </c>
      <c r="D1964" t="s">
        <v>56</v>
      </c>
      <c r="E1964" t="s">
        <v>1243</v>
      </c>
      <c r="G1964" t="s">
        <v>1226</v>
      </c>
      <c r="H1964" t="s">
        <v>907</v>
      </c>
      <c r="I1964" t="s">
        <v>513</v>
      </c>
      <c r="J1964" t="s">
        <v>3629</v>
      </c>
    </row>
    <row r="1965" spans="1:10" x14ac:dyDescent="0.25">
      <c r="A1965" s="43" t="s">
        <v>3625</v>
      </c>
      <c r="B1965" t="s">
        <v>822</v>
      </c>
      <c r="C1965" t="s">
        <v>1188</v>
      </c>
      <c r="D1965" t="s">
        <v>27</v>
      </c>
      <c r="E1965" t="s">
        <v>1292</v>
      </c>
      <c r="G1965" t="s">
        <v>1226</v>
      </c>
      <c r="H1965" t="s">
        <v>907</v>
      </c>
      <c r="I1965" t="s">
        <v>3626</v>
      </c>
      <c r="J1965" t="s">
        <v>3627</v>
      </c>
    </row>
    <row r="1966" spans="1:10" x14ac:dyDescent="0.25">
      <c r="A1966" s="43" t="s">
        <v>3077</v>
      </c>
      <c r="B1966" t="s">
        <v>552</v>
      </c>
      <c r="C1966" t="s">
        <v>1188</v>
      </c>
      <c r="D1966" t="s">
        <v>203</v>
      </c>
      <c r="E1966" t="s">
        <v>1244</v>
      </c>
      <c r="G1966" t="s">
        <v>1226</v>
      </c>
      <c r="H1966" t="s">
        <v>907</v>
      </c>
      <c r="I1966" t="s">
        <v>3078</v>
      </c>
      <c r="J1966" t="s">
        <v>2348</v>
      </c>
    </row>
    <row r="1967" spans="1:10" x14ac:dyDescent="0.25">
      <c r="A1967" s="43" t="s">
        <v>3076</v>
      </c>
      <c r="B1967" t="s">
        <v>62</v>
      </c>
      <c r="C1967" t="s">
        <v>1188</v>
      </c>
      <c r="D1967" t="s">
        <v>27</v>
      </c>
      <c r="E1967" t="s">
        <v>1400</v>
      </c>
      <c r="G1967" t="s">
        <v>1226</v>
      </c>
      <c r="H1967" t="s">
        <v>907</v>
      </c>
      <c r="I1967" t="s">
        <v>729</v>
      </c>
      <c r="J1967" t="s">
        <v>2128</v>
      </c>
    </row>
    <row r="1968" spans="1:10" x14ac:dyDescent="0.25">
      <c r="A1968" s="43" t="s">
        <v>3075</v>
      </c>
      <c r="B1968" t="s">
        <v>822</v>
      </c>
      <c r="C1968" t="s">
        <v>1188</v>
      </c>
      <c r="D1968" t="s">
        <v>197</v>
      </c>
      <c r="E1968" t="s">
        <v>1298</v>
      </c>
      <c r="G1968" t="s">
        <v>1226</v>
      </c>
      <c r="H1968" t="s">
        <v>907</v>
      </c>
      <c r="I1968" t="s">
        <v>850</v>
      </c>
      <c r="J1968" t="s">
        <v>2166</v>
      </c>
    </row>
    <row r="1969" spans="1:10" x14ac:dyDescent="0.25">
      <c r="A1969" s="43" t="s">
        <v>4052</v>
      </c>
      <c r="B1969" t="s">
        <v>678</v>
      </c>
      <c r="C1969" t="s">
        <v>1188</v>
      </c>
      <c r="D1969" t="s">
        <v>91</v>
      </c>
      <c r="G1969" t="s">
        <v>1226</v>
      </c>
      <c r="H1969" t="s">
        <v>907</v>
      </c>
      <c r="I1969" t="s">
        <v>223</v>
      </c>
      <c r="J1969" t="s">
        <v>2025</v>
      </c>
    </row>
    <row r="1970" spans="1:10" x14ac:dyDescent="0.25">
      <c r="A1970" s="43" t="s">
        <v>3621</v>
      </c>
      <c r="B1970" t="s">
        <v>822</v>
      </c>
      <c r="C1970" t="s">
        <v>1188</v>
      </c>
      <c r="D1970" t="s">
        <v>15</v>
      </c>
      <c r="G1970" t="s">
        <v>1226</v>
      </c>
      <c r="H1970" t="s">
        <v>907</v>
      </c>
      <c r="I1970" t="s">
        <v>105</v>
      </c>
      <c r="J1970" t="s">
        <v>2029</v>
      </c>
    </row>
    <row r="1971" spans="1:10" x14ac:dyDescent="0.25">
      <c r="A1971" s="43" t="s">
        <v>3620</v>
      </c>
      <c r="B1971" t="s">
        <v>222</v>
      </c>
      <c r="C1971" t="s">
        <v>1177</v>
      </c>
      <c r="D1971" t="s">
        <v>203</v>
      </c>
      <c r="E1971" t="s">
        <v>1478</v>
      </c>
      <c r="G1971" t="s">
        <v>8</v>
      </c>
      <c r="H1971" t="s">
        <v>907</v>
      </c>
      <c r="I1971" t="s">
        <v>513</v>
      </c>
      <c r="J1971" t="s">
        <v>2086</v>
      </c>
    </row>
    <row r="1972" spans="1:10" x14ac:dyDescent="0.25">
      <c r="A1972" s="43" t="s">
        <v>4221</v>
      </c>
      <c r="B1972" t="s">
        <v>678</v>
      </c>
      <c r="C1972" t="s">
        <v>1183</v>
      </c>
      <c r="D1972" t="s">
        <v>56</v>
      </c>
      <c r="G1972" t="s">
        <v>8</v>
      </c>
      <c r="H1972" t="s">
        <v>907</v>
      </c>
      <c r="I1972" t="s">
        <v>612</v>
      </c>
      <c r="J1972" t="s">
        <v>2028</v>
      </c>
    </row>
    <row r="1973" spans="1:10" x14ac:dyDescent="0.25">
      <c r="A1973" s="43" t="s">
        <v>3619</v>
      </c>
      <c r="B1973" t="s">
        <v>822</v>
      </c>
      <c r="C1973" t="s">
        <v>1188</v>
      </c>
      <c r="D1973" t="s">
        <v>15</v>
      </c>
      <c r="G1973" t="s">
        <v>8</v>
      </c>
      <c r="H1973" t="s">
        <v>907</v>
      </c>
      <c r="I1973" t="s">
        <v>105</v>
      </c>
      <c r="J1973" t="s">
        <v>2029</v>
      </c>
    </row>
    <row r="1974" spans="1:10" x14ac:dyDescent="0.25">
      <c r="A1974" s="43" t="s">
        <v>4219</v>
      </c>
      <c r="B1974" t="s">
        <v>148</v>
      </c>
      <c r="C1974" t="s">
        <v>1183</v>
      </c>
      <c r="D1974" t="s">
        <v>27</v>
      </c>
      <c r="E1974" t="s">
        <v>1268</v>
      </c>
      <c r="G1974" t="s">
        <v>8</v>
      </c>
      <c r="H1974" t="s">
        <v>907</v>
      </c>
      <c r="I1974" t="s">
        <v>163</v>
      </c>
      <c r="J1974" t="s">
        <v>4220</v>
      </c>
    </row>
    <row r="1975" spans="1:10" x14ac:dyDescent="0.25">
      <c r="A1975" s="43" t="s">
        <v>3618</v>
      </c>
      <c r="B1975" t="s">
        <v>407</v>
      </c>
      <c r="C1975" t="s">
        <v>1194</v>
      </c>
      <c r="D1975" t="s">
        <v>21</v>
      </c>
      <c r="E1975" t="s">
        <v>1497</v>
      </c>
      <c r="G1975" t="s">
        <v>8</v>
      </c>
      <c r="H1975" t="s">
        <v>907</v>
      </c>
      <c r="I1975" t="s">
        <v>28</v>
      </c>
      <c r="J1975" t="s">
        <v>408</v>
      </c>
    </row>
    <row r="1976" spans="1:10" x14ac:dyDescent="0.25">
      <c r="A1976" s="43" t="s">
        <v>4051</v>
      </c>
      <c r="B1976" t="s">
        <v>459</v>
      </c>
      <c r="C1976" t="s">
        <v>1177</v>
      </c>
      <c r="D1976" t="s">
        <v>21</v>
      </c>
      <c r="G1976" t="s">
        <v>8</v>
      </c>
      <c r="H1976" t="s">
        <v>907</v>
      </c>
      <c r="I1976" t="s">
        <v>123</v>
      </c>
      <c r="J1976" t="s">
        <v>2024</v>
      </c>
    </row>
    <row r="1977" spans="1:10" x14ac:dyDescent="0.25">
      <c r="A1977" s="43" t="s">
        <v>4050</v>
      </c>
      <c r="B1977" t="s">
        <v>526</v>
      </c>
      <c r="C1977" t="s">
        <v>1183</v>
      </c>
      <c r="D1977" t="s">
        <v>56</v>
      </c>
      <c r="E1977" t="s">
        <v>1246</v>
      </c>
      <c r="G1977" t="s">
        <v>8</v>
      </c>
      <c r="H1977" t="s">
        <v>907</v>
      </c>
      <c r="I1977" t="s">
        <v>105</v>
      </c>
      <c r="J1977" t="s">
        <v>529</v>
      </c>
    </row>
    <row r="1978" spans="1:10" x14ac:dyDescent="0.25">
      <c r="A1978" s="43" t="s">
        <v>4049</v>
      </c>
      <c r="B1978" t="s">
        <v>526</v>
      </c>
      <c r="C1978" t="s">
        <v>1177</v>
      </c>
      <c r="D1978" t="s">
        <v>91</v>
      </c>
      <c r="G1978" t="s">
        <v>8</v>
      </c>
      <c r="H1978" t="s">
        <v>907</v>
      </c>
      <c r="I1978" t="s">
        <v>252</v>
      </c>
      <c r="J1978" t="s">
        <v>2017</v>
      </c>
    </row>
    <row r="1979" spans="1:10" x14ac:dyDescent="0.25">
      <c r="A1979" s="43" t="s">
        <v>3617</v>
      </c>
      <c r="B1979" t="s">
        <v>552</v>
      </c>
      <c r="C1979" t="s">
        <v>1183</v>
      </c>
      <c r="E1979" t="s">
        <v>1268</v>
      </c>
      <c r="G1979" t="s">
        <v>8</v>
      </c>
      <c r="H1979" t="s">
        <v>907</v>
      </c>
      <c r="I1979" t="s">
        <v>612</v>
      </c>
      <c r="J1979" t="s">
        <v>2320</v>
      </c>
    </row>
    <row r="1980" spans="1:10" x14ac:dyDescent="0.25">
      <c r="A1980" s="43" t="s">
        <v>4048</v>
      </c>
      <c r="B1980" t="s">
        <v>592</v>
      </c>
      <c r="C1980" t="s">
        <v>1188</v>
      </c>
      <c r="D1980" t="s">
        <v>15</v>
      </c>
      <c r="E1980" t="s">
        <v>1239</v>
      </c>
      <c r="G1980" t="s">
        <v>8</v>
      </c>
      <c r="H1980" t="s">
        <v>907</v>
      </c>
      <c r="I1980" t="s">
        <v>153</v>
      </c>
      <c r="J1980" t="s">
        <v>2331</v>
      </c>
    </row>
    <row r="1981" spans="1:10" x14ac:dyDescent="0.25">
      <c r="A1981" s="43" t="s">
        <v>3616</v>
      </c>
      <c r="B1981" t="s">
        <v>592</v>
      </c>
      <c r="C1981" t="s">
        <v>1183</v>
      </c>
      <c r="D1981" t="s">
        <v>91</v>
      </c>
      <c r="G1981" t="s">
        <v>8</v>
      </c>
      <c r="H1981" t="s">
        <v>907</v>
      </c>
      <c r="I1981" t="s">
        <v>612</v>
      </c>
      <c r="J1981" t="s">
        <v>1780</v>
      </c>
    </row>
    <row r="1982" spans="1:10" x14ac:dyDescent="0.25">
      <c r="A1982" s="43" t="s">
        <v>3615</v>
      </c>
      <c r="B1982" t="s">
        <v>61</v>
      </c>
      <c r="C1982" t="s">
        <v>1183</v>
      </c>
      <c r="D1982" t="s">
        <v>56</v>
      </c>
      <c r="E1982" t="s">
        <v>1243</v>
      </c>
      <c r="G1982" t="s">
        <v>8</v>
      </c>
      <c r="H1982" t="s">
        <v>907</v>
      </c>
      <c r="I1982" t="s">
        <v>242</v>
      </c>
      <c r="J1982" t="s">
        <v>304</v>
      </c>
    </row>
    <row r="1983" spans="1:10" x14ac:dyDescent="0.25">
      <c r="A1983" s="43" t="s">
        <v>4045</v>
      </c>
      <c r="B1983" t="s">
        <v>61</v>
      </c>
      <c r="C1983" t="s">
        <v>1183</v>
      </c>
      <c r="D1983" t="s">
        <v>56</v>
      </c>
      <c r="E1983" t="s">
        <v>1243</v>
      </c>
      <c r="G1983" t="s">
        <v>8</v>
      </c>
      <c r="H1983" t="s">
        <v>907</v>
      </c>
      <c r="I1983" t="s">
        <v>72</v>
      </c>
      <c r="J1983" t="s">
        <v>1958</v>
      </c>
    </row>
    <row r="1984" spans="1:10" x14ac:dyDescent="0.25">
      <c r="A1984" s="43" t="s">
        <v>4044</v>
      </c>
      <c r="B1984" t="s">
        <v>148</v>
      </c>
      <c r="C1984" t="s">
        <v>1183</v>
      </c>
      <c r="D1984" t="s">
        <v>27</v>
      </c>
      <c r="E1984" t="s">
        <v>1268</v>
      </c>
      <c r="G1984" t="s">
        <v>8</v>
      </c>
      <c r="H1984" t="s">
        <v>907</v>
      </c>
      <c r="I1984" t="s">
        <v>4014</v>
      </c>
      <c r="J1984" t="s">
        <v>2251</v>
      </c>
    </row>
    <row r="1985" spans="1:10" x14ac:dyDescent="0.25">
      <c r="A1985" s="43" t="s">
        <v>4047</v>
      </c>
      <c r="B1985" t="s">
        <v>222</v>
      </c>
      <c r="C1985" t="s">
        <v>1177</v>
      </c>
      <c r="D1985" t="s">
        <v>203</v>
      </c>
      <c r="E1985" t="s">
        <v>1420</v>
      </c>
      <c r="G1985" t="s">
        <v>8</v>
      </c>
      <c r="H1985" t="s">
        <v>907</v>
      </c>
      <c r="I1985" t="s">
        <v>229</v>
      </c>
      <c r="J1985" t="s">
        <v>2250</v>
      </c>
    </row>
    <row r="1986" spans="1:10" x14ac:dyDescent="0.25">
      <c r="A1986" s="43" t="s">
        <v>4218</v>
      </c>
      <c r="B1986" t="s">
        <v>407</v>
      </c>
      <c r="C1986" t="s">
        <v>1177</v>
      </c>
      <c r="D1986" t="s">
        <v>27</v>
      </c>
      <c r="E1986" t="s">
        <v>1374</v>
      </c>
      <c r="G1986" t="s">
        <v>8</v>
      </c>
      <c r="H1986" t="s">
        <v>907</v>
      </c>
      <c r="I1986" t="s">
        <v>410</v>
      </c>
      <c r="J1986" t="s">
        <v>411</v>
      </c>
    </row>
    <row r="1987" spans="1:10" x14ac:dyDescent="0.25">
      <c r="A1987" s="43" t="s">
        <v>3612</v>
      </c>
      <c r="B1987" t="s">
        <v>459</v>
      </c>
      <c r="C1987" t="s">
        <v>1177</v>
      </c>
      <c r="D1987" t="s">
        <v>21</v>
      </c>
      <c r="E1987" t="s">
        <v>1239</v>
      </c>
      <c r="G1987" t="s">
        <v>8</v>
      </c>
      <c r="H1987" t="s">
        <v>907</v>
      </c>
      <c r="I1987" t="s">
        <v>462</v>
      </c>
      <c r="J1987" t="s">
        <v>2210</v>
      </c>
    </row>
    <row r="1988" spans="1:10" x14ac:dyDescent="0.25">
      <c r="A1988" s="43" t="s">
        <v>2786</v>
      </c>
      <c r="B1988" t="s">
        <v>526</v>
      </c>
      <c r="C1988" t="s">
        <v>1188</v>
      </c>
      <c r="D1988" t="s">
        <v>21</v>
      </c>
      <c r="E1988" t="s">
        <v>1378</v>
      </c>
      <c r="G1988" t="s">
        <v>8</v>
      </c>
      <c r="H1988" t="s">
        <v>907</v>
      </c>
      <c r="I1988" t="s">
        <v>189</v>
      </c>
      <c r="J1988" t="s">
        <v>2787</v>
      </c>
    </row>
    <row r="1989" spans="1:10" x14ac:dyDescent="0.25">
      <c r="A1989" s="43" t="s">
        <v>2785</v>
      </c>
      <c r="B1989" t="s">
        <v>592</v>
      </c>
      <c r="C1989" t="s">
        <v>1188</v>
      </c>
      <c r="D1989" t="s">
        <v>15</v>
      </c>
      <c r="E1989" t="s">
        <v>1378</v>
      </c>
      <c r="G1989" t="s">
        <v>8</v>
      </c>
      <c r="H1989" t="s">
        <v>907</v>
      </c>
      <c r="I1989" t="s">
        <v>159</v>
      </c>
      <c r="J1989" t="s">
        <v>2131</v>
      </c>
    </row>
    <row r="1990" spans="1:10" x14ac:dyDescent="0.25">
      <c r="A1990" s="43" t="s">
        <v>3611</v>
      </c>
      <c r="B1990" t="s">
        <v>592</v>
      </c>
      <c r="C1990" t="s">
        <v>1183</v>
      </c>
      <c r="D1990" t="s">
        <v>91</v>
      </c>
      <c r="E1990" t="s">
        <v>1272</v>
      </c>
      <c r="G1990" t="s">
        <v>8</v>
      </c>
      <c r="H1990" t="s">
        <v>907</v>
      </c>
      <c r="I1990" t="s">
        <v>1516</v>
      </c>
      <c r="J1990" t="s">
        <v>2211</v>
      </c>
    </row>
    <row r="1991" spans="1:10" x14ac:dyDescent="0.25">
      <c r="A1991" s="43" t="s">
        <v>4046</v>
      </c>
      <c r="B1991" t="s">
        <v>678</v>
      </c>
      <c r="C1991" t="s">
        <v>1188</v>
      </c>
      <c r="D1991" t="s">
        <v>56</v>
      </c>
      <c r="E1991" t="s">
        <v>1231</v>
      </c>
      <c r="G1991" t="s">
        <v>8</v>
      </c>
      <c r="H1991" t="s">
        <v>907</v>
      </c>
      <c r="I1991" t="s">
        <v>704</v>
      </c>
      <c r="J1991" t="s">
        <v>2212</v>
      </c>
    </row>
    <row r="1992" spans="1:10" x14ac:dyDescent="0.25">
      <c r="A1992" s="43" t="s">
        <v>3610</v>
      </c>
      <c r="B1992" t="s">
        <v>678</v>
      </c>
      <c r="C1992" t="s">
        <v>1183</v>
      </c>
      <c r="D1992" t="s">
        <v>56</v>
      </c>
      <c r="E1992" t="s">
        <v>1243</v>
      </c>
      <c r="G1992" t="s">
        <v>8</v>
      </c>
      <c r="H1992" t="s">
        <v>907</v>
      </c>
      <c r="I1992" t="s">
        <v>69</v>
      </c>
      <c r="J1992" t="s">
        <v>2214</v>
      </c>
    </row>
    <row r="1993" spans="1:10" x14ac:dyDescent="0.25">
      <c r="A1993" s="43" t="s">
        <v>3609</v>
      </c>
      <c r="B1993" t="s">
        <v>822</v>
      </c>
      <c r="C1993" t="s">
        <v>1188</v>
      </c>
      <c r="D1993" t="s">
        <v>27</v>
      </c>
      <c r="E1993" t="s">
        <v>1292</v>
      </c>
      <c r="G1993" t="s">
        <v>8</v>
      </c>
      <c r="H1993" t="s">
        <v>907</v>
      </c>
      <c r="I1993" t="s">
        <v>847</v>
      </c>
      <c r="J1993" t="s">
        <v>848</v>
      </c>
    </row>
    <row r="1994" spans="1:10" x14ac:dyDescent="0.25">
      <c r="A1994" s="43" t="s">
        <v>4043</v>
      </c>
      <c r="B1994" t="s">
        <v>552</v>
      </c>
      <c r="C1994" t="s">
        <v>1188</v>
      </c>
      <c r="D1994" t="s">
        <v>203</v>
      </c>
      <c r="E1994" t="s">
        <v>1244</v>
      </c>
      <c r="G1994" t="s">
        <v>8</v>
      </c>
      <c r="H1994" t="s">
        <v>907</v>
      </c>
      <c r="I1994" t="s">
        <v>565</v>
      </c>
      <c r="J1994" t="s">
        <v>2349</v>
      </c>
    </row>
    <row r="1995" spans="1:10" x14ac:dyDescent="0.25">
      <c r="A1995" s="43" t="s">
        <v>4042</v>
      </c>
      <c r="B1995" t="s">
        <v>62</v>
      </c>
      <c r="C1995" t="s">
        <v>1188</v>
      </c>
      <c r="D1995" t="s">
        <v>27</v>
      </c>
      <c r="E1995" t="s">
        <v>1400</v>
      </c>
      <c r="G1995" t="s">
        <v>8</v>
      </c>
      <c r="H1995" t="s">
        <v>907</v>
      </c>
      <c r="I1995" t="s">
        <v>173</v>
      </c>
      <c r="J1995" t="s">
        <v>2129</v>
      </c>
    </row>
    <row r="1996" spans="1:10" x14ac:dyDescent="0.25">
      <c r="A1996" s="43" t="s">
        <v>4041</v>
      </c>
      <c r="B1996" t="s">
        <v>822</v>
      </c>
      <c r="C1996" t="s">
        <v>1188</v>
      </c>
      <c r="D1996" t="s">
        <v>197</v>
      </c>
      <c r="E1996" t="s">
        <v>1298</v>
      </c>
      <c r="G1996" t="s">
        <v>8</v>
      </c>
      <c r="H1996" t="s">
        <v>907</v>
      </c>
      <c r="I1996" t="s">
        <v>3147</v>
      </c>
      <c r="J1996" t="s">
        <v>2165</v>
      </c>
    </row>
    <row r="1997" spans="1:10" x14ac:dyDescent="0.25">
      <c r="A1997" s="43" t="s">
        <v>3607</v>
      </c>
      <c r="B1997" t="s">
        <v>678</v>
      </c>
      <c r="C1997" t="s">
        <v>1188</v>
      </c>
      <c r="D1997" t="s">
        <v>91</v>
      </c>
      <c r="G1997" t="s">
        <v>8</v>
      </c>
      <c r="H1997" t="s">
        <v>907</v>
      </c>
      <c r="I1997" t="s">
        <v>10</v>
      </c>
      <c r="J1997" t="s">
        <v>3608</v>
      </c>
    </row>
    <row r="1998" spans="1:10" x14ac:dyDescent="0.25">
      <c r="A1998" s="43" t="s">
        <v>3606</v>
      </c>
      <c r="B1998" t="s">
        <v>822</v>
      </c>
      <c r="C1998" t="s">
        <v>1188</v>
      </c>
      <c r="D1998" t="s">
        <v>15</v>
      </c>
      <c r="G1998" t="s">
        <v>8</v>
      </c>
      <c r="H1998" t="s">
        <v>907</v>
      </c>
      <c r="I1998" t="s">
        <v>105</v>
      </c>
      <c r="J1998" t="s">
        <v>2029</v>
      </c>
    </row>
    <row r="1999" spans="1:10" x14ac:dyDescent="0.25">
      <c r="A1999" s="43" t="s">
        <v>3604</v>
      </c>
      <c r="B1999" t="s">
        <v>459</v>
      </c>
      <c r="C1999" t="s">
        <v>1177</v>
      </c>
      <c r="D1999" t="s">
        <v>1213</v>
      </c>
      <c r="E1999" t="s">
        <v>3605</v>
      </c>
      <c r="G1999" t="s">
        <v>1340</v>
      </c>
      <c r="H1999" t="s">
        <v>907</v>
      </c>
      <c r="I1999" t="s">
        <v>716</v>
      </c>
    </row>
    <row r="2000" spans="1:10" x14ac:dyDescent="0.25">
      <c r="A2000" s="43" t="s">
        <v>3603</v>
      </c>
      <c r="B2000" t="s">
        <v>459</v>
      </c>
      <c r="C2000" t="s">
        <v>1446</v>
      </c>
      <c r="D2000" t="s">
        <v>1213</v>
      </c>
      <c r="E2000" t="s">
        <v>1536</v>
      </c>
      <c r="G2000" t="s">
        <v>1340</v>
      </c>
      <c r="H2000" t="s">
        <v>907</v>
      </c>
      <c r="I2000" t="s">
        <v>689</v>
      </c>
    </row>
    <row r="2001" spans="1:10" x14ac:dyDescent="0.25">
      <c r="A2001" s="43" t="s">
        <v>3601</v>
      </c>
      <c r="B2001" t="s">
        <v>526</v>
      </c>
      <c r="C2001" t="s">
        <v>1177</v>
      </c>
      <c r="D2001" t="s">
        <v>1213</v>
      </c>
      <c r="E2001" t="s">
        <v>3602</v>
      </c>
      <c r="G2001" t="s">
        <v>1340</v>
      </c>
      <c r="H2001" t="s">
        <v>907</v>
      </c>
      <c r="I2001" t="s">
        <v>1316</v>
      </c>
    </row>
    <row r="2002" spans="1:10" x14ac:dyDescent="0.25">
      <c r="A2002" s="43" t="s">
        <v>3599</v>
      </c>
      <c r="B2002" t="s">
        <v>552</v>
      </c>
      <c r="C2002" t="s">
        <v>1177</v>
      </c>
      <c r="D2002" t="s">
        <v>1213</v>
      </c>
      <c r="E2002" t="s">
        <v>3600</v>
      </c>
      <c r="G2002" t="s">
        <v>1340</v>
      </c>
      <c r="H2002" t="s">
        <v>907</v>
      </c>
      <c r="I2002" t="s">
        <v>1366</v>
      </c>
    </row>
    <row r="2003" spans="1:10" x14ac:dyDescent="0.25">
      <c r="A2003" s="43" t="s">
        <v>3597</v>
      </c>
      <c r="B2003" t="s">
        <v>592</v>
      </c>
      <c r="C2003" t="s">
        <v>1183</v>
      </c>
      <c r="D2003" t="s">
        <v>931</v>
      </c>
      <c r="E2003" t="s">
        <v>3598</v>
      </c>
      <c r="G2003" t="s">
        <v>1340</v>
      </c>
      <c r="H2003" t="s">
        <v>907</v>
      </c>
      <c r="I2003" t="s">
        <v>1276</v>
      </c>
    </row>
    <row r="2004" spans="1:10" x14ac:dyDescent="0.25">
      <c r="A2004" s="43" t="s">
        <v>3595</v>
      </c>
      <c r="B2004" t="s">
        <v>592</v>
      </c>
      <c r="C2004" t="s">
        <v>1177</v>
      </c>
      <c r="D2004" t="s">
        <v>931</v>
      </c>
      <c r="E2004" t="s">
        <v>3596</v>
      </c>
      <c r="G2004" t="s">
        <v>1340</v>
      </c>
      <c r="H2004" t="s">
        <v>907</v>
      </c>
      <c r="I2004" t="s">
        <v>597</v>
      </c>
    </row>
    <row r="2005" spans="1:10" x14ac:dyDescent="0.25">
      <c r="A2005" s="43" t="s">
        <v>3594</v>
      </c>
      <c r="B2005" t="s">
        <v>678</v>
      </c>
      <c r="C2005" t="s">
        <v>1462</v>
      </c>
      <c r="D2005" t="s">
        <v>1213</v>
      </c>
      <c r="G2005" t="s">
        <v>1340</v>
      </c>
      <c r="H2005" t="s">
        <v>907</v>
      </c>
      <c r="I2005" t="s">
        <v>1341</v>
      </c>
    </row>
    <row r="2006" spans="1:10" x14ac:dyDescent="0.25">
      <c r="A2006" s="43" t="s">
        <v>3593</v>
      </c>
      <c r="B2006" t="s">
        <v>222</v>
      </c>
      <c r="C2006" t="s">
        <v>1177</v>
      </c>
      <c r="D2006" t="s">
        <v>15</v>
      </c>
      <c r="E2006" t="s">
        <v>1478</v>
      </c>
      <c r="G2006" t="s">
        <v>1340</v>
      </c>
      <c r="H2006" t="s">
        <v>907</v>
      </c>
      <c r="I2006" t="s">
        <v>562</v>
      </c>
    </row>
    <row r="2007" spans="1:10" x14ac:dyDescent="0.25">
      <c r="A2007" s="43" t="s">
        <v>3591</v>
      </c>
      <c r="B2007" t="s">
        <v>407</v>
      </c>
      <c r="C2007" t="s">
        <v>1178</v>
      </c>
      <c r="D2007" t="s">
        <v>91</v>
      </c>
      <c r="E2007" t="s">
        <v>3592</v>
      </c>
      <c r="G2007" t="s">
        <v>1340</v>
      </c>
      <c r="H2007" t="s">
        <v>907</v>
      </c>
      <c r="I2007" t="s">
        <v>697</v>
      </c>
    </row>
    <row r="2008" spans="1:10" x14ac:dyDescent="0.25">
      <c r="A2008" s="43" t="s">
        <v>3587</v>
      </c>
      <c r="B2008" t="s">
        <v>592</v>
      </c>
      <c r="C2008" t="s">
        <v>1188</v>
      </c>
      <c r="D2008" t="s">
        <v>15</v>
      </c>
      <c r="E2008" t="s">
        <v>3588</v>
      </c>
      <c r="G2008" t="s">
        <v>1340</v>
      </c>
      <c r="H2008" t="s">
        <v>907</v>
      </c>
      <c r="I2008" t="s">
        <v>3589</v>
      </c>
      <c r="J2008" t="s">
        <v>3590</v>
      </c>
    </row>
    <row r="2009" spans="1:10" x14ac:dyDescent="0.25">
      <c r="A2009" s="43" t="s">
        <v>3614</v>
      </c>
      <c r="B2009" t="s">
        <v>592</v>
      </c>
      <c r="C2009" t="s">
        <v>1188</v>
      </c>
      <c r="D2009" t="s">
        <v>15</v>
      </c>
      <c r="E2009" t="s">
        <v>3588</v>
      </c>
      <c r="G2009" t="s">
        <v>1340</v>
      </c>
      <c r="H2009" t="s">
        <v>907</v>
      </c>
      <c r="I2009" t="s">
        <v>3589</v>
      </c>
      <c r="J2009" t="s">
        <v>3590</v>
      </c>
    </row>
    <row r="2010" spans="1:10" x14ac:dyDescent="0.25">
      <c r="A2010" s="43" t="s">
        <v>4040</v>
      </c>
      <c r="B2010" t="s">
        <v>678</v>
      </c>
      <c r="C2010" t="s">
        <v>1183</v>
      </c>
      <c r="D2010" t="s">
        <v>931</v>
      </c>
      <c r="E2010" t="s">
        <v>1497</v>
      </c>
      <c r="G2010" t="s">
        <v>1340</v>
      </c>
      <c r="H2010" t="s">
        <v>907</v>
      </c>
      <c r="I2010" t="s">
        <v>1254</v>
      </c>
    </row>
    <row r="2011" spans="1:10" x14ac:dyDescent="0.25">
      <c r="A2011" s="43" t="s">
        <v>3613</v>
      </c>
      <c r="B2011" t="s">
        <v>822</v>
      </c>
      <c r="C2011" t="s">
        <v>1178</v>
      </c>
      <c r="D2011" t="s">
        <v>931</v>
      </c>
      <c r="G2011" t="s">
        <v>1340</v>
      </c>
      <c r="H2011" t="s">
        <v>907</v>
      </c>
      <c r="I2011" t="s">
        <v>1291</v>
      </c>
    </row>
  </sheetData>
  <sortState ref="A2:J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2" bestFit="1" customWidth="1"/>
    <col min="19" max="19" width="9.28515625" style="22" bestFit="1" customWidth="1"/>
    <col min="20" max="20" width="43.28515625" style="8"/>
    <col min="21" max="16384" width="43.28515625" style="1"/>
  </cols>
  <sheetData>
    <row r="1" spans="1:20" s="23" customFormat="1" ht="19.5" x14ac:dyDescent="0.25">
      <c r="A1" s="23" t="s">
        <v>878</v>
      </c>
      <c r="B1" s="23" t="s">
        <v>879</v>
      </c>
      <c r="C1" s="23" t="s">
        <v>880</v>
      </c>
      <c r="D1" s="23" t="s">
        <v>881</v>
      </c>
      <c r="E1" s="23" t="s">
        <v>882</v>
      </c>
      <c r="F1" s="24" t="s">
        <v>883</v>
      </c>
      <c r="G1" s="24" t="s">
        <v>884</v>
      </c>
      <c r="H1" s="23" t="s">
        <v>896</v>
      </c>
      <c r="I1" s="23" t="s">
        <v>895</v>
      </c>
      <c r="J1" s="23" t="s">
        <v>868</v>
      </c>
      <c r="K1" s="23" t="s">
        <v>871</v>
      </c>
      <c r="L1" s="23" t="s">
        <v>869</v>
      </c>
      <c r="M1" s="23" t="s">
        <v>1</v>
      </c>
      <c r="N1" s="23" t="s">
        <v>885</v>
      </c>
      <c r="O1" s="23" t="s">
        <v>893</v>
      </c>
      <c r="P1" s="23" t="s">
        <v>894</v>
      </c>
      <c r="Q1" s="23" t="s">
        <v>867</v>
      </c>
      <c r="R1" s="25" t="s">
        <v>887</v>
      </c>
      <c r="S1" s="25" t="s">
        <v>886</v>
      </c>
      <c r="T1" s="24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2">
        <f t="shared" ref="R2:R65" si="6">_xlfn.NUMBERVALUE(LEFT(Q2,FIND("x",Q2)-2))</f>
        <v>76</v>
      </c>
      <c r="S2" s="22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2">
        <f t="shared" si="6"/>
        <v>78</v>
      </c>
      <c r="S3" s="22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2">
        <f t="shared" si="6"/>
        <v>75</v>
      </c>
      <c r="S4" s="22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907</v>
      </c>
      <c r="O5" s="5" t="s">
        <v>330</v>
      </c>
      <c r="P5" s="5" t="str">
        <f t="shared" si="5"/>
        <v>400</v>
      </c>
      <c r="Q5" s="5" t="s">
        <v>861</v>
      </c>
      <c r="R5" s="22">
        <f t="shared" si="6"/>
        <v>74</v>
      </c>
      <c r="S5" s="22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2">
        <f t="shared" si="6"/>
        <v>83</v>
      </c>
      <c r="S6" s="22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898</v>
      </c>
      <c r="O7" s="5" t="s">
        <v>562</v>
      </c>
      <c r="P7" s="5" t="str">
        <f t="shared" si="5"/>
        <v>500</v>
      </c>
      <c r="Q7" s="5" t="s">
        <v>563</v>
      </c>
      <c r="R7" s="22">
        <f t="shared" si="6"/>
        <v>64</v>
      </c>
      <c r="S7" s="22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2">
        <f t="shared" si="6"/>
        <v>70</v>
      </c>
      <c r="S8" s="22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2">
        <f t="shared" si="6"/>
        <v>77</v>
      </c>
      <c r="S9" s="22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2">
        <f t="shared" si="6"/>
        <v>88</v>
      </c>
      <c r="S10" s="22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2">
        <f t="shared" si="6"/>
        <v>84</v>
      </c>
      <c r="S11" s="22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2">
        <f t="shared" si="6"/>
        <v>83</v>
      </c>
      <c r="S12" s="22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2">
        <f t="shared" si="6"/>
        <v>84</v>
      </c>
      <c r="S13" s="22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2">
        <f t="shared" si="6"/>
        <v>83</v>
      </c>
      <c r="S14" s="22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2">
        <f t="shared" si="6"/>
        <v>76</v>
      </c>
      <c r="S15" s="22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2">
        <f t="shared" si="6"/>
        <v>87</v>
      </c>
      <c r="S16" s="22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2">
        <f t="shared" si="6"/>
        <v>63</v>
      </c>
      <c r="S17" s="22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2">
        <f t="shared" si="6"/>
        <v>84</v>
      </c>
      <c r="S18" s="22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2">
        <f t="shared" si="6"/>
        <v>84</v>
      </c>
      <c r="S19" s="22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2">
        <f t="shared" si="6"/>
        <v>89</v>
      </c>
      <c r="S20" s="22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2">
        <f t="shared" si="6"/>
        <v>83</v>
      </c>
      <c r="S21" s="22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2">
        <f t="shared" si="6"/>
        <v>85</v>
      </c>
      <c r="S22" s="22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2">
        <f t="shared" si="6"/>
        <v>88</v>
      </c>
      <c r="S23" s="22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2">
        <f t="shared" si="6"/>
        <v>102</v>
      </c>
      <c r="S24" s="22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2">
        <f t="shared" si="6"/>
        <v>84</v>
      </c>
      <c r="S25" s="22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2">
        <f t="shared" si="6"/>
        <v>84</v>
      </c>
      <c r="S26" s="22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2">
        <f t="shared" si="6"/>
        <v>89</v>
      </c>
      <c r="S27" s="22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2">
        <f t="shared" si="6"/>
        <v>98</v>
      </c>
      <c r="S28" s="22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2">
        <f t="shared" si="6"/>
        <v>87</v>
      </c>
      <c r="S29" s="22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2">
        <f t="shared" si="6"/>
        <v>95</v>
      </c>
      <c r="S30" s="22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2">
        <f t="shared" si="6"/>
        <v>97</v>
      </c>
      <c r="S31" s="22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2">
        <f t="shared" si="6"/>
        <v>82</v>
      </c>
      <c r="S32" s="22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2">
        <f t="shared" si="6"/>
        <v>83</v>
      </c>
      <c r="S33" s="22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2">
        <f t="shared" si="6"/>
        <v>74</v>
      </c>
      <c r="S34" s="22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2">
        <f t="shared" si="6"/>
        <v>103</v>
      </c>
      <c r="S35" s="22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2">
        <f t="shared" si="6"/>
        <v>111</v>
      </c>
      <c r="S36" s="22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2">
        <f t="shared" si="6"/>
        <v>78</v>
      </c>
      <c r="S37" s="22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2">
        <f t="shared" si="6"/>
        <v>90</v>
      </c>
      <c r="S38" s="22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2">
        <f t="shared" si="6"/>
        <v>75</v>
      </c>
      <c r="S39" s="22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2">
        <f t="shared" si="6"/>
        <v>83</v>
      </c>
      <c r="S40" s="22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2">
        <f t="shared" si="6"/>
        <v>84</v>
      </c>
      <c r="S41" s="22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2">
        <f t="shared" si="6"/>
        <v>80</v>
      </c>
      <c r="S42" s="22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2">
        <f t="shared" si="6"/>
        <v>72</v>
      </c>
      <c r="S43" s="22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2">
        <f t="shared" si="6"/>
        <v>63</v>
      </c>
      <c r="S44" s="22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2">
        <f t="shared" si="6"/>
        <v>94</v>
      </c>
      <c r="S45" s="22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2">
        <f t="shared" si="6"/>
        <v>84</v>
      </c>
      <c r="S46" s="22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2">
        <f t="shared" si="6"/>
        <v>83</v>
      </c>
      <c r="S47" s="22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2">
        <f t="shared" si="6"/>
        <v>89</v>
      </c>
      <c r="S48" s="22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2">
        <f t="shared" si="6"/>
        <v>84</v>
      </c>
      <c r="S49" s="22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2">
        <f t="shared" si="6"/>
        <v>74</v>
      </c>
      <c r="S50" s="22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2">
        <f t="shared" si="6"/>
        <v>80</v>
      </c>
      <c r="S51" s="22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2">
        <f t="shared" si="6"/>
        <v>86</v>
      </c>
      <c r="S52" s="22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2">
        <f t="shared" si="6"/>
        <v>79</v>
      </c>
      <c r="S53" s="22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2">
        <f t="shared" si="6"/>
        <v>79</v>
      </c>
      <c r="S54" s="22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2">
        <f t="shared" si="6"/>
        <v>79</v>
      </c>
      <c r="S55" s="22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2">
        <f t="shared" si="6"/>
        <v>76</v>
      </c>
      <c r="S56" s="22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2">
        <f t="shared" si="6"/>
        <v>74</v>
      </c>
      <c r="S57" s="22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2">
        <f t="shared" si="6"/>
        <v>78</v>
      </c>
      <c r="S58" s="22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2">
        <f t="shared" si="6"/>
        <v>77</v>
      </c>
      <c r="S59" s="22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2">
        <f t="shared" si="6"/>
        <v>76</v>
      </c>
      <c r="S60" s="22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2">
        <f t="shared" si="6"/>
        <v>70</v>
      </c>
      <c r="S61" s="22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2">
        <f t="shared" si="6"/>
        <v>79</v>
      </c>
      <c r="S62" s="22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2">
        <f t="shared" si="6"/>
        <v>71</v>
      </c>
      <c r="S63" s="22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2">
        <f t="shared" si="6"/>
        <v>75</v>
      </c>
      <c r="S64" s="22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2">
        <f t="shared" si="6"/>
        <v>84</v>
      </c>
      <c r="S65" s="22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2">
        <f t="shared" ref="R66:R129" si="19">_xlfn.NUMBERVALUE(LEFT(Q66,FIND("x",Q66)-2))</f>
        <v>74</v>
      </c>
      <c r="S66" s="22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2">
        <f t="shared" si="19"/>
        <v>79</v>
      </c>
      <c r="S67" s="22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2">
        <f t="shared" si="19"/>
        <v>75</v>
      </c>
      <c r="S68" s="22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2">
        <f t="shared" si="19"/>
        <v>75</v>
      </c>
      <c r="S69" s="22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2">
        <f t="shared" si="19"/>
        <v>80</v>
      </c>
      <c r="S70" s="22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2">
        <f t="shared" si="19"/>
        <v>83</v>
      </c>
      <c r="S71" s="22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2">
        <f t="shared" si="19"/>
        <v>79</v>
      </c>
      <c r="S72" s="22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2">
        <f t="shared" si="19"/>
        <v>79</v>
      </c>
      <c r="S73" s="22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2">
        <f t="shared" si="19"/>
        <v>83</v>
      </c>
      <c r="S74" s="22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2">
        <f t="shared" si="19"/>
        <v>83</v>
      </c>
      <c r="S75" s="22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2">
        <f t="shared" si="19"/>
        <v>78</v>
      </c>
      <c r="S76" s="22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2">
        <f t="shared" si="19"/>
        <v>79</v>
      </c>
      <c r="S77" s="22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2">
        <f t="shared" si="19"/>
        <v>79</v>
      </c>
      <c r="S78" s="22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2">
        <f t="shared" si="19"/>
        <v>74</v>
      </c>
      <c r="S79" s="22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2">
        <f t="shared" si="19"/>
        <v>65</v>
      </c>
      <c r="S80" s="22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2">
        <f t="shared" si="19"/>
        <v>65</v>
      </c>
      <c r="S81" s="22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2">
        <f t="shared" si="19"/>
        <v>71</v>
      </c>
      <c r="S82" s="22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2">
        <f t="shared" si="19"/>
        <v>73</v>
      </c>
      <c r="S83" s="22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2">
        <f t="shared" si="19"/>
        <v>66</v>
      </c>
      <c r="S84" s="22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2">
        <f t="shared" si="19"/>
        <v>73</v>
      </c>
      <c r="S85" s="22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2">
        <f t="shared" si="19"/>
        <v>90</v>
      </c>
      <c r="S86" s="22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2">
        <f t="shared" si="19"/>
        <v>78</v>
      </c>
      <c r="S87" s="22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2">
        <f t="shared" si="19"/>
        <v>89</v>
      </c>
      <c r="S88" s="22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2">
        <f t="shared" si="19"/>
        <v>69</v>
      </c>
      <c r="S89" s="22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2">
        <f t="shared" si="19"/>
        <v>83</v>
      </c>
      <c r="S90" s="22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2">
        <f t="shared" si="19"/>
        <v>89</v>
      </c>
      <c r="S91" s="22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2">
        <f t="shared" si="19"/>
        <v>92</v>
      </c>
      <c r="S92" s="22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2">
        <f t="shared" si="19"/>
        <v>94</v>
      </c>
      <c r="S93" s="22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2">
        <f t="shared" si="19"/>
        <v>99</v>
      </c>
      <c r="S94" s="22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2">
        <f t="shared" si="19"/>
        <v>96</v>
      </c>
      <c r="S95" s="22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2">
        <f t="shared" si="19"/>
        <v>64</v>
      </c>
      <c r="S96" s="22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2">
        <f t="shared" si="19"/>
        <v>89</v>
      </c>
      <c r="S97" s="22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2">
        <f t="shared" si="19"/>
        <v>83</v>
      </c>
      <c r="S98" s="22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2">
        <f t="shared" si="19"/>
        <v>77</v>
      </c>
      <c r="S99" s="22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2">
        <f t="shared" si="19"/>
        <v>88</v>
      </c>
      <c r="S100" s="22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2">
        <f t="shared" si="19"/>
        <v>83</v>
      </c>
      <c r="S101" s="22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2">
        <f t="shared" si="19"/>
        <v>88</v>
      </c>
      <c r="S102" s="22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2">
        <f t="shared" si="19"/>
        <v>89</v>
      </c>
      <c r="S103" s="22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2">
        <f t="shared" si="19"/>
        <v>87</v>
      </c>
      <c r="S104" s="22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2">
        <f t="shared" si="19"/>
        <v>89</v>
      </c>
      <c r="S105" s="22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2">
        <f t="shared" si="19"/>
        <v>88</v>
      </c>
      <c r="S106" s="22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2">
        <f t="shared" si="19"/>
        <v>90</v>
      </c>
      <c r="S107" s="22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2">
        <f t="shared" si="19"/>
        <v>79</v>
      </c>
      <c r="S108" s="22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2">
        <f t="shared" si="19"/>
        <v>78</v>
      </c>
      <c r="S109" s="22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2">
        <f t="shared" si="19"/>
        <v>65</v>
      </c>
      <c r="S110" s="22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2">
        <f t="shared" si="19"/>
        <v>83</v>
      </c>
      <c r="S111" s="22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2">
        <f t="shared" si="19"/>
        <v>78</v>
      </c>
      <c r="S112" s="22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2">
        <f t="shared" si="19"/>
        <v>83</v>
      </c>
      <c r="S113" s="22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2">
        <f t="shared" si="19"/>
        <v>83</v>
      </c>
      <c r="S114" s="22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2">
        <f t="shared" si="19"/>
        <v>85</v>
      </c>
      <c r="S115" s="22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2">
        <f t="shared" si="19"/>
        <v>87</v>
      </c>
      <c r="S116" s="22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2">
        <f t="shared" si="19"/>
        <v>64</v>
      </c>
      <c r="S117" s="22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2">
        <f t="shared" si="19"/>
        <v>82</v>
      </c>
      <c r="S118" s="22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2">
        <f t="shared" si="19"/>
        <v>82</v>
      </c>
      <c r="S119" s="22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2">
        <f t="shared" si="19"/>
        <v>71</v>
      </c>
      <c r="S120" s="22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2">
        <f t="shared" si="19"/>
        <v>83</v>
      </c>
      <c r="S121" s="22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2">
        <f t="shared" si="19"/>
        <v>74</v>
      </c>
      <c r="S122" s="22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2">
        <f t="shared" si="19"/>
        <v>75</v>
      </c>
      <c r="S123" s="22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2">
        <f t="shared" si="19"/>
        <v>73</v>
      </c>
      <c r="S124" s="22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2">
        <f t="shared" si="19"/>
        <v>78</v>
      </c>
      <c r="S125" s="22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2">
        <f t="shared" si="19"/>
        <v>73</v>
      </c>
      <c r="S126" s="22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2">
        <f t="shared" si="19"/>
        <v>65</v>
      </c>
      <c r="S127" s="22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2">
        <f t="shared" si="19"/>
        <v>83</v>
      </c>
      <c r="S128" s="22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2">
        <f t="shared" si="19"/>
        <v>73</v>
      </c>
      <c r="S129" s="22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2">
        <f t="shared" ref="R130:R193" si="30">_xlfn.NUMBERVALUE(LEFT(Q130,FIND("x",Q130)-2))</f>
        <v>84</v>
      </c>
      <c r="S130" s="22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2">
        <f t="shared" si="30"/>
        <v>109</v>
      </c>
      <c r="S131" s="22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2">
        <f t="shared" si="30"/>
        <v>69</v>
      </c>
      <c r="S132" s="22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2">
        <f t="shared" si="30"/>
        <v>77</v>
      </c>
      <c r="S133" s="22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2">
        <f t="shared" si="30"/>
        <v>74</v>
      </c>
      <c r="S134" s="22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2">
        <f t="shared" si="30"/>
        <v>65</v>
      </c>
      <c r="S135" s="22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2">
        <f t="shared" si="30"/>
        <v>83</v>
      </c>
      <c r="S136" s="22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2">
        <f t="shared" si="30"/>
        <v>72</v>
      </c>
      <c r="S137" s="22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2">
        <f t="shared" si="30"/>
        <v>70</v>
      </c>
      <c r="S138" s="22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2">
        <f t="shared" si="30"/>
        <v>77</v>
      </c>
      <c r="S139" s="22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2">
        <f t="shared" si="30"/>
        <v>81</v>
      </c>
      <c r="S140" s="22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2">
        <f t="shared" si="30"/>
        <v>73</v>
      </c>
      <c r="S141" s="22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2">
        <f t="shared" si="30"/>
        <v>85</v>
      </c>
      <c r="S142" s="22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2">
        <f t="shared" si="30"/>
        <v>77</v>
      </c>
      <c r="S143" s="22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2">
        <f t="shared" si="30"/>
        <v>103</v>
      </c>
      <c r="S144" s="22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2">
        <f t="shared" si="30"/>
        <v>71</v>
      </c>
      <c r="S145" s="22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2">
        <f t="shared" si="30"/>
        <v>111</v>
      </c>
      <c r="S146" s="22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2">
        <f t="shared" si="30"/>
        <v>83</v>
      </c>
      <c r="S147" s="22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2">
        <f t="shared" si="30"/>
        <v>69</v>
      </c>
      <c r="S148" s="22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2">
        <f t="shared" si="30"/>
        <v>83</v>
      </c>
      <c r="S149" s="22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2">
        <f t="shared" si="30"/>
        <v>81</v>
      </c>
      <c r="S150" s="22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2">
        <f t="shared" si="30"/>
        <v>94</v>
      </c>
      <c r="S151" s="22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2">
        <f t="shared" si="30"/>
        <v>78</v>
      </c>
      <c r="S152" s="22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2">
        <f t="shared" si="30"/>
        <v>87</v>
      </c>
      <c r="S153" s="22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2">
        <f t="shared" si="30"/>
        <v>77</v>
      </c>
      <c r="S154" s="22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2">
        <f t="shared" si="30"/>
        <v>75</v>
      </c>
      <c r="S155" s="22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2">
        <f t="shared" si="30"/>
        <v>105</v>
      </c>
      <c r="S156" s="22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2">
        <f t="shared" si="30"/>
        <v>64</v>
      </c>
      <c r="S157" s="22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2">
        <f t="shared" si="30"/>
        <v>64</v>
      </c>
      <c r="S158" s="22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2">
        <f t="shared" si="30"/>
        <v>74</v>
      </c>
      <c r="S159" s="22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2">
        <f t="shared" si="30"/>
        <v>72</v>
      </c>
      <c r="S160" s="22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2">
        <f t="shared" si="30"/>
        <v>73</v>
      </c>
      <c r="S161" s="22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2">
        <f t="shared" si="30"/>
        <v>85</v>
      </c>
      <c r="S162" s="22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2">
        <f t="shared" si="30"/>
        <v>72</v>
      </c>
      <c r="S163" s="22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2">
        <f t="shared" si="30"/>
        <v>86</v>
      </c>
      <c r="S164" s="22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2">
        <f t="shared" si="30"/>
        <v>72</v>
      </c>
      <c r="S165" s="22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2">
        <f t="shared" si="30"/>
        <v>83</v>
      </c>
      <c r="S166" s="22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2">
        <f t="shared" si="30"/>
        <v>81</v>
      </c>
      <c r="S167" s="22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2">
        <f t="shared" si="30"/>
        <v>86</v>
      </c>
      <c r="S168" s="22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2">
        <f t="shared" si="30"/>
        <v>87</v>
      </c>
      <c r="S169" s="22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2">
        <f t="shared" si="30"/>
        <v>75</v>
      </c>
      <c r="S170" s="22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2">
        <f t="shared" si="30"/>
        <v>68</v>
      </c>
      <c r="S171" s="22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2">
        <f t="shared" si="30"/>
        <v>71</v>
      </c>
      <c r="S172" s="22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2">
        <f t="shared" si="30"/>
        <v>74</v>
      </c>
      <c r="S173" s="22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2">
        <f t="shared" si="30"/>
        <v>72</v>
      </c>
      <c r="S174" s="22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2">
        <f t="shared" si="30"/>
        <v>77</v>
      </c>
      <c r="S175" s="22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2">
        <f t="shared" si="30"/>
        <v>77</v>
      </c>
      <c r="S176" s="22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2">
        <f t="shared" si="30"/>
        <v>85</v>
      </c>
      <c r="S177" s="22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2">
        <f t="shared" si="30"/>
        <v>70</v>
      </c>
      <c r="S178" s="22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2">
        <f t="shared" si="30"/>
        <v>73</v>
      </c>
      <c r="S179" s="22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2">
        <f t="shared" si="30"/>
        <v>73</v>
      </c>
      <c r="S180" s="22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2">
        <f t="shared" si="30"/>
        <v>89</v>
      </c>
      <c r="S181" s="22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2">
        <f t="shared" si="30"/>
        <v>87</v>
      </c>
      <c r="S182" s="22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2">
        <f t="shared" si="30"/>
        <v>87</v>
      </c>
      <c r="S183" s="22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2">
        <f t="shared" si="30"/>
        <v>78</v>
      </c>
      <c r="S184" s="22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2">
        <f t="shared" si="30"/>
        <v>87</v>
      </c>
      <c r="S185" s="22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2">
        <f t="shared" si="30"/>
        <v>88</v>
      </c>
      <c r="S186" s="22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2">
        <f t="shared" si="30"/>
        <v>90</v>
      </c>
      <c r="S187" s="22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2">
        <f t="shared" si="30"/>
        <v>82</v>
      </c>
      <c r="S188" s="22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2">
        <f t="shared" si="30"/>
        <v>74</v>
      </c>
      <c r="S189" s="22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2">
        <f t="shared" si="30"/>
        <v>72</v>
      </c>
      <c r="S190" s="22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2">
        <f t="shared" si="30"/>
        <v>72</v>
      </c>
      <c r="S191" s="22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2">
        <f t="shared" si="30"/>
        <v>80</v>
      </c>
      <c r="S192" s="22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2">
        <f t="shared" si="30"/>
        <v>77</v>
      </c>
      <c r="S193" s="22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2">
        <f t="shared" ref="R194:R257" si="42">_xlfn.NUMBERVALUE(LEFT(Q194,FIND("x",Q194)-2))</f>
        <v>77</v>
      </c>
      <c r="S194" s="22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2">
        <f t="shared" si="42"/>
        <v>77</v>
      </c>
      <c r="S195" s="22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2">
        <f t="shared" si="42"/>
        <v>77</v>
      </c>
      <c r="S196" s="22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2">
        <f t="shared" si="42"/>
        <v>82</v>
      </c>
      <c r="S197" s="22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2">
        <f t="shared" si="42"/>
        <v>76</v>
      </c>
      <c r="S198" s="22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2">
        <f t="shared" si="42"/>
        <v>87</v>
      </c>
      <c r="S199" s="22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2">
        <f t="shared" si="42"/>
        <v>91</v>
      </c>
      <c r="S200" s="22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2">
        <f t="shared" si="42"/>
        <v>96</v>
      </c>
      <c r="S201" s="22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2">
        <f t="shared" si="42"/>
        <v>79</v>
      </c>
      <c r="S202" s="22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2">
        <f t="shared" si="42"/>
        <v>80</v>
      </c>
      <c r="S203" s="22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2">
        <f t="shared" si="42"/>
        <v>72</v>
      </c>
      <c r="S204" s="22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2">
        <f t="shared" si="42"/>
        <v>86</v>
      </c>
      <c r="S205" s="22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2">
        <f t="shared" si="42"/>
        <v>80</v>
      </c>
      <c r="S206" s="22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2">
        <f t="shared" si="42"/>
        <v>73</v>
      </c>
      <c r="S207" s="22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2">
        <f t="shared" si="42"/>
        <v>85</v>
      </c>
      <c r="S208" s="22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2">
        <f t="shared" si="42"/>
        <v>87</v>
      </c>
      <c r="S209" s="22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2">
        <f t="shared" si="42"/>
        <v>95</v>
      </c>
      <c r="S210" s="22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2">
        <f t="shared" si="42"/>
        <v>85</v>
      </c>
      <c r="S211" s="22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2">
        <f t="shared" si="42"/>
        <v>90</v>
      </c>
      <c r="S212" s="22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2">
        <f t="shared" si="42"/>
        <v>102</v>
      </c>
      <c r="S213" s="22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2">
        <f t="shared" si="42"/>
        <v>101</v>
      </c>
      <c r="S214" s="22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2">
        <f t="shared" si="42"/>
        <v>83</v>
      </c>
      <c r="S215" s="22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2">
        <f t="shared" si="42"/>
        <v>75</v>
      </c>
      <c r="S216" s="22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2">
        <f t="shared" si="42"/>
        <v>79</v>
      </c>
      <c r="S217" s="22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2">
        <f t="shared" si="42"/>
        <v>72</v>
      </c>
      <c r="S218" s="22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2">
        <f t="shared" si="42"/>
        <v>93</v>
      </c>
      <c r="S219" s="22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2">
        <f t="shared" si="42"/>
        <v>87</v>
      </c>
      <c r="S220" s="22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2">
        <f t="shared" si="42"/>
        <v>73</v>
      </c>
      <c r="S221" s="22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2">
        <f t="shared" si="42"/>
        <v>76</v>
      </c>
      <c r="S222" s="22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2">
        <f t="shared" si="42"/>
        <v>81</v>
      </c>
      <c r="S223" s="22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2">
        <f t="shared" si="42"/>
        <v>79</v>
      </c>
      <c r="S224" s="22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2">
        <f t="shared" si="42"/>
        <v>95</v>
      </c>
      <c r="S225" s="22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2">
        <f t="shared" si="42"/>
        <v>83</v>
      </c>
      <c r="S226" s="22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2">
        <f t="shared" si="42"/>
        <v>79</v>
      </c>
      <c r="S227" s="22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2">
        <f t="shared" si="42"/>
        <v>74</v>
      </c>
      <c r="S228" s="22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2">
        <f t="shared" si="42"/>
        <v>115</v>
      </c>
      <c r="S229" s="22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2">
        <f t="shared" si="42"/>
        <v>113</v>
      </c>
      <c r="S230" s="22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2">
        <f t="shared" si="42"/>
        <v>122</v>
      </c>
      <c r="S231" s="22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2">
        <f t="shared" si="42"/>
        <v>93</v>
      </c>
      <c r="S232" s="22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2">
        <f t="shared" si="42"/>
        <v>79</v>
      </c>
      <c r="S233" s="22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2">
        <f t="shared" si="42"/>
        <v>92</v>
      </c>
      <c r="S234" s="22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2">
        <f t="shared" si="42"/>
        <v>128</v>
      </c>
      <c r="S235" s="22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2">
        <f t="shared" si="42"/>
        <v>90</v>
      </c>
      <c r="S236" s="22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2">
        <f t="shared" si="42"/>
        <v>82</v>
      </c>
      <c r="S237" s="22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2">
        <f t="shared" si="42"/>
        <v>113</v>
      </c>
      <c r="S238" s="22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2">
        <f t="shared" si="42"/>
        <v>96</v>
      </c>
      <c r="S239" s="22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2">
        <f t="shared" si="42"/>
        <v>105</v>
      </c>
      <c r="S240" s="22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2">
        <f t="shared" si="42"/>
        <v>105</v>
      </c>
      <c r="S241" s="22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2">
        <f t="shared" si="42"/>
        <v>121</v>
      </c>
      <c r="S242" s="22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2">
        <f t="shared" si="42"/>
        <v>109</v>
      </c>
      <c r="S243" s="22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2">
        <f t="shared" si="42"/>
        <v>80</v>
      </c>
      <c r="S244" s="22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2">
        <f t="shared" si="42"/>
        <v>80</v>
      </c>
      <c r="S245" s="22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2">
        <f t="shared" si="42"/>
        <v>65</v>
      </c>
      <c r="S246" s="22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2">
        <f t="shared" si="42"/>
        <v>79</v>
      </c>
      <c r="S247" s="22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2">
        <f t="shared" si="42"/>
        <v>95</v>
      </c>
      <c r="S248" s="22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2">
        <f t="shared" si="42"/>
        <v>85</v>
      </c>
      <c r="S249" s="22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2">
        <f t="shared" si="42"/>
        <v>124</v>
      </c>
      <c r="S250" s="22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2">
        <f t="shared" si="42"/>
        <v>108</v>
      </c>
      <c r="S251" s="22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2">
        <f t="shared" si="42"/>
        <v>237</v>
      </c>
      <c r="S252" s="22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2">
        <f t="shared" si="42"/>
        <v>94</v>
      </c>
      <c r="S253" s="22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2">
        <f t="shared" si="42"/>
        <v>76</v>
      </c>
      <c r="S254" s="22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2">
        <f t="shared" si="42"/>
        <v>124</v>
      </c>
      <c r="S255" s="22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2">
        <f t="shared" si="42"/>
        <v>124</v>
      </c>
      <c r="S256" s="22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2">
        <f t="shared" si="42"/>
        <v>157</v>
      </c>
      <c r="S257" s="22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2">
        <f t="shared" ref="R258:R274" si="54">_xlfn.NUMBERVALUE(LEFT(Q258,FIND("x",Q258)-2))</f>
        <v>124</v>
      </c>
      <c r="S258" s="22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2">
        <f t="shared" si="54"/>
        <v>90</v>
      </c>
      <c r="S259" s="22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2">
        <f t="shared" si="54"/>
        <v>89</v>
      </c>
      <c r="S260" s="22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2">
        <f t="shared" si="54"/>
        <v>119</v>
      </c>
      <c r="S261" s="22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2">
        <f t="shared" si="54"/>
        <v>106</v>
      </c>
      <c r="S262" s="22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2">
        <f t="shared" si="54"/>
        <v>160</v>
      </c>
      <c r="S263" s="22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2">
        <f t="shared" si="54"/>
        <v>160</v>
      </c>
      <c r="S264" s="22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2">
        <f t="shared" si="54"/>
        <v>140</v>
      </c>
      <c r="S265" s="22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2">
        <f t="shared" si="54"/>
        <v>140</v>
      </c>
      <c r="S266" s="22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2">
        <f t="shared" si="54"/>
        <v>123</v>
      </c>
      <c r="S267" s="22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2">
        <f t="shared" si="54"/>
        <v>145</v>
      </c>
      <c r="S268" s="22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2">
        <f t="shared" si="54"/>
        <v>166</v>
      </c>
      <c r="S269" s="22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2">
        <f t="shared" si="54"/>
        <v>166</v>
      </c>
      <c r="S270" s="22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2">
        <f t="shared" si="54"/>
        <v>160</v>
      </c>
      <c r="S271" s="22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2">
        <f t="shared" si="54"/>
        <v>157</v>
      </c>
      <c r="S272" s="22">
        <f t="shared" si="55"/>
        <v>520</v>
      </c>
      <c r="T272" s="10"/>
    </row>
    <row r="273" spans="1:19" x14ac:dyDescent="0.25">
      <c r="A273" s="1" t="s">
        <v>899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900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901</v>
      </c>
      <c r="P273" s="2" t="str">
        <f t="shared" si="53"/>
        <v>705</v>
      </c>
      <c r="Q273" s="2" t="s">
        <v>902</v>
      </c>
      <c r="R273" s="22">
        <f t="shared" si="54"/>
        <v>79</v>
      </c>
      <c r="S273" s="22">
        <f t="shared" si="55"/>
        <v>121</v>
      </c>
    </row>
    <row r="274" spans="1:19" x14ac:dyDescent="0.25">
      <c r="A274" s="1" t="s">
        <v>904</v>
      </c>
      <c r="B274" s="2" t="s">
        <v>905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906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903</v>
      </c>
      <c r="R274" s="22">
        <f t="shared" si="54"/>
        <v>105</v>
      </c>
      <c r="S274" s="22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N36"/>
  <sheetViews>
    <sheetView workbookViewId="0">
      <selection activeCell="G29" sqref="G29"/>
    </sheetView>
  </sheetViews>
  <sheetFormatPr baseColWidth="10" defaultRowHeight="15" x14ac:dyDescent="0.25"/>
  <cols>
    <col min="1" max="1" width="41" style="50" bestFit="1" customWidth="1"/>
    <col min="2" max="2" width="12.5703125" style="50" bestFit="1" customWidth="1"/>
    <col min="3" max="3" width="10.42578125" style="50" bestFit="1" customWidth="1"/>
    <col min="4" max="4" width="6.42578125" style="50" bestFit="1" customWidth="1"/>
    <col min="5" max="5" width="8.140625" style="50" bestFit="1" customWidth="1"/>
    <col min="6" max="6" width="9" style="50" bestFit="1" customWidth="1"/>
    <col min="7" max="7" width="15.5703125" style="50" bestFit="1" customWidth="1"/>
    <col min="8" max="8" width="11.140625" style="50" bestFit="1" customWidth="1"/>
    <col min="9" max="9" width="12.28515625" style="50" bestFit="1" customWidth="1"/>
    <col min="10" max="10" width="15.5703125" style="50" bestFit="1" customWidth="1"/>
    <col min="11" max="11" width="10.5703125" style="50" bestFit="1" customWidth="1"/>
    <col min="12" max="12" width="8.85546875" style="50" bestFit="1" customWidth="1"/>
    <col min="13" max="13" width="9" style="50" bestFit="1" customWidth="1"/>
    <col min="14" max="14" width="7.7109375" style="50" bestFit="1" customWidth="1"/>
    <col min="15" max="16384" width="11.42578125" style="50"/>
  </cols>
  <sheetData>
    <row r="1" spans="1:13" ht="32.25" x14ac:dyDescent="0.5">
      <c r="A1" s="75" t="s">
        <v>4514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</row>
    <row r="2" spans="1:13" x14ac:dyDescent="0.25">
      <c r="A2" s="56" t="s">
        <v>2504</v>
      </c>
      <c r="B2" s="57">
        <v>100</v>
      </c>
      <c r="C2" s="57">
        <v>400</v>
      </c>
      <c r="D2" s="42">
        <v>4.5</v>
      </c>
      <c r="E2" s="42">
        <v>5.6</v>
      </c>
      <c r="F2" s="58">
        <v>77</v>
      </c>
      <c r="G2" s="59">
        <v>3.23</v>
      </c>
      <c r="H2" s="67">
        <v>0.5</v>
      </c>
      <c r="I2" s="56" t="s">
        <v>1226</v>
      </c>
      <c r="J2" s="56" t="s">
        <v>907</v>
      </c>
      <c r="K2" s="57">
        <v>1570</v>
      </c>
      <c r="L2" s="60">
        <v>94</v>
      </c>
      <c r="M2" s="60">
        <v>193</v>
      </c>
    </row>
    <row r="3" spans="1:13" x14ac:dyDescent="0.25">
      <c r="A3" s="56" t="s">
        <v>2782</v>
      </c>
      <c r="B3" s="56">
        <v>11</v>
      </c>
      <c r="C3" s="56">
        <v>24</v>
      </c>
      <c r="D3" s="56">
        <v>4</v>
      </c>
      <c r="E3" s="56">
        <v>4</v>
      </c>
      <c r="F3" s="56">
        <v>0</v>
      </c>
      <c r="G3" s="59">
        <v>6.25</v>
      </c>
      <c r="H3" s="67">
        <v>0.85</v>
      </c>
      <c r="I3" s="56" t="s">
        <v>1226</v>
      </c>
      <c r="J3" s="56" t="s">
        <v>907</v>
      </c>
      <c r="K3" s="56">
        <v>1180</v>
      </c>
      <c r="L3" s="56">
        <v>108</v>
      </c>
      <c r="M3" s="56">
        <v>132</v>
      </c>
    </row>
    <row r="4" spans="1:13" x14ac:dyDescent="0.25">
      <c r="A4" s="56" t="s">
        <v>1067</v>
      </c>
      <c r="B4" s="56">
        <v>135</v>
      </c>
      <c r="C4" s="56">
        <v>135</v>
      </c>
      <c r="D4" s="56">
        <v>2.2000000000000002</v>
      </c>
      <c r="E4" s="56">
        <v>2.2000000000000002</v>
      </c>
      <c r="F4" s="56">
        <v>0</v>
      </c>
      <c r="G4" s="59">
        <v>0</v>
      </c>
      <c r="H4" s="67">
        <v>0.93</v>
      </c>
      <c r="I4" s="56" t="s">
        <v>1226</v>
      </c>
      <c r="J4" s="56" t="s">
        <v>907</v>
      </c>
      <c r="K4" s="56">
        <v>0</v>
      </c>
      <c r="L4" s="56">
        <v>0</v>
      </c>
      <c r="M4" s="56">
        <v>0</v>
      </c>
    </row>
    <row r="5" spans="1:13" x14ac:dyDescent="0.25">
      <c r="A5" s="56" t="s">
        <v>3097</v>
      </c>
      <c r="B5" s="56">
        <v>500</v>
      </c>
      <c r="C5" s="56">
        <v>500</v>
      </c>
      <c r="D5" s="56">
        <v>8</v>
      </c>
      <c r="E5" s="56">
        <v>8</v>
      </c>
      <c r="F5" s="56">
        <v>67</v>
      </c>
      <c r="G5" s="59">
        <v>0</v>
      </c>
      <c r="H5" s="67">
        <v>1.34</v>
      </c>
      <c r="I5" s="56" t="s">
        <v>1559</v>
      </c>
      <c r="J5" s="56" t="s">
        <v>4513</v>
      </c>
      <c r="K5" s="56">
        <v>710</v>
      </c>
      <c r="L5" s="56">
        <v>70</v>
      </c>
      <c r="M5" s="56">
        <v>315</v>
      </c>
    </row>
    <row r="6" spans="1:13" x14ac:dyDescent="0.25">
      <c r="A6" s="51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</row>
    <row r="7" spans="1:13" x14ac:dyDescent="0.25">
      <c r="A7" s="75" t="s">
        <v>4515</v>
      </c>
      <c r="B7" s="75"/>
      <c r="C7" s="75"/>
      <c r="D7" s="75"/>
      <c r="E7" s="75"/>
      <c r="F7" s="75"/>
      <c r="G7" s="75"/>
      <c r="H7" s="75"/>
      <c r="I7" s="75"/>
      <c r="J7" s="51"/>
      <c r="K7" s="51"/>
      <c r="L7" s="51"/>
    </row>
    <row r="8" spans="1:13" ht="32.25" customHeight="1" x14ac:dyDescent="0.25">
      <c r="A8" s="75"/>
      <c r="B8" s="75"/>
      <c r="C8" s="75"/>
      <c r="D8" s="75"/>
      <c r="E8" s="75"/>
      <c r="F8" s="75"/>
      <c r="G8" s="75"/>
      <c r="H8" s="75"/>
      <c r="I8" s="75"/>
      <c r="J8" s="51"/>
      <c r="K8" s="51"/>
      <c r="L8" s="51"/>
    </row>
    <row r="9" spans="1:13" x14ac:dyDescent="0.25">
      <c r="A9" s="56" t="s">
        <v>2504</v>
      </c>
      <c r="B9" s="56" t="s">
        <v>54</v>
      </c>
      <c r="C9" s="56" t="s">
        <v>1181</v>
      </c>
      <c r="D9" s="56" t="s">
        <v>27</v>
      </c>
      <c r="E9" s="56" t="s">
        <v>1232</v>
      </c>
      <c r="F9" s="56" t="s">
        <v>1226</v>
      </c>
      <c r="G9" s="56" t="s">
        <v>907</v>
      </c>
      <c r="H9" s="56" t="s">
        <v>810</v>
      </c>
      <c r="I9" s="56" t="s">
        <v>1649</v>
      </c>
      <c r="J9" s="51"/>
      <c r="K9" s="51"/>
      <c r="L9" s="51"/>
    </row>
    <row r="10" spans="1:13" x14ac:dyDescent="0.25">
      <c r="A10" s="56" t="s">
        <v>2782</v>
      </c>
      <c r="B10" s="56" t="s">
        <v>2783</v>
      </c>
      <c r="C10" s="56" t="s">
        <v>1178</v>
      </c>
      <c r="D10" s="56"/>
      <c r="E10" s="56" t="s">
        <v>1244</v>
      </c>
      <c r="F10" s="56" t="s">
        <v>1226</v>
      </c>
      <c r="G10" s="56" t="s">
        <v>907</v>
      </c>
      <c r="H10" s="56" t="s">
        <v>2784</v>
      </c>
      <c r="I10" s="56" t="s">
        <v>2436</v>
      </c>
      <c r="J10" s="51"/>
      <c r="K10" s="51"/>
      <c r="L10" s="51"/>
    </row>
    <row r="11" spans="1:13" x14ac:dyDescent="0.25">
      <c r="A11" s="56" t="s">
        <v>1067</v>
      </c>
      <c r="B11" s="56" t="s">
        <v>148</v>
      </c>
      <c r="C11" s="56" t="s">
        <v>1488</v>
      </c>
      <c r="D11" s="56"/>
      <c r="E11" s="56"/>
      <c r="F11" s="56" t="s">
        <v>1226</v>
      </c>
      <c r="G11" s="56" t="s">
        <v>907</v>
      </c>
      <c r="H11" s="56"/>
      <c r="I11" s="56"/>
      <c r="J11" s="51"/>
      <c r="K11" s="51"/>
      <c r="L11" s="51"/>
    </row>
    <row r="12" spans="1:13" x14ac:dyDescent="0.25">
      <c r="A12" s="56" t="s">
        <v>3097</v>
      </c>
      <c r="B12" s="56" t="s">
        <v>664</v>
      </c>
      <c r="C12" s="56" t="s">
        <v>1196</v>
      </c>
      <c r="D12" s="56" t="s">
        <v>56</v>
      </c>
      <c r="E12" s="56"/>
      <c r="F12" s="56" t="s">
        <v>1559</v>
      </c>
      <c r="G12" s="56"/>
      <c r="H12" s="56" t="s">
        <v>370</v>
      </c>
      <c r="I12" s="56" t="s">
        <v>2315</v>
      </c>
      <c r="J12" s="51"/>
      <c r="K12" s="51"/>
      <c r="L12" s="51"/>
    </row>
    <row r="13" spans="1:13" x14ac:dyDescent="0.25">
      <c r="A13" s="51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</row>
    <row r="14" spans="1:13" x14ac:dyDescent="0.25">
      <c r="A14" s="51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</row>
    <row r="15" spans="1:13" x14ac:dyDescent="0.25">
      <c r="A15" s="51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</row>
    <row r="16" spans="1:13" x14ac:dyDescent="0.25">
      <c r="A16" s="51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</row>
    <row r="17" spans="1:14" x14ac:dyDescent="0.25">
      <c r="A17" s="51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</row>
    <row r="18" spans="1:14" ht="32.25" x14ac:dyDescent="0.5">
      <c r="A18" s="75" t="s">
        <v>4529</v>
      </c>
      <c r="B18" s="75"/>
      <c r="C18" s="75"/>
      <c r="E18" s="75" t="s">
        <v>4530</v>
      </c>
      <c r="F18" s="75"/>
      <c r="G18" s="75"/>
      <c r="H18" s="75"/>
      <c r="I18" s="75"/>
      <c r="J18" s="75"/>
      <c r="K18" s="75"/>
      <c r="L18" s="75"/>
      <c r="M18" s="75"/>
      <c r="N18" s="75"/>
    </row>
    <row r="19" spans="1:14" ht="17.25" x14ac:dyDescent="0.3">
      <c r="A19" s="52"/>
      <c r="B19" s="53" t="s">
        <v>890</v>
      </c>
      <c r="C19" s="53" t="s">
        <v>891</v>
      </c>
      <c r="D19" s="54"/>
      <c r="E19" s="53"/>
      <c r="F19" s="76" t="s">
        <v>888</v>
      </c>
      <c r="G19" s="76"/>
      <c r="H19" s="76"/>
      <c r="I19" s="76"/>
      <c r="J19" s="76"/>
      <c r="K19" s="76"/>
      <c r="L19" s="76"/>
      <c r="M19" s="76"/>
      <c r="N19" s="76"/>
    </row>
    <row r="20" spans="1:14" ht="17.25" x14ac:dyDescent="0.3">
      <c r="A20" s="18" t="s">
        <v>889</v>
      </c>
      <c r="B20" s="36">
        <v>100</v>
      </c>
      <c r="C20" s="36">
        <v>400</v>
      </c>
      <c r="D20" s="14"/>
      <c r="E20" s="18" t="s">
        <v>1</v>
      </c>
      <c r="F20" s="48" t="s">
        <v>8</v>
      </c>
      <c r="G20" s="55" t="s">
        <v>1226</v>
      </c>
      <c r="H20" s="48" t="s">
        <v>1225</v>
      </c>
      <c r="I20" s="48" t="s">
        <v>1290</v>
      </c>
      <c r="J20" s="48" t="s">
        <v>4516</v>
      </c>
      <c r="K20" s="48" t="s">
        <v>4517</v>
      </c>
      <c r="L20" s="55" t="s">
        <v>4518</v>
      </c>
      <c r="M20" s="48" t="s">
        <v>1559</v>
      </c>
      <c r="N20" s="48" t="s">
        <v>1311</v>
      </c>
    </row>
    <row r="21" spans="1:14" ht="17.25" x14ac:dyDescent="0.3">
      <c r="A21" s="18" t="s">
        <v>882</v>
      </c>
      <c r="B21" s="36"/>
      <c r="C21" s="36"/>
      <c r="D21" s="14"/>
      <c r="E21" s="18" t="s">
        <v>4519</v>
      </c>
      <c r="F21" s="48" t="s">
        <v>877</v>
      </c>
      <c r="G21" s="48" t="s">
        <v>876</v>
      </c>
      <c r="H21" s="48" t="s">
        <v>4520</v>
      </c>
      <c r="I21" s="48" t="s">
        <v>4521</v>
      </c>
      <c r="J21" s="48" t="s">
        <v>4522</v>
      </c>
      <c r="K21" s="48" t="s">
        <v>4518</v>
      </c>
      <c r="L21" s="48" t="s">
        <v>4523</v>
      </c>
      <c r="M21" s="48" t="s">
        <v>4527</v>
      </c>
      <c r="N21" s="48" t="s">
        <v>4528</v>
      </c>
    </row>
    <row r="22" spans="1:14" ht="17.25" x14ac:dyDescent="0.3">
      <c r="A22" s="18" t="s">
        <v>871</v>
      </c>
      <c r="B22" s="36"/>
      <c r="C22" s="36"/>
      <c r="D22" s="14"/>
      <c r="E22" s="18" t="s">
        <v>4525</v>
      </c>
      <c r="F22" s="48" t="s">
        <v>873</v>
      </c>
      <c r="G22" s="48" t="s">
        <v>874</v>
      </c>
      <c r="H22" s="48" t="s">
        <v>4524</v>
      </c>
      <c r="I22" s="19"/>
      <c r="J22" s="19"/>
      <c r="K22" s="19"/>
      <c r="L22" s="19"/>
      <c r="M22" s="19"/>
      <c r="N22" s="19"/>
    </row>
    <row r="23" spans="1:14" ht="17.25" x14ac:dyDescent="0.3">
      <c r="A23" s="18" t="s">
        <v>4532</v>
      </c>
      <c r="B23" s="36">
        <v>0.5</v>
      </c>
      <c r="C23" s="36">
        <v>0.93</v>
      </c>
      <c r="D23" s="14"/>
      <c r="E23" s="18" t="s">
        <v>4526</v>
      </c>
      <c r="F23" s="48" t="s">
        <v>873</v>
      </c>
      <c r="G23" s="48" t="s">
        <v>875</v>
      </c>
      <c r="H23" s="19"/>
      <c r="I23" s="19"/>
      <c r="J23" s="19"/>
      <c r="K23" s="19"/>
      <c r="L23" s="19"/>
      <c r="M23" s="19"/>
      <c r="N23" s="19"/>
    </row>
    <row r="24" spans="1:14" x14ac:dyDescent="0.25">
      <c r="D24" s="14"/>
    </row>
    <row r="25" spans="1:14" x14ac:dyDescent="0.25">
      <c r="D25" s="14"/>
      <c r="E25" s="13"/>
      <c r="F25" s="7"/>
      <c r="G25" s="2"/>
      <c r="H25" s="2"/>
      <c r="I25" s="2"/>
      <c r="J25" s="2"/>
      <c r="K25" s="3"/>
      <c r="L25" s="3"/>
      <c r="M25" s="2"/>
      <c r="N25" s="2"/>
    </row>
    <row r="26" spans="1:14" x14ac:dyDescent="0.25">
      <c r="D26" s="14"/>
      <c r="E26" s="13"/>
      <c r="F26" s="7"/>
      <c r="G26" s="2"/>
      <c r="H26" s="2"/>
      <c r="I26" s="2"/>
      <c r="J26" s="2"/>
      <c r="K26" s="3"/>
      <c r="L26" s="3"/>
      <c r="M26" s="2"/>
      <c r="N26" s="2"/>
    </row>
    <row r="27" spans="1:14" ht="32.25" x14ac:dyDescent="0.5">
      <c r="A27" s="75" t="s">
        <v>4531</v>
      </c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</row>
    <row r="28" spans="1:14" x14ac:dyDescent="0.25">
      <c r="A28" s="56" t="s">
        <v>2504</v>
      </c>
      <c r="B28" s="57">
        <v>100</v>
      </c>
      <c r="C28" s="57">
        <v>400</v>
      </c>
      <c r="D28" s="42">
        <v>4.5</v>
      </c>
      <c r="E28" s="42">
        <v>5.6</v>
      </c>
      <c r="F28" s="58">
        <v>77</v>
      </c>
      <c r="G28" s="59">
        <v>3.23</v>
      </c>
      <c r="H28" s="67">
        <v>0.5</v>
      </c>
      <c r="I28" s="56" t="s">
        <v>1226</v>
      </c>
      <c r="J28" s="56" t="s">
        <v>907</v>
      </c>
      <c r="K28" s="57">
        <v>1570</v>
      </c>
      <c r="L28" s="60">
        <v>94</v>
      </c>
      <c r="M28" s="60">
        <v>193</v>
      </c>
    </row>
    <row r="29" spans="1:14" x14ac:dyDescent="0.25">
      <c r="A29" s="56" t="s">
        <v>1067</v>
      </c>
      <c r="B29" s="56">
        <v>135</v>
      </c>
      <c r="C29" s="56">
        <v>135</v>
      </c>
      <c r="D29" s="56">
        <v>2.2000000000000002</v>
      </c>
      <c r="E29" s="56">
        <v>2.2000000000000002</v>
      </c>
      <c r="F29" s="56">
        <v>0</v>
      </c>
      <c r="G29" s="56">
        <v>0</v>
      </c>
      <c r="H29" s="67">
        <v>0.93</v>
      </c>
      <c r="I29" s="56" t="s">
        <v>1226</v>
      </c>
      <c r="J29" s="56" t="s">
        <v>907</v>
      </c>
      <c r="K29" s="56">
        <v>0</v>
      </c>
      <c r="L29" s="56">
        <v>0</v>
      </c>
      <c r="M29" s="56">
        <v>0</v>
      </c>
    </row>
    <row r="30" spans="1:14" x14ac:dyDescent="0.25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</row>
    <row r="31" spans="1:14" x14ac:dyDescent="0.25">
      <c r="A31" s="56"/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</row>
    <row r="32" spans="1:14" x14ac:dyDescent="0.25">
      <c r="A32" s="61"/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</row>
    <row r="33" spans="1:13" x14ac:dyDescent="0.25">
      <c r="A33" s="61"/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</row>
    <row r="34" spans="1:13" x14ac:dyDescent="0.25">
      <c r="A34" s="61"/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</row>
    <row r="35" spans="1:13" x14ac:dyDescent="0.25">
      <c r="A35" s="61"/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</row>
    <row r="36" spans="1:13" x14ac:dyDescent="0.25">
      <c r="A36" s="61"/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</row>
  </sheetData>
  <mergeCells count="6">
    <mergeCell ref="A27:M27"/>
    <mergeCell ref="A1:M1"/>
    <mergeCell ref="F19:N19"/>
    <mergeCell ref="A7:I8"/>
    <mergeCell ref="A18:C18"/>
    <mergeCell ref="E18:N18"/>
  </mergeCells>
  <hyperlinks>
    <hyperlink ref="H22" location="TestData!$H$22" display="Motor"/>
    <hyperlink ref="F20" location="TestData!$F$20" display="Nikon F"/>
    <hyperlink ref="F21" location="TestData!$F$21" display="Nikon"/>
    <hyperlink ref="F22" location="TestData!$F$22" display="Nein"/>
    <hyperlink ref="F23" location="TestData!$F$23" display="Nein"/>
    <hyperlink ref="G21" location="TestData!$G$21" display="Voigtländer"/>
    <hyperlink ref="G22" location="TestData!$G$22" display="Stange"/>
    <hyperlink ref="G23" location="TestData!$G$23" display="Ja"/>
    <hyperlink ref="G20" location="TestData!$G$20" display="Canon EF"/>
    <hyperlink ref="H20" location="TestData!$H$20" display="Four-Thirds"/>
    <hyperlink ref="I20" location="TestData!$I$20" display="Sony A"/>
    <hyperlink ref="J20" location="TestData!$J$20" display="Fujifilm"/>
    <hyperlink ref="K20" location="TestData!$K$20" display="Hasselblad"/>
    <hyperlink ref="L20" location="TestData!$L$20" display="Leica"/>
    <hyperlink ref="M20" location="TestData!$M$20" display="T2"/>
    <hyperlink ref="H21" location="TestData!$H$21" display="Canon"/>
    <hyperlink ref="I21" location="TestData!$I$21" display="Fuji"/>
    <hyperlink ref="J21" location="TestData!$J$21" display="Sony"/>
    <hyperlink ref="K21" location="TestData!$K$21" display="Leica"/>
    <hyperlink ref="L21" location="TestData!$L$21" display="Samyang"/>
    <hyperlink ref="N20" location="TestData!$N$20" display="Nikon 1"/>
    <hyperlink ref="M21" location="TestData!$M$21" display="Sigma"/>
    <hyperlink ref="N21" location="TestData!$N$21" display="Tamron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PreparedData</vt:lpstr>
      <vt:lpstr>RawData (GH)</vt:lpstr>
      <vt:lpstr>RawData (before)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2017-11-17T03:45:47Z</dcterms:modified>
</cp:coreProperties>
</file>